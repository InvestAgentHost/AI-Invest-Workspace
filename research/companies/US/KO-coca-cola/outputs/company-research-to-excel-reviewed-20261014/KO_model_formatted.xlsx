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ccc/Desktop/AI Invest/Workspace/research/companies/US/KO-coca-cola/outputs/company-research-to-excel-reviewed-20261014/"/>
    </mc:Choice>
  </mc:AlternateContent>
  <xr:revisionPtr revIDLastSave="0" documentId="13_ncr:1_{49D112FB-13F8-114E-A220-54AA5DCFA499}" xr6:coauthVersionLast="47" xr6:coauthVersionMax="47" xr10:uidLastSave="{00000000-0000-0000-0000-000000000000}"/>
  <bookViews>
    <workbookView xWindow="0" yWindow="600" windowWidth="38400" windowHeight="19500" firstSheet="11" activeTab="14" xr2:uid="{00000000-000D-0000-FFFF-FFFF00000000}"/>
  </bookViews>
  <sheets>
    <sheet name="Cover" sheetId="1" r:id="rId1"/>
    <sheet name="Income Statement" sheetId="2" r:id="rId2"/>
    <sheet name="Balance Sheet" sheetId="3" r:id="rId3"/>
    <sheet name="Cash Flow" sheetId="4" r:id="rId4"/>
    <sheet name="Segments" sheetId="5" r:id="rId5"/>
    <sheet name="Geography" sheetId="6" r:id="rId6"/>
    <sheet name="Operating Metrics" sheetId="8" r:id="rId7"/>
    <sheet name="产品销量" sheetId="12" r:id="rId8"/>
    <sheet name="Derived Metrics" sheetId="7" r:id="rId9"/>
    <sheet name="Note Schedules" sheetId="9" r:id="rId10"/>
    <sheet name="Sources" sheetId="10" r:id="rId11"/>
    <sheet name="Audit 2026-10-14" sheetId="11" r:id="rId12"/>
    <sheet name="Valuation Driver Build" sheetId="13" r:id="rId13"/>
    <sheet name="Valuation Inputs" sheetId="15" r:id="rId14"/>
    <sheet name="Valuation" sheetId="14" r:id="rId15"/>
  </sheets>
  <definedNames>
    <definedName name="_xlnm.Print_Area" localSheetId="11">'Audit 2026-10-14'!$A$1:$J$153</definedName>
    <definedName name="_xlnm.Print_Area" localSheetId="2">'Balance Sheet'!$A$1:$U$73</definedName>
    <definedName name="_xlnm.Print_Area" localSheetId="3">'Cash Flow'!$A$1:$U$78</definedName>
    <definedName name="_xlnm.Print_Area" localSheetId="0">Cover!$A$1:$B$55</definedName>
    <definedName name="_xlnm.Print_Area" localSheetId="8">'Derived Metrics'!$A$1:$U$89</definedName>
    <definedName name="_xlnm.Print_Area" localSheetId="5">Geography!$A$1:$U$26</definedName>
    <definedName name="_xlnm.Print_Area" localSheetId="1">'Income Statement'!$A$1:$U$54</definedName>
    <definedName name="_xlnm.Print_Area" localSheetId="9">'Note Schedules'!$A$1:$U$126</definedName>
    <definedName name="_xlnm.Print_Area" localSheetId="6">'Operating Metrics'!$A$1:$U$124</definedName>
    <definedName name="_xlnm.Print_Area" localSheetId="4">Segments!$A$1:$U$244</definedName>
    <definedName name="_xlnm.Print_Area" localSheetId="10">Sources!$A$1:$E$70</definedName>
    <definedName name="_xlnm.Print_Titles" localSheetId="11">'Audit 2026-10-14'!$22:$22</definedName>
    <definedName name="_xlnm.Print_Titles" localSheetId="2">'Balance Sheet'!$1:$4</definedName>
    <definedName name="_xlnm.Print_Titles" localSheetId="3">'Cash Flow'!$1:$4</definedName>
    <definedName name="_xlnm.Print_Titles" localSheetId="8">'Derived Metrics'!$1:$4</definedName>
    <definedName name="_xlnm.Print_Titles" localSheetId="5">Geography!$1:$4</definedName>
    <definedName name="_xlnm.Print_Titles" localSheetId="1">'Income Statement'!$1:$4</definedName>
    <definedName name="_xlnm.Print_Titles" localSheetId="9">'Note Schedules'!$1:$4</definedName>
    <definedName name="_xlnm.Print_Titles" localSheetId="6">'Operating Metrics'!$1:$4</definedName>
    <definedName name="_xlnm.Print_Titles" localSheetId="4">Segments!$1:$4</definedName>
    <definedName name="_xlnm.Print_Titles" localSheetId="10">Sources!$1:$4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14" l="1"/>
  <c r="D94" i="14"/>
  <c r="C94" i="14"/>
  <c r="E82" i="14"/>
  <c r="C695" i="13" s="1"/>
  <c r="D82" i="14"/>
  <c r="C694" i="13" s="1"/>
  <c r="C82" i="14"/>
  <c r="C693" i="13" s="1"/>
  <c r="H70" i="14"/>
  <c r="G700" i="13" s="1"/>
  <c r="G70" i="14"/>
  <c r="F700" i="13" s="1"/>
  <c r="F70" i="14"/>
  <c r="E700" i="13" s="1"/>
  <c r="E70" i="14"/>
  <c r="D700" i="13" s="1"/>
  <c r="D70" i="14"/>
  <c r="C700" i="13" s="1"/>
  <c r="H44" i="14"/>
  <c r="G44" i="14"/>
  <c r="F44" i="14"/>
  <c r="E44" i="14"/>
  <c r="E64" i="14" s="1"/>
  <c r="D44" i="14"/>
  <c r="D64" i="14" s="1"/>
  <c r="H43" i="14"/>
  <c r="G43" i="14"/>
  <c r="F43" i="14"/>
  <c r="E43" i="14"/>
  <c r="D43" i="14"/>
  <c r="C43" i="14"/>
  <c r="N40" i="14"/>
  <c r="M40" i="14"/>
  <c r="L40" i="14"/>
  <c r="K40" i="14"/>
  <c r="J40" i="14"/>
  <c r="N37" i="14"/>
  <c r="M37" i="14"/>
  <c r="L37" i="14"/>
  <c r="K37" i="14"/>
  <c r="J37" i="14"/>
  <c r="N36" i="14"/>
  <c r="M36" i="14"/>
  <c r="L36" i="14"/>
  <c r="K36" i="14"/>
  <c r="J36" i="14"/>
  <c r="J30" i="14"/>
  <c r="C27" i="14"/>
  <c r="C12" i="14"/>
  <c r="C699" i="13" s="1"/>
  <c r="C11" i="14"/>
  <c r="C677" i="13" s="1"/>
  <c r="C10" i="14"/>
  <c r="D46" i="14" s="1"/>
  <c r="C9" i="14"/>
  <c r="C8" i="14"/>
  <c r="B64" i="14" s="1"/>
  <c r="C7" i="14"/>
  <c r="C120" i="14" s="1"/>
  <c r="C6" i="14"/>
  <c r="C691" i="13" s="1"/>
  <c r="C5" i="14"/>
  <c r="N778" i="13"/>
  <c r="M778" i="13"/>
  <c r="L778" i="13"/>
  <c r="H769" i="13"/>
  <c r="E83" i="14" s="1"/>
  <c r="G769" i="13"/>
  <c r="F769" i="13"/>
  <c r="E769" i="13"/>
  <c r="D769" i="13"/>
  <c r="H768" i="13"/>
  <c r="D83" i="14" s="1"/>
  <c r="G768" i="13"/>
  <c r="F768" i="13"/>
  <c r="E768" i="13"/>
  <c r="D768" i="13"/>
  <c r="H767" i="13"/>
  <c r="C83" i="14" s="1"/>
  <c r="G767" i="13"/>
  <c r="F767" i="13"/>
  <c r="E767" i="13"/>
  <c r="D767" i="13"/>
  <c r="H764" i="13"/>
  <c r="E84" i="14" s="1"/>
  <c r="G764" i="13"/>
  <c r="F764" i="13"/>
  <c r="E764" i="13"/>
  <c r="D764" i="13"/>
  <c r="H763" i="13"/>
  <c r="D84" i="14" s="1"/>
  <c r="G763" i="13"/>
  <c r="F763" i="13"/>
  <c r="E763" i="13"/>
  <c r="D763" i="13"/>
  <c r="H762" i="13"/>
  <c r="C84" i="14" s="1"/>
  <c r="G762" i="13"/>
  <c r="F762" i="13"/>
  <c r="E762" i="13"/>
  <c r="D762" i="13"/>
  <c r="H759" i="13"/>
  <c r="E86" i="14" s="1"/>
  <c r="G759" i="13"/>
  <c r="F759" i="13"/>
  <c r="E759" i="13"/>
  <c r="D759" i="13"/>
  <c r="H758" i="13"/>
  <c r="D86" i="14" s="1"/>
  <c r="G758" i="13"/>
  <c r="F758" i="13"/>
  <c r="E758" i="13"/>
  <c r="D758" i="13"/>
  <c r="H757" i="13"/>
  <c r="C86" i="14" s="1"/>
  <c r="G757" i="13"/>
  <c r="F757" i="13"/>
  <c r="E757" i="13"/>
  <c r="D757" i="13"/>
  <c r="N719" i="13"/>
  <c r="N639" i="13" s="1"/>
  <c r="M719" i="13"/>
  <c r="M720" i="13" s="1"/>
  <c r="M638" i="13" s="1"/>
  <c r="L719" i="13"/>
  <c r="L720" i="13" s="1"/>
  <c r="L638" i="13" s="1"/>
  <c r="K719" i="13"/>
  <c r="K720" i="13" s="1"/>
  <c r="K638" i="13" s="1"/>
  <c r="N717" i="13"/>
  <c r="N643" i="13" s="1"/>
  <c r="N32" i="14" s="1"/>
  <c r="M717" i="13"/>
  <c r="M643" i="13" s="1"/>
  <c r="M32" i="14" s="1"/>
  <c r="L717" i="13"/>
  <c r="L643" i="13" s="1"/>
  <c r="L32" i="14" s="1"/>
  <c r="K717" i="13"/>
  <c r="K643" i="13" s="1"/>
  <c r="K32" i="14" s="1"/>
  <c r="J717" i="13"/>
  <c r="J643" i="13" s="1"/>
  <c r="J32" i="14" s="1"/>
  <c r="N714" i="13"/>
  <c r="M714" i="13"/>
  <c r="L714" i="13"/>
  <c r="K714" i="13"/>
  <c r="J714" i="13"/>
  <c r="C709" i="13"/>
  <c r="D708" i="13"/>
  <c r="C660" i="13" s="1"/>
  <c r="D707" i="13"/>
  <c r="C44" i="14" s="1"/>
  <c r="C706" i="13"/>
  <c r="G663" i="13" s="1"/>
  <c r="C704" i="13"/>
  <c r="C702" i="13"/>
  <c r="C696" i="13"/>
  <c r="G644" i="13" s="1"/>
  <c r="D687" i="13"/>
  <c r="F638" i="13" s="1"/>
  <c r="C685" i="13"/>
  <c r="C679" i="13"/>
  <c r="C678" i="13"/>
  <c r="C676" i="13"/>
  <c r="C675" i="13"/>
  <c r="C674" i="13"/>
  <c r="Q665" i="13"/>
  <c r="P665" i="13"/>
  <c r="N665" i="13"/>
  <c r="N39" i="14" s="1"/>
  <c r="M665" i="13"/>
  <c r="M39" i="14" s="1"/>
  <c r="L665" i="13"/>
  <c r="L39" i="14" s="1"/>
  <c r="K665" i="13"/>
  <c r="K39" i="14" s="1"/>
  <c r="J665" i="13"/>
  <c r="J39" i="14" s="1"/>
  <c r="D664" i="13"/>
  <c r="C664" i="13"/>
  <c r="C663" i="13"/>
  <c r="N660" i="13"/>
  <c r="M660" i="13"/>
  <c r="L660" i="13"/>
  <c r="K660" i="13"/>
  <c r="J660" i="13"/>
  <c r="H660" i="13"/>
  <c r="G660" i="13"/>
  <c r="F660" i="13"/>
  <c r="E660" i="13"/>
  <c r="D660" i="13"/>
  <c r="N659" i="13"/>
  <c r="M659" i="13"/>
  <c r="L659" i="13"/>
  <c r="K659" i="13"/>
  <c r="J659" i="13"/>
  <c r="H659" i="13"/>
  <c r="G659" i="13"/>
  <c r="F659" i="13"/>
  <c r="E659" i="13"/>
  <c r="D659" i="13"/>
  <c r="C659" i="13"/>
  <c r="N658" i="13"/>
  <c r="M658" i="13"/>
  <c r="L658" i="13"/>
  <c r="K658" i="13"/>
  <c r="J658" i="13"/>
  <c r="N656" i="13"/>
  <c r="M656" i="13"/>
  <c r="L656" i="13"/>
  <c r="K656" i="13"/>
  <c r="J656" i="13"/>
  <c r="Q649" i="13"/>
  <c r="P649" i="13"/>
  <c r="N649" i="13"/>
  <c r="N35" i="14" s="1"/>
  <c r="M649" i="13"/>
  <c r="M661" i="13" s="1"/>
  <c r="L649" i="13"/>
  <c r="K649" i="13"/>
  <c r="K35" i="14" s="1"/>
  <c r="J649" i="13"/>
  <c r="J661" i="13" s="1"/>
  <c r="H648" i="13"/>
  <c r="G648" i="13"/>
  <c r="F648" i="13"/>
  <c r="E648" i="13"/>
  <c r="D648" i="13"/>
  <c r="Q647" i="13"/>
  <c r="P647" i="13"/>
  <c r="N647" i="13"/>
  <c r="M647" i="13"/>
  <c r="L647" i="13"/>
  <c r="K647" i="13"/>
  <c r="J647" i="13"/>
  <c r="H647" i="13"/>
  <c r="H658" i="13" s="1"/>
  <c r="G647" i="13"/>
  <c r="G658" i="13" s="1"/>
  <c r="F647" i="13"/>
  <c r="F658" i="13" s="1"/>
  <c r="E647" i="13"/>
  <c r="E658" i="13" s="1"/>
  <c r="D647" i="13"/>
  <c r="D658" i="13" s="1"/>
  <c r="C647" i="13"/>
  <c r="C658" i="13" s="1"/>
  <c r="Q646" i="13"/>
  <c r="P646" i="13"/>
  <c r="N646" i="13"/>
  <c r="N662" i="13" s="1"/>
  <c r="M646" i="13"/>
  <c r="M662" i="13" s="1"/>
  <c r="L646" i="13"/>
  <c r="L662" i="13" s="1"/>
  <c r="K646" i="13"/>
  <c r="K662" i="13" s="1"/>
  <c r="J646" i="13"/>
  <c r="J662" i="13" s="1"/>
  <c r="C643" i="13"/>
  <c r="C609" i="13" s="1"/>
  <c r="H642" i="13"/>
  <c r="G642" i="13"/>
  <c r="F642" i="13"/>
  <c r="E642" i="13"/>
  <c r="D642" i="13"/>
  <c r="C642" i="13"/>
  <c r="N641" i="13"/>
  <c r="N31" i="14" s="1"/>
  <c r="M641" i="13"/>
  <c r="M31" i="14" s="1"/>
  <c r="L641" i="13"/>
  <c r="L31" i="14" s="1"/>
  <c r="K641" i="13"/>
  <c r="K31" i="14" s="1"/>
  <c r="J641" i="13"/>
  <c r="J31" i="14" s="1"/>
  <c r="N640" i="13"/>
  <c r="M640" i="13"/>
  <c r="L640" i="13"/>
  <c r="K640" i="13"/>
  <c r="J640" i="13"/>
  <c r="J639" i="13"/>
  <c r="J638" i="13"/>
  <c r="N637" i="13"/>
  <c r="N30" i="14" s="1"/>
  <c r="M637" i="13"/>
  <c r="M30" i="14" s="1"/>
  <c r="L637" i="13"/>
  <c r="L30" i="14" s="1"/>
  <c r="K637" i="13"/>
  <c r="K30" i="14" s="1"/>
  <c r="C637" i="13"/>
  <c r="C30" i="14" s="1"/>
  <c r="H632" i="13"/>
  <c r="G632" i="13"/>
  <c r="F632" i="13"/>
  <c r="E632" i="13"/>
  <c r="D632" i="13"/>
  <c r="C632" i="13"/>
  <c r="Q626" i="13"/>
  <c r="Q628" i="13" s="1"/>
  <c r="P626" i="13"/>
  <c r="P628" i="13" s="1"/>
  <c r="Q625" i="13"/>
  <c r="P625" i="13"/>
  <c r="N625" i="13"/>
  <c r="M625" i="13"/>
  <c r="L625" i="13"/>
  <c r="K625" i="13"/>
  <c r="J625" i="13"/>
  <c r="H624" i="13"/>
  <c r="G624" i="13"/>
  <c r="F624" i="13"/>
  <c r="E624" i="13"/>
  <c r="D624" i="13"/>
  <c r="C624" i="13"/>
  <c r="N623" i="13"/>
  <c r="M623" i="13"/>
  <c r="L623" i="13"/>
  <c r="K623" i="13"/>
  <c r="J623" i="13"/>
  <c r="N621" i="13"/>
  <c r="N622" i="13" s="1"/>
  <c r="N632" i="13" s="1"/>
  <c r="M621" i="13"/>
  <c r="M622" i="13" s="1"/>
  <c r="M632" i="13" s="1"/>
  <c r="L621" i="13"/>
  <c r="L622" i="13" s="1"/>
  <c r="L632" i="13" s="1"/>
  <c r="K621" i="13"/>
  <c r="K622" i="13" s="1"/>
  <c r="K632" i="13" s="1"/>
  <c r="J621" i="13"/>
  <c r="J622" i="13" s="1"/>
  <c r="J632" i="13" s="1"/>
  <c r="C614" i="13"/>
  <c r="C613" i="13"/>
  <c r="N611" i="13"/>
  <c r="M611" i="13"/>
  <c r="L611" i="13"/>
  <c r="K611" i="13"/>
  <c r="K33" i="14" s="1"/>
  <c r="J611" i="13"/>
  <c r="J33" i="14" s="1"/>
  <c r="N610" i="13"/>
  <c r="M610" i="13"/>
  <c r="L610" i="13"/>
  <c r="K610" i="13"/>
  <c r="J610" i="13"/>
  <c r="N609" i="13"/>
  <c r="M609" i="13"/>
  <c r="L609" i="13"/>
  <c r="K609" i="13"/>
  <c r="J609" i="13"/>
  <c r="Q606" i="13"/>
  <c r="P606" i="13"/>
  <c r="N606" i="13"/>
  <c r="N26" i="14" s="1"/>
  <c r="M606" i="13"/>
  <c r="M26" i="14" s="1"/>
  <c r="L606" i="13"/>
  <c r="L26" i="14" s="1"/>
  <c r="K606" i="13"/>
  <c r="K26" i="14" s="1"/>
  <c r="J606" i="13"/>
  <c r="J26" i="14" s="1"/>
  <c r="Q605" i="13"/>
  <c r="P605" i="13"/>
  <c r="N605" i="13"/>
  <c r="M605" i="13"/>
  <c r="L605" i="13"/>
  <c r="K605" i="13"/>
  <c r="J605" i="13"/>
  <c r="H605" i="13"/>
  <c r="G605" i="13"/>
  <c r="F605" i="13"/>
  <c r="E605" i="13"/>
  <c r="D605" i="13"/>
  <c r="C605" i="13"/>
  <c r="Q604" i="13"/>
  <c r="P604" i="13"/>
  <c r="N604" i="13"/>
  <c r="M604" i="13"/>
  <c r="L604" i="13"/>
  <c r="K604" i="13"/>
  <c r="J604" i="13"/>
  <c r="Q602" i="13"/>
  <c r="P602" i="13"/>
  <c r="N602" i="13"/>
  <c r="M602" i="13"/>
  <c r="L602" i="13"/>
  <c r="K602" i="13"/>
  <c r="J602" i="13"/>
  <c r="Q601" i="13"/>
  <c r="P601" i="13"/>
  <c r="N601" i="13"/>
  <c r="M601" i="13"/>
  <c r="L601" i="13"/>
  <c r="K601" i="13"/>
  <c r="J601" i="13"/>
  <c r="H601" i="13"/>
  <c r="H623" i="13" s="1"/>
  <c r="G601" i="13"/>
  <c r="G623" i="13" s="1"/>
  <c r="F601" i="13"/>
  <c r="F623" i="13" s="1"/>
  <c r="E601" i="13"/>
  <c r="E623" i="13" s="1"/>
  <c r="D601" i="13"/>
  <c r="D623" i="13" s="1"/>
  <c r="C601" i="13"/>
  <c r="C623" i="13" s="1"/>
  <c r="H600" i="13"/>
  <c r="G600" i="13"/>
  <c r="F600" i="13"/>
  <c r="E600" i="13"/>
  <c r="D600" i="13"/>
  <c r="C600" i="13"/>
  <c r="Q599" i="13"/>
  <c r="Q621" i="13" s="1"/>
  <c r="Q622" i="13" s="1"/>
  <c r="Q632" i="13" s="1"/>
  <c r="P599" i="13"/>
  <c r="P621" i="13" s="1"/>
  <c r="P622" i="13" s="1"/>
  <c r="P632" i="13" s="1"/>
  <c r="N599" i="13"/>
  <c r="M599" i="13"/>
  <c r="L599" i="13"/>
  <c r="K599" i="13"/>
  <c r="J599" i="13"/>
  <c r="C599" i="13"/>
  <c r="C621" i="13" s="1"/>
  <c r="Q598" i="13"/>
  <c r="P598" i="13"/>
  <c r="N598" i="13"/>
  <c r="M598" i="13"/>
  <c r="L598" i="13"/>
  <c r="K598" i="13"/>
  <c r="J598" i="13"/>
  <c r="H598" i="13"/>
  <c r="G598" i="13"/>
  <c r="F598" i="13"/>
  <c r="E598" i="13"/>
  <c r="D598" i="13"/>
  <c r="C598" i="13"/>
  <c r="Q597" i="13"/>
  <c r="P597" i="13"/>
  <c r="N597" i="13"/>
  <c r="M597" i="13"/>
  <c r="L597" i="13"/>
  <c r="K597" i="13"/>
  <c r="J597" i="13"/>
  <c r="H597" i="13"/>
  <c r="G597" i="13"/>
  <c r="F597" i="13"/>
  <c r="E597" i="13"/>
  <c r="D597" i="13"/>
  <c r="C597" i="13"/>
  <c r="Q596" i="13"/>
  <c r="P596" i="13"/>
  <c r="N596" i="13"/>
  <c r="M596" i="13"/>
  <c r="L596" i="13"/>
  <c r="K596" i="13"/>
  <c r="J596" i="13"/>
  <c r="N589" i="13"/>
  <c r="M589" i="13"/>
  <c r="L589" i="13"/>
  <c r="K589" i="13"/>
  <c r="J589" i="13"/>
  <c r="H589" i="13"/>
  <c r="G589" i="13"/>
  <c r="F589" i="13"/>
  <c r="E589" i="13"/>
  <c r="D589" i="13"/>
  <c r="H588" i="13"/>
  <c r="G588" i="13"/>
  <c r="F588" i="13"/>
  <c r="E588" i="13"/>
  <c r="D588" i="13"/>
  <c r="H587" i="13"/>
  <c r="H66" i="13" s="1"/>
  <c r="G587" i="13"/>
  <c r="G66" i="13" s="1"/>
  <c r="F587" i="13"/>
  <c r="F66" i="13" s="1"/>
  <c r="E587" i="13"/>
  <c r="E66" i="13" s="1"/>
  <c r="D587" i="13"/>
  <c r="D66" i="13" s="1"/>
  <c r="N586" i="13"/>
  <c r="M586" i="13"/>
  <c r="L586" i="13"/>
  <c r="K586" i="13"/>
  <c r="J586" i="13"/>
  <c r="H586" i="13"/>
  <c r="H63" i="13" s="1"/>
  <c r="G586" i="13"/>
  <c r="G63" i="13" s="1"/>
  <c r="F586" i="13"/>
  <c r="F63" i="13" s="1"/>
  <c r="E586" i="13"/>
  <c r="E63" i="13" s="1"/>
  <c r="D586" i="13"/>
  <c r="D63" i="13" s="1"/>
  <c r="H584" i="13"/>
  <c r="E85" i="14" s="1"/>
  <c r="G584" i="13"/>
  <c r="F584" i="13"/>
  <c r="E584" i="13"/>
  <c r="D584" i="13"/>
  <c r="H583" i="13"/>
  <c r="D85" i="14" s="1"/>
  <c r="G583" i="13"/>
  <c r="F583" i="13"/>
  <c r="E583" i="13"/>
  <c r="D583" i="13"/>
  <c r="H582" i="13"/>
  <c r="C85" i="14" s="1"/>
  <c r="G582" i="13"/>
  <c r="F582" i="13"/>
  <c r="E582" i="13"/>
  <c r="D582" i="13"/>
  <c r="N581" i="13"/>
  <c r="M581" i="13"/>
  <c r="L581" i="13"/>
  <c r="K581" i="13"/>
  <c r="J581" i="13"/>
  <c r="N534" i="13"/>
  <c r="M534" i="13"/>
  <c r="L534" i="13"/>
  <c r="K534" i="13"/>
  <c r="J534" i="13"/>
  <c r="H522" i="13"/>
  <c r="G522" i="13"/>
  <c r="F522" i="13"/>
  <c r="E522" i="13"/>
  <c r="D522" i="13"/>
  <c r="H520" i="13"/>
  <c r="H46" i="13" s="1"/>
  <c r="G520" i="13"/>
  <c r="G46" i="13" s="1"/>
  <c r="F520" i="13"/>
  <c r="F46" i="13" s="1"/>
  <c r="E520" i="13"/>
  <c r="E46" i="13" s="1"/>
  <c r="D520" i="13"/>
  <c r="D46" i="13" s="1"/>
  <c r="H518" i="13"/>
  <c r="G518" i="13"/>
  <c r="F518" i="13"/>
  <c r="E518" i="13"/>
  <c r="D518" i="13"/>
  <c r="H517" i="13"/>
  <c r="G517" i="13"/>
  <c r="F517" i="13"/>
  <c r="E517" i="13"/>
  <c r="D517" i="13"/>
  <c r="H516" i="13"/>
  <c r="G516" i="13"/>
  <c r="F516" i="13"/>
  <c r="E516" i="13"/>
  <c r="D516" i="13"/>
  <c r="H511" i="13"/>
  <c r="G511" i="13"/>
  <c r="F511" i="13"/>
  <c r="E511" i="13"/>
  <c r="D511" i="13"/>
  <c r="H510" i="13"/>
  <c r="G510" i="13"/>
  <c r="F510" i="13"/>
  <c r="E510" i="13"/>
  <c r="D510" i="13"/>
  <c r="H509" i="13"/>
  <c r="G509" i="13"/>
  <c r="F509" i="13"/>
  <c r="E509" i="13"/>
  <c r="D509" i="13"/>
  <c r="N508" i="13"/>
  <c r="M508" i="13"/>
  <c r="L508" i="13"/>
  <c r="K508" i="13"/>
  <c r="J508" i="13"/>
  <c r="H506" i="13"/>
  <c r="G506" i="13"/>
  <c r="F506" i="13"/>
  <c r="E506" i="13"/>
  <c r="D506" i="13"/>
  <c r="H505" i="13"/>
  <c r="G505" i="13"/>
  <c r="F505" i="13"/>
  <c r="E505" i="13"/>
  <c r="D505" i="13"/>
  <c r="H504" i="13"/>
  <c r="G504" i="13"/>
  <c r="F504" i="13"/>
  <c r="E504" i="13"/>
  <c r="D504" i="13"/>
  <c r="N503" i="13"/>
  <c r="M503" i="13"/>
  <c r="L503" i="13"/>
  <c r="K503" i="13"/>
  <c r="J503" i="13"/>
  <c r="C489" i="13"/>
  <c r="N459" i="13"/>
  <c r="M459" i="13"/>
  <c r="L459" i="13"/>
  <c r="K459" i="13"/>
  <c r="J459" i="13"/>
  <c r="Q436" i="13"/>
  <c r="P436" i="13"/>
  <c r="N436" i="13"/>
  <c r="M436" i="13"/>
  <c r="L436" i="13"/>
  <c r="K436" i="13"/>
  <c r="J436" i="13"/>
  <c r="C436" i="13"/>
  <c r="C625" i="13" s="1"/>
  <c r="Q433" i="13"/>
  <c r="P433" i="13"/>
  <c r="N433" i="13"/>
  <c r="M433" i="13"/>
  <c r="L433" i="13"/>
  <c r="K433" i="13"/>
  <c r="J433" i="13"/>
  <c r="C432" i="13"/>
  <c r="Q428" i="13"/>
  <c r="P428" i="13"/>
  <c r="N428" i="13"/>
  <c r="M428" i="13"/>
  <c r="L428" i="13"/>
  <c r="K428" i="13"/>
  <c r="J428" i="13"/>
  <c r="C428" i="13"/>
  <c r="C427" i="13"/>
  <c r="N424" i="13"/>
  <c r="M424" i="13"/>
  <c r="L424" i="13"/>
  <c r="K424" i="13"/>
  <c r="J424" i="13"/>
  <c r="Q423" i="13"/>
  <c r="Q425" i="13" s="1"/>
  <c r="P423" i="13"/>
  <c r="P425" i="13" s="1"/>
  <c r="N423" i="13"/>
  <c r="M423" i="13"/>
  <c r="L423" i="13"/>
  <c r="K423" i="13"/>
  <c r="J423" i="13"/>
  <c r="N412" i="13"/>
  <c r="M412" i="13"/>
  <c r="L412" i="13"/>
  <c r="K412" i="13"/>
  <c r="J412" i="13"/>
  <c r="Q411" i="13"/>
  <c r="N411" i="13"/>
  <c r="M411" i="13"/>
  <c r="L411" i="13"/>
  <c r="K411" i="13"/>
  <c r="J411" i="13"/>
  <c r="Q409" i="13"/>
  <c r="N409" i="13"/>
  <c r="N410" i="13" s="1"/>
  <c r="Q406" i="13"/>
  <c r="N406" i="13"/>
  <c r="N408" i="13" s="1"/>
  <c r="M406" i="13"/>
  <c r="M408" i="13" s="1"/>
  <c r="L406" i="13"/>
  <c r="L408" i="13" s="1"/>
  <c r="K406" i="13"/>
  <c r="K408" i="13" s="1"/>
  <c r="J406" i="13"/>
  <c r="J408" i="13" s="1"/>
  <c r="C393" i="13"/>
  <c r="C392" i="13"/>
  <c r="C589" i="13" s="1"/>
  <c r="N389" i="13"/>
  <c r="M389" i="13"/>
  <c r="L389" i="13"/>
  <c r="K389" i="13"/>
  <c r="J389" i="13"/>
  <c r="C389" i="13"/>
  <c r="N388" i="13"/>
  <c r="N588" i="13" s="1"/>
  <c r="M388" i="13"/>
  <c r="M588" i="13" s="1"/>
  <c r="L388" i="13"/>
  <c r="L588" i="13" s="1"/>
  <c r="K388" i="13"/>
  <c r="K588" i="13" s="1"/>
  <c r="J388" i="13"/>
  <c r="J588" i="13" s="1"/>
  <c r="C388" i="13"/>
  <c r="C386" i="13"/>
  <c r="C69" i="13" s="1"/>
  <c r="C347" i="13" s="1"/>
  <c r="N384" i="13"/>
  <c r="M384" i="13"/>
  <c r="L384" i="13"/>
  <c r="K384" i="13"/>
  <c r="J384" i="13"/>
  <c r="N383" i="13"/>
  <c r="M383" i="13"/>
  <c r="L383" i="13"/>
  <c r="K383" i="13"/>
  <c r="J383" i="13"/>
  <c r="N382" i="13"/>
  <c r="M382" i="13"/>
  <c r="L382" i="13"/>
  <c r="K382" i="13"/>
  <c r="J382" i="13"/>
  <c r="N381" i="13"/>
  <c r="M381" i="13"/>
  <c r="L381" i="13"/>
  <c r="K381" i="13"/>
  <c r="J381" i="13"/>
  <c r="K365" i="13"/>
  <c r="J365" i="13"/>
  <c r="K364" i="13"/>
  <c r="J364" i="13"/>
  <c r="K363" i="13"/>
  <c r="J363" i="13"/>
  <c r="K362" i="13"/>
  <c r="J362" i="13"/>
  <c r="C338" i="13"/>
  <c r="C58" i="13" s="1"/>
  <c r="C580" i="13" s="1"/>
  <c r="C334" i="13"/>
  <c r="K334" i="13" s="1"/>
  <c r="K333" i="13"/>
  <c r="J333" i="13"/>
  <c r="K331" i="13"/>
  <c r="J331" i="13"/>
  <c r="F288" i="13"/>
  <c r="C491" i="13" s="1"/>
  <c r="E288" i="13"/>
  <c r="F287" i="13"/>
  <c r="E287" i="13"/>
  <c r="F286" i="13"/>
  <c r="E286" i="13"/>
  <c r="E231" i="13"/>
  <c r="E16" i="13" s="1"/>
  <c r="E230" i="13"/>
  <c r="E15" i="13" s="1"/>
  <c r="E229" i="13"/>
  <c r="H31" i="13" s="1"/>
  <c r="C331" i="13" s="1"/>
  <c r="E228" i="13"/>
  <c r="E227" i="13"/>
  <c r="H28" i="13" s="1"/>
  <c r="E226" i="13"/>
  <c r="H29" i="13" s="1"/>
  <c r="E225" i="13"/>
  <c r="H16" i="13" s="1"/>
  <c r="E224" i="13"/>
  <c r="H15" i="13" s="1"/>
  <c r="C46" i="13" s="1"/>
  <c r="E223" i="13"/>
  <c r="H14" i="13" s="1"/>
  <c r="C45" i="13" s="1"/>
  <c r="C513" i="13" s="1"/>
  <c r="G184" i="13"/>
  <c r="G183" i="13"/>
  <c r="G182" i="13"/>
  <c r="G181" i="13"/>
  <c r="C179" i="13"/>
  <c r="W159" i="13"/>
  <c r="V159" i="13"/>
  <c r="U159" i="13"/>
  <c r="T159" i="13"/>
  <c r="S159" i="13"/>
  <c r="R159" i="13"/>
  <c r="N159" i="13"/>
  <c r="M159" i="13"/>
  <c r="L159" i="13"/>
  <c r="W158" i="13"/>
  <c r="V158" i="13"/>
  <c r="U158" i="13"/>
  <c r="T158" i="13"/>
  <c r="S158" i="13"/>
  <c r="R158" i="13"/>
  <c r="N158" i="13"/>
  <c r="M158" i="13"/>
  <c r="L158" i="13"/>
  <c r="Q157" i="13"/>
  <c r="P157" i="13"/>
  <c r="K157" i="13"/>
  <c r="J157" i="13"/>
  <c r="W156" i="13"/>
  <c r="V156" i="13"/>
  <c r="U156" i="13"/>
  <c r="T156" i="13"/>
  <c r="S156" i="13"/>
  <c r="R156" i="13"/>
  <c r="N156" i="13"/>
  <c r="M156" i="13"/>
  <c r="L156" i="13"/>
  <c r="W155" i="13"/>
  <c r="V155" i="13"/>
  <c r="U155" i="13"/>
  <c r="T155" i="13"/>
  <c r="S155" i="13"/>
  <c r="R155" i="13"/>
  <c r="N155" i="13"/>
  <c r="M155" i="13"/>
  <c r="L155" i="13"/>
  <c r="K154" i="13"/>
  <c r="W153" i="13"/>
  <c r="V153" i="13"/>
  <c r="U153" i="13"/>
  <c r="T153" i="13"/>
  <c r="S153" i="13"/>
  <c r="R153" i="13"/>
  <c r="N153" i="13"/>
  <c r="M153" i="13"/>
  <c r="L153" i="13"/>
  <c r="W150" i="13"/>
  <c r="V150" i="13"/>
  <c r="T150" i="13"/>
  <c r="S150" i="13"/>
  <c r="R150" i="13"/>
  <c r="P150" i="13"/>
  <c r="N150" i="13"/>
  <c r="M150" i="13"/>
  <c r="L150" i="13"/>
  <c r="K150" i="13"/>
  <c r="J150" i="13"/>
  <c r="W149" i="13"/>
  <c r="V149" i="13"/>
  <c r="T149" i="13"/>
  <c r="S149" i="13"/>
  <c r="R149" i="13"/>
  <c r="P149" i="13"/>
  <c r="N149" i="13"/>
  <c r="M149" i="13"/>
  <c r="L149" i="13"/>
  <c r="K149" i="13"/>
  <c r="J149" i="13"/>
  <c r="W148" i="13"/>
  <c r="V148" i="13"/>
  <c r="T148" i="13"/>
  <c r="S148" i="13"/>
  <c r="R148" i="13"/>
  <c r="P148" i="13"/>
  <c r="N148" i="13"/>
  <c r="M148" i="13"/>
  <c r="L148" i="13"/>
  <c r="K148" i="13"/>
  <c r="J148" i="13"/>
  <c r="W147" i="13"/>
  <c r="V147" i="13"/>
  <c r="T147" i="13"/>
  <c r="S147" i="13"/>
  <c r="R147" i="13"/>
  <c r="P147" i="13"/>
  <c r="N147" i="13"/>
  <c r="M147" i="13"/>
  <c r="L147" i="13"/>
  <c r="K147" i="13"/>
  <c r="J147" i="13"/>
  <c r="W146" i="13"/>
  <c r="V146" i="13"/>
  <c r="T146" i="13"/>
  <c r="S146" i="13"/>
  <c r="R146" i="13"/>
  <c r="P146" i="13"/>
  <c r="N146" i="13"/>
  <c r="M146" i="13"/>
  <c r="L146" i="13"/>
  <c r="K146" i="13"/>
  <c r="J146" i="13"/>
  <c r="W145" i="13"/>
  <c r="V145" i="13"/>
  <c r="U145" i="13"/>
  <c r="T145" i="13"/>
  <c r="S145" i="13"/>
  <c r="R145" i="13"/>
  <c r="N145" i="13"/>
  <c r="M145" i="13"/>
  <c r="L145" i="13"/>
  <c r="W144" i="13"/>
  <c r="V144" i="13"/>
  <c r="U144" i="13"/>
  <c r="T144" i="13"/>
  <c r="S144" i="13"/>
  <c r="R144" i="13"/>
  <c r="N144" i="13"/>
  <c r="M144" i="13"/>
  <c r="L144" i="13"/>
  <c r="Q143" i="13"/>
  <c r="P143" i="13"/>
  <c r="K143" i="13"/>
  <c r="J143" i="13"/>
  <c r="W142" i="13"/>
  <c r="V142" i="13"/>
  <c r="U142" i="13"/>
  <c r="T142" i="13"/>
  <c r="S142" i="13"/>
  <c r="R142" i="13"/>
  <c r="N142" i="13"/>
  <c r="M142" i="13"/>
  <c r="L142" i="13"/>
  <c r="W141" i="13"/>
  <c r="V141" i="13"/>
  <c r="U141" i="13"/>
  <c r="T141" i="13"/>
  <c r="S141" i="13"/>
  <c r="R141" i="13"/>
  <c r="N141" i="13"/>
  <c r="M141" i="13"/>
  <c r="L141" i="13"/>
  <c r="K140" i="13"/>
  <c r="W139" i="13"/>
  <c r="V139" i="13"/>
  <c r="U139" i="13"/>
  <c r="T139" i="13"/>
  <c r="S139" i="13"/>
  <c r="R139" i="13"/>
  <c r="N139" i="13"/>
  <c r="M139" i="13"/>
  <c r="L139" i="13"/>
  <c r="L140" i="13" s="1"/>
  <c r="W136" i="13"/>
  <c r="V136" i="13"/>
  <c r="T136" i="13"/>
  <c r="S136" i="13"/>
  <c r="R136" i="13"/>
  <c r="P136" i="13"/>
  <c r="N136" i="13"/>
  <c r="M136" i="13"/>
  <c r="L136" i="13"/>
  <c r="K136" i="13"/>
  <c r="J136" i="13"/>
  <c r="W135" i="13"/>
  <c r="V135" i="13"/>
  <c r="T135" i="13"/>
  <c r="S135" i="13"/>
  <c r="R135" i="13"/>
  <c r="P135" i="13"/>
  <c r="N135" i="13"/>
  <c r="M135" i="13"/>
  <c r="L135" i="13"/>
  <c r="K135" i="13"/>
  <c r="J135" i="13"/>
  <c r="W134" i="13"/>
  <c r="V134" i="13"/>
  <c r="T134" i="13"/>
  <c r="S134" i="13"/>
  <c r="R134" i="13"/>
  <c r="P134" i="13"/>
  <c r="N134" i="13"/>
  <c r="M134" i="13"/>
  <c r="L134" i="13"/>
  <c r="K134" i="13"/>
  <c r="J134" i="13"/>
  <c r="W133" i="13"/>
  <c r="V133" i="13"/>
  <c r="T133" i="13"/>
  <c r="S133" i="13"/>
  <c r="R133" i="13"/>
  <c r="P133" i="13"/>
  <c r="N133" i="13"/>
  <c r="M133" i="13"/>
  <c r="L133" i="13"/>
  <c r="K133" i="13"/>
  <c r="J133" i="13"/>
  <c r="W132" i="13"/>
  <c r="V132" i="13"/>
  <c r="T132" i="13"/>
  <c r="S132" i="13"/>
  <c r="R132" i="13"/>
  <c r="P132" i="13"/>
  <c r="N132" i="13"/>
  <c r="M132" i="13"/>
  <c r="L132" i="13"/>
  <c r="K132" i="13"/>
  <c r="J132" i="13"/>
  <c r="W131" i="13"/>
  <c r="V131" i="13"/>
  <c r="U131" i="13"/>
  <c r="T131" i="13"/>
  <c r="S131" i="13"/>
  <c r="R131" i="13"/>
  <c r="N131" i="13"/>
  <c r="M131" i="13"/>
  <c r="L131" i="13"/>
  <c r="W130" i="13"/>
  <c r="V130" i="13"/>
  <c r="U130" i="13"/>
  <c r="T130" i="13"/>
  <c r="S130" i="13"/>
  <c r="R130" i="13"/>
  <c r="N130" i="13"/>
  <c r="M130" i="13"/>
  <c r="L130" i="13"/>
  <c r="Q129" i="13"/>
  <c r="P129" i="13"/>
  <c r="K129" i="13"/>
  <c r="J129" i="13"/>
  <c r="W128" i="13"/>
  <c r="V128" i="13"/>
  <c r="U128" i="13"/>
  <c r="T128" i="13"/>
  <c r="S128" i="13"/>
  <c r="R128" i="13"/>
  <c r="N128" i="13"/>
  <c r="M128" i="13"/>
  <c r="L128" i="13"/>
  <c r="W127" i="13"/>
  <c r="V127" i="13"/>
  <c r="U127" i="13"/>
  <c r="T127" i="13"/>
  <c r="S127" i="13"/>
  <c r="R127" i="13"/>
  <c r="N127" i="13"/>
  <c r="M127" i="13"/>
  <c r="L127" i="13"/>
  <c r="K126" i="13"/>
  <c r="W125" i="13"/>
  <c r="V125" i="13"/>
  <c r="U125" i="13"/>
  <c r="T125" i="13"/>
  <c r="S125" i="13"/>
  <c r="R125" i="13"/>
  <c r="N125" i="13"/>
  <c r="M125" i="13"/>
  <c r="L125" i="13"/>
  <c r="L126" i="13" s="1"/>
  <c r="W122" i="13"/>
  <c r="V122" i="13"/>
  <c r="T122" i="13"/>
  <c r="S122" i="13"/>
  <c r="R122" i="13"/>
  <c r="P122" i="13"/>
  <c r="N122" i="13"/>
  <c r="M122" i="13"/>
  <c r="L122" i="13"/>
  <c r="K122" i="13"/>
  <c r="J122" i="13"/>
  <c r="W121" i="13"/>
  <c r="V121" i="13"/>
  <c r="T121" i="13"/>
  <c r="S121" i="13"/>
  <c r="R121" i="13"/>
  <c r="P121" i="13"/>
  <c r="N121" i="13"/>
  <c r="M121" i="13"/>
  <c r="L121" i="13"/>
  <c r="K121" i="13"/>
  <c r="J121" i="13"/>
  <c r="W120" i="13"/>
  <c r="V120" i="13"/>
  <c r="T120" i="13"/>
  <c r="S120" i="13"/>
  <c r="R120" i="13"/>
  <c r="P120" i="13"/>
  <c r="N120" i="13"/>
  <c r="M120" i="13"/>
  <c r="L120" i="13"/>
  <c r="K120" i="13"/>
  <c r="J120" i="13"/>
  <c r="W119" i="13"/>
  <c r="V119" i="13"/>
  <c r="T119" i="13"/>
  <c r="S119" i="13"/>
  <c r="R119" i="13"/>
  <c r="P119" i="13"/>
  <c r="N119" i="13"/>
  <c r="M119" i="13"/>
  <c r="L119" i="13"/>
  <c r="K119" i="13"/>
  <c r="J119" i="13"/>
  <c r="W118" i="13"/>
  <c r="V118" i="13"/>
  <c r="T118" i="13"/>
  <c r="S118" i="13"/>
  <c r="R118" i="13"/>
  <c r="P118" i="13"/>
  <c r="N118" i="13"/>
  <c r="M118" i="13"/>
  <c r="L118" i="13"/>
  <c r="K118" i="13"/>
  <c r="J118" i="13"/>
  <c r="W117" i="13"/>
  <c r="V117" i="13"/>
  <c r="U117" i="13"/>
  <c r="T117" i="13"/>
  <c r="S117" i="13"/>
  <c r="R117" i="13"/>
  <c r="N117" i="13"/>
  <c r="M117" i="13"/>
  <c r="L117" i="13"/>
  <c r="W116" i="13"/>
  <c r="V116" i="13"/>
  <c r="U116" i="13"/>
  <c r="T116" i="13"/>
  <c r="S116" i="13"/>
  <c r="R116" i="13"/>
  <c r="N116" i="13"/>
  <c r="M116" i="13"/>
  <c r="L116" i="13"/>
  <c r="Q115" i="13"/>
  <c r="P115" i="13"/>
  <c r="K115" i="13"/>
  <c r="J115" i="13"/>
  <c r="W114" i="13"/>
  <c r="V114" i="13"/>
  <c r="U114" i="13"/>
  <c r="T114" i="13"/>
  <c r="S114" i="13"/>
  <c r="R114" i="13"/>
  <c r="N114" i="13"/>
  <c r="M114" i="13"/>
  <c r="L114" i="13"/>
  <c r="W113" i="13"/>
  <c r="V113" i="13"/>
  <c r="U113" i="13"/>
  <c r="T113" i="13"/>
  <c r="S113" i="13"/>
  <c r="R113" i="13"/>
  <c r="N113" i="13"/>
  <c r="M113" i="13"/>
  <c r="L113" i="13"/>
  <c r="K112" i="13"/>
  <c r="W111" i="13"/>
  <c r="V111" i="13"/>
  <c r="U111" i="13"/>
  <c r="T111" i="13"/>
  <c r="S111" i="13"/>
  <c r="R111" i="13"/>
  <c r="N111" i="13"/>
  <c r="M111" i="13"/>
  <c r="L111" i="13"/>
  <c r="L112" i="13" s="1"/>
  <c r="W108" i="13"/>
  <c r="V108" i="13"/>
  <c r="T108" i="13"/>
  <c r="S108" i="13"/>
  <c r="R108" i="13"/>
  <c r="P108" i="13"/>
  <c r="N108" i="13"/>
  <c r="M108" i="13"/>
  <c r="L108" i="13"/>
  <c r="K108" i="13"/>
  <c r="J108" i="13"/>
  <c r="W107" i="13"/>
  <c r="V107" i="13"/>
  <c r="T107" i="13"/>
  <c r="S107" i="13"/>
  <c r="R107" i="13"/>
  <c r="P107" i="13"/>
  <c r="N107" i="13"/>
  <c r="M107" i="13"/>
  <c r="L107" i="13"/>
  <c r="K107" i="13"/>
  <c r="J107" i="13"/>
  <c r="W106" i="13"/>
  <c r="V106" i="13"/>
  <c r="T106" i="13"/>
  <c r="S106" i="13"/>
  <c r="R106" i="13"/>
  <c r="P106" i="13"/>
  <c r="N106" i="13"/>
  <c r="M106" i="13"/>
  <c r="L106" i="13"/>
  <c r="K106" i="13"/>
  <c r="J106" i="13"/>
  <c r="W105" i="13"/>
  <c r="V105" i="13"/>
  <c r="T105" i="13"/>
  <c r="S105" i="13"/>
  <c r="R105" i="13"/>
  <c r="P105" i="13"/>
  <c r="N105" i="13"/>
  <c r="M105" i="13"/>
  <c r="L105" i="13"/>
  <c r="K105" i="13"/>
  <c r="J105" i="13"/>
  <c r="W104" i="13"/>
  <c r="V104" i="13"/>
  <c r="T104" i="13"/>
  <c r="S104" i="13"/>
  <c r="R104" i="13"/>
  <c r="P104" i="13"/>
  <c r="N104" i="13"/>
  <c r="M104" i="13"/>
  <c r="L104" i="13"/>
  <c r="K104" i="13"/>
  <c r="J104" i="13"/>
  <c r="W103" i="13"/>
  <c r="V103" i="13"/>
  <c r="U103" i="13"/>
  <c r="T103" i="13"/>
  <c r="S103" i="13"/>
  <c r="R103" i="13"/>
  <c r="N103" i="13"/>
  <c r="M103" i="13"/>
  <c r="L103" i="13"/>
  <c r="W102" i="13"/>
  <c r="V102" i="13"/>
  <c r="U102" i="13"/>
  <c r="T102" i="13"/>
  <c r="S102" i="13"/>
  <c r="R102" i="13"/>
  <c r="N102" i="13"/>
  <c r="M102" i="13"/>
  <c r="L102" i="13"/>
  <c r="Q101" i="13"/>
  <c r="P101" i="13"/>
  <c r="K101" i="13"/>
  <c r="J101" i="13"/>
  <c r="W100" i="13"/>
  <c r="V100" i="13"/>
  <c r="U100" i="13"/>
  <c r="T100" i="13"/>
  <c r="S100" i="13"/>
  <c r="R100" i="13"/>
  <c r="N100" i="13"/>
  <c r="M100" i="13"/>
  <c r="L100" i="13"/>
  <c r="W99" i="13"/>
  <c r="V99" i="13"/>
  <c r="U99" i="13"/>
  <c r="T99" i="13"/>
  <c r="S99" i="13"/>
  <c r="R99" i="13"/>
  <c r="N99" i="13"/>
  <c r="M99" i="13"/>
  <c r="L99" i="13"/>
  <c r="K98" i="13"/>
  <c r="W97" i="13"/>
  <c r="V97" i="13"/>
  <c r="U97" i="13"/>
  <c r="T97" i="13"/>
  <c r="S97" i="13"/>
  <c r="R97" i="13"/>
  <c r="N97" i="13"/>
  <c r="M97" i="13"/>
  <c r="L97" i="13"/>
  <c r="W94" i="13"/>
  <c r="V94" i="13"/>
  <c r="T94" i="13"/>
  <c r="S94" i="13"/>
  <c r="R94" i="13"/>
  <c r="P94" i="13"/>
  <c r="N94" i="13"/>
  <c r="M94" i="13"/>
  <c r="L94" i="13"/>
  <c r="K94" i="13"/>
  <c r="J94" i="13"/>
  <c r="W93" i="13"/>
  <c r="V93" i="13"/>
  <c r="T93" i="13"/>
  <c r="S93" i="13"/>
  <c r="R93" i="13"/>
  <c r="P93" i="13"/>
  <c r="N93" i="13"/>
  <c r="M93" i="13"/>
  <c r="L93" i="13"/>
  <c r="K93" i="13"/>
  <c r="J93" i="13"/>
  <c r="W92" i="13"/>
  <c r="V92" i="13"/>
  <c r="T92" i="13"/>
  <c r="S92" i="13"/>
  <c r="R92" i="13"/>
  <c r="P92" i="13"/>
  <c r="N92" i="13"/>
  <c r="M92" i="13"/>
  <c r="L92" i="13"/>
  <c r="K92" i="13"/>
  <c r="J92" i="13"/>
  <c r="W91" i="13"/>
  <c r="V91" i="13"/>
  <c r="T91" i="13"/>
  <c r="S91" i="13"/>
  <c r="R91" i="13"/>
  <c r="P91" i="13"/>
  <c r="N91" i="13"/>
  <c r="M91" i="13"/>
  <c r="L91" i="13"/>
  <c r="K91" i="13"/>
  <c r="J91" i="13"/>
  <c r="W90" i="13"/>
  <c r="V90" i="13"/>
  <c r="T90" i="13"/>
  <c r="S90" i="13"/>
  <c r="R90" i="13"/>
  <c r="P90" i="13"/>
  <c r="N90" i="13"/>
  <c r="M90" i="13"/>
  <c r="L90" i="13"/>
  <c r="K90" i="13"/>
  <c r="J90" i="13"/>
  <c r="W89" i="13"/>
  <c r="V89" i="13"/>
  <c r="U89" i="13"/>
  <c r="T89" i="13"/>
  <c r="S89" i="13"/>
  <c r="R89" i="13"/>
  <c r="N89" i="13"/>
  <c r="M89" i="13"/>
  <c r="L89" i="13"/>
  <c r="W88" i="13"/>
  <c r="V88" i="13"/>
  <c r="U88" i="13"/>
  <c r="T88" i="13"/>
  <c r="S88" i="13"/>
  <c r="R88" i="13"/>
  <c r="N88" i="13"/>
  <c r="M88" i="13"/>
  <c r="L88" i="13"/>
  <c r="Q87" i="13"/>
  <c r="P87" i="13"/>
  <c r="K87" i="13"/>
  <c r="J87" i="13"/>
  <c r="W86" i="13"/>
  <c r="V86" i="13"/>
  <c r="U86" i="13"/>
  <c r="T86" i="13"/>
  <c r="S86" i="13"/>
  <c r="R86" i="13"/>
  <c r="N86" i="13"/>
  <c r="M86" i="13"/>
  <c r="L86" i="13"/>
  <c r="W85" i="13"/>
  <c r="V85" i="13"/>
  <c r="U85" i="13"/>
  <c r="T85" i="13"/>
  <c r="S85" i="13"/>
  <c r="R85" i="13"/>
  <c r="N85" i="13"/>
  <c r="M85" i="13"/>
  <c r="L85" i="13"/>
  <c r="K84" i="13"/>
  <c r="W83" i="13"/>
  <c r="V83" i="13"/>
  <c r="U83" i="13"/>
  <c r="T83" i="13"/>
  <c r="S83" i="13"/>
  <c r="R83" i="13"/>
  <c r="N83" i="13"/>
  <c r="M83" i="13"/>
  <c r="L83" i="13"/>
  <c r="L84" i="13" s="1"/>
  <c r="H53" i="13"/>
  <c r="G53" i="13"/>
  <c r="F53" i="13"/>
  <c r="E53" i="13"/>
  <c r="J50" i="13"/>
  <c r="J528" i="13" s="1"/>
  <c r="H47" i="13"/>
  <c r="G47" i="13"/>
  <c r="F47" i="13"/>
  <c r="E47" i="13"/>
  <c r="U46" i="13"/>
  <c r="Q46" i="13"/>
  <c r="W45" i="13"/>
  <c r="V45" i="13"/>
  <c r="U45" i="13"/>
  <c r="T45" i="13"/>
  <c r="S45" i="13"/>
  <c r="R45" i="13"/>
  <c r="Q45" i="13"/>
  <c r="P45" i="13"/>
  <c r="N45" i="13"/>
  <c r="N513" i="13" s="1"/>
  <c r="M45" i="13"/>
  <c r="M513" i="13" s="1"/>
  <c r="W29" i="13"/>
  <c r="V29" i="13"/>
  <c r="U29" i="13"/>
  <c r="T29" i="13"/>
  <c r="S29" i="13"/>
  <c r="R29" i="13"/>
  <c r="Q29" i="13"/>
  <c r="P29" i="13"/>
  <c r="N29" i="13"/>
  <c r="M29" i="13"/>
  <c r="L29" i="13"/>
  <c r="K29" i="13"/>
  <c r="J29" i="13"/>
  <c r="D29" i="13"/>
  <c r="C29" i="13"/>
  <c r="W28" i="13"/>
  <c r="W62" i="13" s="1"/>
  <c r="V28" i="13"/>
  <c r="V62" i="13" s="1"/>
  <c r="U28" i="13"/>
  <c r="U62" i="13" s="1"/>
  <c r="T28" i="13"/>
  <c r="T62" i="13" s="1"/>
  <c r="S28" i="13"/>
  <c r="S62" i="13" s="1"/>
  <c r="R28" i="13"/>
  <c r="R62" i="13" s="1"/>
  <c r="Q28" i="13"/>
  <c r="Q62" i="13" s="1"/>
  <c r="P28" i="13"/>
  <c r="P62" i="13" s="1"/>
  <c r="N28" i="13"/>
  <c r="N62" i="13" s="1"/>
  <c r="M28" i="13"/>
  <c r="M62" i="13" s="1"/>
  <c r="L28" i="13"/>
  <c r="L62" i="13" s="1"/>
  <c r="K28" i="13"/>
  <c r="K62" i="13" s="1"/>
  <c r="J28" i="13"/>
  <c r="J62" i="13" s="1"/>
  <c r="D28" i="13"/>
  <c r="C28" i="13"/>
  <c r="W27" i="13"/>
  <c r="W64" i="13" s="1"/>
  <c r="V27" i="13"/>
  <c r="V64" i="13" s="1"/>
  <c r="U27" i="13"/>
  <c r="U64" i="13" s="1"/>
  <c r="T27" i="13"/>
  <c r="T64" i="13" s="1"/>
  <c r="S27" i="13"/>
  <c r="S64" i="13" s="1"/>
  <c r="R27" i="13"/>
  <c r="R64" i="13" s="1"/>
  <c r="Q27" i="13"/>
  <c r="Q64" i="13" s="1"/>
  <c r="P27" i="13"/>
  <c r="P64" i="13" s="1"/>
  <c r="N27" i="13"/>
  <c r="N64" i="13" s="1"/>
  <c r="M27" i="13"/>
  <c r="M64" i="13" s="1"/>
  <c r="L27" i="13"/>
  <c r="L64" i="13" s="1"/>
  <c r="K27" i="13"/>
  <c r="K64" i="13" s="1"/>
  <c r="J27" i="13"/>
  <c r="J64" i="13" s="1"/>
  <c r="H27" i="13"/>
  <c r="E236" i="13" s="1"/>
  <c r="D27" i="13"/>
  <c r="C27" i="13"/>
  <c r="H24" i="13"/>
  <c r="C56" i="13" s="1"/>
  <c r="W21" i="13"/>
  <c r="V21" i="13"/>
  <c r="U21" i="13"/>
  <c r="T21" i="13"/>
  <c r="S21" i="13"/>
  <c r="R21" i="13"/>
  <c r="Q21" i="13"/>
  <c r="P21" i="13"/>
  <c r="N21" i="13"/>
  <c r="M21" i="13"/>
  <c r="L21" i="13"/>
  <c r="K21" i="13"/>
  <c r="J21" i="13"/>
  <c r="D21" i="13"/>
  <c r="C21" i="13"/>
  <c r="W19" i="13"/>
  <c r="V19" i="13"/>
  <c r="U19" i="13"/>
  <c r="F279" i="13" s="1"/>
  <c r="T19" i="13"/>
  <c r="E279" i="13" s="1"/>
  <c r="E294" i="13" s="1"/>
  <c r="S19" i="13"/>
  <c r="R19" i="13"/>
  <c r="R55" i="13" s="1"/>
  <c r="Q19" i="13"/>
  <c r="Q20" i="13" s="1"/>
  <c r="P19" i="13"/>
  <c r="P20" i="13" s="1"/>
  <c r="N19" i="13"/>
  <c r="M19" i="13"/>
  <c r="L19" i="13"/>
  <c r="L55" i="13" s="1"/>
  <c r="L530" i="13" s="1"/>
  <c r="K19" i="13"/>
  <c r="K55" i="13" s="1"/>
  <c r="J19" i="13"/>
  <c r="D19" i="13"/>
  <c r="C19" i="13"/>
  <c r="W16" i="13"/>
  <c r="V16" i="13"/>
  <c r="T16" i="13"/>
  <c r="S16" i="13"/>
  <c r="R16" i="13"/>
  <c r="P16" i="13"/>
  <c r="N16" i="13"/>
  <c r="M16" i="13"/>
  <c r="L16" i="13"/>
  <c r="K16" i="13"/>
  <c r="J16" i="13"/>
  <c r="D16" i="13"/>
  <c r="C16" i="13"/>
  <c r="W15" i="13"/>
  <c r="W46" i="13" s="1"/>
  <c r="V15" i="13"/>
  <c r="V46" i="13" s="1"/>
  <c r="T15" i="13"/>
  <c r="T46" i="13" s="1"/>
  <c r="S15" i="13"/>
  <c r="S46" i="13" s="1"/>
  <c r="R15" i="13"/>
  <c r="R46" i="13" s="1"/>
  <c r="P15" i="13"/>
  <c r="P46" i="13" s="1"/>
  <c r="N15" i="13"/>
  <c r="N46" i="13" s="1"/>
  <c r="N520" i="13" s="1"/>
  <c r="M15" i="13"/>
  <c r="M46" i="13" s="1"/>
  <c r="M520" i="13" s="1"/>
  <c r="L15" i="13"/>
  <c r="L46" i="13" s="1"/>
  <c r="L520" i="13" s="1"/>
  <c r="K15" i="13"/>
  <c r="K46" i="13" s="1"/>
  <c r="K520" i="13" s="1"/>
  <c r="J15" i="13"/>
  <c r="J46" i="13" s="1"/>
  <c r="J520" i="13" s="1"/>
  <c r="D15" i="13"/>
  <c r="C15" i="13"/>
  <c r="L14" i="13"/>
  <c r="L45" i="13" s="1"/>
  <c r="L513" i="13" s="1"/>
  <c r="K14" i="13"/>
  <c r="K45" i="13" s="1"/>
  <c r="K513" i="13" s="1"/>
  <c r="J14" i="13"/>
  <c r="J45" i="13" s="1"/>
  <c r="J513" i="13" s="1"/>
  <c r="E14" i="13"/>
  <c r="E233" i="13" s="1"/>
  <c r="W12" i="13"/>
  <c r="V12" i="13"/>
  <c r="U12" i="13"/>
  <c r="T12" i="13"/>
  <c r="S12" i="13"/>
  <c r="S49" i="13" s="1"/>
  <c r="R12" i="13"/>
  <c r="R49" i="13" s="1"/>
  <c r="Q12" i="13"/>
  <c r="Q13" i="13" s="1"/>
  <c r="Q50" i="13" s="1"/>
  <c r="P12" i="13"/>
  <c r="N12" i="13"/>
  <c r="N49" i="13" s="1"/>
  <c r="M12" i="13"/>
  <c r="L12" i="13"/>
  <c r="L49" i="13" s="1"/>
  <c r="K12" i="13"/>
  <c r="K49" i="13" s="1"/>
  <c r="J12" i="13"/>
  <c r="J49" i="13" s="1"/>
  <c r="D12" i="13"/>
  <c r="C12" i="13"/>
  <c r="N11" i="13"/>
  <c r="M11" i="13"/>
  <c r="L11" i="13"/>
  <c r="K11" i="13"/>
  <c r="J11" i="13"/>
  <c r="W10" i="13"/>
  <c r="V10" i="13"/>
  <c r="U10" i="13"/>
  <c r="T10" i="13"/>
  <c r="S10" i="13"/>
  <c r="S11" i="13" s="1"/>
  <c r="R10" i="13"/>
  <c r="R11" i="13" s="1"/>
  <c r="Q10" i="13"/>
  <c r="P10" i="13"/>
  <c r="P11" i="13" s="1"/>
  <c r="N10" i="13"/>
  <c r="M10" i="13"/>
  <c r="L10" i="13"/>
  <c r="K10" i="13"/>
  <c r="J10" i="13"/>
  <c r="D10" i="13"/>
  <c r="C10" i="13"/>
  <c r="L124" i="9"/>
  <c r="L123" i="9"/>
  <c r="L119" i="9"/>
  <c r="L117" i="9"/>
  <c r="L115" i="9"/>
  <c r="L113" i="9"/>
  <c r="L111" i="9"/>
  <c r="L109" i="9"/>
  <c r="L107" i="9"/>
  <c r="A102" i="9"/>
  <c r="L24" i="9"/>
  <c r="K24" i="9"/>
  <c r="J24" i="9"/>
  <c r="I24" i="9"/>
  <c r="H24" i="9"/>
  <c r="G24" i="9"/>
  <c r="F24" i="9"/>
  <c r="E24" i="9"/>
  <c r="D24" i="9"/>
  <c r="C24" i="9"/>
  <c r="A13" i="9"/>
  <c r="A12" i="9"/>
  <c r="A11" i="9"/>
  <c r="A10" i="9"/>
  <c r="A9" i="9"/>
  <c r="A8" i="9"/>
  <c r="A7" i="9"/>
  <c r="U87" i="7"/>
  <c r="T87" i="7"/>
  <c r="S87" i="7"/>
  <c r="R87" i="7"/>
  <c r="Q87" i="7"/>
  <c r="P87" i="7"/>
  <c r="L87" i="7"/>
  <c r="K87" i="7"/>
  <c r="J87" i="7"/>
  <c r="I87" i="7"/>
  <c r="H87" i="7"/>
  <c r="G87" i="7"/>
  <c r="F87" i="7"/>
  <c r="E87" i="7"/>
  <c r="D87" i="7"/>
  <c r="C87" i="7"/>
  <c r="U86" i="7"/>
  <c r="T86" i="7"/>
  <c r="S86" i="7"/>
  <c r="R86" i="7"/>
  <c r="Q86" i="7"/>
  <c r="P86" i="7"/>
  <c r="L86" i="7"/>
  <c r="K86" i="7"/>
  <c r="J86" i="7"/>
  <c r="I86" i="7"/>
  <c r="H86" i="7"/>
  <c r="G86" i="7"/>
  <c r="F86" i="7"/>
  <c r="E86" i="7"/>
  <c r="D86" i="7"/>
  <c r="C86" i="7"/>
  <c r="U85" i="7"/>
  <c r="T85" i="7"/>
  <c r="S85" i="7"/>
  <c r="R85" i="7"/>
  <c r="Q85" i="7"/>
  <c r="P85" i="7"/>
  <c r="L85" i="7"/>
  <c r="K85" i="7"/>
  <c r="J85" i="7"/>
  <c r="I85" i="7"/>
  <c r="H85" i="7"/>
  <c r="G85" i="7"/>
  <c r="F85" i="7"/>
  <c r="E85" i="7"/>
  <c r="D85" i="7"/>
  <c r="C85" i="7"/>
  <c r="L79" i="7"/>
  <c r="K79" i="7"/>
  <c r="J79" i="7"/>
  <c r="I79" i="7"/>
  <c r="H79" i="7"/>
  <c r="G79" i="7"/>
  <c r="F79" i="7"/>
  <c r="E79" i="7"/>
  <c r="D79" i="7"/>
  <c r="C79" i="7"/>
  <c r="L78" i="7"/>
  <c r="K78" i="7"/>
  <c r="J78" i="7"/>
  <c r="I78" i="7"/>
  <c r="H78" i="7"/>
  <c r="G78" i="7"/>
  <c r="F78" i="7"/>
  <c r="E78" i="7"/>
  <c r="D78" i="7"/>
  <c r="C78" i="7"/>
  <c r="L77" i="7"/>
  <c r="K77" i="7"/>
  <c r="K80" i="7" s="1"/>
  <c r="J77" i="7"/>
  <c r="I77" i="7"/>
  <c r="I80" i="7" s="1"/>
  <c r="H77" i="7"/>
  <c r="G77" i="7"/>
  <c r="F77" i="7"/>
  <c r="E77" i="7"/>
  <c r="E80" i="7" s="1"/>
  <c r="D77" i="7"/>
  <c r="D80" i="7" s="1"/>
  <c r="C77" i="7"/>
  <c r="C80" i="7" s="1"/>
  <c r="U74" i="7"/>
  <c r="T74" i="7"/>
  <c r="S74" i="7"/>
  <c r="L74" i="7"/>
  <c r="K74" i="7"/>
  <c r="J74" i="7"/>
  <c r="I74" i="7"/>
  <c r="H74" i="7"/>
  <c r="G74" i="7"/>
  <c r="F74" i="7"/>
  <c r="E74" i="7"/>
  <c r="D74" i="7"/>
  <c r="L73" i="7"/>
  <c r="K73" i="7"/>
  <c r="J73" i="7"/>
  <c r="I73" i="7"/>
  <c r="H73" i="7"/>
  <c r="G73" i="7"/>
  <c r="F73" i="7"/>
  <c r="E73" i="7"/>
  <c r="D73" i="7"/>
  <c r="U72" i="7"/>
  <c r="T72" i="7"/>
  <c r="S72" i="7"/>
  <c r="L72" i="7"/>
  <c r="K72" i="7"/>
  <c r="J72" i="7"/>
  <c r="I72" i="7"/>
  <c r="H72" i="7"/>
  <c r="G72" i="7"/>
  <c r="F72" i="7"/>
  <c r="E72" i="7"/>
  <c r="D72" i="7"/>
  <c r="U71" i="7"/>
  <c r="T71" i="7"/>
  <c r="S71" i="7"/>
  <c r="L71" i="7"/>
  <c r="K71" i="7"/>
  <c r="J71" i="7"/>
  <c r="I71" i="7"/>
  <c r="H71" i="7"/>
  <c r="G71" i="7"/>
  <c r="F71" i="7"/>
  <c r="E71" i="7"/>
  <c r="D71" i="7"/>
  <c r="U70" i="7"/>
  <c r="T70" i="7"/>
  <c r="S70" i="7"/>
  <c r="L70" i="7"/>
  <c r="K70" i="7"/>
  <c r="J70" i="7"/>
  <c r="I70" i="7"/>
  <c r="H70" i="7"/>
  <c r="G70" i="7"/>
  <c r="F70" i="7"/>
  <c r="E70" i="7"/>
  <c r="D70" i="7"/>
  <c r="U69" i="7"/>
  <c r="T69" i="7"/>
  <c r="S69" i="7"/>
  <c r="L69" i="7"/>
  <c r="K69" i="7"/>
  <c r="J69" i="7"/>
  <c r="I69" i="7"/>
  <c r="H69" i="7"/>
  <c r="G69" i="7"/>
  <c r="F69" i="7"/>
  <c r="E69" i="7"/>
  <c r="D69" i="7"/>
  <c r="L66" i="7"/>
  <c r="K66" i="7"/>
  <c r="J66" i="7"/>
  <c r="I66" i="7"/>
  <c r="H66" i="7"/>
  <c r="G66" i="7"/>
  <c r="F66" i="7"/>
  <c r="E66" i="7"/>
  <c r="D66" i="7"/>
  <c r="L65" i="7"/>
  <c r="K65" i="7"/>
  <c r="J65" i="7"/>
  <c r="I65" i="7"/>
  <c r="H65" i="7"/>
  <c r="G65" i="7"/>
  <c r="F65" i="7"/>
  <c r="E65" i="7"/>
  <c r="D65" i="7"/>
  <c r="C65" i="7"/>
  <c r="L62" i="7"/>
  <c r="K62" i="7"/>
  <c r="J62" i="7"/>
  <c r="I62" i="7"/>
  <c r="H62" i="7"/>
  <c r="G62" i="7"/>
  <c r="F62" i="7"/>
  <c r="E62" i="7"/>
  <c r="D62" i="7"/>
  <c r="C62" i="7"/>
  <c r="L58" i="7"/>
  <c r="K58" i="7"/>
  <c r="J58" i="7"/>
  <c r="I58" i="7"/>
  <c r="H58" i="7"/>
  <c r="G58" i="7"/>
  <c r="F58" i="7"/>
  <c r="E58" i="7"/>
  <c r="D58" i="7"/>
  <c r="C58" i="7"/>
  <c r="L57" i="7"/>
  <c r="K57" i="7"/>
  <c r="J57" i="7"/>
  <c r="I57" i="7"/>
  <c r="H57" i="7"/>
  <c r="G57" i="7"/>
  <c r="F57" i="7"/>
  <c r="E57" i="7"/>
  <c r="D57" i="7"/>
  <c r="C57" i="7"/>
  <c r="L56" i="7"/>
  <c r="K56" i="7"/>
  <c r="J56" i="7"/>
  <c r="I56" i="7"/>
  <c r="H56" i="7"/>
  <c r="G56" i="7"/>
  <c r="F56" i="7"/>
  <c r="E56" i="7"/>
  <c r="D56" i="7"/>
  <c r="C56" i="7"/>
  <c r="L53" i="7"/>
  <c r="K53" i="7"/>
  <c r="J53" i="7"/>
  <c r="I53" i="7"/>
  <c r="H53" i="7"/>
  <c r="G53" i="7"/>
  <c r="F53" i="7"/>
  <c r="E53" i="7"/>
  <c r="D53" i="7"/>
  <c r="C53" i="7"/>
  <c r="U52" i="7"/>
  <c r="T52" i="7"/>
  <c r="S52" i="7"/>
  <c r="R52" i="7"/>
  <c r="Q52" i="7"/>
  <c r="P52" i="7"/>
  <c r="L52" i="7"/>
  <c r="K52" i="7"/>
  <c r="J52" i="7"/>
  <c r="I52" i="7"/>
  <c r="H52" i="7"/>
  <c r="G52" i="7"/>
  <c r="F52" i="7"/>
  <c r="E52" i="7"/>
  <c r="D52" i="7"/>
  <c r="C52" i="7"/>
  <c r="U48" i="7"/>
  <c r="T48" i="7"/>
  <c r="S48" i="7"/>
  <c r="R48" i="7"/>
  <c r="Q48" i="7"/>
  <c r="P48" i="7"/>
  <c r="L48" i="7"/>
  <c r="K48" i="7"/>
  <c r="J48" i="7"/>
  <c r="I48" i="7"/>
  <c r="H48" i="7"/>
  <c r="G48" i="7"/>
  <c r="F48" i="7"/>
  <c r="E48" i="7"/>
  <c r="D48" i="7"/>
  <c r="C48" i="7"/>
  <c r="U47" i="7"/>
  <c r="T47" i="7"/>
  <c r="S47" i="7"/>
  <c r="R47" i="7"/>
  <c r="Q47" i="7"/>
  <c r="P47" i="7"/>
  <c r="L47" i="7"/>
  <c r="K47" i="7"/>
  <c r="J47" i="7"/>
  <c r="I47" i="7"/>
  <c r="H47" i="7"/>
  <c r="G47" i="7"/>
  <c r="F47" i="7"/>
  <c r="E47" i="7"/>
  <c r="D47" i="7"/>
  <c r="C47" i="7"/>
  <c r="U43" i="7"/>
  <c r="T43" i="7"/>
  <c r="S43" i="7"/>
  <c r="R43" i="7"/>
  <c r="Q43" i="7"/>
  <c r="P43" i="7"/>
  <c r="L43" i="7"/>
  <c r="K43" i="7"/>
  <c r="J43" i="7"/>
  <c r="I43" i="7"/>
  <c r="H43" i="7"/>
  <c r="G43" i="7"/>
  <c r="F43" i="7"/>
  <c r="E43" i="7"/>
  <c r="D43" i="7"/>
  <c r="C43" i="7"/>
  <c r="U37" i="7"/>
  <c r="U49" i="7" s="1"/>
  <c r="T37" i="7"/>
  <c r="T49" i="7" s="1"/>
  <c r="S37" i="7"/>
  <c r="S49" i="7" s="1"/>
  <c r="R37" i="7"/>
  <c r="R49" i="7" s="1"/>
  <c r="Q37" i="7"/>
  <c r="Q49" i="7" s="1"/>
  <c r="P37" i="7"/>
  <c r="P49" i="7" s="1"/>
  <c r="L37" i="7"/>
  <c r="L49" i="7" s="1"/>
  <c r="K37" i="7"/>
  <c r="K49" i="7" s="1"/>
  <c r="J37" i="7"/>
  <c r="J49" i="7" s="1"/>
  <c r="I37" i="7"/>
  <c r="I49" i="7" s="1"/>
  <c r="H37" i="7"/>
  <c r="H49" i="7" s="1"/>
  <c r="G37" i="7"/>
  <c r="G49" i="7" s="1"/>
  <c r="F37" i="7"/>
  <c r="F49" i="7" s="1"/>
  <c r="E37" i="7"/>
  <c r="E49" i="7" s="1"/>
  <c r="D37" i="7"/>
  <c r="D49" i="7" s="1"/>
  <c r="C37" i="7"/>
  <c r="C49" i="7" s="1"/>
  <c r="U36" i="7"/>
  <c r="U40" i="7" s="1"/>
  <c r="T36" i="7"/>
  <c r="S36" i="7"/>
  <c r="S40" i="7" s="1"/>
  <c r="R36" i="7"/>
  <c r="R44" i="7" s="1"/>
  <c r="Q36" i="7"/>
  <c r="Q44" i="7" s="1"/>
  <c r="P36" i="7"/>
  <c r="P44" i="7" s="1"/>
  <c r="L36" i="7"/>
  <c r="L44" i="7" s="1"/>
  <c r="K36" i="7"/>
  <c r="K40" i="7" s="1"/>
  <c r="J36" i="7"/>
  <c r="J44" i="7" s="1"/>
  <c r="I36" i="7"/>
  <c r="I40" i="7" s="1"/>
  <c r="H36" i="7"/>
  <c r="G36" i="7"/>
  <c r="F36" i="7"/>
  <c r="F44" i="7" s="1"/>
  <c r="E36" i="7"/>
  <c r="D36" i="7"/>
  <c r="D40" i="7" s="1"/>
  <c r="C36" i="7"/>
  <c r="L33" i="7"/>
  <c r="K33" i="7"/>
  <c r="J33" i="7"/>
  <c r="I33" i="7"/>
  <c r="H33" i="7"/>
  <c r="G33" i="7"/>
  <c r="F33" i="7"/>
  <c r="E33" i="7"/>
  <c r="D33" i="7"/>
  <c r="L31" i="7"/>
  <c r="K31" i="7"/>
  <c r="J31" i="7"/>
  <c r="I31" i="7"/>
  <c r="H31" i="7"/>
  <c r="G31" i="7"/>
  <c r="F31" i="7"/>
  <c r="E31" i="7"/>
  <c r="D31" i="7"/>
  <c r="L30" i="7"/>
  <c r="K30" i="7"/>
  <c r="J30" i="7"/>
  <c r="I30" i="7"/>
  <c r="H30" i="7"/>
  <c r="G30" i="7"/>
  <c r="F30" i="7"/>
  <c r="E30" i="7"/>
  <c r="D30" i="7"/>
  <c r="U27" i="7"/>
  <c r="T27" i="7"/>
  <c r="S27" i="7"/>
  <c r="R27" i="7"/>
  <c r="Q27" i="7"/>
  <c r="P27" i="7"/>
  <c r="L27" i="7"/>
  <c r="K27" i="7"/>
  <c r="J27" i="7"/>
  <c r="I27" i="7"/>
  <c r="H27" i="7"/>
  <c r="G27" i="7"/>
  <c r="F27" i="7"/>
  <c r="E27" i="7"/>
  <c r="D27" i="7"/>
  <c r="C27" i="7"/>
  <c r="U26" i="7"/>
  <c r="T26" i="7"/>
  <c r="S26" i="7"/>
  <c r="R26" i="7"/>
  <c r="Q26" i="7"/>
  <c r="P26" i="7"/>
  <c r="L26" i="7"/>
  <c r="L32" i="7" s="1"/>
  <c r="K26" i="7"/>
  <c r="K32" i="7" s="1"/>
  <c r="J26" i="7"/>
  <c r="J32" i="7" s="1"/>
  <c r="I26" i="7"/>
  <c r="I32" i="7" s="1"/>
  <c r="H26" i="7"/>
  <c r="H32" i="7" s="1"/>
  <c r="G26" i="7"/>
  <c r="G32" i="7" s="1"/>
  <c r="F26" i="7"/>
  <c r="F32" i="7" s="1"/>
  <c r="E26" i="7"/>
  <c r="E32" i="7" s="1"/>
  <c r="D26" i="7"/>
  <c r="D32" i="7" s="1"/>
  <c r="C26" i="7"/>
  <c r="U25" i="7"/>
  <c r="T25" i="7"/>
  <c r="S25" i="7"/>
  <c r="R25" i="7"/>
  <c r="Q25" i="7"/>
  <c r="P25" i="7"/>
  <c r="L25" i="7"/>
  <c r="K25" i="7"/>
  <c r="J25" i="7"/>
  <c r="I25" i="7"/>
  <c r="H25" i="7"/>
  <c r="G25" i="7"/>
  <c r="F25" i="7"/>
  <c r="E25" i="7"/>
  <c r="D25" i="7"/>
  <c r="C25" i="7"/>
  <c r="L24" i="7"/>
  <c r="K24" i="7"/>
  <c r="J24" i="7"/>
  <c r="I24" i="7"/>
  <c r="H24" i="7"/>
  <c r="G24" i="7"/>
  <c r="F24" i="7"/>
  <c r="E24" i="7"/>
  <c r="D24" i="7"/>
  <c r="C24" i="7"/>
  <c r="U23" i="7"/>
  <c r="U24" i="7" s="1"/>
  <c r="T23" i="7"/>
  <c r="T24" i="7" s="1"/>
  <c r="S23" i="7"/>
  <c r="S24" i="7" s="1"/>
  <c r="R23" i="7"/>
  <c r="R24" i="7" s="1"/>
  <c r="Q23" i="7"/>
  <c r="Q24" i="7" s="1"/>
  <c r="L23" i="7"/>
  <c r="K23" i="7"/>
  <c r="J23" i="7"/>
  <c r="I23" i="7"/>
  <c r="H23" i="7"/>
  <c r="G23" i="7"/>
  <c r="F23" i="7"/>
  <c r="E23" i="7"/>
  <c r="D23" i="7"/>
  <c r="C23" i="7"/>
  <c r="U22" i="7"/>
  <c r="T22" i="7"/>
  <c r="S22" i="7"/>
  <c r="R22" i="7"/>
  <c r="Q22" i="7"/>
  <c r="P22" i="7"/>
  <c r="L22" i="7"/>
  <c r="K22" i="7"/>
  <c r="J22" i="7"/>
  <c r="I22" i="7"/>
  <c r="H22" i="7"/>
  <c r="G22" i="7"/>
  <c r="F22" i="7"/>
  <c r="E22" i="7"/>
  <c r="D22" i="7"/>
  <c r="C22" i="7"/>
  <c r="U21" i="7"/>
  <c r="T21" i="7"/>
  <c r="S21" i="7"/>
  <c r="R21" i="7"/>
  <c r="Q21" i="7"/>
  <c r="P21" i="7"/>
  <c r="L21" i="7"/>
  <c r="K21" i="7"/>
  <c r="J21" i="7"/>
  <c r="I21" i="7"/>
  <c r="H21" i="7"/>
  <c r="G21" i="7"/>
  <c r="F21" i="7"/>
  <c r="E21" i="7"/>
  <c r="D21" i="7"/>
  <c r="C21" i="7"/>
  <c r="U20" i="7"/>
  <c r="T20" i="7"/>
  <c r="S20" i="7"/>
  <c r="R20" i="7"/>
  <c r="Q20" i="7"/>
  <c r="P20" i="7"/>
  <c r="L20" i="7"/>
  <c r="K20" i="7"/>
  <c r="J20" i="7"/>
  <c r="I20" i="7"/>
  <c r="H20" i="7"/>
  <c r="G20" i="7"/>
  <c r="F20" i="7"/>
  <c r="E20" i="7"/>
  <c r="D20" i="7"/>
  <c r="C20" i="7"/>
  <c r="A17" i="7"/>
  <c r="A16" i="7"/>
  <c r="A15" i="7"/>
  <c r="A14" i="7"/>
  <c r="A13" i="7"/>
  <c r="A12" i="7"/>
  <c r="A11" i="7"/>
  <c r="A10" i="7"/>
  <c r="A9" i="7"/>
  <c r="A8" i="7"/>
  <c r="A7" i="7"/>
  <c r="L15" i="12"/>
  <c r="K15" i="12"/>
  <c r="J15" i="12"/>
  <c r="I15" i="12"/>
  <c r="H15" i="12"/>
  <c r="G15" i="12"/>
  <c r="F15" i="12"/>
  <c r="E15" i="12"/>
  <c r="D15" i="12"/>
  <c r="C15" i="12"/>
  <c r="C10" i="12"/>
  <c r="L9" i="12"/>
  <c r="K9" i="12"/>
  <c r="J9" i="12"/>
  <c r="I9" i="12"/>
  <c r="H9" i="12"/>
  <c r="G9" i="12"/>
  <c r="F9" i="12"/>
  <c r="E9" i="12"/>
  <c r="D9" i="12"/>
  <c r="C9" i="12"/>
  <c r="L7" i="12"/>
  <c r="L8" i="12" s="1"/>
  <c r="L20" i="12" s="1"/>
  <c r="K7" i="12"/>
  <c r="K8" i="12" s="1"/>
  <c r="J7" i="12"/>
  <c r="J8" i="12" s="1"/>
  <c r="J24" i="12" s="1"/>
  <c r="I7" i="12"/>
  <c r="I8" i="12" s="1"/>
  <c r="H7" i="12"/>
  <c r="H8" i="12" s="1"/>
  <c r="H24" i="12" s="1"/>
  <c r="G7" i="12"/>
  <c r="G8" i="12" s="1"/>
  <c r="F7" i="12"/>
  <c r="F8" i="12" s="1"/>
  <c r="E7" i="12"/>
  <c r="E8" i="12" s="1"/>
  <c r="D7" i="12"/>
  <c r="D8" i="12" s="1"/>
  <c r="C7" i="12"/>
  <c r="C8" i="12" s="1"/>
  <c r="A122" i="8"/>
  <c r="L119" i="8"/>
  <c r="U116" i="8"/>
  <c r="T116" i="8"/>
  <c r="S116" i="8"/>
  <c r="R116" i="8"/>
  <c r="Q116" i="8"/>
  <c r="P116" i="8"/>
  <c r="U115" i="8"/>
  <c r="T115" i="8"/>
  <c r="S115" i="8"/>
  <c r="R115" i="8"/>
  <c r="Q115" i="8"/>
  <c r="P115" i="8"/>
  <c r="U114" i="8"/>
  <c r="T114" i="8"/>
  <c r="S114" i="8"/>
  <c r="R114" i="8"/>
  <c r="Q114" i="8"/>
  <c r="P114" i="8"/>
  <c r="P113" i="8"/>
  <c r="U112" i="8"/>
  <c r="T112" i="8"/>
  <c r="S112" i="8"/>
  <c r="R112" i="8"/>
  <c r="Q112" i="8"/>
  <c r="P112" i="8"/>
  <c r="U111" i="8"/>
  <c r="T111" i="8"/>
  <c r="S111" i="8"/>
  <c r="R111" i="8"/>
  <c r="Q111" i="8"/>
  <c r="P111" i="8"/>
  <c r="U110" i="8"/>
  <c r="T110" i="8"/>
  <c r="S110" i="8"/>
  <c r="R110" i="8"/>
  <c r="Q110" i="8"/>
  <c r="P110" i="8"/>
  <c r="U109" i="8"/>
  <c r="T109" i="8"/>
  <c r="S109" i="8"/>
  <c r="R109" i="8"/>
  <c r="Q109" i="8"/>
  <c r="P109" i="8"/>
  <c r="U106" i="8"/>
  <c r="T106" i="8"/>
  <c r="S106" i="8"/>
  <c r="R106" i="8"/>
  <c r="Q106" i="8"/>
  <c r="P106" i="8"/>
  <c r="L106" i="8"/>
  <c r="K106" i="8"/>
  <c r="J106" i="8"/>
  <c r="I106" i="8"/>
  <c r="H106" i="8"/>
  <c r="G106" i="8"/>
  <c r="F106" i="8"/>
  <c r="E106" i="8"/>
  <c r="U104" i="8"/>
  <c r="T104" i="8"/>
  <c r="S104" i="8"/>
  <c r="R104" i="8"/>
  <c r="Q104" i="8"/>
  <c r="P104" i="8"/>
  <c r="L104" i="8"/>
  <c r="K104" i="8"/>
  <c r="J104" i="8"/>
  <c r="I104" i="8"/>
  <c r="H104" i="8"/>
  <c r="G104" i="8"/>
  <c r="F104" i="8"/>
  <c r="E104" i="8"/>
  <c r="U98" i="8"/>
  <c r="T98" i="8"/>
  <c r="S98" i="8"/>
  <c r="R98" i="8"/>
  <c r="Q98" i="8"/>
  <c r="P98" i="8"/>
  <c r="L98" i="8"/>
  <c r="K98" i="8"/>
  <c r="J98" i="8"/>
  <c r="I98" i="8"/>
  <c r="H98" i="8"/>
  <c r="G98" i="8"/>
  <c r="F98" i="8"/>
  <c r="E98" i="8"/>
  <c r="U92" i="8"/>
  <c r="T92" i="8"/>
  <c r="S92" i="8"/>
  <c r="R92" i="8"/>
  <c r="Q92" i="8"/>
  <c r="P92" i="8"/>
  <c r="L92" i="8"/>
  <c r="K92" i="8"/>
  <c r="J92" i="8"/>
  <c r="I92" i="8"/>
  <c r="H92" i="8"/>
  <c r="G92" i="8"/>
  <c r="F92" i="8"/>
  <c r="E92" i="8"/>
  <c r="U85" i="8"/>
  <c r="T85" i="8"/>
  <c r="S85" i="8"/>
  <c r="R85" i="8"/>
  <c r="Q85" i="8"/>
  <c r="P85" i="8"/>
  <c r="L85" i="8"/>
  <c r="K85" i="8"/>
  <c r="J85" i="8"/>
  <c r="I85" i="8"/>
  <c r="H85" i="8"/>
  <c r="G85" i="8"/>
  <c r="F85" i="8"/>
  <c r="U84" i="8"/>
  <c r="T84" i="8"/>
  <c r="S84" i="8"/>
  <c r="R84" i="8"/>
  <c r="Q84" i="8"/>
  <c r="P84" i="8"/>
  <c r="L84" i="8"/>
  <c r="K84" i="8"/>
  <c r="J84" i="8"/>
  <c r="I84" i="8"/>
  <c r="H84" i="8"/>
  <c r="G84" i="8"/>
  <c r="F84" i="8"/>
  <c r="U83" i="8"/>
  <c r="T83" i="8"/>
  <c r="S83" i="8"/>
  <c r="R83" i="8"/>
  <c r="Q83" i="8"/>
  <c r="P83" i="8"/>
  <c r="L83" i="8"/>
  <c r="K83" i="8"/>
  <c r="J83" i="8"/>
  <c r="I83" i="8"/>
  <c r="H83" i="8"/>
  <c r="G83" i="8"/>
  <c r="F83" i="8"/>
  <c r="U82" i="8"/>
  <c r="T82" i="8"/>
  <c r="S82" i="8"/>
  <c r="R82" i="8"/>
  <c r="Q82" i="8"/>
  <c r="P82" i="8"/>
  <c r="L82" i="8"/>
  <c r="K82" i="8"/>
  <c r="J82" i="8"/>
  <c r="I82" i="8"/>
  <c r="H82" i="8"/>
  <c r="G82" i="8"/>
  <c r="F82" i="8"/>
  <c r="U81" i="8"/>
  <c r="T81" i="8"/>
  <c r="S81" i="8"/>
  <c r="R81" i="8"/>
  <c r="Q81" i="8"/>
  <c r="P81" i="8"/>
  <c r="L81" i="8"/>
  <c r="K81" i="8"/>
  <c r="J81" i="8"/>
  <c r="I81" i="8"/>
  <c r="H81" i="8"/>
  <c r="G81" i="8"/>
  <c r="F81" i="8"/>
  <c r="U80" i="8"/>
  <c r="T80" i="8"/>
  <c r="S80" i="8"/>
  <c r="R80" i="8"/>
  <c r="Q80" i="8"/>
  <c r="P80" i="8"/>
  <c r="L80" i="8"/>
  <c r="K80" i="8"/>
  <c r="J80" i="8"/>
  <c r="I80" i="8"/>
  <c r="H80" i="8"/>
  <c r="G80" i="8"/>
  <c r="F80" i="8"/>
  <c r="U79" i="8"/>
  <c r="T79" i="8"/>
  <c r="S79" i="8"/>
  <c r="R79" i="8"/>
  <c r="Q79" i="8"/>
  <c r="P79" i="8"/>
  <c r="L79" i="8"/>
  <c r="K79" i="8"/>
  <c r="J79" i="8"/>
  <c r="I79" i="8"/>
  <c r="H79" i="8"/>
  <c r="G79" i="8"/>
  <c r="F79" i="8"/>
  <c r="L15" i="8"/>
  <c r="L10" i="12" s="1"/>
  <c r="K15" i="8"/>
  <c r="K10" i="12" s="1"/>
  <c r="J15" i="8"/>
  <c r="J10" i="12" s="1"/>
  <c r="I15" i="8"/>
  <c r="I10" i="12" s="1"/>
  <c r="H15" i="8"/>
  <c r="H10" i="12" s="1"/>
  <c r="G15" i="8"/>
  <c r="G10" i="12" s="1"/>
  <c r="F15" i="8"/>
  <c r="F10" i="12" s="1"/>
  <c r="E15" i="8"/>
  <c r="E10" i="12" s="1"/>
  <c r="D15" i="8"/>
  <c r="D10" i="12" s="1"/>
  <c r="A11" i="8"/>
  <c r="A10" i="8"/>
  <c r="A9" i="8"/>
  <c r="A8" i="8"/>
  <c r="A7" i="8"/>
  <c r="L25" i="6"/>
  <c r="K25" i="6"/>
  <c r="J25" i="6"/>
  <c r="I25" i="6"/>
  <c r="H25" i="6"/>
  <c r="G25" i="6"/>
  <c r="F25" i="6"/>
  <c r="E25" i="6"/>
  <c r="D25" i="6"/>
  <c r="C25" i="6"/>
  <c r="L24" i="6"/>
  <c r="K24" i="6"/>
  <c r="J24" i="6"/>
  <c r="I24" i="6"/>
  <c r="H24" i="6"/>
  <c r="G24" i="6"/>
  <c r="F24" i="6"/>
  <c r="E24" i="6"/>
  <c r="D24" i="6"/>
  <c r="C24" i="6"/>
  <c r="U18" i="6"/>
  <c r="T18" i="6"/>
  <c r="S18" i="6"/>
  <c r="R18" i="6"/>
  <c r="Q18" i="6"/>
  <c r="P18" i="6"/>
  <c r="L18" i="6"/>
  <c r="K18" i="6"/>
  <c r="J18" i="6"/>
  <c r="I18" i="6"/>
  <c r="H18" i="6"/>
  <c r="G18" i="6"/>
  <c r="F18" i="6"/>
  <c r="E18" i="6"/>
  <c r="D18" i="6"/>
  <c r="C18" i="6"/>
  <c r="U17" i="6"/>
  <c r="T17" i="6"/>
  <c r="S17" i="6"/>
  <c r="R17" i="6"/>
  <c r="Q17" i="6"/>
  <c r="P17" i="6"/>
  <c r="L17" i="6"/>
  <c r="K17" i="6"/>
  <c r="J17" i="6"/>
  <c r="I17" i="6"/>
  <c r="H17" i="6"/>
  <c r="G17" i="6"/>
  <c r="F17" i="6"/>
  <c r="E17" i="6"/>
  <c r="D17" i="6"/>
  <c r="C17" i="6"/>
  <c r="U16" i="6"/>
  <c r="T16" i="6"/>
  <c r="S16" i="6"/>
  <c r="L16" i="6"/>
  <c r="K16" i="6"/>
  <c r="J16" i="6"/>
  <c r="I16" i="6"/>
  <c r="H16" i="6"/>
  <c r="G16" i="6"/>
  <c r="F16" i="6"/>
  <c r="E16" i="6"/>
  <c r="D16" i="6"/>
  <c r="U15" i="6"/>
  <c r="T15" i="6"/>
  <c r="S15" i="6"/>
  <c r="L15" i="6"/>
  <c r="K15" i="6"/>
  <c r="J15" i="6"/>
  <c r="I15" i="6"/>
  <c r="H15" i="6"/>
  <c r="G15" i="6"/>
  <c r="F15" i="6"/>
  <c r="E15" i="6"/>
  <c r="D15" i="6"/>
  <c r="U14" i="6"/>
  <c r="T14" i="6"/>
  <c r="S14" i="6"/>
  <c r="R14" i="6"/>
  <c r="Q14" i="6"/>
  <c r="P14" i="6"/>
  <c r="L14" i="6"/>
  <c r="K14" i="6"/>
  <c r="J14" i="6"/>
  <c r="I14" i="6"/>
  <c r="H14" i="6"/>
  <c r="G14" i="6"/>
  <c r="F14" i="6"/>
  <c r="E14" i="6"/>
  <c r="D14" i="6"/>
  <c r="C14" i="6"/>
  <c r="A8" i="6"/>
  <c r="A7" i="6"/>
  <c r="E243" i="5"/>
  <c r="D243" i="5"/>
  <c r="C243" i="5"/>
  <c r="E242" i="5"/>
  <c r="D242" i="5"/>
  <c r="C242" i="5"/>
  <c r="E241" i="5"/>
  <c r="D241" i="5"/>
  <c r="C241" i="5"/>
  <c r="E240" i="5"/>
  <c r="D240" i="5"/>
  <c r="C240" i="5"/>
  <c r="E239" i="5"/>
  <c r="D239" i="5"/>
  <c r="C239" i="5"/>
  <c r="E238" i="5"/>
  <c r="D238" i="5"/>
  <c r="E237" i="5"/>
  <c r="D237" i="5"/>
  <c r="C236" i="5"/>
  <c r="C235" i="5"/>
  <c r="C234" i="5"/>
  <c r="C233" i="5"/>
  <c r="E232" i="5"/>
  <c r="D232" i="5"/>
  <c r="C232" i="5"/>
  <c r="E231" i="5"/>
  <c r="D231" i="5"/>
  <c r="C231" i="5"/>
  <c r="E229" i="5"/>
  <c r="D229" i="5"/>
  <c r="C229" i="5"/>
  <c r="E219" i="5"/>
  <c r="D219" i="5"/>
  <c r="C219" i="5"/>
  <c r="E209" i="5"/>
  <c r="D209" i="5"/>
  <c r="C209" i="5"/>
  <c r="E199" i="5"/>
  <c r="D199" i="5"/>
  <c r="C199" i="5"/>
  <c r="E188" i="5"/>
  <c r="D188" i="5"/>
  <c r="C188" i="5"/>
  <c r="E177" i="5"/>
  <c r="D177" i="5"/>
  <c r="C177" i="5"/>
  <c r="P166" i="5"/>
  <c r="K166" i="5"/>
  <c r="J166" i="5"/>
  <c r="I166" i="5"/>
  <c r="H166" i="5"/>
  <c r="G166" i="5"/>
  <c r="F166" i="5"/>
  <c r="E166" i="5"/>
  <c r="D166" i="5"/>
  <c r="P165" i="5"/>
  <c r="K165" i="5"/>
  <c r="J165" i="5"/>
  <c r="I165" i="5"/>
  <c r="H165" i="5"/>
  <c r="G165" i="5"/>
  <c r="F165" i="5"/>
  <c r="E165" i="5"/>
  <c r="D165" i="5"/>
  <c r="P164" i="5"/>
  <c r="K164" i="5"/>
  <c r="J164" i="5"/>
  <c r="I164" i="5"/>
  <c r="H164" i="5"/>
  <c r="G164" i="5"/>
  <c r="F164" i="5"/>
  <c r="E164" i="5"/>
  <c r="D164" i="5"/>
  <c r="P163" i="5"/>
  <c r="K163" i="5"/>
  <c r="J163" i="5"/>
  <c r="I163" i="5"/>
  <c r="H163" i="5"/>
  <c r="G163" i="5"/>
  <c r="F163" i="5"/>
  <c r="E163" i="5"/>
  <c r="D163" i="5"/>
  <c r="P162" i="5"/>
  <c r="K162" i="5"/>
  <c r="J162" i="5"/>
  <c r="I162" i="5"/>
  <c r="H162" i="5"/>
  <c r="G162" i="5"/>
  <c r="F162" i="5"/>
  <c r="E162" i="5"/>
  <c r="D162" i="5"/>
  <c r="P161" i="5"/>
  <c r="K161" i="5"/>
  <c r="J161" i="5"/>
  <c r="I161" i="5"/>
  <c r="H161" i="5"/>
  <c r="G161" i="5"/>
  <c r="F161" i="5"/>
  <c r="E161" i="5"/>
  <c r="D161" i="5"/>
  <c r="K160" i="5"/>
  <c r="J160" i="5"/>
  <c r="I160" i="5"/>
  <c r="H160" i="5"/>
  <c r="G160" i="5"/>
  <c r="F160" i="5"/>
  <c r="E160" i="5"/>
  <c r="D160" i="5"/>
  <c r="K159" i="5"/>
  <c r="J159" i="5"/>
  <c r="I159" i="5"/>
  <c r="H159" i="5"/>
  <c r="G159" i="5"/>
  <c r="F159" i="5"/>
  <c r="E159" i="5"/>
  <c r="D159" i="5"/>
  <c r="P158" i="5"/>
  <c r="K158" i="5"/>
  <c r="J158" i="5"/>
  <c r="I158" i="5"/>
  <c r="H158" i="5"/>
  <c r="G158" i="5"/>
  <c r="F158" i="5"/>
  <c r="E158" i="5"/>
  <c r="D158" i="5"/>
  <c r="P157" i="5"/>
  <c r="K157" i="5"/>
  <c r="J157" i="5"/>
  <c r="I157" i="5"/>
  <c r="H157" i="5"/>
  <c r="G157" i="5"/>
  <c r="F157" i="5"/>
  <c r="E157" i="5"/>
  <c r="D157" i="5"/>
  <c r="K156" i="5"/>
  <c r="J156" i="5"/>
  <c r="I156" i="5"/>
  <c r="H156" i="5"/>
  <c r="G156" i="5"/>
  <c r="F156" i="5"/>
  <c r="E156" i="5"/>
  <c r="D156" i="5"/>
  <c r="P155" i="5"/>
  <c r="K155" i="5"/>
  <c r="J155" i="5"/>
  <c r="I155" i="5"/>
  <c r="H155" i="5"/>
  <c r="G155" i="5"/>
  <c r="F155" i="5"/>
  <c r="E155" i="5"/>
  <c r="D155" i="5"/>
  <c r="K153" i="5"/>
  <c r="J153" i="5"/>
  <c r="I153" i="5"/>
  <c r="H153" i="5"/>
  <c r="G153" i="5"/>
  <c r="F153" i="5"/>
  <c r="E153" i="5"/>
  <c r="D153" i="5"/>
  <c r="K142" i="5"/>
  <c r="J142" i="5"/>
  <c r="I142" i="5"/>
  <c r="H142" i="5"/>
  <c r="G142" i="5"/>
  <c r="F142" i="5"/>
  <c r="E142" i="5"/>
  <c r="D142" i="5"/>
  <c r="K131" i="5"/>
  <c r="J131" i="5"/>
  <c r="I131" i="5"/>
  <c r="H131" i="5"/>
  <c r="G131" i="5"/>
  <c r="F131" i="5"/>
  <c r="E131" i="5"/>
  <c r="D131" i="5"/>
  <c r="K120" i="5"/>
  <c r="J120" i="5"/>
  <c r="I120" i="5"/>
  <c r="H120" i="5"/>
  <c r="G120" i="5"/>
  <c r="F120" i="5"/>
  <c r="E120" i="5"/>
  <c r="D120" i="5"/>
  <c r="P119" i="5"/>
  <c r="P156" i="5" s="1"/>
  <c r="K108" i="5"/>
  <c r="J108" i="5"/>
  <c r="I108" i="5"/>
  <c r="H108" i="5"/>
  <c r="G108" i="5"/>
  <c r="F108" i="5"/>
  <c r="E108" i="5"/>
  <c r="D108" i="5"/>
  <c r="P107" i="5"/>
  <c r="K96" i="5"/>
  <c r="J96" i="5"/>
  <c r="I96" i="5"/>
  <c r="H96" i="5"/>
  <c r="G96" i="5"/>
  <c r="F96" i="5"/>
  <c r="E96" i="5"/>
  <c r="D96" i="5"/>
  <c r="U84" i="5"/>
  <c r="T84" i="5"/>
  <c r="S84" i="5"/>
  <c r="R84" i="5"/>
  <c r="Q84" i="5"/>
  <c r="L84" i="5"/>
  <c r="K84" i="5"/>
  <c r="J84" i="5"/>
  <c r="U83" i="5"/>
  <c r="T83" i="5"/>
  <c r="S83" i="5"/>
  <c r="R83" i="5"/>
  <c r="Q83" i="5"/>
  <c r="L83" i="5"/>
  <c r="K83" i="5"/>
  <c r="J83" i="5"/>
  <c r="U82" i="5"/>
  <c r="T82" i="5"/>
  <c r="S82" i="5"/>
  <c r="R82" i="5"/>
  <c r="Q82" i="5"/>
  <c r="L82" i="5"/>
  <c r="K82" i="5"/>
  <c r="J82" i="5"/>
  <c r="U81" i="5"/>
  <c r="T81" i="5"/>
  <c r="S81" i="5"/>
  <c r="R81" i="5"/>
  <c r="Q81" i="5"/>
  <c r="L81" i="5"/>
  <c r="K81" i="5"/>
  <c r="J81" i="5"/>
  <c r="U80" i="5"/>
  <c r="T80" i="5"/>
  <c r="S80" i="5"/>
  <c r="R80" i="5"/>
  <c r="Q80" i="5"/>
  <c r="L80" i="5"/>
  <c r="K80" i="5"/>
  <c r="J80" i="5"/>
  <c r="U79" i="5"/>
  <c r="T79" i="5"/>
  <c r="S79" i="5"/>
  <c r="R79" i="5"/>
  <c r="Q79" i="5"/>
  <c r="L79" i="5"/>
  <c r="K79" i="5"/>
  <c r="J79" i="5"/>
  <c r="U78" i="5"/>
  <c r="T78" i="5"/>
  <c r="S78" i="5"/>
  <c r="R78" i="5"/>
  <c r="Q78" i="5"/>
  <c r="L78" i="5"/>
  <c r="K78" i="5"/>
  <c r="J78" i="5"/>
  <c r="U77" i="5"/>
  <c r="T77" i="5"/>
  <c r="S77" i="5"/>
  <c r="R77" i="5"/>
  <c r="Q77" i="5"/>
  <c r="L77" i="5"/>
  <c r="K77" i="5"/>
  <c r="J77" i="5"/>
  <c r="U76" i="5"/>
  <c r="T76" i="5"/>
  <c r="S76" i="5"/>
  <c r="R76" i="5"/>
  <c r="Q76" i="5"/>
  <c r="L76" i="5"/>
  <c r="K76" i="5"/>
  <c r="J76" i="5"/>
  <c r="L75" i="5"/>
  <c r="K75" i="5"/>
  <c r="J75" i="5"/>
  <c r="U74" i="5"/>
  <c r="T74" i="5"/>
  <c r="S74" i="5"/>
  <c r="R74" i="5"/>
  <c r="Q74" i="5"/>
  <c r="L74" i="5"/>
  <c r="K74" i="5"/>
  <c r="J74" i="5"/>
  <c r="L72" i="5"/>
  <c r="K72" i="5"/>
  <c r="J72" i="5"/>
  <c r="L62" i="5"/>
  <c r="K62" i="5"/>
  <c r="J62" i="5"/>
  <c r="L52" i="5"/>
  <c r="K52" i="5"/>
  <c r="J52" i="5"/>
  <c r="L42" i="5"/>
  <c r="K42" i="5"/>
  <c r="J42" i="5"/>
  <c r="U41" i="5"/>
  <c r="U75" i="5" s="1"/>
  <c r="T41" i="5"/>
  <c r="T75" i="5" s="1"/>
  <c r="S41" i="5"/>
  <c r="S75" i="5" s="1"/>
  <c r="R41" i="5"/>
  <c r="R75" i="5" s="1"/>
  <c r="Q41" i="5"/>
  <c r="Q75" i="5" s="1"/>
  <c r="L31" i="5"/>
  <c r="K31" i="5"/>
  <c r="J31" i="5"/>
  <c r="U30" i="5"/>
  <c r="T30" i="5"/>
  <c r="S30" i="5"/>
  <c r="R30" i="5"/>
  <c r="Q30" i="5"/>
  <c r="L20" i="5"/>
  <c r="K20" i="5"/>
  <c r="J20" i="5"/>
  <c r="A9" i="5"/>
  <c r="A8" i="5"/>
  <c r="A7" i="5"/>
  <c r="U76" i="4"/>
  <c r="T76" i="4"/>
  <c r="S76" i="4"/>
  <c r="R76" i="4"/>
  <c r="Q76" i="4"/>
  <c r="P76" i="4"/>
  <c r="L76" i="4"/>
  <c r="K76" i="4"/>
  <c r="J76" i="4"/>
  <c r="I76" i="4"/>
  <c r="H76" i="4"/>
  <c r="G76" i="4"/>
  <c r="F76" i="4"/>
  <c r="E76" i="4"/>
  <c r="D76" i="4"/>
  <c r="C76" i="4"/>
  <c r="L73" i="4"/>
  <c r="K73" i="4"/>
  <c r="J73" i="4"/>
  <c r="I73" i="4"/>
  <c r="H73" i="4"/>
  <c r="G73" i="4"/>
  <c r="F73" i="4"/>
  <c r="E73" i="4"/>
  <c r="D73" i="4"/>
  <c r="C73" i="4"/>
  <c r="U71" i="4"/>
  <c r="T71" i="4"/>
  <c r="S71" i="4"/>
  <c r="R71" i="4"/>
  <c r="Q71" i="4"/>
  <c r="P71" i="4"/>
  <c r="L71" i="4"/>
  <c r="L60" i="7" s="1"/>
  <c r="K71" i="4"/>
  <c r="M626" i="13" s="1"/>
  <c r="M628" i="13" s="1"/>
  <c r="J71" i="4"/>
  <c r="J61" i="7" s="1"/>
  <c r="I71" i="4"/>
  <c r="K657" i="13" s="1"/>
  <c r="H71" i="4"/>
  <c r="H59" i="7" s="1"/>
  <c r="G71" i="4"/>
  <c r="G59" i="7" s="1"/>
  <c r="F71" i="4"/>
  <c r="F59" i="7" s="1"/>
  <c r="E71" i="4"/>
  <c r="E59" i="7" s="1"/>
  <c r="D71" i="4"/>
  <c r="D59" i="7" s="1"/>
  <c r="C71" i="4"/>
  <c r="C61" i="7" s="1"/>
  <c r="U68" i="4"/>
  <c r="T68" i="4"/>
  <c r="S68" i="4"/>
  <c r="R68" i="4"/>
  <c r="Q68" i="4"/>
  <c r="P68" i="4"/>
  <c r="L68" i="4"/>
  <c r="K68" i="4"/>
  <c r="J68" i="4"/>
  <c r="I68" i="4"/>
  <c r="H68" i="4"/>
  <c r="G68" i="4"/>
  <c r="F68" i="4"/>
  <c r="E68" i="4"/>
  <c r="D68" i="4"/>
  <c r="C68" i="4"/>
  <c r="U67" i="4"/>
  <c r="T67" i="4"/>
  <c r="S67" i="4"/>
  <c r="R67" i="4"/>
  <c r="Q67" i="4"/>
  <c r="P67" i="4"/>
  <c r="L67" i="4"/>
  <c r="K67" i="4"/>
  <c r="J67" i="4"/>
  <c r="I67" i="4"/>
  <c r="H67" i="4"/>
  <c r="G67" i="4"/>
  <c r="F67" i="4"/>
  <c r="E67" i="4"/>
  <c r="D67" i="4"/>
  <c r="C67" i="4"/>
  <c r="U66" i="4"/>
  <c r="T66" i="4"/>
  <c r="S66" i="4"/>
  <c r="R66" i="4"/>
  <c r="Q66" i="4"/>
  <c r="P66" i="4"/>
  <c r="L66" i="4"/>
  <c r="K66" i="4"/>
  <c r="J66" i="4"/>
  <c r="I66" i="4"/>
  <c r="H66" i="4"/>
  <c r="G66" i="4"/>
  <c r="F66" i="4"/>
  <c r="E66" i="4"/>
  <c r="D66" i="4"/>
  <c r="C66" i="4"/>
  <c r="U65" i="4"/>
  <c r="T65" i="4"/>
  <c r="S65" i="4"/>
  <c r="R65" i="4"/>
  <c r="Q65" i="4"/>
  <c r="P65" i="4"/>
  <c r="L65" i="4"/>
  <c r="K65" i="4"/>
  <c r="J65" i="4"/>
  <c r="I65" i="4"/>
  <c r="H65" i="4"/>
  <c r="G65" i="4"/>
  <c r="F65" i="4"/>
  <c r="E65" i="4"/>
  <c r="D65" i="4"/>
  <c r="C65" i="4"/>
  <c r="A9" i="4"/>
  <c r="A8" i="4"/>
  <c r="A7" i="4"/>
  <c r="U71" i="3"/>
  <c r="T71" i="3"/>
  <c r="S71" i="3"/>
  <c r="R71" i="3"/>
  <c r="Q71" i="3"/>
  <c r="P71" i="3"/>
  <c r="L71" i="3"/>
  <c r="K71" i="3"/>
  <c r="J71" i="3"/>
  <c r="I71" i="3"/>
  <c r="H71" i="3"/>
  <c r="G71" i="3"/>
  <c r="F71" i="3"/>
  <c r="E71" i="3"/>
  <c r="D71" i="3"/>
  <c r="C71" i="3"/>
  <c r="U70" i="3"/>
  <c r="T70" i="3"/>
  <c r="S70" i="3"/>
  <c r="R70" i="3"/>
  <c r="Q70" i="3"/>
  <c r="P70" i="3"/>
  <c r="L70" i="3"/>
  <c r="K70" i="3"/>
  <c r="J70" i="3"/>
  <c r="I70" i="3"/>
  <c r="H70" i="3"/>
  <c r="G70" i="3"/>
  <c r="F70" i="3"/>
  <c r="E70" i="3"/>
  <c r="D70" i="3"/>
  <c r="C70" i="3"/>
  <c r="U69" i="3"/>
  <c r="T69" i="3"/>
  <c r="S69" i="3"/>
  <c r="R69" i="3"/>
  <c r="Q69" i="3"/>
  <c r="P69" i="3"/>
  <c r="L69" i="3"/>
  <c r="K69" i="3"/>
  <c r="J69" i="3"/>
  <c r="I69" i="3"/>
  <c r="H69" i="3"/>
  <c r="G69" i="3"/>
  <c r="F69" i="3"/>
  <c r="E69" i="3"/>
  <c r="D69" i="3"/>
  <c r="C69" i="3"/>
  <c r="U66" i="3"/>
  <c r="T66" i="3"/>
  <c r="S66" i="3"/>
  <c r="R66" i="3"/>
  <c r="Q66" i="3"/>
  <c r="P66" i="3"/>
  <c r="L66" i="3"/>
  <c r="K66" i="3"/>
  <c r="J66" i="3"/>
  <c r="I66" i="3"/>
  <c r="H66" i="3"/>
  <c r="G66" i="3"/>
  <c r="F66" i="3"/>
  <c r="E66" i="3"/>
  <c r="D66" i="3"/>
  <c r="C66" i="3"/>
  <c r="U65" i="3"/>
  <c r="T65" i="3"/>
  <c r="S65" i="3"/>
  <c r="R65" i="3"/>
  <c r="Q65" i="3"/>
  <c r="P65" i="3"/>
  <c r="L65" i="3"/>
  <c r="K65" i="3"/>
  <c r="J65" i="3"/>
  <c r="I65" i="3"/>
  <c r="H65" i="3"/>
  <c r="G65" i="3"/>
  <c r="F65" i="3"/>
  <c r="E65" i="3"/>
  <c r="D65" i="3"/>
  <c r="C65" i="3"/>
  <c r="U64" i="3"/>
  <c r="T64" i="3"/>
  <c r="S64" i="3"/>
  <c r="R64" i="3"/>
  <c r="Q64" i="3"/>
  <c r="P64" i="3"/>
  <c r="L64" i="3"/>
  <c r="K64" i="3"/>
  <c r="J64" i="3"/>
  <c r="I64" i="3"/>
  <c r="H64" i="3"/>
  <c r="G64" i="3"/>
  <c r="F64" i="3"/>
  <c r="E64" i="3"/>
  <c r="D64" i="3"/>
  <c r="C64" i="3"/>
  <c r="U63" i="3"/>
  <c r="T63" i="3"/>
  <c r="S63" i="3"/>
  <c r="R63" i="3"/>
  <c r="Q63" i="3"/>
  <c r="P63" i="3"/>
  <c r="L63" i="3"/>
  <c r="K63" i="3"/>
  <c r="J63" i="3"/>
  <c r="I63" i="3"/>
  <c r="H63" i="3"/>
  <c r="G63" i="3"/>
  <c r="F63" i="3"/>
  <c r="E63" i="3"/>
  <c r="D63" i="3"/>
  <c r="C63" i="3"/>
  <c r="U62" i="3"/>
  <c r="T62" i="3"/>
  <c r="S62" i="3"/>
  <c r="R62" i="3"/>
  <c r="Q62" i="3"/>
  <c r="P62" i="3"/>
  <c r="L62" i="3"/>
  <c r="K62" i="3"/>
  <c r="J62" i="3"/>
  <c r="I62" i="3"/>
  <c r="H62" i="3"/>
  <c r="G62" i="3"/>
  <c r="F62" i="3"/>
  <c r="E62" i="3"/>
  <c r="D62" i="3"/>
  <c r="C62" i="3"/>
  <c r="U61" i="3"/>
  <c r="T61" i="3"/>
  <c r="S61" i="3"/>
  <c r="R61" i="3"/>
  <c r="Q61" i="3"/>
  <c r="P61" i="3"/>
  <c r="L61" i="3"/>
  <c r="K61" i="3"/>
  <c r="J61" i="3"/>
  <c r="I61" i="3"/>
  <c r="H61" i="3"/>
  <c r="G61" i="3"/>
  <c r="F61" i="3"/>
  <c r="E61" i="3"/>
  <c r="D61" i="3"/>
  <c r="C61" i="3"/>
  <c r="U60" i="3"/>
  <c r="T60" i="3"/>
  <c r="S60" i="3"/>
  <c r="R60" i="3"/>
  <c r="Q60" i="3"/>
  <c r="P60" i="3"/>
  <c r="L60" i="3"/>
  <c r="K60" i="3"/>
  <c r="J60" i="3"/>
  <c r="I60" i="3"/>
  <c r="H60" i="3"/>
  <c r="G60" i="3"/>
  <c r="F60" i="3"/>
  <c r="E60" i="3"/>
  <c r="D60" i="3"/>
  <c r="C60" i="3"/>
  <c r="U59" i="3"/>
  <c r="T59" i="3"/>
  <c r="S59" i="3"/>
  <c r="R59" i="3"/>
  <c r="Q59" i="3"/>
  <c r="P59" i="3"/>
  <c r="L59" i="3"/>
  <c r="K59" i="3"/>
  <c r="J59" i="3"/>
  <c r="I59" i="3"/>
  <c r="H59" i="3"/>
  <c r="G59" i="3"/>
  <c r="F59" i="3"/>
  <c r="E59" i="3"/>
  <c r="D59" i="3"/>
  <c r="C59" i="3"/>
  <c r="A9" i="3"/>
  <c r="A8" i="3"/>
  <c r="A7" i="3"/>
  <c r="U53" i="2"/>
  <c r="T53" i="2"/>
  <c r="S53" i="2"/>
  <c r="R53" i="2"/>
  <c r="Q53" i="2"/>
  <c r="P53" i="2"/>
  <c r="L53" i="2"/>
  <c r="K53" i="2"/>
  <c r="J53" i="2"/>
  <c r="I53" i="2"/>
  <c r="H53" i="2"/>
  <c r="G53" i="2"/>
  <c r="F53" i="2"/>
  <c r="E53" i="2"/>
  <c r="D53" i="2"/>
  <c r="C53" i="2"/>
  <c r="U52" i="2"/>
  <c r="T52" i="2"/>
  <c r="S52" i="2"/>
  <c r="R52" i="2"/>
  <c r="Q52" i="2"/>
  <c r="P52" i="2"/>
  <c r="L52" i="2"/>
  <c r="K52" i="2"/>
  <c r="J52" i="2"/>
  <c r="I52" i="2"/>
  <c r="H52" i="2"/>
  <c r="G52" i="2"/>
  <c r="F52" i="2"/>
  <c r="E52" i="2"/>
  <c r="D52" i="2"/>
  <c r="C52" i="2"/>
  <c r="U51" i="2"/>
  <c r="T51" i="2"/>
  <c r="S51" i="2"/>
  <c r="R51" i="2"/>
  <c r="Q51" i="2"/>
  <c r="P51" i="2"/>
  <c r="L51" i="2"/>
  <c r="K51" i="2"/>
  <c r="J51" i="2"/>
  <c r="I51" i="2"/>
  <c r="H51" i="2"/>
  <c r="G51" i="2"/>
  <c r="F51" i="2"/>
  <c r="E51" i="2"/>
  <c r="D51" i="2"/>
  <c r="C51" i="2"/>
  <c r="U50" i="2"/>
  <c r="T50" i="2"/>
  <c r="S50" i="2"/>
  <c r="R50" i="2"/>
  <c r="Q50" i="2"/>
  <c r="P50" i="2"/>
  <c r="L50" i="2"/>
  <c r="K50" i="2"/>
  <c r="J50" i="2"/>
  <c r="I50" i="2"/>
  <c r="H50" i="2"/>
  <c r="G50" i="2"/>
  <c r="F50" i="2"/>
  <c r="E50" i="2"/>
  <c r="D50" i="2"/>
  <c r="C50" i="2"/>
  <c r="U49" i="2"/>
  <c r="T49" i="2"/>
  <c r="S49" i="2"/>
  <c r="R49" i="2"/>
  <c r="Q49" i="2"/>
  <c r="P49" i="2"/>
  <c r="L49" i="2"/>
  <c r="K49" i="2"/>
  <c r="J49" i="2"/>
  <c r="I49" i="2"/>
  <c r="H49" i="2"/>
  <c r="G49" i="2"/>
  <c r="F49" i="2"/>
  <c r="E49" i="2"/>
  <c r="D49" i="2"/>
  <c r="C49" i="2"/>
  <c r="U48" i="2"/>
  <c r="T48" i="2"/>
  <c r="S48" i="2"/>
  <c r="R48" i="2"/>
  <c r="Q48" i="2"/>
  <c r="P48" i="2"/>
  <c r="L48" i="2"/>
  <c r="K48" i="2"/>
  <c r="J48" i="2"/>
  <c r="I48" i="2"/>
  <c r="H48" i="2"/>
  <c r="G48" i="2"/>
  <c r="F48" i="2"/>
  <c r="E48" i="2"/>
  <c r="D48" i="2"/>
  <c r="C48" i="2"/>
  <c r="L34" i="2"/>
  <c r="N607" i="13" s="1"/>
  <c r="N27" i="14" s="1"/>
  <c r="K34" i="2"/>
  <c r="M607" i="13" s="1"/>
  <c r="M27" i="14" s="1"/>
  <c r="J34" i="2"/>
  <c r="L607" i="13" s="1"/>
  <c r="L27" i="14" s="1"/>
  <c r="I34" i="2"/>
  <c r="K607" i="13" s="1"/>
  <c r="K27" i="14" s="1"/>
  <c r="H34" i="2"/>
  <c r="J607" i="13" s="1"/>
  <c r="J27" i="14" s="1"/>
  <c r="G34" i="2"/>
  <c r="F34" i="2"/>
  <c r="E34" i="2"/>
  <c r="D34" i="2"/>
  <c r="U33" i="2"/>
  <c r="T33" i="2"/>
  <c r="S33" i="2"/>
  <c r="R33" i="2"/>
  <c r="Q33" i="2"/>
  <c r="P33" i="2"/>
  <c r="L33" i="2"/>
  <c r="K33" i="2"/>
  <c r="J33" i="2"/>
  <c r="I33" i="2"/>
  <c r="H33" i="2"/>
  <c r="G33" i="2"/>
  <c r="F33" i="2"/>
  <c r="E33" i="2"/>
  <c r="D33" i="2"/>
  <c r="C33" i="2"/>
  <c r="U27" i="2"/>
  <c r="T27" i="2"/>
  <c r="S27" i="2"/>
  <c r="R27" i="2"/>
  <c r="Q27" i="2"/>
  <c r="P27" i="2"/>
  <c r="L27" i="2"/>
  <c r="N603" i="13" s="1"/>
  <c r="N591" i="13" s="1"/>
  <c r="K27" i="2"/>
  <c r="M603" i="13" s="1"/>
  <c r="M591" i="13" s="1"/>
  <c r="J27" i="2"/>
  <c r="L603" i="13" s="1"/>
  <c r="L591" i="13" s="1"/>
  <c r="I27" i="2"/>
  <c r="K603" i="13" s="1"/>
  <c r="K591" i="13" s="1"/>
  <c r="H27" i="2"/>
  <c r="J603" i="13" s="1"/>
  <c r="J591" i="13" s="1"/>
  <c r="G27" i="2"/>
  <c r="F27" i="2"/>
  <c r="E27" i="2"/>
  <c r="D27" i="2"/>
  <c r="C27" i="2"/>
  <c r="L20" i="2"/>
  <c r="K20" i="2"/>
  <c r="J20" i="2"/>
  <c r="I20" i="2"/>
  <c r="H20" i="2"/>
  <c r="G20" i="2"/>
  <c r="F20" i="2"/>
  <c r="E20" i="2"/>
  <c r="D20" i="2"/>
  <c r="U19" i="2"/>
  <c r="T19" i="2"/>
  <c r="S19" i="2"/>
  <c r="R19" i="2"/>
  <c r="Q19" i="2"/>
  <c r="P19" i="2"/>
  <c r="L19" i="2"/>
  <c r="K19" i="2"/>
  <c r="J19" i="2"/>
  <c r="I19" i="2"/>
  <c r="H19" i="2"/>
  <c r="G19" i="2"/>
  <c r="F19" i="2"/>
  <c r="E19" i="2"/>
  <c r="D19" i="2"/>
  <c r="C19" i="2"/>
  <c r="U15" i="2"/>
  <c r="T15" i="2"/>
  <c r="S15" i="2"/>
  <c r="R15" i="2"/>
  <c r="Q15" i="2"/>
  <c r="P15" i="2"/>
  <c r="L15" i="2"/>
  <c r="K15" i="2"/>
  <c r="J15" i="2"/>
  <c r="I15" i="2"/>
  <c r="H15" i="2"/>
  <c r="G15" i="2"/>
  <c r="F15" i="2"/>
  <c r="E15" i="2"/>
  <c r="D15" i="2"/>
  <c r="C15" i="2"/>
  <c r="L12" i="2"/>
  <c r="K12" i="2"/>
  <c r="J12" i="2"/>
  <c r="I12" i="2"/>
  <c r="H12" i="2"/>
  <c r="G12" i="2"/>
  <c r="F12" i="2"/>
  <c r="E12" i="2"/>
  <c r="D12" i="2"/>
  <c r="A8" i="2"/>
  <c r="A7" i="2"/>
  <c r="C18" i="15"/>
  <c r="H46" i="14" l="1"/>
  <c r="D663" i="13"/>
  <c r="C49" i="14"/>
  <c r="M23" i="13"/>
  <c r="M22" i="13"/>
  <c r="U22" i="13"/>
  <c r="Q603" i="13"/>
  <c r="K30" i="13"/>
  <c r="S18" i="13"/>
  <c r="S54" i="13" s="1"/>
  <c r="K63" i="13"/>
  <c r="K75" i="4"/>
  <c r="D56" i="13"/>
  <c r="E56" i="13" s="1"/>
  <c r="F56" i="13" s="1"/>
  <c r="G56" i="13" s="1"/>
  <c r="H56" i="13" s="1"/>
  <c r="N157" i="13"/>
  <c r="C622" i="13"/>
  <c r="R13" i="13"/>
  <c r="R50" i="13" s="1"/>
  <c r="I72" i="3"/>
  <c r="H88" i="7"/>
  <c r="G27" i="13"/>
  <c r="N126" i="13"/>
  <c r="N154" i="13"/>
  <c r="U157" i="13"/>
  <c r="S44" i="7"/>
  <c r="V30" i="13"/>
  <c r="P657" i="13"/>
  <c r="N20" i="13"/>
  <c r="W30" i="13"/>
  <c r="Q657" i="13"/>
  <c r="Q77" i="4"/>
  <c r="V13" i="13"/>
  <c r="V50" i="13" s="1"/>
  <c r="C43" i="13"/>
  <c r="D43" i="13" s="1"/>
  <c r="C526" i="13" s="1"/>
  <c r="J74" i="4"/>
  <c r="C13" i="13"/>
  <c r="W23" i="13"/>
  <c r="S115" i="13"/>
  <c r="L72" i="3"/>
  <c r="P72" i="3"/>
  <c r="K38" i="7"/>
  <c r="K39" i="7" s="1"/>
  <c r="L88" i="7"/>
  <c r="J88" i="7"/>
  <c r="Q49" i="13"/>
  <c r="Q63" i="13" s="1"/>
  <c r="Q72" i="3"/>
  <c r="R38" i="7"/>
  <c r="R39" i="7" s="1"/>
  <c r="N13" i="13"/>
  <c r="N50" i="13" s="1"/>
  <c r="N528" i="13" s="1"/>
  <c r="P40" i="7"/>
  <c r="I81" i="7"/>
  <c r="N648" i="13"/>
  <c r="R40" i="7"/>
  <c r="D30" i="13"/>
  <c r="C644" i="13"/>
  <c r="P77" i="4"/>
  <c r="I38" i="7"/>
  <c r="I39" i="7" s="1"/>
  <c r="D88" i="7"/>
  <c r="U88" i="7"/>
  <c r="J30" i="13"/>
  <c r="N101" i="13"/>
  <c r="D644" i="13"/>
  <c r="E664" i="13"/>
  <c r="F664" i="13" s="1"/>
  <c r="G664" i="13" s="1"/>
  <c r="H664" i="13" s="1"/>
  <c r="L75" i="4"/>
  <c r="S77" i="4"/>
  <c r="C17" i="13"/>
  <c r="T101" i="13"/>
  <c r="M126" i="13"/>
  <c r="T157" i="13"/>
  <c r="L87" i="13"/>
  <c r="V101" i="13"/>
  <c r="L143" i="13"/>
  <c r="V157" i="13"/>
  <c r="F283" i="13"/>
  <c r="C486" i="13" s="1"/>
  <c r="E82" i="7"/>
  <c r="S63" i="13"/>
  <c r="M115" i="13"/>
  <c r="W126" i="13"/>
  <c r="M143" i="13"/>
  <c r="P603" i="13"/>
  <c r="E638" i="13"/>
  <c r="G82" i="7"/>
  <c r="D22" i="13"/>
  <c r="S61" i="13"/>
  <c r="N87" i="13"/>
  <c r="V87" i="13"/>
  <c r="N115" i="13"/>
  <c r="N143" i="13"/>
  <c r="J22" i="13"/>
  <c r="R115" i="13"/>
  <c r="R143" i="13"/>
  <c r="W143" i="13"/>
  <c r="M157" i="13"/>
  <c r="C673" i="13"/>
  <c r="C682" i="13" s="1"/>
  <c r="C638" i="13" s="1"/>
  <c r="C683" i="13"/>
  <c r="C636" i="13"/>
  <c r="D82" i="7"/>
  <c r="H74" i="4"/>
  <c r="H61" i="7"/>
  <c r="S22" i="13"/>
  <c r="V98" i="13"/>
  <c r="L639" i="13"/>
  <c r="K72" i="3"/>
  <c r="H72" i="4"/>
  <c r="C23" i="13"/>
  <c r="U87" i="13"/>
  <c r="W98" i="13"/>
  <c r="J75" i="4"/>
  <c r="H81" i="7"/>
  <c r="L20" i="13"/>
  <c r="L38" i="7"/>
  <c r="F82" i="7"/>
  <c r="N30" i="13"/>
  <c r="H30" i="13"/>
  <c r="C251" i="13" s="1"/>
  <c r="Q88" i="7"/>
  <c r="R63" i="13"/>
  <c r="L40" i="7"/>
  <c r="K23" i="13"/>
  <c r="U115" i="13"/>
  <c r="S143" i="13"/>
  <c r="V154" i="13"/>
  <c r="J334" i="13"/>
  <c r="J335" i="13" s="1"/>
  <c r="F644" i="13"/>
  <c r="F77" i="4"/>
  <c r="L77" i="4"/>
  <c r="Q40" i="7"/>
  <c r="T22" i="13"/>
  <c r="L23" i="13"/>
  <c r="S30" i="13"/>
  <c r="M101" i="13"/>
  <c r="V115" i="13"/>
  <c r="H644" i="13"/>
  <c r="E663" i="13"/>
  <c r="E77" i="4"/>
  <c r="T72" i="3"/>
  <c r="S129" i="13"/>
  <c r="G638" i="13"/>
  <c r="F663" i="13"/>
  <c r="F45" i="14"/>
  <c r="C72" i="3"/>
  <c r="R72" i="3"/>
  <c r="G77" i="4"/>
  <c r="L81" i="7"/>
  <c r="R101" i="13"/>
  <c r="L129" i="13"/>
  <c r="T129" i="13"/>
  <c r="K425" i="13"/>
  <c r="H638" i="13"/>
  <c r="H663" i="13"/>
  <c r="H77" i="4"/>
  <c r="R77" i="4"/>
  <c r="P23" i="13"/>
  <c r="H72" i="3"/>
  <c r="F74" i="4"/>
  <c r="J77" i="4"/>
  <c r="I44" i="7"/>
  <c r="F61" i="7"/>
  <c r="D81" i="7"/>
  <c r="Q22" i="13"/>
  <c r="C46" i="14"/>
  <c r="G74" i="4"/>
  <c r="K44" i="7"/>
  <c r="G61" i="7"/>
  <c r="D17" i="13"/>
  <c r="L18" i="13"/>
  <c r="L54" i="13" s="1"/>
  <c r="L532" i="13" s="1"/>
  <c r="R22" i="13"/>
  <c r="N98" i="13"/>
  <c r="U101" i="13"/>
  <c r="R157" i="13"/>
  <c r="K639" i="13"/>
  <c r="G46" i="14"/>
  <c r="I24" i="12"/>
  <c r="I25" i="12" s="1"/>
  <c r="K21" i="12"/>
  <c r="K24" i="12"/>
  <c r="K25" i="12" s="1"/>
  <c r="C345" i="13"/>
  <c r="C62" i="13"/>
  <c r="C64" i="14"/>
  <c r="C45" i="14"/>
  <c r="E72" i="3"/>
  <c r="F75" i="4"/>
  <c r="L39" i="7"/>
  <c r="K59" i="7"/>
  <c r="K82" i="7" s="1"/>
  <c r="U55" i="13"/>
  <c r="L115" i="13"/>
  <c r="W140" i="13"/>
  <c r="M154" i="13"/>
  <c r="E237" i="13"/>
  <c r="L385" i="13"/>
  <c r="L386" i="13" s="1"/>
  <c r="L390" i="13" s="1"/>
  <c r="L425" i="13"/>
  <c r="Q648" i="13"/>
  <c r="L59" i="7"/>
  <c r="L82" i="7" s="1"/>
  <c r="S88" i="7"/>
  <c r="K61" i="13"/>
  <c r="L63" i="13"/>
  <c r="S101" i="13"/>
  <c r="M385" i="13"/>
  <c r="M386" i="13" s="1"/>
  <c r="M390" i="13" s="1"/>
  <c r="F72" i="3"/>
  <c r="G72" i="3"/>
  <c r="C38" i="7"/>
  <c r="C39" i="7" s="1"/>
  <c r="T38" i="7"/>
  <c r="T39" i="7" s="1"/>
  <c r="E61" i="7"/>
  <c r="C88" i="7"/>
  <c r="T88" i="7"/>
  <c r="R88" i="7"/>
  <c r="N22" i="13"/>
  <c r="E17" i="13"/>
  <c r="E12" i="13" s="1"/>
  <c r="E282" i="13" s="1"/>
  <c r="L61" i="13"/>
  <c r="V126" i="13"/>
  <c r="N385" i="13"/>
  <c r="N386" i="13" s="1"/>
  <c r="N390" i="13" s="1"/>
  <c r="C681" i="13"/>
  <c r="R61" i="13"/>
  <c r="N63" i="13"/>
  <c r="C77" i="4"/>
  <c r="T77" i="4"/>
  <c r="E81" i="7"/>
  <c r="E88" i="7"/>
  <c r="U11" i="13"/>
  <c r="D13" i="13"/>
  <c r="R18" i="13"/>
  <c r="R54" i="13" s="1"/>
  <c r="D20" i="13"/>
  <c r="N61" i="13"/>
  <c r="L30" i="13"/>
  <c r="V49" i="13"/>
  <c r="V61" i="13" s="1"/>
  <c r="W84" i="13"/>
  <c r="M98" i="13"/>
  <c r="M112" i="13"/>
  <c r="U143" i="13"/>
  <c r="W154" i="13"/>
  <c r="C390" i="13"/>
  <c r="C395" i="13" s="1"/>
  <c r="E644" i="13"/>
  <c r="D45" i="14"/>
  <c r="J72" i="3"/>
  <c r="D77" i="4"/>
  <c r="U77" i="4"/>
  <c r="G12" i="13"/>
  <c r="M30" i="13"/>
  <c r="K648" i="13"/>
  <c r="G38" i="7"/>
  <c r="G39" i="7" s="1"/>
  <c r="D38" i="7"/>
  <c r="D39" i="7" s="1"/>
  <c r="G88" i="7"/>
  <c r="K13" i="13"/>
  <c r="K50" i="13" s="1"/>
  <c r="K528" i="13" s="1"/>
  <c r="T18" i="13"/>
  <c r="T54" i="13" s="1"/>
  <c r="M648" i="13"/>
  <c r="V18" i="13"/>
  <c r="V54" i="13" s="1"/>
  <c r="M140" i="13"/>
  <c r="F72" i="4"/>
  <c r="L13" i="13"/>
  <c r="L50" i="13" s="1"/>
  <c r="L528" i="13" s="1"/>
  <c r="R23" i="13"/>
  <c r="M87" i="13"/>
  <c r="C50" i="14"/>
  <c r="M13" i="13"/>
  <c r="M50" i="13" s="1"/>
  <c r="M528" i="13" s="1"/>
  <c r="R30" i="13"/>
  <c r="C47" i="13"/>
  <c r="T23" i="13"/>
  <c r="C44" i="13"/>
  <c r="C48" i="13" s="1"/>
  <c r="R87" i="13"/>
  <c r="W87" i="13"/>
  <c r="M129" i="13"/>
  <c r="U129" i="13"/>
  <c r="V143" i="13"/>
  <c r="M639" i="13"/>
  <c r="F40" i="7"/>
  <c r="U44" i="7"/>
  <c r="P18" i="13"/>
  <c r="P54" i="13" s="1"/>
  <c r="R20" i="13"/>
  <c r="U23" i="13"/>
  <c r="P55" i="13"/>
  <c r="M84" i="13"/>
  <c r="S87" i="13"/>
  <c r="N129" i="13"/>
  <c r="V129" i="13"/>
  <c r="S157" i="13"/>
  <c r="C332" i="13"/>
  <c r="K661" i="13"/>
  <c r="F81" i="7"/>
  <c r="L72" i="4"/>
  <c r="C20" i="12"/>
  <c r="L74" i="4"/>
  <c r="K77" i="4"/>
  <c r="C21" i="12"/>
  <c r="P38" i="7"/>
  <c r="G40" i="7"/>
  <c r="C81" i="7"/>
  <c r="P88" i="7"/>
  <c r="K88" i="7"/>
  <c r="T20" i="13"/>
  <c r="V22" i="13"/>
  <c r="J63" i="13"/>
  <c r="R129" i="13"/>
  <c r="W129" i="13"/>
  <c r="J425" i="13"/>
  <c r="P629" i="13"/>
  <c r="N720" i="13"/>
  <c r="N638" i="13" s="1"/>
  <c r="K74" i="4"/>
  <c r="D72" i="3"/>
  <c r="U72" i="3"/>
  <c r="S72" i="3"/>
  <c r="D75" i="4"/>
  <c r="C24" i="12"/>
  <c r="C25" i="12" s="1"/>
  <c r="J59" i="7"/>
  <c r="J82" i="7" s="1"/>
  <c r="W22" i="13"/>
  <c r="T55" i="13"/>
  <c r="J385" i="13"/>
  <c r="J386" i="13" s="1"/>
  <c r="J390" i="13" s="1"/>
  <c r="Q629" i="13"/>
  <c r="P648" i="13"/>
  <c r="E45" i="14"/>
  <c r="F64" i="14"/>
  <c r="G20" i="12"/>
  <c r="G22" i="12" s="1"/>
  <c r="G21" i="12"/>
  <c r="G24" i="12"/>
  <c r="G25" i="12" s="1"/>
  <c r="M629" i="13"/>
  <c r="M29" i="14" s="1"/>
  <c r="M28" i="14"/>
  <c r="M631" i="13"/>
  <c r="F24" i="12"/>
  <c r="F25" i="12" s="1"/>
  <c r="F20" i="12"/>
  <c r="F22" i="12" s="1"/>
  <c r="F21" i="12"/>
  <c r="D20" i="12"/>
  <c r="D21" i="12"/>
  <c r="D24" i="12"/>
  <c r="D25" i="12" s="1"/>
  <c r="E20" i="12"/>
  <c r="E22" i="12" s="1"/>
  <c r="E24" i="12"/>
  <c r="E25" i="12" s="1"/>
  <c r="E21" i="12"/>
  <c r="J20" i="12"/>
  <c r="J22" i="12" s="1"/>
  <c r="H38" i="7"/>
  <c r="H39" i="7" s="1"/>
  <c r="J40" i="7"/>
  <c r="H44" i="7"/>
  <c r="L125" i="9"/>
  <c r="L126" i="9" s="1"/>
  <c r="Q18" i="13"/>
  <c r="Q54" i="13" s="1"/>
  <c r="N55" i="13"/>
  <c r="J328" i="13"/>
  <c r="P22" i="13"/>
  <c r="P49" i="13"/>
  <c r="P63" i="13" s="1"/>
  <c r="C75" i="14"/>
  <c r="G701" i="13" s="1"/>
  <c r="C74" i="14"/>
  <c r="F701" i="13" s="1"/>
  <c r="C73" i="14"/>
  <c r="E701" i="13" s="1"/>
  <c r="C72" i="14"/>
  <c r="D701" i="13" s="1"/>
  <c r="B99" i="14"/>
  <c r="C71" i="14"/>
  <c r="C701" i="13" s="1"/>
  <c r="B98" i="14"/>
  <c r="B97" i="14"/>
  <c r="B96" i="14"/>
  <c r="B95" i="14"/>
  <c r="K20" i="12"/>
  <c r="H25" i="12"/>
  <c r="F38" i="7"/>
  <c r="F39" i="7" s="1"/>
  <c r="I59" i="7"/>
  <c r="I82" i="7" s="1"/>
  <c r="J80" i="7"/>
  <c r="S23" i="13"/>
  <c r="D761" i="13"/>
  <c r="D591" i="13" s="1"/>
  <c r="D603" i="13" s="1"/>
  <c r="G503" i="13"/>
  <c r="E756" i="13"/>
  <c r="E590" i="13" s="1"/>
  <c r="D580" i="13"/>
  <c r="D58" i="13" s="1"/>
  <c r="H580" i="13"/>
  <c r="H58" i="13" s="1"/>
  <c r="G580" i="13"/>
  <c r="G58" i="13" s="1"/>
  <c r="F580" i="13"/>
  <c r="F58" i="13" s="1"/>
  <c r="Q55" i="13"/>
  <c r="J38" i="7"/>
  <c r="J39" i="7" s="1"/>
  <c r="L80" i="7"/>
  <c r="Q11" i="13"/>
  <c r="P13" i="13"/>
  <c r="P50" i="13" s="1"/>
  <c r="C487" i="13"/>
  <c r="K385" i="13"/>
  <c r="K386" i="13" s="1"/>
  <c r="K390" i="13" s="1"/>
  <c r="S20" i="13"/>
  <c r="S55" i="13"/>
  <c r="L612" i="13"/>
  <c r="L33" i="14"/>
  <c r="L35" i="14"/>
  <c r="L34" i="14" s="1"/>
  <c r="L661" i="13"/>
  <c r="I61" i="7"/>
  <c r="C60" i="7"/>
  <c r="H17" i="13"/>
  <c r="H12" i="13" s="1"/>
  <c r="M612" i="13"/>
  <c r="M33" i="14"/>
  <c r="T40" i="7"/>
  <c r="T44" i="7"/>
  <c r="D60" i="7"/>
  <c r="K61" i="7"/>
  <c r="T11" i="13"/>
  <c r="S13" i="13"/>
  <c r="S50" i="13" s="1"/>
  <c r="C18" i="13"/>
  <c r="U20" i="13"/>
  <c r="E27" i="13"/>
  <c r="F27" i="13" s="1"/>
  <c r="C250" i="13" s="1"/>
  <c r="P30" i="13"/>
  <c r="N612" i="13"/>
  <c r="N33" i="14"/>
  <c r="N34" i="14"/>
  <c r="G756" i="13"/>
  <c r="G590" i="13" s="1"/>
  <c r="I74" i="4"/>
  <c r="D72" i="4"/>
  <c r="E72" i="4"/>
  <c r="C75" i="4"/>
  <c r="Q38" i="7"/>
  <c r="Q39" i="7" s="1"/>
  <c r="E60" i="7"/>
  <c r="F88" i="7"/>
  <c r="E278" i="13"/>
  <c r="E283" i="13" s="1"/>
  <c r="E298" i="13" s="1"/>
  <c r="T49" i="13"/>
  <c r="T61" i="13" s="1"/>
  <c r="T13" i="13"/>
  <c r="T50" i="13" s="1"/>
  <c r="D18" i="13"/>
  <c r="V23" i="13"/>
  <c r="V20" i="13"/>
  <c r="D23" i="13"/>
  <c r="G23" i="13" s="1"/>
  <c r="Q30" i="13"/>
  <c r="V55" i="13"/>
  <c r="N112" i="13"/>
  <c r="T115" i="13"/>
  <c r="E580" i="13"/>
  <c r="E58" i="13" s="1"/>
  <c r="J25" i="12"/>
  <c r="F60" i="7"/>
  <c r="J81" i="7"/>
  <c r="V11" i="13"/>
  <c r="F278" i="13"/>
  <c r="F280" i="13" s="1"/>
  <c r="U49" i="13"/>
  <c r="U18" i="13"/>
  <c r="U54" i="13" s="1"/>
  <c r="U13" i="13"/>
  <c r="U50" i="13" s="1"/>
  <c r="G19" i="13"/>
  <c r="W18" i="13"/>
  <c r="W54" i="13" s="1"/>
  <c r="W20" i="13"/>
  <c r="W55" i="13"/>
  <c r="F581" i="13"/>
  <c r="F61" i="13" s="1"/>
  <c r="K626" i="13"/>
  <c r="K628" i="13" s="1"/>
  <c r="H21" i="12"/>
  <c r="L22" i="12"/>
  <c r="J657" i="13"/>
  <c r="H60" i="7"/>
  <c r="J626" i="13"/>
  <c r="J628" i="13" s="1"/>
  <c r="G72" i="4"/>
  <c r="E75" i="4"/>
  <c r="I21" i="12"/>
  <c r="L24" i="12"/>
  <c r="L25" i="12" s="1"/>
  <c r="S38" i="7"/>
  <c r="S39" i="7" s="1"/>
  <c r="C40" i="7"/>
  <c r="C44" i="7"/>
  <c r="G60" i="7"/>
  <c r="K81" i="7"/>
  <c r="C11" i="13"/>
  <c r="W11" i="13"/>
  <c r="C20" i="13"/>
  <c r="C22" i="13"/>
  <c r="G21" i="13"/>
  <c r="C344" i="13"/>
  <c r="C64" i="13"/>
  <c r="G28" i="13"/>
  <c r="H34" i="13" s="1"/>
  <c r="J25" i="14"/>
  <c r="J527" i="13"/>
  <c r="K530" i="13"/>
  <c r="C591" i="13"/>
  <c r="C603" i="13" s="1"/>
  <c r="J21" i="12"/>
  <c r="D44" i="7"/>
  <c r="I60" i="7"/>
  <c r="I88" i="7"/>
  <c r="D11" i="13"/>
  <c r="W49" i="13"/>
  <c r="W63" i="13" s="1"/>
  <c r="W13" i="13"/>
  <c r="W50" i="13" s="1"/>
  <c r="J23" i="13"/>
  <c r="J18" i="13"/>
  <c r="J54" i="13" s="1"/>
  <c r="J532" i="13" s="1"/>
  <c r="J55" i="13"/>
  <c r="J530" i="13" s="1"/>
  <c r="T30" i="13"/>
  <c r="K527" i="13"/>
  <c r="K25" i="14"/>
  <c r="J61" i="13"/>
  <c r="W101" i="13"/>
  <c r="W115" i="13"/>
  <c r="W157" i="13"/>
  <c r="J60" i="7"/>
  <c r="L657" i="13"/>
  <c r="L626" i="13"/>
  <c r="L628" i="13" s="1"/>
  <c r="I72" i="4"/>
  <c r="C74" i="4"/>
  <c r="G75" i="4"/>
  <c r="E40" i="7"/>
  <c r="E38" i="7"/>
  <c r="E39" i="7" s="1"/>
  <c r="U38" i="7"/>
  <c r="U39" i="7" s="1"/>
  <c r="E44" i="7"/>
  <c r="G81" i="7"/>
  <c r="F80" i="7"/>
  <c r="M18" i="13"/>
  <c r="M54" i="13" s="1"/>
  <c r="M532" i="13" s="1"/>
  <c r="K18" i="13"/>
  <c r="K54" i="13" s="1"/>
  <c r="K532" i="13" s="1"/>
  <c r="K20" i="13"/>
  <c r="N23" i="13"/>
  <c r="E28" i="13"/>
  <c r="U30" i="13"/>
  <c r="L25" i="14"/>
  <c r="L527" i="13"/>
  <c r="L98" i="13"/>
  <c r="L154" i="13"/>
  <c r="C71" i="13"/>
  <c r="C348" i="13" s="1"/>
  <c r="I77" i="4"/>
  <c r="H20" i="12"/>
  <c r="H22" i="12" s="1"/>
  <c r="L21" i="12"/>
  <c r="L23" i="12" s="1"/>
  <c r="H40" i="7"/>
  <c r="C59" i="7"/>
  <c r="C82" i="7" s="1"/>
  <c r="H82" i="7"/>
  <c r="G80" i="7"/>
  <c r="N18" i="13"/>
  <c r="N54" i="13" s="1"/>
  <c r="N532" i="13" s="1"/>
  <c r="K22" i="13"/>
  <c r="C30" i="13"/>
  <c r="G30" i="13" s="1"/>
  <c r="M49" i="13"/>
  <c r="M61" i="13" s="1"/>
  <c r="V112" i="13"/>
  <c r="K335" i="13"/>
  <c r="M657" i="13"/>
  <c r="K60" i="7"/>
  <c r="J72" i="4"/>
  <c r="D74" i="4"/>
  <c r="H75" i="4"/>
  <c r="N626" i="13"/>
  <c r="N628" i="13" s="1"/>
  <c r="N657" i="13"/>
  <c r="L61" i="7"/>
  <c r="K72" i="4"/>
  <c r="E74" i="4"/>
  <c r="I75" i="4"/>
  <c r="I20" i="12"/>
  <c r="G44" i="7"/>
  <c r="D61" i="7"/>
  <c r="H80" i="7"/>
  <c r="M55" i="13"/>
  <c r="M20" i="13"/>
  <c r="L22" i="13"/>
  <c r="Q23" i="13"/>
  <c r="N25" i="14"/>
  <c r="N527" i="13"/>
  <c r="W112" i="13"/>
  <c r="F294" i="13"/>
  <c r="L531" i="13"/>
  <c r="L648" i="13"/>
  <c r="B65" i="14"/>
  <c r="C32" i="14"/>
  <c r="G45" i="14"/>
  <c r="G64" i="14"/>
  <c r="H45" i="14"/>
  <c r="H64" i="14"/>
  <c r="N84" i="13"/>
  <c r="L101" i="13"/>
  <c r="N140" i="13"/>
  <c r="L157" i="13"/>
  <c r="T87" i="13"/>
  <c r="T143" i="13"/>
  <c r="C666" i="13"/>
  <c r="G666" i="13"/>
  <c r="K612" i="13"/>
  <c r="N661" i="13"/>
  <c r="D666" i="13"/>
  <c r="M35" i="14"/>
  <c r="M34" i="14" s="1"/>
  <c r="E666" i="13"/>
  <c r="G10" i="13"/>
  <c r="G11" i="13" s="1"/>
  <c r="G29" i="13"/>
  <c r="H33" i="13" s="1"/>
  <c r="M425" i="13"/>
  <c r="C430" i="13"/>
  <c r="J35" i="14"/>
  <c r="J34" i="14" s="1"/>
  <c r="J648" i="13"/>
  <c r="F666" i="13"/>
  <c r="V84" i="13"/>
  <c r="V140" i="13"/>
  <c r="N425" i="13"/>
  <c r="K34" i="14"/>
  <c r="H666" i="13"/>
  <c r="E46" i="14"/>
  <c r="F46" i="14"/>
  <c r="C117" i="14"/>
  <c r="D638" i="13"/>
  <c r="H515" i="13" l="1"/>
  <c r="H52" i="13" s="1"/>
  <c r="G581" i="13"/>
  <c r="G61" i="13" s="1"/>
  <c r="C692" i="13"/>
  <c r="C54" i="14" s="1"/>
  <c r="D9" i="14" s="1"/>
  <c r="F515" i="13"/>
  <c r="F52" i="13" s="1"/>
  <c r="F766" i="13"/>
  <c r="F773" i="13" s="1"/>
  <c r="F508" i="13"/>
  <c r="H766" i="13"/>
  <c r="H773" i="13" s="1"/>
  <c r="H503" i="13"/>
  <c r="D515" i="13"/>
  <c r="D52" i="13" s="1"/>
  <c r="E761" i="13"/>
  <c r="E591" i="13" s="1"/>
  <c r="E603" i="13" s="1"/>
  <c r="H761" i="13"/>
  <c r="H591" i="13" s="1"/>
  <c r="H603" i="13" s="1"/>
  <c r="H756" i="13"/>
  <c r="H590" i="13" s="1"/>
  <c r="F503" i="13"/>
  <c r="H581" i="13"/>
  <c r="H61" i="13" s="1"/>
  <c r="D503" i="13"/>
  <c r="F756" i="13"/>
  <c r="F590" i="13" s="1"/>
  <c r="G761" i="13"/>
  <c r="G591" i="13" s="1"/>
  <c r="G603" i="13" s="1"/>
  <c r="D766" i="13"/>
  <c r="D773" i="13" s="1"/>
  <c r="E766" i="13"/>
  <c r="E773" i="13" s="1"/>
  <c r="D508" i="13"/>
  <c r="F298" i="13"/>
  <c r="C627" i="13"/>
  <c r="C628" i="13" s="1"/>
  <c r="C423" i="13"/>
  <c r="C425" i="13" s="1"/>
  <c r="C438" i="13" s="1"/>
  <c r="Q61" i="13"/>
  <c r="C351" i="13"/>
  <c r="C639" i="13"/>
  <c r="H508" i="13"/>
  <c r="D581" i="13"/>
  <c r="D61" i="13" s="1"/>
  <c r="K23" i="12"/>
  <c r="D756" i="13"/>
  <c r="D590" i="13" s="1"/>
  <c r="D599" i="13" s="1"/>
  <c r="E599" i="13" s="1"/>
  <c r="E508" i="13"/>
  <c r="E515" i="13"/>
  <c r="E52" i="13" s="1"/>
  <c r="G766" i="13"/>
  <c r="G773" i="13" s="1"/>
  <c r="F761" i="13"/>
  <c r="F591" i="13" s="1"/>
  <c r="F603" i="13" s="1"/>
  <c r="E581" i="13"/>
  <c r="E61" i="13" s="1"/>
  <c r="E503" i="13"/>
  <c r="C488" i="13"/>
  <c r="C490" i="13" s="1"/>
  <c r="C492" i="13" s="1"/>
  <c r="D23" i="12"/>
  <c r="G508" i="13"/>
  <c r="G513" i="13" s="1"/>
  <c r="G45" i="13" s="1"/>
  <c r="G515" i="13"/>
  <c r="G52" i="13" s="1"/>
  <c r="E13" i="13"/>
  <c r="H35" i="13"/>
  <c r="E280" i="13"/>
  <c r="C23" i="12"/>
  <c r="I23" i="12"/>
  <c r="I22" i="12"/>
  <c r="F28" i="13"/>
  <c r="C249" i="13" s="1"/>
  <c r="C22" i="12"/>
  <c r="C246" i="13"/>
  <c r="G13" i="13"/>
  <c r="V63" i="13"/>
  <c r="H23" i="12"/>
  <c r="G22" i="13"/>
  <c r="K328" i="13"/>
  <c r="G18" i="13"/>
  <c r="G20" i="13"/>
  <c r="C247" i="13"/>
  <c r="M530" i="13"/>
  <c r="M531" i="13"/>
  <c r="J28" i="14"/>
  <c r="J631" i="13"/>
  <c r="J629" i="13"/>
  <c r="J29" i="14" s="1"/>
  <c r="J23" i="12"/>
  <c r="P61" i="13"/>
  <c r="M527" i="13"/>
  <c r="M25" i="14"/>
  <c r="C640" i="13"/>
  <c r="K531" i="13"/>
  <c r="M63" i="13"/>
  <c r="W61" i="13"/>
  <c r="E284" i="13"/>
  <c r="K28" i="14"/>
  <c r="K629" i="13"/>
  <c r="K29" i="14" s="1"/>
  <c r="K631" i="13"/>
  <c r="T63" i="13"/>
  <c r="N530" i="13"/>
  <c r="N531" i="13"/>
  <c r="U61" i="13"/>
  <c r="U63" i="13"/>
  <c r="E23" i="12"/>
  <c r="F23" i="12"/>
  <c r="N629" i="13"/>
  <c r="N29" i="14" s="1"/>
  <c r="N28" i="14"/>
  <c r="N631" i="13"/>
  <c r="L629" i="13"/>
  <c r="L29" i="14" s="1"/>
  <c r="L631" i="13"/>
  <c r="L28" i="14"/>
  <c r="H13" i="13"/>
  <c r="C50" i="13" s="1"/>
  <c r="C528" i="13" s="1"/>
  <c r="C49" i="13"/>
  <c r="F12" i="13"/>
  <c r="C248" i="13" s="1"/>
  <c r="K22" i="12"/>
  <c r="D22" i="12"/>
  <c r="G23" i="12"/>
  <c r="F513" i="13" l="1"/>
  <c r="F45" i="13" s="1"/>
  <c r="H513" i="13"/>
  <c r="H45" i="13" s="1"/>
  <c r="D513" i="13"/>
  <c r="D45" i="13" s="1"/>
  <c r="E513" i="13"/>
  <c r="E45" i="13" s="1"/>
  <c r="D621" i="13"/>
  <c r="D622" i="13" s="1"/>
  <c r="D47" i="13"/>
  <c r="C28" i="14"/>
  <c r="C680" i="13"/>
  <c r="C631" i="13"/>
  <c r="C25" i="14"/>
  <c r="C493" i="13"/>
  <c r="D44" i="13"/>
  <c r="C527" i="13"/>
  <c r="C68" i="13"/>
  <c r="C581" i="13"/>
  <c r="C61" i="13"/>
  <c r="C588" i="13"/>
  <c r="E296" i="13"/>
  <c r="E295" i="13"/>
  <c r="E297" i="13"/>
  <c r="F13" i="13"/>
  <c r="F282" i="13"/>
  <c r="F284" i="13" s="1"/>
  <c r="C63" i="13"/>
  <c r="F599" i="13"/>
  <c r="E621" i="13"/>
  <c r="E622" i="13" s="1"/>
  <c r="C586" i="13"/>
  <c r="C641" i="13"/>
  <c r="E300" i="13" l="1"/>
  <c r="E301" i="13" s="1"/>
  <c r="E18" i="13" s="1"/>
  <c r="E234" i="13" s="1"/>
  <c r="C649" i="13"/>
  <c r="C650" i="13"/>
  <c r="D636" i="13"/>
  <c r="C31" i="14"/>
  <c r="D48" i="13"/>
  <c r="D69" i="13" s="1"/>
  <c r="F296" i="13"/>
  <c r="F295" i="13"/>
  <c r="F297" i="13"/>
  <c r="C684" i="13"/>
  <c r="C686" i="13" s="1"/>
  <c r="C656" i="13" s="1"/>
  <c r="C657" i="13"/>
  <c r="G599" i="13"/>
  <c r="F621" i="13"/>
  <c r="F622" i="13" s="1"/>
  <c r="E19" i="13" l="1"/>
  <c r="E302" i="13"/>
  <c r="F300" i="13"/>
  <c r="D49" i="13"/>
  <c r="D639" i="13"/>
  <c r="C36" i="14"/>
  <c r="C661" i="13"/>
  <c r="C651" i="13"/>
  <c r="C37" i="14" s="1"/>
  <c r="C47" i="14" s="1"/>
  <c r="C35" i="14"/>
  <c r="E20" i="13"/>
  <c r="G621" i="13"/>
  <c r="G622" i="13" s="1"/>
  <c r="H599" i="13"/>
  <c r="H621" i="13" s="1"/>
  <c r="H622" i="13" s="1"/>
  <c r="C48" i="14" l="1"/>
  <c r="C65" i="14"/>
  <c r="F302" i="13"/>
  <c r="F301" i="13"/>
  <c r="F18" i="13" s="1"/>
  <c r="E235" i="13" s="1"/>
  <c r="F19" i="13"/>
  <c r="D25" i="14"/>
  <c r="D71" i="13"/>
  <c r="D64" i="13"/>
  <c r="E44" i="13"/>
  <c r="D527" i="13"/>
  <c r="D62" i="13"/>
  <c r="D50" i="13"/>
  <c r="D528" i="13" s="1"/>
  <c r="D68" i="13"/>
  <c r="D625" i="13"/>
  <c r="E48" i="13" l="1"/>
  <c r="E69" i="13" s="1"/>
  <c r="F20" i="13"/>
  <c r="H19" i="13"/>
  <c r="H25" i="13" l="1"/>
  <c r="C55" i="13"/>
  <c r="H18" i="13"/>
  <c r="C54" i="13" s="1"/>
  <c r="C328" i="13"/>
  <c r="H20" i="13"/>
  <c r="C531" i="13" s="1"/>
  <c r="E49" i="13"/>
  <c r="C532" i="13" l="1"/>
  <c r="E25" i="14"/>
  <c r="E62" i="13"/>
  <c r="E527" i="13"/>
  <c r="E71" i="13"/>
  <c r="E50" i="13"/>
  <c r="E528" i="13" s="1"/>
  <c r="F44" i="13"/>
  <c r="E68" i="13"/>
  <c r="E64" i="13"/>
  <c r="E625" i="13"/>
  <c r="C530" i="13"/>
  <c r="C494" i="13"/>
  <c r="C495" i="13" s="1"/>
  <c r="D53" i="13" s="1"/>
  <c r="D54" i="13" s="1"/>
  <c r="C57" i="13"/>
  <c r="C340" i="13"/>
  <c r="D532" i="13" l="1"/>
  <c r="E54" i="13"/>
  <c r="D55" i="13"/>
  <c r="F48" i="13"/>
  <c r="F69" i="13" s="1"/>
  <c r="C341" i="13"/>
  <c r="C397" i="13" s="1"/>
  <c r="C398" i="13" s="1"/>
  <c r="C59" i="13"/>
  <c r="C72" i="13" s="1"/>
  <c r="C596" i="13"/>
  <c r="C602" i="13" s="1"/>
  <c r="C534" i="13"/>
  <c r="C536" i="13"/>
  <c r="C604" i="13" l="1"/>
  <c r="C606" i="13" s="1"/>
  <c r="C329" i="13"/>
  <c r="D530" i="13"/>
  <c r="D531" i="13"/>
  <c r="D57" i="13"/>
  <c r="C619" i="13"/>
  <c r="C349" i="13"/>
  <c r="C342" i="13"/>
  <c r="C346" i="13" s="1"/>
  <c r="F49" i="13"/>
  <c r="E532" i="13"/>
  <c r="F54" i="13"/>
  <c r="E55" i="13"/>
  <c r="E531" i="13" l="1"/>
  <c r="E57" i="13"/>
  <c r="E530" i="13"/>
  <c r="C73" i="13"/>
  <c r="C396" i="13" s="1"/>
  <c r="C352" i="13"/>
  <c r="F532" i="13"/>
  <c r="G54" i="13"/>
  <c r="C611" i="13"/>
  <c r="C33" i="14" s="1"/>
  <c r="C26" i="14"/>
  <c r="C38" i="14" s="1"/>
  <c r="C620" i="13"/>
  <c r="C626" i="13" s="1"/>
  <c r="C630" i="13" s="1"/>
  <c r="C645" i="13"/>
  <c r="C646" i="13" s="1"/>
  <c r="C662" i="13" s="1"/>
  <c r="C665" i="13" s="1"/>
  <c r="C608" i="13"/>
  <c r="C610" i="13" s="1"/>
  <c r="C615" i="13" s="1"/>
  <c r="C629" i="13"/>
  <c r="C29" i="14" s="1"/>
  <c r="C775" i="13"/>
  <c r="C34" i="14" s="1"/>
  <c r="C648" i="13"/>
  <c r="F62" i="13"/>
  <c r="F71" i="13"/>
  <c r="F64" i="13"/>
  <c r="G44" i="13"/>
  <c r="F25" i="14"/>
  <c r="F55" i="13"/>
  <c r="F50" i="13"/>
  <c r="F528" i="13" s="1"/>
  <c r="F68" i="13"/>
  <c r="F527" i="13"/>
  <c r="F625" i="13"/>
  <c r="D535" i="13"/>
  <c r="D596" i="13"/>
  <c r="D602" i="13" s="1"/>
  <c r="D536" i="13"/>
  <c r="D59" i="13"/>
  <c r="D72" i="13" s="1"/>
  <c r="D619" i="13" s="1"/>
  <c r="D534" i="13"/>
  <c r="C333" i="13"/>
  <c r="C330" i="13"/>
  <c r="C335" i="13" l="1"/>
  <c r="C39" i="14"/>
  <c r="D656" i="13"/>
  <c r="C667" i="13"/>
  <c r="C668" i="13" s="1"/>
  <c r="C40" i="14" s="1"/>
  <c r="F531" i="13"/>
  <c r="F530" i="13"/>
  <c r="F57" i="13"/>
  <c r="G532" i="13"/>
  <c r="H54" i="13"/>
  <c r="H532" i="13" s="1"/>
  <c r="E446" i="13"/>
  <c r="D446" i="13"/>
  <c r="F446" i="13"/>
  <c r="C446" i="13"/>
  <c r="C439" i="13"/>
  <c r="D604" i="13"/>
  <c r="D606" i="13" s="1"/>
  <c r="G48" i="13"/>
  <c r="G69" i="13" s="1"/>
  <c r="E59" i="13"/>
  <c r="E72" i="13" s="1"/>
  <c r="E619" i="13" s="1"/>
  <c r="E534" i="13"/>
  <c r="E596" i="13"/>
  <c r="E602" i="13" s="1"/>
  <c r="E536" i="13"/>
  <c r="E535" i="13"/>
  <c r="D649" i="13" l="1"/>
  <c r="D607" i="13"/>
  <c r="D27" i="14" s="1"/>
  <c r="D26" i="14"/>
  <c r="D608" i="13"/>
  <c r="D620" i="13"/>
  <c r="D626" i="13" s="1"/>
  <c r="D628" i="13" s="1"/>
  <c r="F59" i="13"/>
  <c r="F72" i="13" s="1"/>
  <c r="F619" i="13" s="1"/>
  <c r="F535" i="13"/>
  <c r="F596" i="13"/>
  <c r="F602" i="13" s="1"/>
  <c r="F534" i="13"/>
  <c r="F536" i="13"/>
  <c r="G49" i="13"/>
  <c r="E604" i="13"/>
  <c r="E606" i="13" s="1"/>
  <c r="E607" i="13" l="1"/>
  <c r="E27" i="14" s="1"/>
  <c r="E620" i="13"/>
  <c r="E626" i="13" s="1"/>
  <c r="E628" i="13" s="1"/>
  <c r="E649" i="13"/>
  <c r="E608" i="13"/>
  <c r="E26" i="14"/>
  <c r="D631" i="13"/>
  <c r="D629" i="13"/>
  <c r="D29" i="14" s="1"/>
  <c r="D28" i="14"/>
  <c r="D657" i="13"/>
  <c r="F604" i="13"/>
  <c r="F606" i="13" s="1"/>
  <c r="G25" i="14"/>
  <c r="G71" i="13"/>
  <c r="G64" i="13"/>
  <c r="H44" i="13"/>
  <c r="G62" i="13"/>
  <c r="G527" i="13"/>
  <c r="G55" i="13"/>
  <c r="G50" i="13"/>
  <c r="G528" i="13" s="1"/>
  <c r="G68" i="13"/>
  <c r="G625" i="13"/>
  <c r="D650" i="13"/>
  <c r="D775" i="13"/>
  <c r="D34" i="14" s="1"/>
  <c r="D35" i="14"/>
  <c r="D661" i="13" l="1"/>
  <c r="D771" i="13" s="1"/>
  <c r="D772" i="13" s="1"/>
  <c r="D774" i="13" s="1"/>
  <c r="D637" i="13" s="1"/>
  <c r="D36" i="14"/>
  <c r="H48" i="13"/>
  <c r="H69" i="13" s="1"/>
  <c r="E650" i="13"/>
  <c r="E775" i="13"/>
  <c r="E34" i="14" s="1"/>
  <c r="E35" i="14"/>
  <c r="F649" i="13"/>
  <c r="F620" i="13"/>
  <c r="F626" i="13" s="1"/>
  <c r="F628" i="13" s="1"/>
  <c r="F608" i="13"/>
  <c r="F26" i="14"/>
  <c r="F607" i="13"/>
  <c r="F27" i="14" s="1"/>
  <c r="E631" i="13"/>
  <c r="E657" i="13"/>
  <c r="E629" i="13"/>
  <c r="E29" i="14" s="1"/>
  <c r="E28" i="14"/>
  <c r="G531" i="13"/>
  <c r="G530" i="13"/>
  <c r="G57" i="13"/>
  <c r="G535" i="13" l="1"/>
  <c r="G596" i="13"/>
  <c r="G602" i="13" s="1"/>
  <c r="G534" i="13"/>
  <c r="G59" i="13"/>
  <c r="G72" i="13" s="1"/>
  <c r="G619" i="13" s="1"/>
  <c r="G536" i="13"/>
  <c r="H49" i="13"/>
  <c r="F28" i="14"/>
  <c r="F657" i="13"/>
  <c r="F631" i="13"/>
  <c r="F629" i="13"/>
  <c r="F29" i="14" s="1"/>
  <c r="D30" i="14"/>
  <c r="D640" i="13"/>
  <c r="F775" i="13"/>
  <c r="F34" i="14" s="1"/>
  <c r="F35" i="14"/>
  <c r="F650" i="13"/>
  <c r="E661" i="13"/>
  <c r="E36" i="14"/>
  <c r="D641" i="13" l="1"/>
  <c r="H25" i="14"/>
  <c r="C538" i="13"/>
  <c r="H527" i="13"/>
  <c r="H64" i="13"/>
  <c r="H62" i="13"/>
  <c r="H55" i="13"/>
  <c r="H71" i="13"/>
  <c r="H50" i="13"/>
  <c r="H528" i="13" s="1"/>
  <c r="H68" i="13"/>
  <c r="H625" i="13"/>
  <c r="G604" i="13"/>
  <c r="G606" i="13" s="1"/>
  <c r="F661" i="13"/>
  <c r="F36" i="14"/>
  <c r="H530" i="13" l="1"/>
  <c r="H531" i="13"/>
  <c r="H57" i="13"/>
  <c r="E636" i="13"/>
  <c r="D31" i="14"/>
  <c r="D38" i="14" s="1"/>
  <c r="D643" i="13"/>
  <c r="D645" i="13"/>
  <c r="D646" i="13" s="1"/>
  <c r="D662" i="13" s="1"/>
  <c r="D665" i="13" s="1"/>
  <c r="D651" i="13"/>
  <c r="D37" i="14" s="1"/>
  <c r="D47" i="14" s="1"/>
  <c r="G607" i="13"/>
  <c r="G27" i="14" s="1"/>
  <c r="G620" i="13"/>
  <c r="G626" i="13" s="1"/>
  <c r="G628" i="13" s="1"/>
  <c r="G608" i="13"/>
  <c r="G649" i="13"/>
  <c r="G26" i="14"/>
  <c r="D48" i="14" l="1"/>
  <c r="D65" i="14"/>
  <c r="E656" i="13"/>
  <c r="D39" i="14"/>
  <c r="D667" i="13"/>
  <c r="D668" i="13" s="1"/>
  <c r="D40" i="14" s="1"/>
  <c r="D32" i="14"/>
  <c r="D609" i="13"/>
  <c r="G650" i="13"/>
  <c r="G775" i="13"/>
  <c r="G34" i="14" s="1"/>
  <c r="G35" i="14"/>
  <c r="G28" i="14"/>
  <c r="G657" i="13"/>
  <c r="G631" i="13"/>
  <c r="G629" i="13"/>
  <c r="G29" i="14" s="1"/>
  <c r="E639" i="13"/>
  <c r="C539" i="13"/>
  <c r="H536" i="13"/>
  <c r="H534" i="13"/>
  <c r="H59" i="13"/>
  <c r="H72" i="13" s="1"/>
  <c r="H619" i="13" s="1"/>
  <c r="H535" i="13"/>
  <c r="H596" i="13"/>
  <c r="H602" i="13" s="1"/>
  <c r="G36" i="14" l="1"/>
  <c r="G661" i="13"/>
  <c r="E771" i="13"/>
  <c r="E772" i="13" s="1"/>
  <c r="E774" i="13" s="1"/>
  <c r="E637" i="13" s="1"/>
  <c r="H604" i="13"/>
  <c r="H606" i="13" s="1"/>
  <c r="D611" i="13"/>
  <c r="D610" i="13"/>
  <c r="H608" i="13" l="1"/>
  <c r="H649" i="13"/>
  <c r="H26" i="14"/>
  <c r="H607" i="13"/>
  <c r="H27" i="14" s="1"/>
  <c r="H620" i="13"/>
  <c r="H626" i="13" s="1"/>
  <c r="H628" i="13" s="1"/>
  <c r="D33" i="14"/>
  <c r="D612" i="13"/>
  <c r="E30" i="14"/>
  <c r="E640" i="13"/>
  <c r="H657" i="13" l="1"/>
  <c r="H631" i="13"/>
  <c r="H629" i="13"/>
  <c r="H29" i="14" s="1"/>
  <c r="H28" i="14"/>
  <c r="C51" i="14"/>
  <c r="E641" i="13"/>
  <c r="H35" i="14"/>
  <c r="H775" i="13"/>
  <c r="H34" i="14" s="1"/>
  <c r="H650" i="13"/>
  <c r="H661" i="13" l="1"/>
  <c r="H36" i="14"/>
  <c r="F636" i="13"/>
  <c r="E31" i="14"/>
  <c r="E38" i="14" s="1"/>
  <c r="E645" i="13"/>
  <c r="E646" i="13" s="1"/>
  <c r="E662" i="13" s="1"/>
  <c r="E665" i="13" s="1"/>
  <c r="E651" i="13"/>
  <c r="E37" i="14" s="1"/>
  <c r="E47" i="14" s="1"/>
  <c r="E643" i="13"/>
  <c r="E65" i="14" l="1"/>
  <c r="E48" i="14"/>
  <c r="F656" i="13"/>
  <c r="E39" i="14"/>
  <c r="E667" i="13"/>
  <c r="E668" i="13" s="1"/>
  <c r="E40" i="14" s="1"/>
  <c r="E32" i="14"/>
  <c r="E609" i="13"/>
  <c r="F639" i="13"/>
  <c r="E611" i="13" l="1"/>
  <c r="E610" i="13"/>
  <c r="F771" i="13"/>
  <c r="F772" i="13" s="1"/>
  <c r="F774" i="13" s="1"/>
  <c r="F637" i="13" s="1"/>
  <c r="F30" i="14" l="1"/>
  <c r="F640" i="13"/>
  <c r="E33" i="14"/>
  <c r="E612" i="13"/>
  <c r="F641" i="13" l="1"/>
  <c r="F31" i="14" l="1"/>
  <c r="F38" i="14" s="1"/>
  <c r="G636" i="13"/>
  <c r="F645" i="13"/>
  <c r="F646" i="13" s="1"/>
  <c r="F662" i="13" s="1"/>
  <c r="F665" i="13" s="1"/>
  <c r="F651" i="13"/>
  <c r="F37" i="14" s="1"/>
  <c r="F47" i="14" s="1"/>
  <c r="F643" i="13"/>
  <c r="F48" i="14" l="1"/>
  <c r="F65" i="14"/>
  <c r="G656" i="13"/>
  <c r="F39" i="14"/>
  <c r="F667" i="13"/>
  <c r="F668" i="13" s="1"/>
  <c r="F40" i="14" s="1"/>
  <c r="G639" i="13"/>
  <c r="F32" i="14"/>
  <c r="F609" i="13"/>
  <c r="F611" i="13" l="1"/>
  <c r="F610" i="13"/>
  <c r="G771" i="13"/>
  <c r="G772" i="13" s="1"/>
  <c r="G774" i="13" s="1"/>
  <c r="G637" i="13" s="1"/>
  <c r="G30" i="14" l="1"/>
  <c r="G640" i="13"/>
  <c r="F33" i="14"/>
  <c r="F612" i="13"/>
  <c r="G641" i="13" l="1"/>
  <c r="H636" i="13" l="1"/>
  <c r="G31" i="14"/>
  <c r="G38" i="14" s="1"/>
  <c r="G645" i="13"/>
  <c r="G646" i="13" s="1"/>
  <c r="G662" i="13" s="1"/>
  <c r="G665" i="13" s="1"/>
  <c r="G651" i="13"/>
  <c r="G37" i="14" s="1"/>
  <c r="G47" i="14" s="1"/>
  <c r="G643" i="13"/>
  <c r="G609" i="13" l="1"/>
  <c r="G32" i="14"/>
  <c r="G65" i="14"/>
  <c r="G48" i="14"/>
  <c r="G667" i="13"/>
  <c r="G668" i="13" s="1"/>
  <c r="G40" i="14" s="1"/>
  <c r="G39" i="14"/>
  <c r="H656" i="13"/>
  <c r="H639" i="13"/>
  <c r="H771" i="13" l="1"/>
  <c r="H772" i="13" s="1"/>
  <c r="H774" i="13" s="1"/>
  <c r="H637" i="13" s="1"/>
  <c r="G611" i="13"/>
  <c r="G610" i="13"/>
  <c r="G33" i="14" l="1"/>
  <c r="G612" i="13"/>
  <c r="H30" i="14"/>
  <c r="H640" i="13"/>
  <c r="H641" i="13" l="1"/>
  <c r="H31" i="14" l="1"/>
  <c r="H645" i="13"/>
  <c r="H646" i="13" s="1"/>
  <c r="H662" i="13" s="1"/>
  <c r="H665" i="13" s="1"/>
  <c r="H651" i="13"/>
  <c r="H37" i="14" s="1"/>
  <c r="H47" i="14" s="1"/>
  <c r="H643" i="13"/>
  <c r="H32" i="14" l="1"/>
  <c r="H609" i="13"/>
  <c r="H667" i="13"/>
  <c r="H668" i="13" s="1"/>
  <c r="H40" i="14" s="1"/>
  <c r="C118" i="14" s="1"/>
  <c r="H39" i="14"/>
  <c r="H48" i="14"/>
  <c r="C57" i="14" s="1"/>
  <c r="C52" i="14"/>
  <c r="C53" i="14" s="1"/>
  <c r="C55" i="14" s="1"/>
  <c r="C56" i="14" s="1"/>
  <c r="H38" i="14"/>
  <c r="C58" i="14" l="1"/>
  <c r="H65" i="14"/>
  <c r="C59" i="14" s="1"/>
  <c r="C61" i="14"/>
  <c r="H611" i="13"/>
  <c r="H610" i="13"/>
  <c r="H33" i="14" l="1"/>
  <c r="H612" i="13"/>
  <c r="B94" i="14"/>
  <c r="C116" i="14"/>
  <c r="B20" i="14"/>
  <c r="C60" i="14"/>
  <c r="B16" i="14"/>
  <c r="C70" i="14"/>
  <c r="C115" i="14"/>
  <c r="C11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audit</author>
  </authors>
  <commentList>
    <comment ref="C29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Verified 2026-10-14; 10K-FY2018; IS
sources/companies/US/KO-coca-cola/artifacts/ten_k/KO-coca-cola/FY2018/psp_cd9dabfed2e24fdf9f06fd9f8d8cc6c7/raw/source.html
SEC HTML statement, exact caption and period column</t>
        </r>
      </text>
    </comment>
    <comment ref="C37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Verified 2026-10-14; 10K-FY2018; IS
sources/companies/US/KO-coca-cola/artifacts/ten_k/KO-coca-cola/FY2018/psp_cd9dabfed2e24fdf9f06fd9f8d8cc6c7/raw/source.html
SEC HTML statement, exact caption and period column</t>
        </r>
      </text>
    </comment>
    <comment ref="C41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Verified 2026-10-14; 10K-FY2018; IS
sources/companies/US/KO-coca-cola/artifacts/ten_k/KO-coca-cola/FY2018/psp_cd9dabfed2e24fdf9f06fd9f8d8cc6c7/raw/source.html
SEC HTML statement, exact caption and period column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audit</author>
  </authors>
  <commentList>
    <comment ref="C22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Verified 2026-10-14; 10K-FY2017; BS
sources/companies/US/KO-coca-cola/artifacts/ten_k/KO-coca-cola/FY2017/psp_64d67d2812744e7eb64a5759a5b0d2cc/raw/source.html
SEC HTML statement, exact caption and period column</t>
        </r>
      </text>
    </comment>
    <comment ref="C41" authorId="0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Verified 2026-10-14; 10K-FY2017; BS
sources/companies/US/KO-coca-cola/artifacts/ten_k/KO-coca-cola/FY2017/psp_64d67d2812744e7eb64a5759a5b0d2cc/raw/source.html
SEC HTML statement, exact caption and period column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audit</author>
  </authors>
  <commentList>
    <comment ref="C14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Verified 2026-10-14; 10K-FY2018; CF
sources/companies/US/KO-coca-cola/artifacts/ten_k/KO-coca-cola/FY2018/psp_cd9dabfed2e24fdf9f06fd9f8d8cc6c7/raw/source.html
SEC HTML statement, exact caption and period column</t>
        </r>
      </text>
    </comment>
    <comment ref="P19" authorId="0" shapeId="0" xr:uid="{00000000-0006-0000-0300-000002000000}">
      <text>
        <r>
          <rPr>
            <sz val="11"/>
            <color theme="1"/>
            <rFont val="宋体"/>
            <family val="2"/>
            <scheme val="minor"/>
          </rPr>
          <t>Verified 2026-10-14; 10Q-Q3/FY2024; CF
sources/companies/US/KO-coca-cola/artifacts/ten_k/KO-coca-cola-10Q-Q3/FY2024/psp_b0f46569dc0a4627b57065521111d109/raw/source.html
SEC HTML statement, exact caption and period column</t>
        </r>
      </text>
    </comment>
    <comment ref="Q23" authorId="0" shapeId="0" xr:uid="{00000000-0006-0000-0300-000003000000}">
      <text>
        <r>
          <rPr>
            <sz val="11"/>
            <color theme="1"/>
            <rFont val="宋体"/>
            <family val="2"/>
            <scheme val="minor"/>
          </rPr>
          <t>Verified 2026-10-14; 10Q-Q1/FY2025; CF
sources/companies/US/KO-coca-cola/artifacts/ten_k/KO-coca-cola-10Q-Q1/FY2025/psp_c15006a1bc8448fe86ec22586b3298f9/raw/source.html
SEC HTML statement, exact caption and period column</t>
        </r>
      </text>
    </comment>
    <comment ref="U23" authorId="0" shapeId="0" xr:uid="{00000000-0006-0000-0300-000004000000}">
      <text>
        <r>
          <rPr>
            <sz val="11"/>
            <color theme="1"/>
            <rFont val="宋体"/>
            <family val="2"/>
            <scheme val="minor"/>
          </rPr>
          <t>Verified 2026-10-14; 10Q-Q2/FY2026; CF
sources/companies/US/KO-coca-cola/artifacts/ten_k/KO-coca-cola-10Q-Q2/FY2026/psp_97ecfba950d14cbea07200e07838e85b/raw/source.html
SEC HTML statement, exact caption and period column</t>
        </r>
      </text>
    </comment>
    <comment ref="T31" authorId="0" shapeId="0" xr:uid="{00000000-0006-0000-0300-000005000000}">
      <text>
        <r>
          <rPr>
            <sz val="11"/>
            <color theme="1"/>
            <rFont val="宋体"/>
            <family val="2"/>
            <scheme val="minor"/>
          </rPr>
          <t>Verified 2026-10-14; 10Q-Q1/FY2026; CF
sources/companies/US/KO-coca-cola/artifacts/ten_k/KO-coca-cola-10Q-Q1/FY2026/psp_61215a140e4d47a4b2bf9438434839bb/raw/source.html
SEC HTML statement, exact caption and period column</t>
        </r>
      </text>
    </comment>
    <comment ref="G34" authorId="0" shapeId="0" xr:uid="{00000000-0006-0000-0300-000006000000}">
      <text>
        <r>
          <rPr>
            <sz val="11"/>
            <color theme="1"/>
            <rFont val="宋体"/>
            <family val="2"/>
            <scheme val="minor"/>
          </rPr>
          <t>Verified 2026-10-14; 10K-FY2022; CF
sources/companies/US/KO-coca-cola/artifacts/ten_k/KO-coca-cola/FY2022/psp_6bf10915d7ef409c929d7a30212965c0/raw/source.html
SEC HTML statement, exact caption and period column</t>
        </r>
      </text>
    </comment>
    <comment ref="H34" authorId="0" shapeId="0" xr:uid="{00000000-0006-0000-0300-000007000000}">
      <text>
        <r>
          <rPr>
            <sz val="11"/>
            <color theme="1"/>
            <rFont val="宋体"/>
            <family val="2"/>
            <scheme val="minor"/>
          </rPr>
          <t>Verified 2026-10-14; 10K-FY2023; CF
sources/companies/US/KO-coca-cola/artifacts/ten_k/KO-coca-cola/FY2023/psp_db84d64043d94eb59996e93ad7e18711/raw/source.html
SEC HTML statement, exact caption and period column</t>
        </r>
      </text>
    </comment>
    <comment ref="T38" authorId="0" shapeId="0" xr:uid="{00000000-0006-0000-0300-000008000000}">
      <text>
        <r>
          <rPr>
            <sz val="11"/>
            <color theme="1"/>
            <rFont val="宋体"/>
            <family val="2"/>
            <scheme val="minor"/>
          </rPr>
          <t>Verified 2026-10-14; 10Q-Q1/FY2026; CF
sources/companies/US/KO-coca-cola/artifacts/ten_k/KO-coca-cola-10Q-Q1/FY2026/psp_61215a140e4d47a4b2bf9438434839bb/raw/source.html
SEC HTML statement, exact caption and period column</t>
        </r>
      </text>
    </comment>
    <comment ref="J43" authorId="0" shapeId="0" xr:uid="{00000000-0006-0000-0300-000009000000}">
      <text>
        <r>
          <rPr>
            <sz val="11"/>
            <color theme="1"/>
            <rFont val="宋体"/>
            <family val="2"/>
            <scheme val="minor"/>
          </rPr>
          <t>Verified 2026-10-14; 10K-FY2025; CF
sources/companies/US/KO-coca-cola/artifacts/ten_k/KO-coca-cola/FY2025/psp_49eb40deba72424d91379bb74482f553/raw/source.html
SEC HTML statement, exact caption and period column</t>
        </r>
      </text>
    </comment>
    <comment ref="K43" authorId="0" shapeId="0" xr:uid="{00000000-0006-0000-0300-00000A000000}">
      <text>
        <r>
          <rPr>
            <sz val="11"/>
            <color theme="1"/>
            <rFont val="宋体"/>
            <family val="2"/>
            <scheme val="minor"/>
          </rPr>
          <t>Verified 2026-10-14; 10K-FY2025; CF
sources/companies/US/KO-coca-cola/artifacts/ten_k/KO-coca-cola/FY2025/psp_49eb40deba72424d91379bb74482f553/raw/source.html
SEC HTML statement, exact caption and period column</t>
        </r>
      </text>
    </comment>
    <comment ref="C47" authorId="0" shapeId="0" xr:uid="{00000000-0006-0000-0300-00000B000000}">
      <text>
        <r>
          <rPr>
            <sz val="11"/>
            <color theme="1"/>
            <rFont val="宋体"/>
            <family val="2"/>
            <scheme val="minor"/>
          </rPr>
          <t>Verified 2026-10-14; 10K-FY2018; CF
sources/companies/US/KO-coca-cola/artifacts/ten_k/KO-coca-cola/FY2018/psp_cd9dabfed2e24fdf9f06fd9f8d8cc6c7/raw/source.html
SEC HTML statement, exact caption and period column</t>
        </r>
      </text>
    </comment>
    <comment ref="C48" authorId="0" shapeId="0" xr:uid="{00000000-0006-0000-0300-00000C000000}">
      <text>
        <r>
          <rPr>
            <sz val="11"/>
            <color theme="1"/>
            <rFont val="宋体"/>
            <family val="2"/>
            <scheme val="minor"/>
          </rPr>
          <t>Verified 2026-10-14; 10K-FY2018; CF
sources/companies/US/KO-coca-cola/artifacts/ten_k/KO-coca-cola/FY2018/psp_cd9dabfed2e24fdf9f06fd9f8d8cc6c7/raw/source.html
SEC HTML statement, exact caption and period column</t>
        </r>
      </text>
    </comment>
    <comment ref="C49" authorId="0" shapeId="0" xr:uid="{00000000-0006-0000-0300-00000D000000}">
      <text>
        <r>
          <rPr>
            <sz val="11"/>
            <color theme="1"/>
            <rFont val="宋体"/>
            <family val="2"/>
            <scheme val="minor"/>
          </rPr>
          <t>Verified 2026-10-14; 10K-FY2018; CF
sources/companies/US/KO-coca-cola/artifacts/ten_k/KO-coca-cola/FY2018/psp_cd9dabfed2e24fdf9f06fd9f8d8cc6c7/raw/source.html
SEC HTML statement, exact caption and period column</t>
        </r>
      </text>
    </comment>
    <comment ref="C50" authorId="0" shapeId="0" xr:uid="{00000000-0006-0000-0300-00000E000000}">
      <text>
        <r>
          <rPr>
            <sz val="11"/>
            <color theme="1"/>
            <rFont val="宋体"/>
            <family val="2"/>
            <scheme val="minor"/>
          </rPr>
          <t>Verified 2026-10-14; 10K-FY2018; CF
sources/companies/US/KO-coca-cola/artifacts/ten_k/KO-coca-cola/FY2018/psp_cd9dabfed2e24fdf9f06fd9f8d8cc6c7/raw/source.html
SEC HTML statement, exact caption and period column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audit</author>
  </authors>
  <commentList>
    <comment ref="C18" authorId="0" shapeId="0" xr:uid="{00000000-0006-0000-0700-000001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10K-FY2017;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sources/companies/US/KO-coca-cola/artifacts/ten_k/KO-coca-cola/FY2017/psp_64d67d2812744e7eb64a5759a5b0d2cc/raw/source.html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19" authorId="0" shapeId="0" xr:uid="{00000000-0006-0000-0700-000002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10K-FY2017;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sources/companies/US/KO-coca-cola/artifacts/ten_k/KO-coca-cola/FY2017/psp_64d67d2812744e7eb64a5759a5b0d2cc/raw/source.html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20" authorId="0" shapeId="0" xr:uid="{00000000-0006-0000-0700-000003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10K-FY2017;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sources/companies/US/KO-coca-cola/artifacts/ten_k/KO-coca-cola/FY2017/psp_64d67d2812744e7eb64a5759a5b0d2cc/raw/source.html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D20" authorId="0" shapeId="0" xr:uid="{00000000-0006-0000-0700-000004000000}">
      <text>
        <r>
          <rPr>
            <sz val="11"/>
            <color theme="1"/>
            <rFont val="宋体"/>
            <family val="2"/>
            <scheme val="minor"/>
          </rPr>
          <t>Verified 2026-10-14; 10K-FY2018; Beverage volume growth
sources/companies/US/KO-coca-cola/artifacts/ten_k/KO-coca-cola/FY2018/psp_cd9dabfed2e24fdf9f06fd9f8d8cc6c7/raw/source.html
Separate unit cases / concentrate sales; superscript footnotes excluded</t>
        </r>
      </text>
    </comment>
    <comment ref="F20" authorId="0" shapeId="0" xr:uid="{00000000-0006-0000-0700-000005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C21" authorId="0" shapeId="0" xr:uid="{00000000-0006-0000-0700-000006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10K-FY2017;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sources/companies/US/KO-coca-cola/artifacts/ten_k/KO-coca-cola/FY2017/psp_64d67d2812744e7eb64a5759a5b0d2cc/raw/source.html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22" authorId="0" shapeId="0" xr:uid="{00000000-0006-0000-0700-000007000000}">
      <text>
        <r>
          <rPr>
            <sz val="11"/>
            <color theme="1"/>
            <rFont val="宋体"/>
            <family val="2"/>
            <scheme val="minor"/>
          </rPr>
          <t>Verified 2026-10-14; 10K-FY2017; Beverage volume growth
sources/companies/US/KO-coca-cola/artifacts/ten_k/KO-coca-cola/FY2017/psp_64d67d2812744e7eb64a5759a5b0d2cc/raw/source.html
Separate unit cases / concentrate sales; superscript footnotes excluded</t>
        </r>
      </text>
    </comment>
    <comment ref="C23" authorId="0" shapeId="0" xr:uid="{00000000-0006-0000-0700-000008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10K-FY2017;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sources/companies/US/KO-coca-cola/artifacts/ten_k/KO-coca-cola/FY2017/psp_64d67d2812744e7eb64a5759a5b0d2cc/raw/source.html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D23" authorId="0" shapeId="0" xr:uid="{00000000-0006-0000-0700-000009000000}">
      <text>
        <r>
          <rPr>
            <sz val="11"/>
            <color theme="1"/>
            <rFont val="宋体"/>
            <family val="2"/>
            <scheme val="minor"/>
          </rPr>
          <t>Verified 2026-10-14; 10K-FY2018; Beverage volume growth
sources/companies/US/KO-coca-cola/artifacts/ten_k/KO-coca-cola/FY2018/psp_cd9dabfed2e24fdf9f06fd9f8d8cc6c7/raw/source.html
Separate unit cases / concentrate sales; superscript footnotes excluded</t>
        </r>
      </text>
    </comment>
    <comment ref="E23" authorId="0" shapeId="0" xr:uid="{00000000-0006-0000-0700-00000A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F23" authorId="0" shapeId="0" xr:uid="{00000000-0006-0000-0700-00000B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E24" authorId="0" shapeId="0" xr:uid="{00000000-0006-0000-0700-00000C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F24" authorId="0" shapeId="0" xr:uid="{00000000-0006-0000-0700-00000D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10K-FY2019;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sources/companies/US/KO-coca-cola/artifacts/ten_k/KO-coca-cola/FY2019/psp_405c783f553d43c9b2011bba81319d93/raw/source.html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27" authorId="0" shapeId="0" xr:uid="{00000000-0006-0000-0700-00000E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10K-FY2017;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sources/companies/US/KO-coca-cola/artifacts/ten_k/KO-coca-cola/FY2017/psp_64d67d2812744e7eb64a5759a5b0d2cc/raw/source.html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G27" authorId="0" shapeId="0" xr:uid="{00000000-0006-0000-0700-00000F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Separate unit cases / concentrate sales; superscript footnotes excluded</t>
        </r>
      </text>
    </comment>
    <comment ref="H27" authorId="0" shapeId="0" xr:uid="{00000000-0006-0000-0700-000010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Separate unit cases / concentrate sales; superscript footnotes excluded</t>
        </r>
      </text>
    </comment>
    <comment ref="I27" authorId="0" shapeId="0" xr:uid="{00000000-0006-0000-0700-000011000000}">
      <text>
        <r>
          <rPr>
            <sz val="11"/>
            <color theme="1"/>
            <rFont val="宋体"/>
            <family val="2"/>
            <scheme val="minor"/>
          </rPr>
          <t>Verified 2026-10-14; 10K-FY2022; Beverage volume growth
sources/companies/US/KO-coca-cola/artifacts/ten_k/KO-coca-cola/FY2022/psp_6bf10915d7ef409c929d7a30212965c0/raw/source.html
Separate unit cases / concentrate sales; superscript footnotes excluded</t>
        </r>
      </text>
    </comment>
    <comment ref="J27" authorId="0" shapeId="0" xr:uid="{00000000-0006-0000-0700-000012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10K-FY2023;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sources/companies/US/KO-coca-cola/artifacts/ten_k/KO-coca-cola/FY2023/psp_db84d64043d94eb59996e93ad7e18711/raw/source.html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K27" authorId="0" shapeId="0" xr:uid="{00000000-0006-0000-0700-000013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Separate unit cases / concentrate sales; superscript footnotes excluded</t>
        </r>
      </text>
    </comment>
    <comment ref="L27" authorId="0" shapeId="0" xr:uid="{00000000-0006-0000-0700-000014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10K-FY2025;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sources/companies/US/KO-coca-cola/artifacts/ten_k/KO-coca-cola/FY2025/psp_49eb40deba72424d91379bb74482f553/raw/source.html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28" authorId="0" shapeId="0" xr:uid="{00000000-0006-0000-0700-000015000000}">
      <text>
        <r>
          <rPr>
            <sz val="11"/>
            <color theme="1"/>
            <rFont val="宋体"/>
            <family val="2"/>
            <scheme val="minor"/>
          </rPr>
          <t>Verified 2026-10-14; 10K-FY2017; Beverage volume growth
sources/companies/US/KO-coca-cola/artifacts/ten_k/KO-coca-cola/FY2017/psp_64d67d2812744e7eb64a5759a5b0d2cc/raw/source.html
Separate unit cases / concentrate sales; superscript footnotes excluded</t>
        </r>
      </text>
    </comment>
    <comment ref="G28" authorId="0" shapeId="0" xr:uid="{00000000-0006-0000-0700-000016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Separate unit cases / concentrate sales; superscript footnotes excluded</t>
        </r>
      </text>
    </comment>
    <comment ref="H28" authorId="0" shapeId="0" xr:uid="{00000000-0006-0000-0700-000017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Separate unit cases / concentrate sales; superscript footnotes excluded</t>
        </r>
      </text>
    </comment>
    <comment ref="I28" authorId="0" shapeId="0" xr:uid="{00000000-0006-0000-0700-000018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10K-FY2022;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sources/companies/US/KO-coca-cola/artifacts/ten_k/KO-coca-cola/FY2022/psp_6bf10915d7ef409c929d7a30212965c0/raw/source.html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J28" authorId="0" shapeId="0" xr:uid="{00000000-0006-0000-0700-000019000000}">
      <text>
        <r>
          <rPr>
            <sz val="11"/>
            <color theme="1"/>
            <rFont val="宋体"/>
            <family val="2"/>
            <scheme val="minor"/>
          </rPr>
          <t>Verified 2026-10-14; 10K-FY2023; Beverage volume growth
sources/companies/US/KO-coca-cola/artifacts/ten_k/KO-coca-cola/FY2023/psp_db84d64043d94eb59996e93ad7e18711/raw/source.html
Separate unit cases / concentrate sales; superscript footnotes excluded</t>
        </r>
      </text>
    </comment>
    <comment ref="K28" authorId="0" shapeId="0" xr:uid="{00000000-0006-0000-0700-00001A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Separate unit cases / concentrate sales; superscript footnotes excluded</t>
        </r>
      </text>
    </comment>
    <comment ref="L28" authorId="0" shapeId="0" xr:uid="{00000000-0006-0000-0700-00001B000000}">
      <text>
        <r>
          <rPr>
            <sz val="11"/>
            <color theme="1"/>
            <rFont val="宋体"/>
            <family val="2"/>
            <scheme val="minor"/>
          </rPr>
          <t>Verified 2026-10-14; 10K-FY2025; Beverage volume growth
sources/companies/US/KO-coca-cola/artifacts/ten_k/KO-coca-cola/FY2025/psp_49eb40deba72424d91379bb74482f553/raw/source.html
Separate unit cases / concentrate sales; superscript footnotes excluded</t>
        </r>
      </text>
    </comment>
    <comment ref="C29" authorId="0" shapeId="0" xr:uid="{00000000-0006-0000-0700-00001C000000}">
      <text>
        <r>
          <rPr>
            <sz val="11"/>
            <color theme="1"/>
            <rFont val="宋体"/>
            <family val="2"/>
            <scheme val="minor"/>
          </rPr>
          <t>Verified 2026-10-14; 10K-FY2017; Beverage volume growth
sources/companies/US/KO-coca-cola/artifacts/ten_k/KO-coca-cola/FY2017/psp_64d67d2812744e7eb64a5759a5b0d2cc/raw/source.html
Separate unit cases / concentrate sales; superscript footnotes excluded</t>
        </r>
      </text>
    </comment>
    <comment ref="E29" authorId="0" shapeId="0" xr:uid="{00000000-0006-0000-0700-00001D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F29" authorId="0" shapeId="0" xr:uid="{00000000-0006-0000-0700-00001E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G29" authorId="0" shapeId="0" xr:uid="{00000000-0006-0000-0700-00001F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Separate unit cases / concentrate sales; superscript footnotes excluded</t>
        </r>
      </text>
    </comment>
    <comment ref="H29" authorId="0" shapeId="0" xr:uid="{00000000-0006-0000-0700-000020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Separate unit cases / concentrate sales; superscript footnotes excluded</t>
        </r>
      </text>
    </comment>
    <comment ref="I29" authorId="0" shapeId="0" xr:uid="{00000000-0006-0000-0700-000021000000}">
      <text>
        <r>
          <rPr>
            <sz val="11"/>
            <color theme="1"/>
            <rFont val="宋体"/>
            <family val="2"/>
            <scheme val="minor"/>
          </rPr>
          <t>Verified 2026-10-14; 10K-FY2022; Beverage volume growth
sources/companies/US/KO-coca-cola/artifacts/ten_k/KO-coca-cola/FY2022/psp_6bf10915d7ef409c929d7a30212965c0/raw/source.html
Separate unit cases / concentrate sales; superscript footnotes excluded</t>
        </r>
      </text>
    </comment>
    <comment ref="J29" authorId="0" shapeId="0" xr:uid="{00000000-0006-0000-0700-000022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10K-FY2023;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sources/companies/US/KO-coca-cola/artifacts/ten_k/KO-coca-cola/FY2023/psp_db84d64043d94eb59996e93ad7e18711/raw/source.html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K29" authorId="0" shapeId="0" xr:uid="{00000000-0006-0000-0700-000023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Separate unit cases / concentrate sales; superscript footnotes excluded</t>
        </r>
      </text>
    </comment>
    <comment ref="L29" authorId="0" shapeId="0" xr:uid="{00000000-0006-0000-0700-000024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10K-FY2025;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sources/companies/US/KO-coca-cola/artifacts/ten_k/KO-coca-cola/FY2025/psp_49eb40deba72424d91379bb74482f553/raw/source.html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30" authorId="0" shapeId="0" xr:uid="{00000000-0006-0000-0700-000025000000}">
      <text>
        <r>
          <rPr>
            <sz val="11"/>
            <color theme="1"/>
            <rFont val="宋体"/>
            <family val="2"/>
            <scheme val="minor"/>
          </rPr>
          <t>Verified 2026-10-14; 10K-FY2017; Beverage volume growth
sources/companies/US/KO-coca-cola/artifacts/ten_k/KO-coca-cola/FY2017/psp_64d67d2812744e7eb64a5759a5b0d2cc/raw/source.html
Separate unit cases / concentrate sales; superscript footnotes excluded</t>
        </r>
      </text>
    </comment>
    <comment ref="D30" authorId="0" shapeId="0" xr:uid="{00000000-0006-0000-0700-000026000000}">
      <text>
        <r>
          <rPr>
            <sz val="11"/>
            <color theme="1"/>
            <rFont val="宋体"/>
            <family val="2"/>
            <scheme val="minor"/>
          </rPr>
          <t>Verified 2026-10-14; 10K-FY2018; Beverage volume growth
sources/companies/US/KO-coca-cola/artifacts/ten_k/KO-coca-cola/FY2018/psp_cd9dabfed2e24fdf9f06fd9f8d8cc6c7/raw/source.html
Separate unit cases / concentrate sales; superscript footnotes excluded</t>
        </r>
      </text>
    </comment>
    <comment ref="E30" authorId="0" shapeId="0" xr:uid="{00000000-0006-0000-0700-000027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F30" authorId="0" shapeId="0" xr:uid="{00000000-0006-0000-0700-000028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G30" authorId="0" shapeId="0" xr:uid="{00000000-0006-0000-0700-000029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Separate unit cases / concentrate sales; superscript footnotes excluded</t>
        </r>
      </text>
    </comment>
    <comment ref="H30" authorId="0" shapeId="0" xr:uid="{00000000-0006-0000-0700-00002A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Separate unit cases / concentrate sales; superscript footnotes excluded</t>
        </r>
      </text>
    </comment>
    <comment ref="I30" authorId="0" shapeId="0" xr:uid="{00000000-0006-0000-0700-00002B000000}">
      <text>
        <r>
          <rPr>
            <sz val="11"/>
            <color theme="1"/>
            <rFont val="宋体"/>
            <family val="2"/>
            <scheme val="minor"/>
          </rPr>
          <t>Verified 2026-10-14; 10K-FY2022; Beverage volume growth
sources/companies/US/KO-coca-cola/artifacts/ten_k/KO-coca-cola/FY2022/psp_6bf10915d7ef409c929d7a30212965c0/raw/source.html
Separate unit cases / concentrate sales; superscript footnotes excluded</t>
        </r>
      </text>
    </comment>
    <comment ref="J30" authorId="0" shapeId="0" xr:uid="{00000000-0006-0000-0700-00002C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10K-FY2023;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sources/companies/US/KO-coca-cola/artifacts/ten_k/KO-coca-cola/FY2023/psp_db84d64043d94eb59996e93ad7e18711/raw/source.html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K30" authorId="0" shapeId="0" xr:uid="{00000000-0006-0000-0700-00002D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Separate unit cases / concentrate sales; superscript footnotes excluded</t>
        </r>
      </text>
    </comment>
    <comment ref="L30" authorId="0" shapeId="0" xr:uid="{00000000-0006-0000-0700-00002E000000}">
      <text>
        <r>
          <rPr>
            <sz val="11"/>
            <color theme="1"/>
            <rFont val="宋体"/>
            <family val="2"/>
            <scheme val="minor"/>
          </rPr>
          <t>Verified 2026-10-14; 10K-FY2025; Beverage volume growth
sources/companies/US/KO-coca-cola/artifacts/ten_k/KO-coca-cola/FY2025/psp_49eb40deba72424d91379bb74482f553/raw/source.html
Separate unit cases / concentrate sales; superscript footnotes excluded</t>
        </r>
      </text>
    </comment>
    <comment ref="P30" authorId="0" shapeId="0" xr:uid="{00000000-0006-0000-0700-00002F000000}">
      <text>
        <r>
          <rPr>
            <sz val="11"/>
            <color theme="1"/>
            <rFont val="宋体"/>
            <family val="2"/>
            <scheme val="minor"/>
          </rPr>
          <t>Verified 2026-10-14; 10Q-Q3/FY2024; Beverage volume growth
sources/companies/US/KO-coca-cola/artifacts/ten_k/KO-coca-cola-10Q-Q3/FY2024/psp_b0f46569dc0a4627b57065521111d109/raw/source.html
Separate unit cases / concentrate sales; superscript footnotes excluded</t>
        </r>
      </text>
    </comment>
    <comment ref="Q30" authorId="0" shapeId="0" xr:uid="{00000000-0006-0000-0700-000030000000}">
      <text>
        <r>
          <rPr>
            <sz val="11"/>
            <color theme="1"/>
            <rFont val="宋体"/>
            <family val="2"/>
            <scheme val="minor"/>
          </rPr>
          <t>Verified 2026-10-14; 10Q-Q1/FY2025; Beverage volume growth
sources/companies/US/KO-coca-cola/artifacts/ten_k/KO-coca-cola-10Q-Q1/FY2025/psp_c15006a1bc8448fe86ec22586b3298f9/raw/source.html
Separate unit cases / concentrate sales; superscript footnotes excluded</t>
        </r>
      </text>
    </comment>
    <comment ref="R30" authorId="0" shapeId="0" xr:uid="{00000000-0006-0000-0700-000031000000}">
      <text>
        <r>
          <rPr>
            <sz val="11"/>
            <color theme="1"/>
            <rFont val="宋体"/>
            <family val="2"/>
            <scheme val="minor"/>
          </rPr>
          <t>Verified 2026-10-14; 10Q-Q2/FY2025; Beverage volume growth
sources/companies/US/KO-coca-cola/artifacts/ten_k/KO-coca-cola-10Q-Q2/FY2025/psp_cc43d923d87f4db78f1374bdb216dc8a/raw/source.html
Separate unit cases / concentrate sales; superscript footnotes excluded</t>
        </r>
      </text>
    </comment>
    <comment ref="S30" authorId="0" shapeId="0" xr:uid="{00000000-0006-0000-0700-000032000000}">
      <text>
        <r>
          <rPr>
            <sz val="11"/>
            <color theme="1"/>
            <rFont val="宋体"/>
            <family val="2"/>
            <scheme val="minor"/>
          </rPr>
          <t>Verified 2026-10-14; 10Q-Q3/FY2025; Beverage volume growth
sources/companies/US/KO-coca-cola/artifacts/ten_k/KO-coca-cola-10Q-Q3/FY2025/psp_f597d41b18c94f9188267b47ac69f2c8/raw/source.html
Separate unit cases / concentrate sales; superscript footnotes excluded</t>
        </r>
      </text>
    </comment>
    <comment ref="T30" authorId="0" shapeId="0" xr:uid="{00000000-0006-0000-0700-000033000000}">
      <text>
        <r>
          <rPr>
            <sz val="11"/>
            <color theme="1"/>
            <rFont val="宋体"/>
            <family val="2"/>
            <scheme val="minor"/>
          </rPr>
          <t>Verified 2026-10-14; 10Q-Q1/FY2026; Beverage volume growth
sources/companies/US/KO-coca-cola/artifacts/ten_k/KO-coca-cola-10Q-Q1/FY2026/psp_61215a140e4d47a4b2bf9438434839bb/raw/source.html
Separate unit cases / concentrate sales; superscript footnotes excluded</t>
        </r>
      </text>
    </comment>
    <comment ref="U30" authorId="0" shapeId="0" xr:uid="{00000000-0006-0000-0700-000034000000}">
      <text>
        <r>
          <rPr>
            <sz val="11"/>
            <color theme="1"/>
            <rFont val="宋体"/>
            <family val="2"/>
            <scheme val="minor"/>
          </rPr>
          <t>Verified 2026-10-14; 10Q-Q2/FY2026; Beverage volume growth
sources/companies/US/KO-coca-cola/artifacts/ten_k/KO-coca-cola-10Q-Q2/FY2026/psp_97ecfba950d14cbea07200e07838e85b/raw/source.html
Separate unit cases / concentrate sales; superscript footnotes excluded</t>
        </r>
      </text>
    </comment>
    <comment ref="C31" authorId="0" shapeId="0" xr:uid="{00000000-0006-0000-0700-000035000000}">
      <text>
        <r>
          <rPr>
            <sz val="11"/>
            <color theme="1"/>
            <rFont val="宋体"/>
            <family val="2"/>
            <scheme val="minor"/>
          </rPr>
          <t>Verified 2026-10-14; 10K-FY2017; Beverage volume growth
sources/companies/US/KO-coca-cola/artifacts/ten_k/KO-coca-cola/FY2017/psp_64d67d2812744e7eb64a5759a5b0d2cc/raw/source.html
Separate unit cases / concentrate sales; superscript footnotes excluded</t>
        </r>
      </text>
    </comment>
    <comment ref="D31" authorId="0" shapeId="0" xr:uid="{00000000-0006-0000-0700-000036000000}">
      <text>
        <r>
          <rPr>
            <sz val="11"/>
            <color theme="1"/>
            <rFont val="宋体"/>
            <family val="2"/>
            <scheme val="minor"/>
          </rPr>
          <t>Verified 2026-10-14; 10K-FY2018; Beverage volume growth
sources/companies/US/KO-coca-cola/artifacts/ten_k/KO-coca-cola/FY2018/psp_cd9dabfed2e24fdf9f06fd9f8d8cc6c7/raw/source.html
Separate unit cases / concentrate sales; superscript footnotes excluded</t>
        </r>
      </text>
    </comment>
    <comment ref="G31" authorId="0" shapeId="0" xr:uid="{00000000-0006-0000-0700-000037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Separate unit cases / concentrate sales; superscript footnotes excluded</t>
        </r>
      </text>
    </comment>
    <comment ref="H31" authorId="0" shapeId="0" xr:uid="{00000000-0006-0000-0700-000038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Separate unit cases / concentrate sales; superscript footnotes excluded</t>
        </r>
      </text>
    </comment>
    <comment ref="I31" authorId="0" shapeId="0" xr:uid="{00000000-0006-0000-0700-000039000000}">
      <text>
        <r>
          <rPr>
            <sz val="11"/>
            <color theme="1"/>
            <rFont val="宋体"/>
            <family val="2"/>
            <scheme val="minor"/>
          </rPr>
          <t>Verified 2026-10-14; 10K-FY2022; Beverage volume growth
sources/companies/US/KO-coca-cola/artifacts/ten_k/KO-coca-cola/FY2022/psp_6bf10915d7ef409c929d7a30212965c0/raw/source.html
Separate unit cases / concentrate sales; superscript footnotes excluded</t>
        </r>
      </text>
    </comment>
    <comment ref="J31" authorId="0" shapeId="0" xr:uid="{00000000-0006-0000-0700-00003A000000}">
      <text>
        <r>
          <rPr>
            <sz val="11"/>
            <color theme="1"/>
            <rFont val="宋体"/>
            <family val="2"/>
            <scheme val="minor"/>
          </rPr>
          <t>Verified 2026-10-14; 10K-FY2023; Beverage volume growth
sources/companies/US/KO-coca-cola/artifacts/ten_k/KO-coca-cola/FY2023/psp_db84d64043d94eb59996e93ad7e18711/raw/source.html
Separate unit cases / concentrate sales; superscript footnotes excluded</t>
        </r>
      </text>
    </comment>
    <comment ref="K31" authorId="0" shapeId="0" xr:uid="{00000000-0006-0000-0700-00003B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Separate unit cases / concentrate sales; superscript footnotes excluded</t>
        </r>
      </text>
    </comment>
    <comment ref="L31" authorId="0" shapeId="0" xr:uid="{00000000-0006-0000-0700-00003C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10K-FY2025;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sources/companies/US/KO-coca-cola/artifacts/ten_k/KO-coca-cola/FY2025/psp_49eb40deba72424d91379bb74482f553/raw/source.html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32" authorId="0" shapeId="0" xr:uid="{00000000-0006-0000-0700-00003D000000}">
      <text>
        <r>
          <rPr>
            <sz val="11"/>
            <color theme="1"/>
            <rFont val="宋体"/>
            <family val="2"/>
            <scheme val="minor"/>
          </rPr>
          <t>Verified 2026-10-14; 10K-FY2017; Beverage volume growth
sources/companies/US/KO-coca-cola/artifacts/ten_k/KO-coca-cola/FY2017/psp_64d67d2812744e7eb64a5759a5b0d2cc/raw/source.html
Previously omitted concentrate sales segment</t>
        </r>
      </text>
    </comment>
    <comment ref="D32" authorId="0" shapeId="0" xr:uid="{00000000-0006-0000-0700-00003E000000}">
      <text>
        <r>
          <rPr>
            <sz val="11"/>
            <color theme="1"/>
            <rFont val="宋体"/>
            <family val="2"/>
            <scheme val="minor"/>
          </rPr>
          <t>Verified 2026-10-14; 10K-FY2018; Beverage volume growth
sources/companies/US/KO-coca-cola/artifacts/ten_k/KO-coca-cola/FY2018/psp_cd9dabfed2e24fdf9f06fd9f8d8cc6c7/raw/source.html
Previously omitted concentrate sales segment</t>
        </r>
      </text>
    </comment>
    <comment ref="E32" authorId="0" shapeId="0" xr:uid="{00000000-0006-0000-0700-00003F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Previously omitted concentrate sales segment</t>
        </r>
      </text>
    </comment>
    <comment ref="F32" authorId="0" shapeId="0" xr:uid="{00000000-0006-0000-0700-000040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Previously omitted concentrate sales segment</t>
        </r>
      </text>
    </comment>
    <comment ref="G32" authorId="0" shapeId="0" xr:uid="{00000000-0006-0000-0700-000041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Previously omitted concentrate sales segment</t>
        </r>
      </text>
    </comment>
    <comment ref="H32" authorId="0" shapeId="0" xr:uid="{00000000-0006-0000-0700-000042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Previously omitted concentrate sales segment</t>
        </r>
      </text>
    </comment>
    <comment ref="I32" authorId="0" shapeId="0" xr:uid="{00000000-0006-0000-0700-000043000000}">
      <text>
        <r>
          <rPr>
            <sz val="11"/>
            <color theme="1"/>
            <rFont val="宋体"/>
            <family val="2"/>
            <scheme val="minor"/>
          </rPr>
          <t>Verified 2026-10-14; 10K-FY2022; Beverage volume growth
sources/companies/US/KO-coca-cola/artifacts/ten_k/KO-coca-cola/FY2022/psp_6bf10915d7ef409c929d7a30212965c0/raw/source.html
Previously omitted concentrate sales segment</t>
        </r>
      </text>
    </comment>
    <comment ref="J32" authorId="0" shapeId="0" xr:uid="{00000000-0006-0000-0700-000044000000}">
      <text>
        <r>
          <rPr>
            <sz val="11"/>
            <color theme="1"/>
            <rFont val="宋体"/>
            <family val="2"/>
            <scheme val="minor"/>
          </rPr>
          <t>Verified 2026-10-14; 10K-FY2023; Beverage volume growth
sources/companies/US/KO-coca-cola/artifacts/ten_k/KO-coca-cola/FY2023/psp_db84d64043d94eb59996e93ad7e18711/raw/source.html
Previously omitted concentrate sales segment</t>
        </r>
      </text>
    </comment>
    <comment ref="K32" authorId="0" shapeId="0" xr:uid="{00000000-0006-0000-0700-000045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Previously omitted concentrate sales segment</t>
        </r>
      </text>
    </comment>
    <comment ref="L32" authorId="0" shapeId="0" xr:uid="{00000000-0006-0000-0700-000046000000}">
      <text>
        <r>
          <rPr>
            <sz val="11"/>
            <color theme="1"/>
            <rFont val="宋体"/>
            <family val="2"/>
            <scheme val="minor"/>
          </rPr>
          <t>Verified 2026-10-14; 10K-FY2025; Beverage volume growth
sources/companies/US/KO-coca-cola/artifacts/ten_k/KO-coca-cola/FY2025/psp_49eb40deba72424d91379bb74482f553/raw/source.html
Previously omitted concentrate sales segment</t>
        </r>
      </text>
    </comment>
    <comment ref="F64" authorId="0" shapeId="0" xr:uid="{00000000-0006-0000-0700-000047000000}">
      <text>
        <r>
          <rPr>
            <sz val="11"/>
            <color theme="1"/>
            <rFont val="宋体"/>
            <family val="2"/>
            <scheme val="minor"/>
          </rPr>
          <t>Verified 2026-10-14; 10K-FY2019; NET OPERATING REVENUE FACTORS — VOLUME / PRICE-MIX / FX / ACQUISITIONS &amp; DIVESTITURES (% impact, as reported)
sources/companies/US/KO-coca-cola/artifacts/ten_k/KO-coca-cola/FY2019/psp_405c783f553d43c9b2011bba81319d93/raw/source.html
SEC HTML table label and numeric-column verification</t>
        </r>
      </text>
    </comment>
    <comment ref="F72" authorId="0" shapeId="0" xr:uid="{00000000-0006-0000-0700-000048000000}">
      <text>
        <r>
          <rPr>
            <sz val="11"/>
            <color theme="1"/>
            <rFont val="宋体"/>
            <family val="2"/>
            <scheme val="minor"/>
          </rPr>
          <t>Verified 2026-10-14; 10K-FY2019; NET OPERATING REVENUE FACTORS — VOLUME / PRICE-MIX / FX / ACQUISITIONS &amp; DIVESTITURES (% impact, as reported)
sources/companies/US/KO-coca-cola/artifacts/ten_k/KO-coca-cola/FY2019/psp_405c783f553d43c9b2011bba81319d93/raw/source.html
SEC HTML table label and numeric-column verification</t>
        </r>
      </text>
    </comment>
    <comment ref="F73" authorId="0" shapeId="0" xr:uid="{00000000-0006-0000-0700-000049000000}">
      <text>
        <r>
          <rPr>
            <sz val="11"/>
            <color theme="1"/>
            <rFont val="宋体"/>
            <family val="2"/>
            <scheme val="minor"/>
          </rPr>
          <t>Verified 2026-10-14; 10K-FY2019; NET OPERATING REVENUE FACTORS — VOLUME / PRICE-MIX / FX / ACQUISITIONS &amp; DIVESTITURES (% impact, as reported)
sources/companies/US/KO-coca-cola/artifacts/ten_k/KO-coca-cola/FY2019/psp_405c783f553d43c9b2011bba81319d93/raw/source.html
SEC HTML table label and numeric-column verification</t>
        </r>
      </text>
    </comment>
    <comment ref="E124" authorId="0" shapeId="0" xr:uid="{00000000-0006-0000-0700-00004A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Previously omitted concentrate sales segment</t>
        </r>
      </text>
    </comment>
    <comment ref="F124" authorId="0" shapeId="0" xr:uid="{00000000-0006-0000-0700-00004B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Previously omitted concentrate sales segment</t>
        </r>
      </text>
    </comment>
    <comment ref="G124" authorId="0" shapeId="0" xr:uid="{00000000-0006-0000-0700-00004C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Previously omitted concentrate sales segment</t>
        </r>
      </text>
    </comment>
    <comment ref="H124" authorId="0" shapeId="0" xr:uid="{00000000-0006-0000-0700-00004D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Previously omitted concentrate sales segment</t>
        </r>
      </text>
    </comment>
    <comment ref="I124" authorId="0" shapeId="0" xr:uid="{00000000-0006-0000-0700-00004E000000}">
      <text>
        <r>
          <rPr>
            <sz val="11"/>
            <color theme="1"/>
            <rFont val="宋体"/>
            <family val="2"/>
            <scheme val="minor"/>
          </rPr>
          <t>Verified 2026-10-14; 10K-FY2022; Beverage volume growth
sources/companies/US/KO-coca-cola/artifacts/ten_k/KO-coca-cola/FY2022/psp_6bf10915d7ef409c929d7a30212965c0/raw/source.html
Previously omitted concentrate sales segment</t>
        </r>
      </text>
    </comment>
    <comment ref="J124" authorId="0" shapeId="0" xr:uid="{00000000-0006-0000-0700-00004F000000}">
      <text>
        <r>
          <rPr>
            <sz val="11"/>
            <color theme="1"/>
            <rFont val="宋体"/>
            <family val="2"/>
            <scheme val="minor"/>
          </rPr>
          <t>Verified 2026-10-14; 10K-FY2023; Beverage volume growth
sources/companies/US/KO-coca-cola/artifacts/ten_k/KO-coca-cola/FY2023/psp_db84d64043d94eb59996e93ad7e18711/raw/source.html
Previously omitted concentrate sales segment</t>
        </r>
      </text>
    </comment>
    <comment ref="K124" authorId="0" shapeId="0" xr:uid="{00000000-0006-0000-0700-000050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Previously omitted concentrate sales segment</t>
        </r>
      </text>
    </comment>
    <comment ref="P124" authorId="0" shapeId="0" xr:uid="{00000000-0006-0000-0700-000051000000}">
      <text>
        <r>
          <rPr>
            <sz val="11"/>
            <color theme="1"/>
            <rFont val="宋体"/>
            <family val="2"/>
            <scheme val="minor"/>
          </rPr>
          <t>Verified 2026-10-14; 10Q-Q3/FY2024; Beverage volume growth
sources/companies/US/KO-coca-cola/artifacts/ten_k/KO-coca-cola-10Q-Q3/FY2024/psp_b0f46569dc0a4627b57065521111d109/raw/source.html
Previously omitted concentrate sales segment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audit</author>
  </authors>
  <commentList>
    <comment ref="K79" authorId="0" shapeId="0" xr:uid="{00000000-0006-0000-0800-000001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0" authorId="0" shapeId="0" xr:uid="{00000000-0006-0000-0800-000002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2" authorId="0" shapeId="0" xr:uid="{00000000-0006-0000-0800-000003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3" authorId="0" shapeId="0" xr:uid="{00000000-0006-0000-0800-000004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4" authorId="0" shapeId="0" xr:uid="{00000000-0006-0000-0800-000005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6" authorId="0" shapeId="0" xr:uid="{00000000-0006-0000-0800-000006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7" authorId="0" shapeId="0" xr:uid="{00000000-0006-0000-0800-000007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8" authorId="0" shapeId="0" xr:uid="{00000000-0006-0000-0800-000008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9" authorId="0" shapeId="0" xr:uid="{00000000-0006-0000-0800-000009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92" authorId="0" shapeId="0" xr:uid="{00000000-0006-0000-0800-00000A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93" authorId="0" shapeId="0" xr:uid="{00000000-0006-0000-0800-00000B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94" authorId="0" shapeId="0" xr:uid="{00000000-0006-0000-0800-00000C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95" authorId="0" shapeId="0" xr:uid="{00000000-0006-0000-0800-00000D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97" authorId="0" shapeId="0" xr:uid="{00000000-0006-0000-0800-00000E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L106" authorId="0" shapeId="0" xr:uid="{00000000-0006-0000-0800-00000F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07" authorId="0" shapeId="0" xr:uid="{00000000-0006-0000-0800-000010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08" authorId="0" shapeId="0" xr:uid="{00000000-0006-0000-0800-000011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09" authorId="0" shapeId="0" xr:uid="{00000000-0006-0000-0800-000012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10" authorId="0" shapeId="0" xr:uid="{00000000-0006-0000-0800-000013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11" authorId="0" shapeId="0" xr:uid="{00000000-0006-0000-0800-000014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12" authorId="0" shapeId="0" xr:uid="{00000000-0006-0000-0800-000015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13" authorId="0" shapeId="0" xr:uid="{00000000-0006-0000-0800-000016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14" authorId="0" shapeId="0" xr:uid="{00000000-0006-0000-0800-000017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15" authorId="0" shapeId="0" xr:uid="{00000000-0006-0000-0800-000018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16" authorId="0" shapeId="0" xr:uid="{00000000-0006-0000-0800-000019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17" authorId="0" shapeId="0" xr:uid="{00000000-0006-0000-0800-00001A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18" authorId="0" shapeId="0" xr:uid="{00000000-0006-0000-0800-00001B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19" authorId="0" shapeId="0" xr:uid="{00000000-0006-0000-0800-00001C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23" authorId="0" shapeId="0" xr:uid="{00000000-0006-0000-0800-00001D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total from the same disclosure, linked to components</t>
        </r>
      </text>
    </comment>
    <comment ref="L124" authorId="0" shapeId="0" xr:uid="{00000000-0006-0000-0800-00001E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total from the same disclosure, linked to components</t>
        </r>
      </text>
    </comment>
    <comment ref="L125" authorId="0" shapeId="0" xr:uid="{00000000-0006-0000-0800-00001F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total from the same disclosure, linked to components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lirenjie</author>
  </authors>
  <commentList>
    <comment ref="H24" authorId="0" shapeId="0" xr:uid="{B6EBCAC4-641D-D64D-B297-CF505CAB1528}">
      <text>
        <r>
          <rPr>
            <b/>
            <sz val="10"/>
            <color rgb="FF000000"/>
            <rFont val="Microsoft YaHei UI"/>
            <family val="2"/>
            <charset val="134"/>
          </rPr>
          <t>lirenjie: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宋体"/>
            <family val="3"/>
            <charset val="134"/>
            <scheme val="minor"/>
          </rPr>
          <t>保留的</t>
        </r>
        <r>
          <rPr>
            <sz val="10"/>
            <color rgb="FF000000"/>
            <rFont val="宋体"/>
            <family val="3"/>
            <charset val="134"/>
            <scheme val="minor"/>
          </rPr>
          <t>1</t>
        </r>
        <r>
          <rPr>
            <sz val="10"/>
            <color rgb="FF000000"/>
            <rFont val="宋体"/>
            <family val="3"/>
            <charset val="134"/>
            <scheme val="minor"/>
          </rPr>
          <t>亿美元经常成本，是避免把公司剔除的所有费用都视为永不再发生</t>
        </r>
      </text>
    </comment>
    <comment ref="H27" authorId="0" shapeId="0" xr:uid="{F90E67D1-54A4-9B4E-81AE-850001EE4704}">
      <text>
        <r>
          <rPr>
            <b/>
            <sz val="10"/>
            <color rgb="FF000000"/>
            <rFont val="Microsoft YaHei UI"/>
            <family val="2"/>
            <charset val="134"/>
          </rPr>
          <t>lirenjie: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宋体"/>
            <family val="3"/>
            <charset val="134"/>
            <scheme val="minor"/>
          </rPr>
          <t>以上年</t>
        </r>
        <r>
          <rPr>
            <sz val="10"/>
            <color rgb="FF000000"/>
            <rFont val="宋体"/>
            <family val="3"/>
            <charset val="134"/>
            <scheme val="minor"/>
          </rPr>
          <t>10.5</t>
        </r>
        <r>
          <rPr>
            <sz val="10"/>
            <color rgb="FF000000"/>
            <rFont val="宋体"/>
            <family val="3"/>
            <charset val="134"/>
            <scheme val="minor"/>
          </rPr>
          <t>亿美元、今年上半年</t>
        </r>
        <r>
          <rPr>
            <sz val="10"/>
            <color rgb="FF000000"/>
            <rFont val="宋体"/>
            <family val="3"/>
            <charset val="134"/>
            <scheme val="minor"/>
          </rPr>
          <t>5.3</t>
        </r>
        <r>
          <rPr>
            <sz val="10"/>
            <color rgb="FF000000"/>
            <rFont val="宋体"/>
            <family val="3"/>
            <charset val="134"/>
            <scheme val="minor"/>
          </rPr>
          <t>亿美元为参考</t>
        </r>
      </text>
    </comment>
    <comment ref="H28" authorId="0" shapeId="0" xr:uid="{0330E796-BCDF-5D43-9243-CF3E5E9B0822}">
      <text>
        <r>
          <rPr>
            <b/>
            <sz val="10"/>
            <color rgb="FF000000"/>
            <rFont val="Microsoft YaHei UI"/>
            <family val="2"/>
            <charset val="134"/>
          </rPr>
          <t>lirenjie: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公司指引</t>
        </r>
      </text>
    </comment>
  </commentList>
</comments>
</file>

<file path=xl/sharedStrings.xml><?xml version="1.0" encoding="utf-8"?>
<sst xmlns="http://schemas.openxmlformats.org/spreadsheetml/2006/main" count="5851" uniqueCount="1974">
  <si>
    <t>The Coca-Cola Company — Operating Metrics</t>
  </si>
  <si>
    <t>$ in millions except per-share data  |  USD  |  as of 2026-10-14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</si>
  <si>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</si>
  <si>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</si>
  <si>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</si>
  <si>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</si>
  <si>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</si>
  <si>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</si>
  <si>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</si>
  <si>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</si>
  <si>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</si>
  <si>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</si>
  <si>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·</t>
  </si>
  <si>
    <t>3Q2024</t>
  </si>
  <si>
    <t>1Q2025</t>
  </si>
  <si>
    <t>2Q2025</t>
  </si>
  <si>
    <t>3Q2025</t>
  </si>
  <si>
    <t>1Q2026</t>
  </si>
  <si>
    <t>2Q2026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</si>
  <si>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</si>
  <si>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</si>
  <si>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</si>
  <si>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</si>
  <si>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</si>
  <si>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</si>
  <si>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</si>
  <si>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</si>
  <si>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</si>
  <si>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2025-12-31</t>
  </si>
  <si>
    <t>2024-09-27</t>
  </si>
  <si>
    <t>2025-03-28</t>
  </si>
  <si>
    <t>2025-06-27</t>
  </si>
  <si>
    <t>2025-09-26</t>
  </si>
  <si>
    <t>2026-04-03</t>
  </si>
  <si>
    <t>2026-07-03</t>
  </si>
  <si>
    <t>CONTENTS</t>
  </si>
  <si>
    <t>Unit case volume (billion unit cases)</t>
  </si>
  <si>
    <t>Company-reported Coca-Cola system unit case volume; the sentence in each 10-K lists that year and the two prior years. Values are in billion unit cases as printed.</t>
  </si>
  <si>
    <t xml:space="preserve">  YoY Growth</t>
  </si>
  <si>
    <t xml:space="preserve">Growth calculated from rounded billion-case totals; may differ from issuer-reported comparable volume growth below (calendar and structural adjustments). </t>
  </si>
  <si>
    <t>Unit case volume growth by operating segment (as reported)</t>
  </si>
  <si>
    <t>Worldwide</t>
  </si>
  <si>
    <t>EMEA</t>
  </si>
  <si>
    <t>Latin America</t>
  </si>
  <si>
    <t>North America</t>
  </si>
  <si>
    <t>Bottling Investments</t>
  </si>
  <si>
    <t>Asia Pacific</t>
  </si>
  <si>
    <t>Global Ventures</t>
  </si>
  <si>
    <t>Global Ventures FY2018 is the comparative disclosed in FY2019 10-K, including acquired-business history; FY2019 excludes Costa non-ready-to-drink volume. See the volume footnotes; segment dissolved in FY2025.</t>
  </si>
  <si>
    <t>Concentrate sales volume growth by operating segment (as reported)</t>
  </si>
  <si>
    <t>Company explicitly reports concentrate sales for Bottling Investments as N/A; N/A is neither zero nor the adjacent footnote number.</t>
  </si>
  <si>
    <t>N/A</t>
  </si>
  <si>
    <t>2. NET OPERATING REVENUE FACTORS — VOLUME / PRICE-MIX / FX / ACQUISITIONS &amp; DIVESTITURES (% impact, as reported)</t>
  </si>
  <si>
    <t>Net operating revenue impact — Volume</t>
  </si>
  <si>
    <t>Consolidated</t>
  </si>
  <si>
    <t>Net operating revenue impact — Price/Mix</t>
  </si>
  <si>
    <t>Net operating revenue impact — FX</t>
  </si>
  <si>
    <t>Net operating revenue impact — Acquisitions &amp; Divestitures</t>
  </si>
  <si>
    <t>Net operating revenue impact — Total</t>
  </si>
  <si>
    <t>Check: Consolidated revenue factors sum to Total (≈0)</t>
  </si>
  <si>
    <t>Check: Asia Pacific revenue factors sum to Total (≈0)</t>
  </si>
  <si>
    <t>Check: Bottling Investments revenue factors sum to Total (≈0)</t>
  </si>
  <si>
    <t>Check: EMEA revenue factors sum to Total (≈0)</t>
  </si>
  <si>
    <t>Check: Global Ventures revenue factors sum to Total (≈0)</t>
  </si>
  <si>
    <t>Check: Latin America revenue factors sum to Total (≈0)</t>
  </si>
  <si>
    <t>Check: North America revenue factors sum to Total (≈0)</t>
  </si>
  <si>
    <t>Concentrate operations</t>
  </si>
  <si>
    <t>Note 3: Business and Revenue Disclosures — net operating revenues disaggregated by line of business.</t>
  </si>
  <si>
    <t>United States</t>
  </si>
  <si>
    <t>International</t>
  </si>
  <si>
    <t>Total</t>
  </si>
  <si>
    <t>Check: Concentrate operations US + International - Total (≈0)</t>
  </si>
  <si>
    <t>Finished product operations</t>
  </si>
  <si>
    <t>Check: Finished product operations US + International - Total (≈0)</t>
  </si>
  <si>
    <t>Check: Total US + International - Total (≈0)</t>
  </si>
  <si>
    <t>Check: line of business total vs IS net operating revenues (≈0)</t>
  </si>
  <si>
    <t>4. REVENUE MIX — OPERATING SEGMENT % OF COMPANY NET OPERATING REVENUES (as reported; Global Ventures exists FY2019-FY2024 only)</t>
  </si>
  <si>
    <t>Corporate</t>
  </si>
  <si>
    <t>5. CUSTOMER CONCENTRATION</t>
  </si>
  <si>
    <t>Largest bottler % of net operating revenues (FY2025)</t>
  </si>
  <si>
    <t>2025: one bottler accounts for 10% of revenue. The following sentence refers to 2024 and 2023; it does not negate the 2025 disclosure.</t>
  </si>
  <si>
    <t>Concentrate sales volume growth — Global Ventures (supplement)</t>
  </si>
  <si>
    <t>Same concentrate-sales table as rows 27-32; supplement retains all existing workbook row references.</t>
  </si>
  <si>
    <t>The Coca-Cola Company — Cover</t>
  </si>
  <si>
    <t>The Coca-Cola Company (NYSE: KO)</t>
  </si>
  <si>
    <t>Ticker / exchange</t>
  </si>
  <si>
    <t>KO / NYSE</t>
  </si>
  <si>
    <t>CIK</t>
  </si>
  <si>
    <t>0000021344</t>
  </si>
  <si>
    <t>Reporting framework</t>
  </si>
  <si>
    <t>US GAAP, consolidated</t>
  </si>
  <si>
    <t>Currency / units</t>
  </si>
  <si>
    <t>USD; $ in millions except per-share data</t>
  </si>
  <si>
    <t>Fiscal year end</t>
  </si>
  <si>
    <t>December 31 (10-Q quarters end on the Friday nearest the calendar quarter end)</t>
  </si>
  <si>
    <t>Annual window</t>
  </si>
  <si>
    <t>FY2016-FY2025 (ten 10-Ks)</t>
  </si>
  <si>
    <t>Quarterly window</t>
  </si>
  <si>
    <t>3Q2024, 1Q2025, 2Q2025, 3Q2025, 1Q2026, 2Q2026 (six 10-Qs; no 4Q columns because a 10-K is not a quarterly filing)</t>
  </si>
  <si>
    <t>Latest covered period</t>
  </si>
  <si>
    <t>2Q2026 (quarter ended July 3, 2026; 10-Q filed 2026-07-29)</t>
  </si>
  <si>
    <t>Workbook date</t>
  </si>
  <si>
    <t>2026-10-14 (reviewed; original export 2026-10-13)</t>
  </si>
  <si>
    <t>Sheet directory</t>
  </si>
  <si>
    <t>Income Statement (IS)</t>
  </si>
  <si>
    <t>As-reported income statement, growth/margin rows, six tie-out checks</t>
  </si>
  <si>
    <t>Balance Sheet (BS)</t>
  </si>
  <si>
    <t>As-reported balance sheet, eight tie-out checks, working-capital days</t>
  </si>
  <si>
    <t>Cash Flow (CF)</t>
  </si>
  <si>
    <t>As-reported cash flow statement (quarterly columns are fiscal year-to-date), four checks, FCF and shareowner-return analytics</t>
  </si>
  <si>
    <t>Segments (SEG)</t>
  </si>
  <si>
    <t>Three segment bases kept separate (A: FY2016-FY2018, B: FY2017-FY2024, C: FY2023-FY2025), each tied to consolidated totals</t>
  </si>
  <si>
    <t>Geography (GEO)</t>
  </si>
  <si>
    <t>US / International net operating revenues and PP&amp;E</t>
  </si>
  <si>
    <t>Derived Metrics (DM)</t>
  </si>
  <si>
    <t>Live formulas from verified IS/BS/CF and segment D&amp;A; annual and selected discrete-quarter ratios. Cash-flow ratios retain annual coverage where quarterly inputs are cumulative.</t>
  </si>
  <si>
    <t>Sources</t>
  </si>
  <si>
    <t>Filing accessions, file paths, SHA-256, annual-column provenance, restatement log</t>
  </si>
  <si>
    <t>Colour legend</t>
  </si>
  <si>
    <t>Blue font</t>
  </si>
  <si>
    <t>Hard-coded value copied from a filing</t>
  </si>
  <si>
    <t>Black font</t>
  </si>
  <si>
    <t>Formula</t>
  </si>
  <si>
    <t>Green font</t>
  </si>
  <si>
    <t>Cross-sheet link</t>
  </si>
  <si>
    <t>Grey italic</t>
  </si>
  <si>
    <t>Memo / analytic row</t>
  </si>
  <si>
    <t>How annual columns were sourced</t>
  </si>
  <si>
    <t>Income statement and cash flow</t>
  </si>
  <si>
    <t>Each fiscal year is taken from the 10-K filed two years later (or the FY2025 10-K for FY2024 and FY2025), so later reclassifications are reflected. The first-filed value is compared with the value used in the Sources sheet.</t>
  </si>
  <si>
    <t>Balance sheet</t>
  </si>
  <si>
    <t>Each year-end is taken from the 10-K for the following year (the FY2025 10-K for FY2025), i.e. the later comparative column.</t>
  </si>
  <si>
    <t>Quarterly</t>
  </si>
  <si>
    <t>IS: three-month column of each 10-Q. BS: period-end balance of each 10-Q. CF: fiscal year-to-date column of each 10-Q (Q1 = 3 months, Q2 = 6 months, Q3 = 9 months).</t>
  </si>
  <si>
    <t>Comparability notes</t>
  </si>
  <si>
    <t>Sign convention</t>
  </si>
  <si>
    <t>Income-statement expenses are shown positive as filed (cost of goods sold, SG&amp;A, interest expense, income taxes). Cash-flow outflows are negative as filed.</t>
  </si>
  <si>
    <t>Discontinued operations</t>
  </si>
  <si>
    <t>FY2016-FY2018 filings present a discontinued-operations line (FY2017-FY2018). The latest filing presenting each year is used, so FY2017 and FY2018 follow the FY2019 and FY2020 10-K presentation.</t>
  </si>
  <si>
    <t>Recast years</t>
  </si>
  <si>
    <t>Later 10-Ks recast earlier years: FY2016 operating income (FY2018 10-K), FY2017 and FY2018 net operating revenues and operating income (FY2019 and FY2020 10-Ks), and operating cash flow for FY2016-FY2018. FY2016 is on the older pre-recast basis because no later 10-K presents it; FY2016-to-FY2017 growth rates therefore mix bases. The differences are listed in the Sources sheet; the cause is not analysed here.</t>
  </si>
  <si>
    <t>Caption changes</t>
  </si>
  <si>
    <t>FY2021 onward: 'prepaid expenses and other current assets', 'other noncurrent assets/liabilities' replace earlier captions; debt issuance/payment captions were renamed in the FY2023 10-K with identical values. Equivalent lines share one row.</t>
  </si>
  <si>
    <t>Segments</t>
  </si>
  <si>
    <t>KO re-segmented in the FY2019 10-K (Global Ventures added) and again in the FY2025 10-K (Global Ventures dissolved). Segment series are not stitched across bases. The FY2025 10-K recast covers FY2023-FY2025 only.</t>
  </si>
  <si>
    <t>Fiscal 2025 events</t>
  </si>
  <si>
    <t>Large FY2024 'Other operating charges' and FY2024-FY2025 cash-flow movements relate to the IRS tax litigation deposit and the settlement of the fairlife contingent consideration (see 10-K notes). The workbook does not adjust them.</t>
  </si>
  <si>
    <t>Not built in this pass</t>
  </si>
  <si>
    <t>Valuation / forecast sheets</t>
  </si>
  <si>
    <t>Excluded by instruction.</t>
  </si>
  <si>
    <t>Operating Metrics and Note Schedules coverage</t>
  </si>
  <si>
    <t>Built and verified: volume, revenue factors, line of business, debt, income taxes, equity-method investees, and assets/liabilities held for sale. Standalone BS Detail remains absent.</t>
  </si>
  <si>
    <t>Non-GAAP bridge</t>
  </si>
  <si>
    <t>Not built: KO's comparable (non-GAAP) measures are in the 8-K earnings releases and IR schedules acquired in the research package; they are not included here.</t>
  </si>
  <si>
    <t>Quarterly gaps</t>
  </si>
  <si>
    <t>4Q2024/4Q2025 are not separately derived. Quarterly YoY growth is shown only for matching periods present in the workbook. Undisclosed inputs remain blank; explicit N/A remains N/A.</t>
  </si>
  <si>
    <t>Scope</t>
  </si>
  <si>
    <t>Data-preparation workbook only. No investment thesis, valuation, target price or recommendation.</t>
  </si>
  <si>
    <t>Review 2026-10-14</t>
  </si>
  <si>
    <t>See Audit 2026-10-14 for source-cell checks and change log. Original workbook preserved; source numbers verified against SEC raw HTML after excluding superscript footnotes.</t>
  </si>
  <si>
    <t>Operating Metrics</t>
  </si>
  <si>
    <t>FY2016-FY2025 volume growth and six disclosed quarters; omitted Asia Pacific / Global Ventures concentrate-sales rows restored. Global Ventures comparative FY2018 follows FY2019 disclosure basis.</t>
  </si>
  <si>
    <t>Note Schedules</t>
  </si>
  <si>
    <t>FY2025 equity-investment carrying values / differences / totals restored as a supplement; original fair values retained.</t>
  </si>
  <si>
    <t>The Coca-Cola Company — Income Statement</t>
  </si>
  <si>
    <t>1. INCOME STATEMENT — AS REPORTED (expenses shown positive, as filed)</t>
  </si>
  <si>
    <t>Net Operating Revenues</t>
  </si>
  <si>
    <t>Cost of goods sold</t>
  </si>
  <si>
    <t>Gross Profit</t>
  </si>
  <si>
    <t xml:space="preserve">  Gross Margin</t>
  </si>
  <si>
    <t>Selling, general and administrative expenses</t>
  </si>
  <si>
    <t>Other operating charges</t>
  </si>
  <si>
    <t>Operating Income</t>
  </si>
  <si>
    <t xml:space="preserve">  Operating Margin</t>
  </si>
  <si>
    <t>Interest income</t>
  </si>
  <si>
    <t>Interest expense</t>
  </si>
  <si>
    <t>Equity income (loss) — net</t>
  </si>
  <si>
    <t>Other income (loss) — net</t>
  </si>
  <si>
    <t>Income Before Income Taxes</t>
  </si>
  <si>
    <t>FY2016 from the FY2018 10-K: income from continuing operations before income taxes.</t>
  </si>
  <si>
    <t>Income taxes</t>
  </si>
  <si>
    <t xml:space="preserve">  Effective Tax Rate</t>
  </si>
  <si>
    <t>Net income from continuing operations</t>
  </si>
  <si>
    <t>Income (loss) from discontinued operations, net of income taxes</t>
  </si>
  <si>
    <t>Shown only where the latest filing presenting the year reports it.</t>
  </si>
  <si>
    <t>Consolidated Net Income</t>
  </si>
  <si>
    <t>Less: Net income (loss) attributable to noncontrolling interests</t>
  </si>
  <si>
    <t>Net Income Attributable to Shareowners of The Coca-Cola Company</t>
  </si>
  <si>
    <t xml:space="preserve">  Net Margin (attributable)</t>
  </si>
  <si>
    <t>Basic net income per share from continuing operations</t>
  </si>
  <si>
    <t>Basic net income per share from discontinued operations</t>
  </si>
  <si>
    <t>Basic net income (loss) per share from discontinued operations</t>
  </si>
  <si>
    <t>Basic Net Income Per Share</t>
  </si>
  <si>
    <t>Diluted net income per share from continuing operations</t>
  </si>
  <si>
    <t>Diluted net income per share from discontinued operations</t>
  </si>
  <si>
    <t>Diluted net income (loss) per share from discontinued operations</t>
  </si>
  <si>
    <t>Diluted Net Income Per Share</t>
  </si>
  <si>
    <t>Average Shares Outstanding — Basic</t>
  </si>
  <si>
    <t>Effect of dilutive securities</t>
  </si>
  <si>
    <t>Average Shares Outstanding — Diluted</t>
  </si>
  <si>
    <t>2. CHECKS</t>
  </si>
  <si>
    <t>Check: Revenue - COGS - Gross profit (≈0)</t>
  </si>
  <si>
    <t>Check: Gross profit - SG&amp;A - other charges - Op. income (≈0)</t>
  </si>
  <si>
    <t>Check: Operating income to pre-tax income bridge (≈0)</t>
  </si>
  <si>
    <t>Check: EBT - income taxes - consolidated net income (≈0)</t>
  </si>
  <si>
    <t>Check: Consolidated NI - NCI - NI attributable (≈0)</t>
  </si>
  <si>
    <t>Check: NI attributable / diluted shares - diluted EPS (rounding, ≈0)</t>
  </si>
  <si>
    <t>The Coca-Cola Company — Balance Sheet</t>
  </si>
  <si>
    <t>1. BALANCE SHEET — AS REPORTED (year-end values from the first 10-K after the year-end; quarterly columns are 10-Q period-end)</t>
  </si>
  <si>
    <t>Assets</t>
  </si>
  <si>
    <t>Current Assets</t>
  </si>
  <si>
    <t>Cash and cash equivalents</t>
  </si>
  <si>
    <t>Short-term investments</t>
  </si>
  <si>
    <t>Total Cash, Cash Equivalents and Short-Term Investments</t>
  </si>
  <si>
    <t>Marketable securities</t>
  </si>
  <si>
    <t>Trade accounts receivable, less allowances</t>
  </si>
  <si>
    <t>Inventories</t>
  </si>
  <si>
    <t>Prepaid expenses and other current assets</t>
  </si>
  <si>
    <t>Assets held for sale</t>
  </si>
  <si>
    <t>Assets held for sale — discontinued operations</t>
  </si>
  <si>
    <t>Total Current Assets</t>
  </si>
  <si>
    <t>Equity method investments</t>
  </si>
  <si>
    <t>Other investments</t>
  </si>
  <si>
    <t>Deferred income tax assets</t>
  </si>
  <si>
    <t>Property, plant and equipment — net</t>
  </si>
  <si>
    <t>Trademarks with indefinite lives</t>
  </si>
  <si>
    <t>Bottlers' franchise rights with indefinite lives</t>
  </si>
  <si>
    <t>Goodwill</t>
  </si>
  <si>
    <t>Other intangible assets</t>
  </si>
  <si>
    <t>Other noncurrent assets</t>
  </si>
  <si>
    <t>Total Assets</t>
  </si>
  <si>
    <t>Liabilities and equity</t>
  </si>
  <si>
    <t>Current Liabilities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</si>
  <si>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</si>
  <si>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</si>
  <si>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</si>
  <si>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</si>
  <si>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</si>
  <si>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Liabilities held for sale — discontinued operations</t>
  </si>
  <si>
    <t>Total Current Liabilities</t>
  </si>
  <si>
    <t>Long-term debt</t>
  </si>
  <si>
    <t>Other noncurrent liabilities</t>
  </si>
  <si>
    <t>Deferred income tax liabilities</t>
  </si>
  <si>
    <t>The Coca-Cola Company Shareowners' Equity</t>
  </si>
  <si>
    <t>The Coca-Cola Company Shareowners'Equity</t>
  </si>
  <si>
    <t>Common stock, $0.25 par value</t>
  </si>
  <si>
    <t>Capital surplus</t>
  </si>
  <si>
    <t>Reinvested earnings</t>
  </si>
  <si>
    <t>Accumulated other comprehensive income (loss)</t>
  </si>
  <si>
    <t>Treasury stock, at cost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</si>
  <si>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</si>
  <si>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</si>
  <si>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</si>
  <si>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</si>
  <si>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Check: Cash + short-term investments - subtotal (≈0)</t>
  </si>
  <si>
    <t>Check: Current asset lines - Total current assets (≈0)</t>
  </si>
  <si>
    <t>Check: Current + non-current assets - Total assets (≈0)</t>
  </si>
  <si>
    <t>Check: Current liability lines - Total current liabilities (≈0)</t>
  </si>
  <si>
    <t>Check: Equity components - Equity attributable to shareowners (≈0)</t>
  </si>
  <si>
    <t>Check: Equity attributable + NCI - Total equity (≈0)</t>
  </si>
  <si>
    <t>Check: Liabilities + equity components - Total L&amp;E (≈0)</t>
  </si>
  <si>
    <t>Balance Check: Total assets - Total liabilities and equity (≈0)</t>
  </si>
  <si>
    <t>3. WORKING CAPITAL ANALYTICS (quarterly uses 91 days; the 10-Q IS is a three-month column)</t>
  </si>
  <si>
    <t>Days Sales Outstanding</t>
  </si>
  <si>
    <t>Days Inventory Outstanding</t>
  </si>
  <si>
    <t>Days Payable Outstanding (AP and accrued expenses)</t>
  </si>
  <si>
    <t>Cash Conversion Cycle</t>
  </si>
  <si>
    <t>The Coca-Cola Company — Cash Flow</t>
  </si>
  <si>
    <t>1. CASH FLOW STATEMENT — AS REPORTED (quarterly columns are fiscal year-to-date)</t>
  </si>
  <si>
    <t>Operating Activities</t>
  </si>
  <si>
    <t>Consolidated net income</t>
  </si>
  <si>
    <t>(Income) loss from discontinued operations</t>
  </si>
  <si>
    <t>Adjustments to reconcile net income to operating cash flow:</t>
  </si>
  <si>
    <t>Filed caption: Adjustments to reconcile consolidated net income to net cash provided by operating activities:</t>
  </si>
  <si>
    <t>Depreciation and amortization</t>
  </si>
  <si>
    <t>Stock-based compensation expense</t>
  </si>
  <si>
    <t>Deferred income taxes</t>
  </si>
  <si>
    <t>Equity (income) loss — net of dividends</t>
  </si>
  <si>
    <t>Foreign currency adjustments</t>
  </si>
  <si>
    <t>Significant (gains) losses — net</t>
  </si>
  <si>
    <t>Other items</t>
  </si>
  <si>
    <t>Net change in operating assets and liabilities</t>
  </si>
  <si>
    <t>Net Cash Provided by Operating Activities</t>
  </si>
  <si>
    <t>Investing Activities</t>
  </si>
  <si>
    <t>Purchases of investments</t>
  </si>
  <si>
    <t>Proceeds from disposals of investments</t>
  </si>
  <si>
    <t>Acquisitions of businesses, equity method inv. &amp; nonmkt. securities</t>
  </si>
  <si>
    <t>Filed caption: Acquisitions of businesses, equity method investments and nonmarketable securities</t>
  </si>
  <si>
    <t>Proceeds from disposals of businesses, equity method inv. &amp; nonmkt…</t>
  </si>
  <si>
    <t>Filed caption: Proceeds from disposals of businesses, equity method investments and nonmarketable securities Full label: Proceeds from disposals of businesses, equity method inv. &amp; nonmkt. securities</t>
  </si>
  <si>
    <t>Purchases of property, plant and equipment</t>
  </si>
  <si>
    <t>Proceeds from disposals of property, plant and equipment</t>
  </si>
  <si>
    <t>Collateral (paid) received associated with hedging activities — net</t>
  </si>
  <si>
    <t>Other investing activities</t>
  </si>
  <si>
    <t>Net Cash Provided by (Used in) Investing Activities</t>
  </si>
  <si>
    <t>Financing Activities</t>
  </si>
  <si>
    <t>Issuances of loans, notes payable and long-term debt</t>
  </si>
  <si>
    <t>Payments of loans, notes payable and long-term debt</t>
  </si>
  <si>
    <t>Issuances of stock</t>
  </si>
  <si>
    <t>Purchases of stock for treasury</t>
  </si>
  <si>
    <t>Dividends</t>
  </si>
  <si>
    <t>Proceeds from sale of a noncontrolling interest</t>
  </si>
  <si>
    <t>Other financing activities</t>
  </si>
  <si>
    <t>Net Cash Provided by (Used in) Financing Activities</t>
  </si>
  <si>
    <t>Cash flows from discontinued operations</t>
  </si>
  <si>
    <t>Net cash from operating activities - discontinued operations</t>
  </si>
  <si>
    <t>Filed caption: Net cash provided by (used in) operating activities from discontinued operations</t>
  </si>
  <si>
    <t>Net cash from investing activities - discontinued operations</t>
  </si>
  <si>
    <t>Filed caption: Net cash provided by (used in) investing activities from discontinued operations</t>
  </si>
  <si>
    <t>Net cash from financing activities - discontinued operations</t>
  </si>
  <si>
    <t>Filed caption: Net cash provided by (used in) financing activities from discontinued operations</t>
  </si>
  <si>
    <t>Net cash provided by (used in) discontinued operations</t>
  </si>
  <si>
    <t>Effect of exchange rate changes on cash and cash equivalents</t>
  </si>
  <si>
    <t>Net increase (decrease) during the year</t>
  </si>
  <si>
    <t>Balance at beginning of year</t>
  </si>
  <si>
    <t>Balance at end of year</t>
  </si>
  <si>
    <t>Effect of exchange rate changes on cash and restricted cash</t>
  </si>
  <si>
    <t>Filed caption: Effect of Exchange Rate Changes on Cash, Cash Equivalents, Restricted Cash and Restricted Cash Equivalents</t>
  </si>
  <si>
    <t>Cash and restricted cash</t>
  </si>
  <si>
    <t>Filed caption: Cash, Cash Equivalents, Restricted Cash and Restricted Cash Equivalents</t>
  </si>
  <si>
    <t>Net increase (decrease) in cash and restricted cash</t>
  </si>
  <si>
    <t>Filed caption: Net increase (decrease) in cash, cash equivalents, restricted cash and restricted cash equivalents during the year</t>
  </si>
  <si>
    <t>Cash and restricted cash at beginning of year</t>
  </si>
  <si>
    <t>Filed caption: Cash, cash equivalents, restricted cash and restricted cash equivalents at beginning of year</t>
  </si>
  <si>
    <t>Cash and restricted cash at end of year</t>
  </si>
  <si>
    <t>Filed caption: Cash, Cash Equivalents, Restricted Cash and Restricted Cash Equivalents at End of Year</t>
  </si>
  <si>
    <t>Less: Restricted cash and restricted cash equivalents at end of ye…</t>
  </si>
  <si>
    <t>Full label: Less: Restricted cash and restricted cash equivalents at end of year</t>
  </si>
  <si>
    <t>Cash and Cash Equivalents at End of Year</t>
  </si>
  <si>
    <t>Check: Operating lines - Net cash from operations (≈0)</t>
  </si>
  <si>
    <t>Check: Investing lines - Net cash from investing activities (≈0)</t>
  </si>
  <si>
    <t>Check: Financing lines - Net cash from financing activities (≈0)</t>
  </si>
  <si>
    <t>Cash walk check: CFO+CFI+CFF(+disc.)+FX - net change (≈0)</t>
  </si>
  <si>
    <t>3. FREE CASH FLOW AND SHAREOWNER RETURN ANALYTICS (annual; quarterly shown where inputs are YTD)</t>
  </si>
  <si>
    <t>Free cash flow (CFO + PP&amp;E purchases; analyst calc.)</t>
  </si>
  <si>
    <t xml:space="preserve">  Capex % of Revenue</t>
  </si>
  <si>
    <t xml:space="preserve">  FCF Margin</t>
  </si>
  <si>
    <t xml:space="preserve">  FCF / Net income attributable</t>
  </si>
  <si>
    <t>Cash returned to shareowners (dividends + buybacks, positive)</t>
  </si>
  <si>
    <t xml:space="preserve">  % of Free Cash Flow</t>
  </si>
  <si>
    <t>The Coca-Cola Company — Segments</t>
  </si>
  <si>
    <t>1. SEGMENTS — BASIS C (FY2025 10-K recast: Global Ventures dissolved into the geographic segments; FY2023-FY2025 only)</t>
  </si>
  <si>
    <t>Third-party net operating revenues</t>
  </si>
  <si>
    <t>Consolidated (as reported)</t>
  </si>
  <si>
    <t>Check: segments + Corporate - Consolidated (≈0)</t>
  </si>
  <si>
    <t>Intersegment net operating revenues</t>
  </si>
  <si>
    <t>Eliminations</t>
  </si>
  <si>
    <t>Total net operating revenues (third-party + intersegment)</t>
  </si>
  <si>
    <t>Operating income (loss)</t>
  </si>
  <si>
    <t>Capital expenditures</t>
  </si>
  <si>
    <t>Info: third-party total - IS net operating revenues (differences = in…</t>
  </si>
  <si>
    <t>Full label: Info: third-party total - IS net operating revenues (differences = intersegment revenue and later restatements)</t>
  </si>
  <si>
    <t>Info: total net operating revenues - IS net operating revenues (diffe…</t>
  </si>
  <si>
    <t>Full label: Info: total net operating revenues - IS net operating revenues (differences = later restatements only)</t>
  </si>
  <si>
    <t>Check: segment third-party revenue vs IS net operating revenues (≈0)</t>
  </si>
  <si>
    <t>Check: segment operating income vs IS operating income (≈0)</t>
  </si>
  <si>
    <t>Check: segment D&amp;A vs CF depreciation and amortization (≈0)</t>
  </si>
  <si>
    <t>Info: segment capex + CF purchases of PP&amp;E (definitions differ)</t>
  </si>
  <si>
    <t>EMEA operating margin (op. income / third-party revenue)</t>
  </si>
  <si>
    <t>Latin America operating margin (op. income / third-party revenue)</t>
  </si>
  <si>
    <t>North America operating margin (op. income / third-party revenue)</t>
  </si>
  <si>
    <t>Asia Pacific operating margin (op. income / third-party revenue)</t>
  </si>
  <si>
    <t>Bottling Investments operating margin (op. income / third-party reven…</t>
  </si>
  <si>
    <t>Full label: Bottling Investments operating margin (op. income / third-party revenue)</t>
  </si>
  <si>
    <t>2. SEGMENTS — BASIS B (FY2019-FY2024 10-K presentation incl. Global Ventures; FY2017-FY2024, each year from the latest 10-K presenting it on this basis)</t>
  </si>
  <si>
    <t>Global Ventures operating margin (op. income / third-party revenue)</t>
  </si>
  <si>
    <t>3. SEGMENTS — BASIS A (FY2018 10-K presentation: no Global Ventures; FY2016-FY2018)</t>
  </si>
  <si>
    <t>Info: basis A revenue - IS revenue (IS uses later recast)</t>
  </si>
  <si>
    <t>Info: basis A op. income - IS op. income (IS uses later recast)</t>
  </si>
  <si>
    <t>The Coca-Cola Company — Geography</t>
  </si>
  <si>
    <t>1. NET OPERATING REVENUES BY GEOGRAPHY (Note: Operating Segments — Geographic and Customer Data)</t>
  </si>
  <si>
    <t>Net operating revenues (as reported)</t>
  </si>
  <si>
    <t xml:space="preserve">  United States % of revenue</t>
  </si>
  <si>
    <t xml:space="preserve">  International YoY Growth</t>
  </si>
  <si>
    <t xml:space="preserve">  United States YoY Growth</t>
  </si>
  <si>
    <t>Check: US + International - reported total (≈0)</t>
  </si>
  <si>
    <t>Check: geography total vs IS net operating revenues (≈0)</t>
  </si>
  <si>
    <t>2. PROPERTY, PLANT AND EQUIPMENT — NET BY GEOGRAPHY</t>
  </si>
  <si>
    <t>Property, plant and equipment — net (as reported)</t>
  </si>
  <si>
    <t>Check: geography total vs BS property, plant and equipment - net (≈0)</t>
  </si>
  <si>
    <t>The Coca-Cola Company — Derived Metrics</t>
  </si>
  <si>
    <t>1. PROFITABILITY</t>
  </si>
  <si>
    <t>Gross Margin</t>
  </si>
  <si>
    <t>SG&amp;A % of Revenue</t>
  </si>
  <si>
    <t>Operating Margin</t>
  </si>
  <si>
    <t>EBITDA (operating income + D&amp;A; analyst calculation)</t>
  </si>
  <si>
    <t>EBITDA Margin</t>
  </si>
  <si>
    <t>Net Margin (attributable)</t>
  </si>
  <si>
    <t>Effective Tax Rate</t>
  </si>
  <si>
    <t>Equity income % of pre-tax income</t>
  </si>
  <si>
    <t>2. RETURNS (average of opening and closing balances)</t>
  </si>
  <si>
    <t>ROA (NI attributable / average total assets)</t>
  </si>
  <si>
    <t>ROE (NI attributable / average equity attributable)</t>
  </si>
  <si>
    <t>ROIC (operating income x (1 - tax rate) / average equity + debt)</t>
  </si>
  <si>
    <t>Asset Turnover</t>
  </si>
  <si>
    <t>3. LEVERAGE</t>
  </si>
  <si>
    <t>Total debt (loans and notes payable + current maturities + long-term…</t>
  </si>
  <si>
    <t>Full label: Total debt (loans and notes payable + current maturities + long-term debt)</t>
  </si>
  <si>
    <t>Cash, short-term investments and marketable securities</t>
  </si>
  <si>
    <t>Net debt</t>
  </si>
  <si>
    <t>Net Debt / EBITDA</t>
  </si>
  <si>
    <t>Annual columns: annual EBITDA denominator. Quarterly columns: discrete three-month EBITDA denominator, without annualization; these multiples are not directly comparable to annual multiples.</t>
  </si>
  <si>
    <t>Debt / Total Equity</t>
  </si>
  <si>
    <t>4. SOLVENCY</t>
  </si>
  <si>
    <t>Equity Ratio (total equity / total assets)</t>
  </si>
  <si>
    <t>Debt / Total Assets</t>
  </si>
  <si>
    <t>5. LIQUIDITY</t>
  </si>
  <si>
    <t>Current Ratio</t>
  </si>
  <si>
    <t>Quick Ratio ((current assets - inventories) / current liabilities)</t>
  </si>
  <si>
    <t>Cash Ratio ((cash + short-term investments + marketable securities) /…</t>
  </si>
  <si>
    <t>Full label: Cash Ratio ((cash + short-term investments + marketable securities) / current liabilities)</t>
  </si>
  <si>
    <t>6. COVERAGE</t>
  </si>
  <si>
    <t>Interest Coverage (operating income / interest expense)</t>
  </si>
  <si>
    <t>CFO / Interest Expense</t>
  </si>
  <si>
    <t>7. CASH CONVERSION</t>
  </si>
  <si>
    <t>CFO Margin</t>
  </si>
  <si>
    <t>CFO / EBITDA</t>
  </si>
  <si>
    <t>Capex Intensity (purchases of PP&amp;E / revenue)</t>
  </si>
  <si>
    <t>Free Cash Flow (CFO + purchases of PP&amp;E)</t>
  </si>
  <si>
    <t>FCF Margin</t>
  </si>
  <si>
    <t>FCF / Net income attributable</t>
  </si>
  <si>
    <t>D&amp;A / Capex</t>
  </si>
  <si>
    <t>8. EARNINGS QUALITY</t>
  </si>
  <si>
    <t>CFO / Net income attributable</t>
  </si>
  <si>
    <t>Accrual Ratio ((NI attributable - CFO) / average total assets)</t>
  </si>
  <si>
    <t>9. GROWTH</t>
  </si>
  <si>
    <t>Revenue Growth</t>
  </si>
  <si>
    <t>Operating Income Growth</t>
  </si>
  <si>
    <t>Net Income (attributable) Growth</t>
  </si>
  <si>
    <t>Diluted EPS Growth</t>
  </si>
  <si>
    <t>CFO Growth</t>
  </si>
  <si>
    <t>Diluted weighted-average shares change</t>
  </si>
  <si>
    <t>10. SHAREOWNER RETURNS</t>
  </si>
  <si>
    <t>Cash dividends paid (shown positive)</t>
  </si>
  <si>
    <t>Purchases of stock for treasury (shown positive)</t>
  </si>
  <si>
    <t>Dividend payout (dividends / NI attributable)</t>
  </si>
  <si>
    <t>Total payout ((dividends + treasury purchases) / NI attributable)</t>
  </si>
  <si>
    <t>Dividends % of FCF</t>
  </si>
  <si>
    <t>11. WORKING CAPITAL</t>
  </si>
  <si>
    <t>The Coca-Cola Company — Note Schedules</t>
  </si>
  <si>
    <t>1. EQUITY METHOD INVESTEES — AGGREGATE FINANCIAL INFORMATION AND THE COMPANY'S SHARE OF NET INCOME (Note 6)</t>
  </si>
  <si>
    <t>Net operating revenues</t>
  </si>
  <si>
    <t>Note 6 Equity Method Investments — aggregate financial information of the investees, and the Company's share of their net income.</t>
  </si>
  <si>
    <t>Gross profit</t>
  </si>
  <si>
    <t>Operating income</t>
  </si>
  <si>
    <t>Less: Net income attributable to noncontrolling interests</t>
  </si>
  <si>
    <t>Net income attributable to common shareowners</t>
  </si>
  <si>
    <t>Check: investees' equity income - IS equity income (loss) — net (≈0)</t>
  </si>
  <si>
    <t>2. EQUITY METHOD INVESTMENTS — QUOTED FAIR VALUES (FY2025, Note 6; carrying-value bridge below)</t>
  </si>
  <si>
    <t>Monster Beverage Corporation</t>
  </si>
  <si>
    <t>Coca-Cola Europacific Partners plc</t>
  </si>
  <si>
    <t>Coca-Cola FEMSA, S.A.B. de C.V.</t>
  </si>
  <si>
    <t>Coca-Cola HBC AG</t>
  </si>
  <si>
    <t>Coca-Cola Bottlers Japan Holdings Inc.</t>
  </si>
  <si>
    <t>Coca-Cola İ ç ecek A. Ş.</t>
  </si>
  <si>
    <t>Embotelladora Andina S.A.</t>
  </si>
  <si>
    <t>3. INCOME BEFORE INCOME TAXES BY JURISDICTION (Note 15)</t>
  </si>
  <si>
    <t>Note 15 Income Taxes — income before income taxes by jurisdiction. FY2024-FY2023 Puerto Rico amounts were reclassified from United States to International on adoption of ASU 2023-09.</t>
  </si>
  <si>
    <t>4. INCOME TAXES — CURRENT AND DEFERRED BY JURISDICTION (Note 15)</t>
  </si>
  <si>
    <t>Current</t>
  </si>
  <si>
    <t>Note 15 Income Taxes — current and deferred tax expense by jurisdiction.</t>
  </si>
  <si>
    <t>State and Local</t>
  </si>
  <si>
    <t>Deferred</t>
  </si>
  <si>
    <t>5. UNRECOGNIZED TAX BENEFITS — ROLL-FORWARD (Note 15)</t>
  </si>
  <si>
    <t>Beginning balance of unrecognized tax benefits</t>
  </si>
  <si>
    <t>Note 15 Income Taxes — reconciliation of the gross unrecognized tax benefits.</t>
  </si>
  <si>
    <t>Increase related to prior period tax positions</t>
  </si>
  <si>
    <t>Decrease related to prior period tax positions</t>
  </si>
  <si>
    <t>Increase related to current period tax positions</t>
  </si>
  <si>
    <t>Decrease related to settlements with taxing authorities</t>
  </si>
  <si>
    <t>Decrease due to lapse of the applicable statute of limitations</t>
  </si>
  <si>
    <t>Increase (decrease) due to effect of foreign currency exchange rate changes</t>
  </si>
  <si>
    <t>Ending balance of unrecognized tax benefits</t>
  </si>
  <si>
    <t>Balance of unrecognized tax benefits at beginning of year</t>
  </si>
  <si>
    <t>Balance of unrecognized tax benefits at end of year</t>
  </si>
  <si>
    <t>Effect of foreign currency translation</t>
  </si>
  <si>
    <t>6. LONG-TERM DEBT BY TYPE (2025 10-K, Note 11)</t>
  </si>
  <si>
    <t>U.S. dollar notes due 2027-2093</t>
  </si>
  <si>
    <t>Note 11 Debt and Borrowing Arrangements — long-term debt by type, as filed (amounts only; weighted-average rates are in the filing).</t>
  </si>
  <si>
    <t>U.S. dollar debentures due 2026-2098</t>
  </si>
  <si>
    <t>Euro notes due 2026-2053</t>
  </si>
  <si>
    <t>Swiss franc notes due 2028</t>
  </si>
  <si>
    <t>Other, due through 2098 2</t>
  </si>
  <si>
    <t>Fair value adjustments 3</t>
  </si>
  <si>
    <t>Total 4,5</t>
  </si>
  <si>
    <t>Less: Current portion</t>
  </si>
  <si>
    <t>7. ASSETS AND LIABILITIES HELD FOR SALE (2025 10-K, Note 2)</t>
  </si>
  <si>
    <t>Cash, cash equivalents and short-term investments</t>
  </si>
  <si>
    <t>Note 2 Acquisitions and Divestitures — major classes of assets and liabilities classified as held for sale.</t>
  </si>
  <si>
    <t>Allowance for reduction of assets held for sale</t>
  </si>
  <si>
    <t>EQUITY METHOD INVESTMENTS — CARRYING VALUES AND FAIR-VALUE DIFFERENCES (FY2025 supplement)</t>
  </si>
  <si>
    <t>sources/companies/US/KO-coca-cola/artifacts/ten_k/KO-coca-cola/FY2025/psp_49eb40deba72424d91379bb74482f553/raw/source.html</t>
  </si>
  <si>
    <t>Monster Beverage Corporation — carrying value</t>
  </si>
  <si>
    <t>Monster Beverage Corporation — fair value less carrying value</t>
  </si>
  <si>
    <t>Coca-Cola Europacific Partners plc — carrying value</t>
  </si>
  <si>
    <t>Coca-Cola Europacific Partners plc — fair value less carrying value</t>
  </si>
  <si>
    <t>Coca-Cola FEMSA, S.A.B. de C.V. — carrying value</t>
  </si>
  <si>
    <t>Coca-Cola FEMSA, S.A.B. de C.V. — fair value less carrying value</t>
  </si>
  <si>
    <t>Coca-Cola HBC AG — carrying value</t>
  </si>
  <si>
    <t>Coca-Cola HBC AG — fair value less carrying value</t>
  </si>
  <si>
    <t>Coca-Cola Bottlers Japan Holdings Inc. — carrying value</t>
  </si>
  <si>
    <t>Coca-Cola Bottlers Japan Holdings Inc. — fair value less carrying value</t>
  </si>
  <si>
    <t>Coca-Cola İ ç ecek A. Ş. — carrying value</t>
  </si>
  <si>
    <t>Coca-Cola İ ç ecek A. Ş. — fair value less carrying value</t>
  </si>
  <si>
    <t>Embotelladora Andina S.A. — carrying value</t>
  </si>
  <si>
    <t>Embotelladora Andina S.A. — fair value less carrying value</t>
  </si>
  <si>
    <t>Total quoted fair value</t>
  </si>
  <si>
    <t>Total carrying value</t>
  </si>
  <si>
    <t>Total fair value less carrying value</t>
  </si>
  <si>
    <t>Check: total fair value - carrying value - difference (≈0)</t>
  </si>
  <si>
    <t>The Coca-Cola Company — Sources</t>
  </si>
  <si>
    <t>Filing</t>
  </si>
  <si>
    <t>Accession</t>
  </si>
  <si>
    <t>Prepared Markdown (repository-relative)</t>
  </si>
  <si>
    <t>SHA-256 of prepared Markdown</t>
  </si>
  <si>
    <t>IS / BS / CF statement start lines</t>
  </si>
  <si>
    <t>10K-FY2016</t>
  </si>
  <si>
    <t>0000021344-17-000009</t>
  </si>
  <si>
    <t>sources/companies/US/KO-coca-cola/artifacts/ten_k/KO-coca-cola/FY2016/psp_0ed5b72f27fe4226b9b05bf29fe7e76c/prepared/document.md</t>
  </si>
  <si>
    <t>dd856b55749506be22a42092697ce960e3bb89f1644895528b4d89878acfa0b6</t>
  </si>
  <si>
    <t>IS L2154 / BS L2210 / CF L2263</t>
  </si>
  <si>
    <t>10K-FY2017</t>
  </si>
  <si>
    <t>0000021344-18-000008</t>
  </si>
  <si>
    <t>sources/companies/US/KO-coca-cola/artifacts/ten_k/KO-coca-cola/FY2017/psp_64d67d2812744e7eb64a5759a5b0d2cc/prepared/document.md</t>
  </si>
  <si>
    <t>dc150bf678b61eeb1b1e9ddf1375ac80fc71dd85ed04cf22ab057adb4ea7fee8</t>
  </si>
  <si>
    <t>IS L2196 / BS L2264 / CF L2319</t>
  </si>
  <si>
    <t>10K-FY2018</t>
  </si>
  <si>
    <t>0000021344-19-000014</t>
  </si>
  <si>
    <t>sources/companies/US/KO-coca-cola/artifacts/ten_k/KO-coca-cola/FY2018/psp_cd9dabfed2e24fdf9f06fd9f8d8cc6c7/prepared/document.md</t>
  </si>
  <si>
    <t>584f3fa2e7adcc78e0f94495f59f9385ed8951036efa48435c6050f1efa063aa</t>
  </si>
  <si>
    <t>IS L2144 / BS L2212 / CF L2268</t>
  </si>
  <si>
    <t>10K-FY2019</t>
  </si>
  <si>
    <t>0000021344-20-000006</t>
  </si>
  <si>
    <t>sources/companies/US/KO-coca-cola/artifacts/ten_k/KO-coca-cola/FY2019/psp_405c783f553d43c9b2011bba81319d93/prepared/document.md</t>
  </si>
  <si>
    <t>a42953329137d2b4c2be953cd5bff7344db28ba5cbfcfb917a6ee95306f2d91e</t>
  </si>
  <si>
    <t>IS L1982 / BS L2039 / CF L2092</t>
  </si>
  <si>
    <t>10K-FY2020</t>
  </si>
  <si>
    <t>0000021344-21-000008</t>
  </si>
  <si>
    <t>sources/companies/US/KO-coca-cola/artifacts/ten_k/KO-coca-cola/FY2020/psp_b79ab798eb324e1d912ca3860d0fc698/prepared/document.md</t>
  </si>
  <si>
    <t>3735da399257180897b06689ba0633b114bce949856078d78d796376d4e852f6</t>
  </si>
  <si>
    <t>IS L1763 / BS L1820 / CF L1872</t>
  </si>
  <si>
    <t>10K-FY2021</t>
  </si>
  <si>
    <t>0000021344-22-000009</t>
  </si>
  <si>
    <t>sources/companies/US/KO-coca-cola/artifacts/ten_k/KO-coca-cola/FY2021/psp_4fff57be228c498ea65921f9a13be0aa/prepared/document.md</t>
  </si>
  <si>
    <t>a27f4441fd01ed474bb6fcefa3d01001cc9676979ae5b25ce77e27bdbd249667</t>
  </si>
  <si>
    <t>IS L1677 / BS L1734 / CF L1786</t>
  </si>
  <si>
    <t>10K-FY2022</t>
  </si>
  <si>
    <t>0000021344-23-000011</t>
  </si>
  <si>
    <t>sources/companies/US/KO-coca-cola/artifacts/ten_k/KO-coca-cola/FY2022/psp_6bf10915d7ef409c929d7a30212965c0/prepared/document.md</t>
  </si>
  <si>
    <t>56895f3b80b4aed74aeb05817034df0cdea44c2a3917712011b54f6050a12dce</t>
  </si>
  <si>
    <t>IS L1670 / BS L1727 / CF L1779</t>
  </si>
  <si>
    <t>10K-FY2023</t>
  </si>
  <si>
    <t>0000021344-24-000009</t>
  </si>
  <si>
    <t>sources/companies/US/KO-coca-cola/artifacts/ten_k/KO-coca-cola/FY2023/psp_db84d64043d94eb59996e93ad7e18711/prepared/document.md</t>
  </si>
  <si>
    <t>20fcd94c8a0f645efcbe6e8290bd5d21de4c34ecf2ac8b8a31d1ec324f56116d</t>
  </si>
  <si>
    <t>IS L1676 / BS L1733 / CF L1785</t>
  </si>
  <si>
    <t>10K-FY2024</t>
  </si>
  <si>
    <t>0000021344-25-000011</t>
  </si>
  <si>
    <t>sources/companies/US/KO-coca-cola/artifacts/ten_k/KO-coca-cola/FY2024/psp_96ebc5b07f714c29808ae5a23d0ea839/prepared/document.md</t>
  </si>
  <si>
    <t>ac683e64461625a79275d07c966cb632c987af4bfe9968b08888eb9e3aed66a9</t>
  </si>
  <si>
    <t>IS L1661 / BS L1718 / CF L1768</t>
  </si>
  <si>
    <t>10K-FY2025</t>
  </si>
  <si>
    <t>0001628280-26-010047</t>
  </si>
  <si>
    <t>sources/companies/US/KO-coca-cola/artifacts/ten_k/KO-coca-cola/FY2025/psp_49eb40deba72424d91379bb74482f553/prepared/document.md</t>
  </si>
  <si>
    <t>a01e1f2db6cfb973bc23ce22ceaa07cbdb26f4e71e70807ee9de161836c77a97</t>
  </si>
  <si>
    <t>IS L1613 / BS L1670 / CF L1722</t>
  </si>
  <si>
    <t>10Q-Q3/FY2024</t>
  </si>
  <si>
    <t>0000021344-24-000060</t>
  </si>
  <si>
    <t>sources/companies/US/KO-coca-cola/artifacts/ten_k/KO-coca-cola-10Q-Q3/FY2024/psp_b0f46569dc0a4627b57065521111d109/prepared/document.md</t>
  </si>
  <si>
    <t>bcf42679a3ea84a3b4769cadeefc9147633f93e8cf6d25d83c5aa848b1b7bbc0</t>
  </si>
  <si>
    <t>IS L118 / BS L177 / CF L229</t>
  </si>
  <si>
    <t>10Q-Q1/FY2025</t>
  </si>
  <si>
    <t>0000021344-25-000029</t>
  </si>
  <si>
    <t>sources/companies/US/KO-coca-cola/artifacts/ten_k/KO-coca-cola-10Q-Q1/FY2025/psp_c15006a1bc8448fe86ec22586b3298f9/prepared/document.md</t>
  </si>
  <si>
    <t>2f43f78f5ecd9f3af426be152d7b8de569d8772fffddd9456a71ce89df79f6db</t>
  </si>
  <si>
    <t>IS L118 / BS L175 / CF L225</t>
  </si>
  <si>
    <t>10Q-Q2/FY2025</t>
  </si>
  <si>
    <t>0000021344-25-000061</t>
  </si>
  <si>
    <t>sources/companies/US/KO-coca-cola/artifacts/ten_k/KO-coca-cola-10Q-Q2/FY2025/psp_cc43d923d87f4db78f1374bdb216dc8a/prepared/document.md</t>
  </si>
  <si>
    <t>d53e64d522101a191af06d52c211543f1a7efd99491798417840168f995a47b8</t>
  </si>
  <si>
    <t>IS L118 / BS L177 / CF L227</t>
  </si>
  <si>
    <t>10Q-Q3/FY2025</t>
  </si>
  <si>
    <t>0001628280-25-046054</t>
  </si>
  <si>
    <t>sources/companies/US/KO-coca-cola/artifacts/ten_k/KO-coca-cola-10Q-Q3/FY2025/psp_f597d41b18c94f9188267b47ac69f2c8/prepared/document.md</t>
  </si>
  <si>
    <t>df606632a41d7e5eec4c87772fe7bc419e1b54d80d07f88eff934aee9d23a102</t>
  </si>
  <si>
    <t>10Q-Q1/FY2026</t>
  </si>
  <si>
    <t>0001628280-26-028802</t>
  </si>
  <si>
    <t>sources/companies/US/KO-coca-cola/artifacts/ten_k/KO-coca-cola-10Q-Q1/FY2026/psp_61215a140e4d47a4b2bf9438434839bb/prepared/document.md</t>
  </si>
  <si>
    <t>6eda99c3353cd0d3a95d20be1e38fa89c6d992f73904047b2e91c6d6eddee86e</t>
  </si>
  <si>
    <t>IS L118 / BS L175 / CF L227</t>
  </si>
  <si>
    <t>10Q-Q2/FY2026</t>
  </si>
  <si>
    <t>0001628280-26-050503</t>
  </si>
  <si>
    <t>sources/companies/US/KO-coca-cola/artifacts/ten_k/KO-coca-cola-10Q-Q2/FY2026/psp_97ecfba950d14cbea07200e07838e85b/prepared/document.md</t>
  </si>
  <si>
    <t>22efdfea6165f42b095082d18c4b7cca4c226c6ba5142877afad62c6b77c3085</t>
  </si>
  <si>
    <t>Annual column provenance (which 10-K supplies each fiscal-year column)</t>
  </si>
  <si>
    <t>Column</t>
  </si>
  <si>
    <t>IS and CF source</t>
  </si>
  <si>
    <t>BS source</t>
  </si>
  <si>
    <t>Segments source</t>
  </si>
  <si>
    <t>Geography source</t>
  </si>
  <si>
    <t>FY2018 10-K</t>
  </si>
  <si>
    <t>FY2017 10-K</t>
  </si>
  <si>
    <t>A: FY2018 10-K</t>
  </si>
  <si>
    <t>FY2019 10-K</t>
  </si>
  <si>
    <t>A: FY2018 10-K; B: FY2019 10-K</t>
  </si>
  <si>
    <t>FY2020 10-K</t>
  </si>
  <si>
    <t>A: FY2018 10-K; B: FY2020 10-K</t>
  </si>
  <si>
    <t>FY2021 10-K</t>
  </si>
  <si>
    <t>B: FY2021 10-K</t>
  </si>
  <si>
    <t>FY2022 10-K</t>
  </si>
  <si>
    <t>B: FY2022 10-K</t>
  </si>
  <si>
    <t>FY2023 10-K</t>
  </si>
  <si>
    <t>B: FY2023 10-K</t>
  </si>
  <si>
    <t>FY2024 10-K</t>
  </si>
  <si>
    <t>B: FY2024 10-K</t>
  </si>
  <si>
    <t>FY2025 10-K</t>
  </si>
  <si>
    <t>B: FY2024 10-K; C: FY2025 10-K</t>
  </si>
  <si>
    <t>C: FY2025 10-K</t>
  </si>
  <si>
    <t>Quarterly column provenance</t>
  </si>
  <si>
    <t>period end 2024-09-27</t>
  </si>
  <si>
    <t>period end 2025-03-28</t>
  </si>
  <si>
    <t>period end 2025-06-27</t>
  </si>
  <si>
    <t>period end 2025-09-26</t>
  </si>
  <si>
    <t>period end 2026-04-03</t>
  </si>
  <si>
    <t>period end 2026-07-03</t>
  </si>
  <si>
    <t>Restatement log: first-filed value vs value used in the workbook (differences only)</t>
  </si>
  <si>
    <t>Line</t>
  </si>
  <si>
    <t>As first filed</t>
  </si>
  <si>
    <t>Used in workbook</t>
  </si>
  <si>
    <t>First-filed / used filing</t>
  </si>
  <si>
    <t>10K-FY2016 -&gt; 10K-FY2018</t>
  </si>
  <si>
    <t>10K-FY2017 -&gt; 10K-FY2019</t>
  </si>
  <si>
    <t>10K-FY2018 -&gt; 10K-FY2020</t>
  </si>
  <si>
    <t>Net cash provided by operating activities</t>
  </si>
  <si>
    <t>Parsing notes</t>
  </si>
  <si>
    <t>Statements were parsed from the prepared Markdown produced by the bundled ResearchFoundry SEC-HTML flow (research package S001-S016). Numbers are copied, not re-keyed. Totals are stored as reported and verified by the check rows.</t>
  </si>
  <si>
    <t>Quarterly detail provenance (10-Q)</t>
  </si>
  <si>
    <t>Source path (repository-relative)</t>
  </si>
  <si>
    <t>Scope / method</t>
  </si>
  <si>
    <t>Quarterly columns</t>
  </si>
  <si>
    <t>Notes</t>
  </si>
  <si>
    <t>Note 17; Q3 2024 as filed. D&amp;A and capex are not disclosed in this 10-Q.</t>
  </si>
  <si>
    <t>Basis B / Global Ventures presentation</t>
  </si>
  <si>
    <t>Note 17; three-month rows as filed.</t>
  </si>
  <si>
    <t>Basis C / recast presentation</t>
  </si>
  <si>
    <t>Note 16; three-month rows as filed.</t>
  </si>
  <si>
    <t>Basis C</t>
  </si>
  <si>
    <t>Note 16; six-month rows less 1Q2026 Note 16 to derive Q2 discrete.</t>
  </si>
  <si>
    <t>Derived single-quarter values; check rows tie to IS</t>
  </si>
  <si>
    <t>Geography / line of business</t>
  </si>
  <si>
    <t>10-Q Note 3</t>
  </si>
  <si>
    <t>United States / International × concentrate / finished product; first three-month table used.</t>
  </si>
  <si>
    <t>3Q2024–2Q2026</t>
  </si>
  <si>
    <t>Quarterly PP&amp;E by geography is not disclosed in the 10-Qs; annual PP&amp;E rows remain annual-only</t>
  </si>
  <si>
    <t>10-Q MD&amp;A, Beverage Volume / Net Operating Revenues</t>
  </si>
  <si>
    <t>Volume growth and revenue factor tables; first three-month table used.</t>
  </si>
  <si>
    <t>Unit case absolute volume is not disclosed quarterly; growth rates are reported as filed</t>
  </si>
  <si>
    <t>Raw SEC HTML exact-caption / exact-period checks; 10 annual filings and six interim filings. Superscript / raised-position footnotes excluded before numeric extraction.</t>
  </si>
  <si>
    <t>Audit evidence</t>
  </si>
  <si>
    <t>data/derived/companies/US/KO-coca-cola/workbook-audit-20261014/source-cell-audit.json</t>
  </si>
  <si>
    <t>Formula evaluation</t>
  </si>
  <si>
    <t>Independent arithmetic evaluation and Excel full rebuild/recalculation; formula results checked against disclosed source inputs and existing tie-outs.</t>
  </si>
  <si>
    <t>Source-basis caution</t>
  </si>
  <si>
    <t>Growth from rounded unit-case totals differs from reported comparable growth; quarterly CF is cumulative; quarterly net-debt/EBITDA uses discrete-quarter EBITDA without annualization.</t>
  </si>
  <si>
    <t>KO workbook review — 2026-10-14</t>
  </si>
  <si>
    <t>Coverage</t>
  </si>
  <si>
    <t>FY2016-FY2025; 3Q2024, 1Q/2Q/3Q2025, 1Q/2Q2026</t>
  </si>
  <si>
    <t>Method</t>
  </si>
  <si>
    <t>SEC original HTML; caption and period-column matching; superscripts removed</t>
  </si>
  <si>
    <t>Source-cell checks</t>
  </si>
  <si>
    <t>Unresolved source matches</t>
  </si>
  <si>
    <t>Data cells revised or completed</t>
  </si>
  <si>
    <t>Formula verification</t>
  </si>
  <si>
    <t>All numeric formulas evaluated; no errors or off-tolerance tie-outs. See formula-audit.json.</t>
  </si>
  <si>
    <t>Preservation</t>
  </si>
  <si>
    <t>Original workbook retained. All original numeric formulas and unrelated worksheet data preserved.</t>
  </si>
  <si>
    <t>Interpretation</t>
  </si>
  <si>
    <t>N/A = explicitly not applicable. Blank = undisclosed / out of scope. Dash zero = explicitly disclosed zero.</t>
  </si>
  <si>
    <t>Workbook source</t>
  </si>
  <si>
    <t>research/companies/US/KO-coca-cola/outputs/company-research-to-excel-20261013/KO_model.xlsx</t>
  </si>
  <si>
    <t>Sheet</t>
  </si>
  <si>
    <t>Source checks</t>
  </si>
  <si>
    <t>Data changes</t>
  </si>
  <si>
    <t>Income Statement</t>
  </si>
  <si>
    <t>Balance Sheet</t>
  </si>
  <si>
    <t>Cash Flow</t>
  </si>
  <si>
    <t>Geography</t>
  </si>
  <si>
    <t>Cell</t>
  </si>
  <si>
    <t>Period</t>
  </si>
  <si>
    <t>Metric</t>
  </si>
  <si>
    <t>Before</t>
  </si>
  <si>
    <t>After</t>
  </si>
  <si>
    <t>Original source URL</t>
  </si>
  <si>
    <t>Workspace-relative source</t>
  </si>
  <si>
    <t>Reason</t>
  </si>
  <si>
    <t>C29</t>
  </si>
  <si>
    <t>(blank)</t>
  </si>
  <si>
    <t>0</t>
  </si>
  <si>
    <t>https://www.sec.gov/Archives/edgar/data/21344/000002134419000014/</t>
  </si>
  <si>
    <t>sources/companies/US/KO-coca-cola/artifacts/ten_k/KO-coca-cola/FY2018/psp_cd9dabfed2e24fdf9f06fd9f8d8cc6c7/raw/source.html</t>
  </si>
  <si>
    <t>SEC HTML statement, exact caption and period column</t>
  </si>
  <si>
    <t>C37</t>
  </si>
  <si>
    <t>C41</t>
  </si>
  <si>
    <t>C22</t>
  </si>
  <si>
    <t>https://www.sec.gov/Archives/edgar/data/21344/000002134418000008/</t>
  </si>
  <si>
    <t>sources/companies/US/KO-coca-cola/artifacts/ten_k/KO-coca-cola/FY2017/psp_64d67d2812744e7eb64a5759a5b0d2cc/raw/source.html</t>
  </si>
  <si>
    <t>C14</t>
  </si>
  <si>
    <t>C47</t>
  </si>
  <si>
    <t>C48</t>
  </si>
  <si>
    <t>C49</t>
  </si>
  <si>
    <t>C50</t>
  </si>
  <si>
    <t>G34</t>
  </si>
  <si>
    <t>https://www.sec.gov/Archives/edgar/data/21344/000002134423000011/</t>
  </si>
  <si>
    <t>sources/companies/US/KO-coca-cola/artifacts/ten_k/KO-coca-cola/FY2022/psp_6bf10915d7ef409c929d7a30212965c0/raw/source.html</t>
  </si>
  <si>
    <t>H34</t>
  </si>
  <si>
    <t>https://www.sec.gov/Archives/edgar/data/21344/000002134424000009/</t>
  </si>
  <si>
    <t>sources/companies/US/KO-coca-cola/artifacts/ten_k/KO-coca-cola/FY2023/psp_db84d64043d94eb59996e93ad7e18711/raw/source.html</t>
  </si>
  <si>
    <t>J43</t>
  </si>
  <si>
    <t>https://www.sec.gov/Archives/edgar/data/21344/000162828026010047/</t>
  </si>
  <si>
    <t>K43</t>
  </si>
  <si>
    <t>P19</t>
  </si>
  <si>
    <t>https://www.sec.gov/Archives/edgar/data/21344/000002134424000060/</t>
  </si>
  <si>
    <t>sources/companies/US/KO-coca-cola/artifacts/ten_k/KO-coca-cola-10Q-Q3/FY2024/psp_b0f46569dc0a4627b57065521111d109/raw/source.html</t>
  </si>
  <si>
    <t>Q23</t>
  </si>
  <si>
    <t>https://www.sec.gov/Archives/edgar/data/21344/000002134425000029/</t>
  </si>
  <si>
    <t>sources/companies/US/KO-coca-cola/artifacts/ten_k/KO-coca-cola-10Q-Q1/FY2025/psp_c15006a1bc8448fe86ec22586b3298f9/raw/source.html</t>
  </si>
  <si>
    <t>T31</t>
  </si>
  <si>
    <t>https://www.sec.gov/Archives/edgar/data/21344/000162828026028802/</t>
  </si>
  <si>
    <t>sources/companies/US/KO-coca-cola/artifacts/ten_k/KO-coca-cola-10Q-Q1/FY2026/psp_61215a140e4d47a4b2bf9438434839bb/raw/source.html</t>
  </si>
  <si>
    <t>T38</t>
  </si>
  <si>
    <t>U23</t>
  </si>
  <si>
    <t>https://www.sec.gov/Archives/edgar/data/21344/000162828026050503/</t>
  </si>
  <si>
    <t>sources/companies/US/KO-coca-cola/artifacts/ten_k/KO-coca-cola-10Q-Q2/FY2026/psp_97ecfba950d14cbea07200e07838e85b/raw/source.html</t>
  </si>
  <si>
    <t>C18</t>
  </si>
  <si>
    <t>0.01</t>
  </si>
  <si>
    <t>Separate unit cases / concentrate sales; superscript footnotes excluded</t>
  </si>
  <si>
    <t>C19</t>
  </si>
  <si>
    <t>C20</t>
  </si>
  <si>
    <t>-0.01</t>
  </si>
  <si>
    <t>D20</t>
  </si>
  <si>
    <t>-0.03</t>
  </si>
  <si>
    <t>-0.02</t>
  </si>
  <si>
    <t>F20</t>
  </si>
  <si>
    <t>https://www.sec.gov/Archives/edgar/data/21344/000002134420000006/</t>
  </si>
  <si>
    <t>sources/companies/US/KO-coca-cola/artifacts/ten_k/KO-coca-cola/FY2019/psp_405c783f553d43c9b2011bba81319d93/raw/source.html</t>
  </si>
  <si>
    <t>C21</t>
  </si>
  <si>
    <t>-0.16</t>
  </si>
  <si>
    <t>C23</t>
  </si>
  <si>
    <t>0.02</t>
  </si>
  <si>
    <t>D23</t>
  </si>
  <si>
    <t>E23</t>
  </si>
  <si>
    <t>0.1</t>
  </si>
  <si>
    <t>0.04</t>
  </si>
  <si>
    <t>F23</t>
  </si>
  <si>
    <t>0.05</t>
  </si>
  <si>
    <t>F24</t>
  </si>
  <si>
    <t>0.07</t>
  </si>
  <si>
    <t>E24</t>
  </si>
  <si>
    <t>0.08</t>
  </si>
  <si>
    <t>C27</t>
  </si>
  <si>
    <t>G27</t>
  </si>
  <si>
    <t>-0.07</t>
  </si>
  <si>
    <t>https://www.sec.gov/Archives/edgar/data/21344/000002134421000008/</t>
  </si>
  <si>
    <t>sources/companies/US/KO-coca-cola/artifacts/ten_k/KO-coca-cola/FY2020/psp_b79ab798eb324e1d912ca3860d0fc698/raw/source.html</t>
  </si>
  <si>
    <t>H27</t>
  </si>
  <si>
    <t>0.09</t>
  </si>
  <si>
    <t>https://www.sec.gov/Archives/edgar/data/21344/000002134422000009/</t>
  </si>
  <si>
    <t>sources/companies/US/KO-coca-cola/artifacts/ten_k/KO-coca-cola/FY2021/psp_4fff57be228c498ea65921f9a13be0aa/raw/source.html</t>
  </si>
  <si>
    <t>I27</t>
  </si>
  <si>
    <t>J27</t>
  </si>
  <si>
    <t>K27</t>
  </si>
  <si>
    <t>https://www.sec.gov/Archives/edgar/data/21344/000002134425000011/</t>
  </si>
  <si>
    <t>sources/companies/US/KO-coca-cola/artifacts/ten_k/KO-coca-cola/FY2024/psp_96ebc5b07f714c29808ae5a23d0ea839/raw/source.html</t>
  </si>
  <si>
    <t>L27</t>
  </si>
  <si>
    <t>C28</t>
  </si>
  <si>
    <t>G28</t>
  </si>
  <si>
    <t>-0.08</t>
  </si>
  <si>
    <t>H28</t>
  </si>
  <si>
    <t>0.12</t>
  </si>
  <si>
    <t>I28</t>
  </si>
  <si>
    <t>J28</t>
  </si>
  <si>
    <t>K28</t>
  </si>
  <si>
    <t>L28</t>
  </si>
  <si>
    <t>0.03</t>
  </si>
  <si>
    <t>E29</t>
  </si>
  <si>
    <t>F29</t>
  </si>
  <si>
    <t>G29</t>
  </si>
  <si>
    <t>H29</t>
  </si>
  <si>
    <t>0.06</t>
  </si>
  <si>
    <t>I29</t>
  </si>
  <si>
    <t>J29</t>
  </si>
  <si>
    <t>K29</t>
  </si>
  <si>
    <t>L29</t>
  </si>
  <si>
    <t>C30</t>
  </si>
  <si>
    <t>D30</t>
  </si>
  <si>
    <t>E30</t>
  </si>
  <si>
    <t>-0.41</t>
  </si>
  <si>
    <t>F30</t>
  </si>
  <si>
    <t>-0.15</t>
  </si>
  <si>
    <t>G30</t>
  </si>
  <si>
    <t>H30</t>
  </si>
  <si>
    <t>I30</t>
  </si>
  <si>
    <t>J30</t>
  </si>
  <si>
    <t>K30</t>
  </si>
  <si>
    <t>L30</t>
  </si>
  <si>
    <t>Q30</t>
  </si>
  <si>
    <t>T30</t>
  </si>
  <si>
    <t>R30</t>
  </si>
  <si>
    <t>https://www.sec.gov/Archives/edgar/data/21344/000002134425000061/</t>
  </si>
  <si>
    <t>sources/companies/US/KO-coca-cola/artifacts/ten_k/KO-coca-cola-10Q-Q2/FY2025/psp_cc43d923d87f4db78f1374bdb216dc8a/raw/source.html</t>
  </si>
  <si>
    <t>U30</t>
  </si>
  <si>
    <t>P30</t>
  </si>
  <si>
    <t>S30</t>
  </si>
  <si>
    <t>https://www.sec.gov/Archives/edgar/data/21344/000162828025046054/</t>
  </si>
  <si>
    <t>sources/companies/US/KO-coca-cola/artifacts/ten_k/KO-coca-cola-10Q-Q3/FY2025/psp_f597d41b18c94f9188267b47ac69f2c8/raw/source.html</t>
  </si>
  <si>
    <t>C31</t>
  </si>
  <si>
    <t>D31</t>
  </si>
  <si>
    <t>G31</t>
  </si>
  <si>
    <t>H31</t>
  </si>
  <si>
    <t>I31</t>
  </si>
  <si>
    <t>J31</t>
  </si>
  <si>
    <t>K31</t>
  </si>
  <si>
    <t>L31</t>
  </si>
  <si>
    <t>C32</t>
  </si>
  <si>
    <t>Previously omitted concentrate sales segment</t>
  </si>
  <si>
    <t>D32</t>
  </si>
  <si>
    <t>E32</t>
  </si>
  <si>
    <t>F32</t>
  </si>
  <si>
    <t>G32</t>
  </si>
  <si>
    <t>-0.09</t>
  </si>
  <si>
    <t>H32</t>
  </si>
  <si>
    <t>0.11</t>
  </si>
  <si>
    <t>I32</t>
  </si>
  <si>
    <t>J32</t>
  </si>
  <si>
    <t>K32</t>
  </si>
  <si>
    <t>L32</t>
  </si>
  <si>
    <t>F124</t>
  </si>
  <si>
    <t>E124</t>
  </si>
  <si>
    <t>G124</t>
  </si>
  <si>
    <t>-0.13</t>
  </si>
  <si>
    <t>H124</t>
  </si>
  <si>
    <t>0.2</t>
  </si>
  <si>
    <t>I124</t>
  </si>
  <si>
    <t>0.13</t>
  </si>
  <si>
    <t>J124</t>
  </si>
  <si>
    <t>K124</t>
  </si>
  <si>
    <t>P124</t>
  </si>
  <si>
    <t>F64</t>
  </si>
  <si>
    <t>SEC HTML table label and numeric-column verification</t>
  </si>
  <si>
    <t>F72</t>
  </si>
  <si>
    <t>F73</t>
  </si>
  <si>
    <t>K79</t>
  </si>
  <si>
    <t>K80</t>
  </si>
  <si>
    <t>K82</t>
  </si>
  <si>
    <t>K83</t>
  </si>
  <si>
    <t>K84</t>
  </si>
  <si>
    <t>K86</t>
  </si>
  <si>
    <t>K87</t>
  </si>
  <si>
    <t>K88</t>
  </si>
  <si>
    <t>K89</t>
  </si>
  <si>
    <t>K92</t>
  </si>
  <si>
    <t>K93</t>
  </si>
  <si>
    <t>K94</t>
  </si>
  <si>
    <t>K95</t>
  </si>
  <si>
    <t>K97</t>
  </si>
  <si>
    <t>L106</t>
  </si>
  <si>
    <t>5593</t>
  </si>
  <si>
    <t>Restore omitted carrying-value column</t>
  </si>
  <si>
    <t>L107</t>
  </si>
  <si>
    <t>=L27-L106</t>
  </si>
  <si>
    <t>Restore omitted difference column as live formula</t>
  </si>
  <si>
    <t>L108</t>
  </si>
  <si>
    <t>3926</t>
  </si>
  <si>
    <t>L109</t>
  </si>
  <si>
    <t>=L28-L108</t>
  </si>
  <si>
    <t>L110</t>
  </si>
  <si>
    <t>2236</t>
  </si>
  <si>
    <t>L111</t>
  </si>
  <si>
    <t>=L29-L110</t>
  </si>
  <si>
    <t>L112</t>
  </si>
  <si>
    <t>1391</t>
  </si>
  <si>
    <t>L113</t>
  </si>
  <si>
    <t>=L30-L112</t>
  </si>
  <si>
    <t>L114</t>
  </si>
  <si>
    <t>459</t>
  </si>
  <si>
    <t>L115</t>
  </si>
  <si>
    <t>=L31-L114</t>
  </si>
  <si>
    <t>L116</t>
  </si>
  <si>
    <t>288</t>
  </si>
  <si>
    <t>L117</t>
  </si>
  <si>
    <t>=L32-L116</t>
  </si>
  <si>
    <t>L118</t>
  </si>
  <si>
    <t>106</t>
  </si>
  <si>
    <t>L119</t>
  </si>
  <si>
    <t>=L33-L118</t>
  </si>
  <si>
    <t>L123</t>
  </si>
  <si>
    <t>=L27+L28+L29+L30+L31+L32+L33</t>
  </si>
  <si>
    <t>Restore total from the same disclosure, linked to components</t>
  </si>
  <si>
    <t>L124</t>
  </si>
  <si>
    <t>=L106+L108+L110+L112+L114+L116+L118</t>
  </si>
  <si>
    <t>L125</t>
  </si>
  <si>
    <t>=L107+L109+L111+L113+L115+L117+L119</t>
  </si>
  <si>
    <t>可口可乐产品销量</t>
  </si>
  <si>
    <t>截至2026-10-14。年度数据覆盖FY2016—FY2025。单位、估算和口径变更在各表旁说明。</t>
  </si>
  <si>
    <t>0.0%表示公司披露持平。双位数保留定性表述。估算绝对量使用四舍五入的销量和占比。</t>
  </si>
  <si>
    <t>1. 体系销量与销量结构</t>
  </si>
  <si>
    <t>体系销量（十亿单位箱）</t>
  </si>
  <si>
    <t>体系销量（亿单位箱）</t>
  </si>
  <si>
    <t>全球销量同比（公司披露）</t>
  </si>
  <si>
    <t>全球销量同比（绝对量计算）</t>
  </si>
  <si>
    <t>碳酸软饮占全球销量</t>
  </si>
  <si>
    <t>可口可乐商标系列占全球销量</t>
  </si>
  <si>
    <t>美国占全球销量</t>
  </si>
  <si>
    <t>国际占全球销量</t>
  </si>
  <si>
    <t>品类结构来源</t>
  </si>
  <si>
    <t>S003</t>
  </si>
  <si>
    <t>S004</t>
  </si>
  <si>
    <t>S005</t>
  </si>
  <si>
    <t>S006</t>
  </si>
  <si>
    <t>S007</t>
  </si>
  <si>
    <t>S008</t>
  </si>
  <si>
    <t>S009</t>
  </si>
  <si>
    <t>S010</t>
  </si>
  <si>
    <t>美国占比来源</t>
  </si>
  <si>
    <t>S001</t>
  </si>
  <si>
    <t>S002</t>
  </si>
  <si>
    <t>2. 根据销量占比推算绝对量（亿单位箱）</t>
  </si>
  <si>
    <t>碳酸软饮（估算）</t>
  </si>
  <si>
    <t>可口可乐商标系列（估算）</t>
  </si>
  <si>
    <t>其他品类（估算）</t>
  </si>
  <si>
    <t>碳酸软饮中其他商标（估算）</t>
  </si>
  <si>
    <t>美国体系销量（估算）</t>
  </si>
  <si>
    <t>国际体系销量（估算）</t>
  </si>
  <si>
    <t>商标系列包含在碳酸软饮中，两行不能相加。上述绝对量为估算，不能替代公司披露的可比同比。</t>
  </si>
  <si>
    <t>3. 全年品类增长（FY2017—FY2020原分类）</t>
  </si>
  <si>
    <t>碳酸软饮</t>
  </si>
  <si>
    <t>果汁、乳制品和植物基饮料</t>
  </si>
  <si>
    <t>水、增值水和运动饮料</t>
  </si>
  <si>
    <t>茶和咖啡</t>
  </si>
  <si>
    <t>可口可乐商标系列</t>
  </si>
  <si>
    <t>未披露</t>
  </si>
  <si>
    <t>Coca-Cola Zero Sugar</t>
  </si>
  <si>
    <t>双位数</t>
  </si>
  <si>
    <t>全年增长来源</t>
  </si>
  <si>
    <t>VOL-FY2017</t>
  </si>
  <si>
    <t>VOL-FY2018</t>
  </si>
  <si>
    <t>VOL-FY2019</t>
  </si>
  <si>
    <t>VOL-FY2020</t>
  </si>
  <si>
    <t>FY2016公告使用Sparkling beverages等旧分类，未填入同名新口径。2021年起分类调整，旧表与新表分开。</t>
  </si>
  <si>
    <t>4. 全年品类及品牌增长（FY2021—FY2025）</t>
  </si>
  <si>
    <t>Diet Coke / Coca-Cola Light</t>
  </si>
  <si>
    <t>风味碳酸饮料</t>
  </si>
  <si>
    <t>果汁、增值乳制品和植物基饮料</t>
  </si>
  <si>
    <t>水、运动饮料、咖啡和茶</t>
  </si>
  <si>
    <t>水 / 补水</t>
  </si>
  <si>
    <t>运动饮料</t>
  </si>
  <si>
    <t>咖啡</t>
  </si>
  <si>
    <t>茶</t>
  </si>
  <si>
    <t>VOL-FY2021</t>
  </si>
  <si>
    <t>VOL-FY2022</t>
  </si>
  <si>
    <t>VOL-FY2023</t>
  </si>
  <si>
    <t>VOL-FY2024</t>
  </si>
  <si>
    <t>VOL-FY2025</t>
  </si>
  <si>
    <t>5. 近期单季销量增长</t>
  </si>
  <si>
    <t>4Q2024</t>
  </si>
  <si>
    <t>4Q2025</t>
  </si>
  <si>
    <t>全球体系销量</t>
  </si>
  <si>
    <t>单季增长来源</t>
  </si>
  <si>
    <t>Q32024公告</t>
  </si>
  <si>
    <t>FY2024单季</t>
  </si>
  <si>
    <t>Q12025公告</t>
  </si>
  <si>
    <t>Q22025公告</t>
  </si>
  <si>
    <t>Q32025公告</t>
  </si>
  <si>
    <t>FY2025单季</t>
  </si>
  <si>
    <t>Q12026公告</t>
  </si>
  <si>
    <t>Q22026公告</t>
  </si>
  <si>
    <t>季度绝对箱量没有完整披露，仅补入单季同比，不从全年箱量倒推季度箱量。</t>
  </si>
  <si>
    <t>增长率来自公司业绩公告。品牌未披露的单项数据保留“未披露”，不能按零处理。</t>
  </si>
  <si>
    <t>6. 重点品牌补充（业绩会纪要）</t>
  </si>
  <si>
    <t>品牌</t>
  </si>
  <si>
    <t>期间</t>
  </si>
  <si>
    <t>范围</t>
  </si>
  <si>
    <t>销量同比</t>
  </si>
  <si>
    <t>来源与口径</t>
  </si>
  <si>
    <t>fairlife</t>
  </si>
  <si>
    <t>业务整体</t>
  </si>
  <si>
    <t>2025Q2业绩会纪要，第25行。管理层称销量增长受产能约束。</t>
  </si>
  <si>
    <t>Santa Clara</t>
  </si>
  <si>
    <t>墨西哥</t>
  </si>
  <si>
    <t>2025Q3业绩会纪要，第97行。墨西哥品牌销量同比增长。</t>
  </si>
  <si>
    <t>纪要数据属于管理层表述。fairlife只披露双位数增速，未填入具体百分比。两项均不用于推算品牌单价。</t>
  </si>
  <si>
    <t>7. 数据来源</t>
  </si>
  <si>
    <t>VOL-FY2016 FY2016</t>
  </si>
  <si>
    <t>https://investors.coca-colacompany.com/news-events/press-releases/detail/871/the-coca-cola-company-reports-fourth-quarter-and-full-year-2016-results</t>
  </si>
  <si>
    <t>VOL-FY2017 FY2017</t>
  </si>
  <si>
    <t>https://investors.coca-colacompany.com/news-events/press-releases/detail/929/the-coca-cola-company-reports-strong-operating-results-for-fourth-quarter-and-full-year-2017-achieves-or-exceeds-the-companys-full-year-guidance</t>
  </si>
  <si>
    <t>VOL-FY2018 FY2018</t>
  </si>
  <si>
    <t>https://investors.coca-colacompany.com/news-events/press-releases/detail/962/coca-cola-reports-strong-results-for-fourth-quarter-and-full-year-2018</t>
  </si>
  <si>
    <t>VOL-FY2019 FY2019</t>
  </si>
  <si>
    <t>https://investors.coca-colacompany.com/news-events/press-releases/detail/981/coca-cola-reports-strong-growth-in-fourth-quarter-and-full-year-2019-company-achieves-or-exceeds-all-full-year-guidance</t>
  </si>
  <si>
    <t>VOL-FY2020 FY2020</t>
  </si>
  <si>
    <t>https://investors.coca-colacompany.com/news-events/press-releases/detail/1012/coca-cola-reports-fourth-quarter-and-full-year-2020-results</t>
  </si>
  <si>
    <t>VOL-FY2021 FY2021</t>
  </si>
  <si>
    <t>https://investors.coca-colacompany.com/news-events/press-releases/detail/1046/coca-cola-reports-fourth-quarter-and-full-year-2021-results</t>
  </si>
  <si>
    <t>VOL-FY2022 FY2022</t>
  </si>
  <si>
    <t>https://investors.coca-colacompany.com/news-events/press-releases/detail/1076/coca-cola-reports-fourth-quarter-and-full-year-2022-results</t>
  </si>
  <si>
    <t>VOL-FY2023 FY2023</t>
  </si>
  <si>
    <t>https://investors.coca-colacompany.com/news-events/press-releases/detail/1101/coca-cola-reports-fourth-quarter-and-full-year-2023-results</t>
  </si>
  <si>
    <t>S001 2016-12-31</t>
  </si>
  <si>
    <t>https://www.sec.gov/Archives/edgar/data/21344/000002134417000009/a2016123110-k.htm</t>
  </si>
  <si>
    <t>S002 2017-12-31</t>
  </si>
  <si>
    <t>https://www.sec.gov/Archives/edgar/data/21344/000002134418000008/a2017123110-k.htm</t>
  </si>
  <si>
    <t>S003 2018-12-31</t>
  </si>
  <si>
    <t>https://www.sec.gov/Archives/edgar/data/21344/000002134419000014/a2018123110-k.htm</t>
  </si>
  <si>
    <t>S004 2019-12-31</t>
  </si>
  <si>
    <t>https://www.sec.gov/Archives/edgar/data/21344/000002134420000006/a2019123110-k.htm</t>
  </si>
  <si>
    <t>S005 2020-12-31</t>
  </si>
  <si>
    <t>https://www.sec.gov/Archives/edgar/data/21344/000002134421000008/ko-20201231.htm</t>
  </si>
  <si>
    <t>S006 2021-12-31</t>
  </si>
  <si>
    <t>https://www.sec.gov/Archives/edgar/data/21344/000002134422000009/ko-20211231.htm</t>
  </si>
  <si>
    <t>S007 2022-12-31</t>
  </si>
  <si>
    <t>https://www.sec.gov/Archives/edgar/data/21344/000002134423000011/ko-20221231.htm</t>
  </si>
  <si>
    <t>S008 2023-12-31</t>
  </si>
  <si>
    <t>https://www.sec.gov/Archives/edgar/data/21344/000002134424000009/ko-20231231.htm</t>
  </si>
  <si>
    <t>S009 2024-12-31</t>
  </si>
  <si>
    <t>https://www.sec.gov/Archives/edgar/data/21344/000002134425000011/ko-20241231.htm</t>
  </si>
  <si>
    <t>S010 2025-12-31</t>
  </si>
  <si>
    <t>https://www.sec.gov/Archives/edgar/data/21344/000162828026010047/ko-20251231.htm</t>
  </si>
  <si>
    <t>Q32024 Q32024</t>
  </si>
  <si>
    <t>https://investors.coca-colacompany.com/_assets/_58ca73310d2ced796ebc757917b74f04/cocacolacompany/db/880/10241/earnings_release/2024_Q3_Earnings_Release_%28Ex-99.1%29_-_FINAL.pdf</t>
  </si>
  <si>
    <t>Q12025 Q12025</t>
  </si>
  <si>
    <t>https://investors.coca-colacompany.com/_assets/_58ca73310d2ced796ebc757917b74f04/cocacolacompany/db/880/10625/earnings_release/Coca-Cola+2025+Q1+Earnings+Release_Full+Release_4.29.25.pdf</t>
  </si>
  <si>
    <t>Q22025 Q22025</t>
  </si>
  <si>
    <t>https://investors.coca-colacompany.com/_assets/_58ca73310d2ced796ebc757917b74f04/cocacolacompany/db/880/11064/earnings_release/Coca-Cola+2025+Q2+Earnings+Release_Full+Release_7.22.25.pdf</t>
  </si>
  <si>
    <t>Q32025 Q32025</t>
  </si>
  <si>
    <t>https://investors.coca-colacompany.com/_assets/_58ca73310d2ced796ebc757917b74f04/cocacolacompany/db/880/11074/earnings_release/Coca-Cola+2025+Q3+Earnings+Release+FINAL.pdf</t>
  </si>
  <si>
    <t>Q12026 Q12026</t>
  </si>
  <si>
    <t>https://investors.coca-colacompany.com/_assets/_58ca73310d2ced796ebc757917b74f04/cocacolacompany/db/880/11107/earnings_release/Coca-Cola+2026+Q1+Earnings+Release_Full+Release_4.28.26.pdf</t>
  </si>
  <si>
    <t>Q22026 Q22026</t>
  </si>
  <si>
    <t>https://investors.coca-colacompany.com/_assets/_58ca73310d2ced796ebc757917b74f04/cocacolacompany/db/880/11126/earnings_release/Coca-Cola+2026+Q2+Earnings+Release_Full+Release_7.28.26.pdf</t>
  </si>
  <si>
    <t>VOL-FY2024 FY2024</t>
  </si>
  <si>
    <t>https://investors.coca-colacompany.com/_assets/_58ca73310d2ced796ebc757917b74f04/cocacolacompany/db/880/10242/earnings_release/2024_Q4_Earnings_Release_%28Ex-99.1%29_-_Final.pdf</t>
  </si>
  <si>
    <t>VOL-FY2025 FY2025</t>
  </si>
  <si>
    <t>https://investors.coca-colacompany.com/_assets/_58ca73310d2ced796ebc757917b74f04/cocacolacompany/db/880/11088/earnings_release/Coca-Cola+Q4+2025+Earnings+Release_Full+Release_2.10.26.pdf</t>
  </si>
  <si>
    <t>1. BEVERAGE VOLUME — SYSTEM UNIT CASE VOLUME (Company disclosure, not from the financial statements)</t>
    <phoneticPr fontId="9" type="noConversion"/>
  </si>
  <si>
    <t>3. NET OPERATING REVENUES BY LINE OF BUSINESS — CONCENTRATE VS FINISHED PRODUCT OPERATIONS (Note 3)</t>
    <phoneticPr fontId="9" type="noConversion"/>
  </si>
  <si>
    <t>可口可乐：DCF参数推导</t>
  </si>
  <si>
    <t>研究日：2026-10-16。金额为百万美元，比例为百分比。</t>
  </si>
  <si>
    <t>黄色蓝字＝预测建议；绿色＝原底稿链接；“待定”＝缺少必要输入。</t>
  </si>
  <si>
    <t>一、2026年基期：实际、指引与剩余季度</t>
  </si>
  <si>
    <t>指标</t>
  </si>
  <si>
    <t>单位</t>
  </si>
  <si>
    <t>2026Q1A</t>
  </si>
  <si>
    <t>2026Q2A</t>
  </si>
  <si>
    <t>2026Q3E</t>
  </si>
  <si>
    <t>2026Q4E</t>
  </si>
  <si>
    <t>2026H1A</t>
  </si>
  <si>
    <t>FY2026E</t>
  </si>
  <si>
    <t>2024Q3A</t>
  </si>
  <si>
    <t>2024Q4A</t>
  </si>
  <si>
    <t>2025Q1A</t>
  </si>
  <si>
    <t>2025Q2A</t>
  </si>
  <si>
    <t>2025Q3A</t>
  </si>
  <si>
    <t>2025Q4A</t>
  </si>
  <si>
    <t>判断依据 / 待讨论事项</t>
  </si>
  <si>
    <t>报告收入（GAAP）</t>
  </si>
  <si>
    <t>百万美元</t>
  </si>
  <si>
    <t>待GAAP桥</t>
  </si>
  <si>
    <t>报告收入同比</t>
  </si>
  <si>
    <t>%</t>
  </si>
  <si>
    <t>公司可比收入</t>
  </si>
  <si>
    <t>未补充</t>
  </si>
  <si>
    <t>可比收入同比</t>
  </si>
  <si>
    <t>有机收入增长</t>
  </si>
  <si>
    <t>待拆解</t>
  </si>
  <si>
    <t>完整指引先约束全年，季度需核验销量与价格／组合。</t>
  </si>
  <si>
    <t>汇率贡献</t>
  </si>
  <si>
    <t>百分点</t>
  </si>
  <si>
    <t>收购与处置贡献</t>
  </si>
  <si>
    <t>归因合计（舍入近似）</t>
  </si>
  <si>
    <t>n.a.</t>
  </si>
  <si>
    <t>公司可比营业利润率</t>
  </si>
  <si>
    <t>公司可比营业利润</t>
  </si>
  <si>
    <t>可比营业利润同比</t>
  </si>
  <si>
    <t>报告营业利润（GAAP）</t>
  </si>
  <si>
    <t>报告营业利润率</t>
  </si>
  <si>
    <t>公司可比调整净额</t>
  </si>
  <si>
    <t>减：分析师保留的经常成本</t>
  </si>
  <si>
    <t>建议全年保留100，待逐项审议；不等于公司调整均合理。</t>
  </si>
  <si>
    <t>分析师正常化营业利润</t>
  </si>
  <si>
    <t>计算建议，税负与全部调整项目尚待讨论。</t>
  </si>
  <si>
    <t>折旧摊销</t>
  </si>
  <si>
    <t>资本开支</t>
  </si>
  <si>
    <t>经营现金流（报告／指引）</t>
  </si>
  <si>
    <t>待分配</t>
  </si>
  <si>
    <t>2026全年取公司指引，尚未完成独立现金流预测。</t>
  </si>
  <si>
    <t>公司FCF：经营现金流－资本开支</t>
  </si>
  <si>
    <t>集团税率指引</t>
  </si>
  <si>
    <t>19.9%为集团基础税率，不能直接等同DCF经营税率。</t>
  </si>
  <si>
    <t>下半年尚需产生的经营现金流</t>
  </si>
  <si>
    <t>下半年尚需投入的资本开支</t>
  </si>
  <si>
    <t>下半年公司FCF预算</t>
  </si>
  <si>
    <t>Q4收入由全年指引与前3季度推算；它是待讨论的残余预测，不代表公司单独给出的Q4指引。</t>
  </si>
  <si>
    <t>资本开支和折旧的季度分配暂沿用2025年下半年比例；后续以项目投产和处置时间修订。</t>
  </si>
  <si>
    <t>二、未来年度：经营驱动与FCFF衔接</t>
  </si>
  <si>
    <t>FY2027E</t>
  </si>
  <si>
    <t>FY2028E</t>
  </si>
  <si>
    <t>FY2029E</t>
  </si>
  <si>
    <t>FY2030E</t>
  </si>
  <si>
    <t>FY2031E</t>
  </si>
  <si>
    <t>期初公司可比收入</t>
  </si>
  <si>
    <t>2027年起暂用中性汇率0%，仅为分析假设。</t>
  </si>
  <si>
    <t>结构变化对收入的净影响</t>
  </si>
  <si>
    <t>待同口径桥</t>
  </si>
  <si>
    <t>收入同比</t>
  </si>
  <si>
    <t>内生利润率变化</t>
  </si>
  <si>
    <t>结构变化对利润率的影响</t>
  </si>
  <si>
    <t>减：保留的经常成本</t>
  </si>
  <si>
    <t>正常化营业利润</t>
  </si>
  <si>
    <t>经营税率</t>
  </si>
  <si>
    <t>税后经营利润</t>
  </si>
  <si>
    <t>资本开支／收入</t>
  </si>
  <si>
    <t>建议2027—28年4.0%，以后3.8%；由fairlife扩产与装瓶退出共同核验。</t>
  </si>
  <si>
    <t>折旧摊销／收入</t>
  </si>
  <si>
    <t>建议2.0%、2.05%、2.1%、2.1%、2.1%；暂用比率，待资产投产退出桥。</t>
  </si>
  <si>
    <t>其他经营现金调整（净加回）</t>
  </si>
  <si>
    <t>企业自由现金流FCFF</t>
  </si>
  <si>
    <t>SBC保留在经营成本中，本版不作为免费现金加回；已有未兑现奖励另在股权价值桥处理。</t>
  </si>
  <si>
    <t>三、分部历史依据：校准增长、利润与投入</t>
  </si>
  <si>
    <t>对外收入</t>
  </si>
  <si>
    <t>待分部推导</t>
  </si>
  <si>
    <t>未重述/补充</t>
  </si>
  <si>
    <t>FY2023起用FY2025重述口径；较早分部保留缺口，不跨组织口径硬接。</t>
  </si>
  <si>
    <t>对外收入同比</t>
  </si>
  <si>
    <t>总收入（含内部）</t>
  </si>
  <si>
    <t>报告营业利润</t>
  </si>
  <si>
    <t>营业利润率／总收入</t>
  </si>
  <si>
    <t>分母采用分部总收入，与官方分部经营利润边界对应。</t>
  </si>
  <si>
    <t>体系销量增长</t>
  </si>
  <si>
    <t>浓缩液销售增长</t>
  </si>
  <si>
    <t>价格／组合贡献</t>
  </si>
  <si>
    <t>汇率收入贡献</t>
  </si>
  <si>
    <t>收购处置收入贡献</t>
  </si>
  <si>
    <t>拉美</t>
  </si>
  <si>
    <t>北美</t>
  </si>
  <si>
    <t>亚太</t>
  </si>
  <si>
    <t>装瓶投资</t>
  </si>
  <si>
    <t>参数</t>
  </si>
  <si>
    <t>本版输入</t>
  </si>
  <si>
    <t>性质</t>
  </si>
  <si>
    <t>说明／参考口径</t>
  </si>
  <si>
    <t>参考金额</t>
  </si>
  <si>
    <t>估值日</t>
  </si>
  <si>
    <t>日期</t>
  </si>
  <si>
    <t>2026-10-16</t>
  </si>
  <si>
    <t>模型日期</t>
  </si>
  <si>
    <t>当前研究日</t>
  </si>
  <si>
    <t>现金流口径</t>
  </si>
  <si>
    <t>文本</t>
  </si>
  <si>
    <t>模型建议</t>
  </si>
  <si>
    <t>预测期末</t>
  </si>
  <si>
    <t>财年</t>
  </si>
  <si>
    <t>末年未稳定则加过渡期</t>
  </si>
  <si>
    <t>无风险利率</t>
  </si>
  <si>
    <t>市场事实</t>
  </si>
  <si>
    <t>2026-10-15美国10年国债</t>
  </si>
  <si>
    <t>权益风险溢价</t>
  </si>
  <si>
    <t>采用同期数据并明确来源</t>
  </si>
  <si>
    <t>经营业务Beta</t>
  </si>
  <si>
    <t>倍</t>
  </si>
  <si>
    <t>调整杠杆、投资资产及区域风险</t>
  </si>
  <si>
    <t>税前债务成本</t>
  </si>
  <si>
    <t>边际借款成本，非历史利息率</t>
  </si>
  <si>
    <t>债务税盾税率</t>
  </si>
  <si>
    <t>不能直接沿用集团平均税率</t>
  </si>
  <si>
    <t>债务市值权重</t>
  </si>
  <si>
    <t>市值权重与目标融资结构</t>
  </si>
  <si>
    <t>WACC</t>
  </si>
  <si>
    <t>永续现金流增长</t>
  </si>
  <si>
    <t>权益法及其他投资价值</t>
  </si>
  <si>
    <t>权益法投资</t>
  </si>
  <si>
    <t>可加回现金及证券</t>
  </si>
  <si>
    <t>现金短投证券</t>
  </si>
  <si>
    <t>有息债务价值</t>
  </si>
  <si>
    <t>账面借款</t>
  </si>
  <si>
    <t>少数股东权益价值</t>
  </si>
  <si>
    <t>账面少数权益</t>
  </si>
  <si>
    <t>税务争议等特殊义务净额</t>
  </si>
  <si>
    <t>流通股与已有奖励调整</t>
  </si>
  <si>
    <t>百万股</t>
  </si>
  <si>
    <t>最新资产负债表锚点为2026-07-03；上列账面参考尚未滚动到估值日，不能直接作为估值加减项。</t>
  </si>
  <si>
    <t>CCBA交割、处置现金和保留股权须在同一日期处理；已在现金中体现的处置所得不再另加。</t>
  </si>
  <si>
    <t>集团FCF含利息及投资相关现金；FCFF需独立衔接，不直接按WACC折现公司披露的FCF。</t>
  </si>
  <si>
    <t>经营IC与经营ROIC保留既有报表定义；DCF经营税与再投资口径单独说明。</t>
  </si>
  <si>
    <t>美国国债利率来源</t>
  </si>
  <si>
    <t>https://home.treasury.gov/resource-center/data-chart-center/interest-rates/TextView?type=daily_treasury_yield_curve&amp;field_tdr_date_value=2026</t>
  </si>
  <si>
    <t>来源补充：公司可比口径</t>
  </si>
  <si>
    <t>可比收入</t>
  </si>
  <si>
    <t>可比营业利润</t>
  </si>
  <si>
    <t>GAAP收入*</t>
  </si>
  <si>
    <t>GAAP营业利润*</t>
  </si>
  <si>
    <t>出处</t>
  </si>
  <si>
    <t>页码 / 行号</t>
  </si>
  <si>
    <t>官方实际</t>
  </si>
  <si>
    <t>p23 / L2275</t>
  </si>
  <si>
    <t>sources/companies/US/KO-coca-cola/ir/prepared/earnings-release/FY2024__2024_Q4_Earnings_Release_(Ex-99.1)_-_Final.md</t>
  </si>
  <si>
    <t>p22 / L2248</t>
  </si>
  <si>
    <t>sources/companies/US/KO-coca-cola/ir/prepared/earnings-release/FY2025__Coca-Cola+Q4+2025+Earnings+Release_Full+Release_2.10.26.md</t>
  </si>
  <si>
    <t>p22 / L2158</t>
  </si>
  <si>
    <t>2024Q3</t>
  </si>
  <si>
    <t>Q32024</t>
  </si>
  <si>
    <t>p20 / L1718</t>
  </si>
  <si>
    <t>sources/companies/US/KO-coca-cola/ir/prepared/earnings-release/Q32024__2024_Q3_Earnings_Release_(Ex-99.1)_-_FINAL.md</t>
  </si>
  <si>
    <t>2024Q4</t>
  </si>
  <si>
    <t>p20 / L1741</t>
  </si>
  <si>
    <t>2025Q1</t>
  </si>
  <si>
    <t>Q12026</t>
  </si>
  <si>
    <t>p16 / L1284</t>
  </si>
  <si>
    <t>sources/companies/US/KO-coca-cola/ir/prepared/earnings-release/Q12026__Coca-Cola+2026+Q1+Earnings+Release_Full+Release_4.28.26.md</t>
  </si>
  <si>
    <t>2025Q2</t>
  </si>
  <si>
    <t>Q22026</t>
  </si>
  <si>
    <t>p19 / L1678</t>
  </si>
  <si>
    <t>sources/companies/US/KO-coca-cola/ir/prepared/earnings-release/Q22026__Coca-Cola+2026+Q2+Earnings+Release_Full+Release_7.28.26.md</t>
  </si>
  <si>
    <t>2025Q3</t>
  </si>
  <si>
    <t>Q32025</t>
  </si>
  <si>
    <t>p21 / L1589</t>
  </si>
  <si>
    <t>sources/companies/US/KO-coca-cola/ir/prepared/earnings-release/Q32025__Coca-Cola+2025+Q3+Earnings+Release+FINAL.md</t>
  </si>
  <si>
    <t>2025Q4</t>
  </si>
  <si>
    <t>p20 / L1650</t>
  </si>
  <si>
    <t>2026Q1</t>
  </si>
  <si>
    <t>p16 / L1193</t>
  </si>
  <si>
    <t>2026Q2</t>
  </si>
  <si>
    <t>p19 / L1587</t>
  </si>
  <si>
    <t>*Q4金额优先使用公司直接披露；现金流Q4由全年减前三季度累计计算。</t>
  </si>
  <si>
    <t>2024H1经营现金流</t>
  </si>
  <si>
    <t>sources/companies/US/KO-coca-cola/ir/prepared/earnings-release/Q22025__Coca-Cola+2025+Q2+Earnings+Release_Full+Release_7.22.25.md；现金流量表比较期，p11。</t>
  </si>
  <si>
    <t>2024H1资本开支</t>
  </si>
  <si>
    <t>2024H1折旧摊销</t>
  </si>
  <si>
    <t>官方指引与2026年预测建议</t>
  </si>
  <si>
    <t>指引下限</t>
  </si>
  <si>
    <t>指引上限</t>
  </si>
  <si>
    <t>本版建议</t>
  </si>
  <si>
    <t>说明</t>
  </si>
  <si>
    <t>全年有机收入增长</t>
  </si>
  <si>
    <t>公司指引</t>
  </si>
  <si>
    <t>Q22026 p7</t>
  </si>
  <si>
    <t>全年汇率收入贡献</t>
  </si>
  <si>
    <t>全年并购处置收入贡献</t>
  </si>
  <si>
    <t>区间中值建议</t>
  </si>
  <si>
    <t>全年经营现金流</t>
  </si>
  <si>
    <t>全年资本开支</t>
  </si>
  <si>
    <t>全年公司FCF</t>
  </si>
  <si>
    <t>集团基础有效税率</t>
  </si>
  <si>
    <t>Q3汇率收入贡献</t>
  </si>
  <si>
    <t>Q3并购处置收入贡献</t>
  </si>
  <si>
    <t>Q3有机收入增长建议</t>
  </si>
  <si>
    <t>上半年有机收入增长8%，全年指引5%；建议Q3降至4%，Q4收入由全年约束推导。</t>
  </si>
  <si>
    <t>全年折旧摊销建议</t>
  </si>
  <si>
    <t>2025年1050，上半年530；初步建议1100。后续按fairlife投产及CCBA退出调整。</t>
  </si>
  <si>
    <t>正常化利润保留的经常成本</t>
  </si>
  <si>
    <t>以2025年公司剔除的重组费用97、2024年133作参考，暂保留100；不是全部调整项目的最终判断。</t>
  </si>
  <si>
    <t>指引原文</t>
  </si>
  <si>
    <t>sources/companies/US/KO-coca-cola/ir/prepared/earnings-release/Q22026__Coca-Cola+2026+Q2+Earnings+Release_Full+Release_7.28.26.md；p7。季度与年度百分比不能直接相加平均。</t>
  </si>
  <si>
    <t>收入推算说明</t>
  </si>
  <si>
    <t>有机、汇率、结构贡献为同一基数的百分点桥；公司披露有舍入，先作指引衔接近似，待交易与分部细化。</t>
  </si>
  <si>
    <t>复核重点与公式检查</t>
  </si>
  <si>
    <t>2026上半年可比收入与公告差额</t>
  </si>
  <si>
    <t>2026上半年可比营业利润与公告差额</t>
  </si>
  <si>
    <t>2026全年可比收入季度汇总差额</t>
  </si>
  <si>
    <t>2026全年资本开支季度汇总差额</t>
  </si>
  <si>
    <t>2026全年折旧季度汇总差额</t>
  </si>
  <si>
    <t>2026公司FCF与指引差额</t>
  </si>
  <si>
    <t>第三轮讨论：未来增长与再投资、WACC、永续增长及股权价值桥。</t>
  </si>
  <si>
    <t>来源说明：原底稿链接延续Sources表；新增可比数据取官方业绩公告的GAAP/Non-GAAP调节表。</t>
  </si>
  <si>
    <t>2025年度重组调整97及2024年度133：FY2025公告p22。本版保留100仅为分析建议。</t>
  </si>
  <si>
    <t>长期有机收入4%—6%：2026 CAGNY演示材料p26；逐年建议并非公司年度指引。</t>
  </si>
  <si>
    <t>sources/companies/US/KO-coca-cola/ir/presentation/2026-CAGNY-Presentation-Final__2026+CAGNY+Presentation+-+Final.pdf</t>
  </si>
  <si>
    <t>同比补充基数：官方比较期</t>
  </si>
  <si>
    <t>GAAP收入</t>
  </si>
  <si>
    <t>GAAP营业利润</t>
  </si>
  <si>
    <t>页码</t>
  </si>
  <si>
    <t>2023Q3</t>
  </si>
  <si>
    <t>20</t>
  </si>
  <si>
    <t>2023Q4</t>
  </si>
  <si>
    <t>21</t>
  </si>
  <si>
    <t>2024Q1</t>
  </si>
  <si>
    <t>Q12025</t>
  </si>
  <si>
    <t>16</t>
  </si>
  <si>
    <t>2024Q2</t>
  </si>
  <si>
    <t>Q22025</t>
  </si>
  <si>
    <t>汇率收入贡献（见口径说明）</t>
  </si>
  <si>
    <t>2026实际/预测采用可比口径；较早年度历史仍为原底稿GAAP贡献，勿直接混比。</t>
  </si>
  <si>
    <t>按2026-10-16确认的利润桥计算，约32.7%/26.2%；不是公司利润率指引。</t>
  </si>
  <si>
    <t>FCFF现金调整前小计</t>
  </si>
  <si>
    <t>Q3可比利润率：已确认工作基准</t>
  </si>
  <si>
    <t>由利润桥计算约32.7%；内生改善0.4个百分点、额外汇率利润率影响0.2个百分点、退出净利润系数10%。</t>
  </si>
  <si>
    <t>Q4可比利润率：已确认工作基准</t>
  </si>
  <si>
    <t>由利润桥计算约26.2%；Q4净收入减少量由全年及已知季度归因约束估算，不等于CCBA单体收入。</t>
  </si>
  <si>
    <t>已确认：Q3约32.7%、Q4约26.2%的利润率工作基准与对应推导。</t>
  </si>
  <si>
    <t>四、2026年下半年营业利润推导</t>
  </si>
  <si>
    <t>上年同季可比收入</t>
  </si>
  <si>
    <t>上年同季可比营业利润</t>
  </si>
  <si>
    <t>上年同季可比营业利润率</t>
  </si>
  <si>
    <t>本年预测可比收入</t>
  </si>
  <si>
    <t>并购处置净收入减少额（估算）</t>
  </si>
  <si>
    <t>退出前收入（反事实估算）</t>
  </si>
  <si>
    <t>内生利润率改善假设</t>
  </si>
  <si>
    <t>额外汇率利润率影响假设</t>
  </si>
  <si>
    <t>退出净利润／净收入减少额</t>
  </si>
  <si>
    <t>预测假设性质</t>
  </si>
  <si>
    <t>分析判断／已采用</t>
  </si>
  <si>
    <t>起点：上年同季可比营业利润</t>
  </si>
  <si>
    <t>收入规模变化，按上年利润率</t>
  </si>
  <si>
    <t>内生改善净贡献</t>
  </si>
  <si>
    <t>额外汇率利润率贡献</t>
  </si>
  <si>
    <t>减：退出业务净利润（估算）</t>
  </si>
  <si>
    <t>本年可比营业利润</t>
  </si>
  <si>
    <t>可比营业利润率</t>
  </si>
  <si>
    <t>收入已包含汇率、并购处置及营业天数影响；不再重复扣除Q4少6天或补回2025年的汇率拖累。</t>
  </si>
  <si>
    <t>内生改善包括销量、价格／组合、投入成本、营销及费用效率的净结果，未虚构单项费用预算。</t>
  </si>
  <si>
    <t>净收入减少额依据舍入后的年度及季度指引估算，包含所有收购处置影响，不是CCBA单体收入。</t>
  </si>
  <si>
    <t>退出利润系数10%为分析代理值，不是CCBA披露利润率。交割时间或供货安排变化时重审。</t>
  </si>
  <si>
    <t>官方锚点：上半年内生利润率改善0.45个百分点，汇率改善0.10个百分点；季度明细见右侧。</t>
  </si>
  <si>
    <t>CCBA 2024年EBIT率7.3%仅作方向参考；其单体口径与KO净收入、净利润移除口径不同。</t>
  </si>
  <si>
    <t>利润桥来源</t>
  </si>
  <si>
    <t>sources/companies/US/KO-coca-cola/ir/prepared/margin-analysis/Q22026__Q2'26+Margin+Analysis+Schedule.md；p8</t>
  </si>
  <si>
    <t>sources/companies/US/KO-coca-cola/ir/prepared/margin-analysis/Q12026__Q1'26+Margin+Analysis+Schedule.md；p6</t>
  </si>
  <si>
    <t>sources/companies/US/KO-coca-cola/strategy-update-20261016/official-transcripts/Q22026.pdf；p7、p16</t>
  </si>
  <si>
    <t>https://www.coca-colahellenic.com/content/dam/cch/us/documents/investors-and-financial/2026-half-year-results/coca-cola-hbc-hy-2026-ccba-factsheet.pdf.downloadasset.pdf；p2</t>
  </si>
  <si>
    <t>Q1/Q2可比收入汇率贡献</t>
  </si>
  <si>
    <t>Q12026公告可比收入调节表；Q22026公告p24。GAAP为3%/2%，可比口径为2%/1%。</t>
  </si>
  <si>
    <t>五、2026年经营税与FCFF衔接</t>
  </si>
  <si>
    <t>FY2025A</t>
  </si>
  <si>
    <t>公司可比税前利润</t>
  </si>
  <si>
    <t>公司可比所得税费用</t>
  </si>
  <si>
    <t>集团可比有效税率</t>
  </si>
  <si>
    <t>公司可比权益法投资收益</t>
  </si>
  <si>
    <t>税前利润扣除权益法收益</t>
  </si>
  <si>
    <t>权益法追加税率：诊断假设</t>
  </si>
  <si>
    <t>剔除权益法后的税率估算</t>
  </si>
  <si>
    <t>分析建议，未确认</t>
  </si>
  <si>
    <t>经营所得税费用估计</t>
  </si>
  <si>
    <t>税后经营利润NOPAT</t>
  </si>
  <si>
    <t>加：折旧摊销（建议）</t>
  </si>
  <si>
    <t>减：资本开支（公司指引）</t>
  </si>
  <si>
    <t>公司FCF指引（不同口径）</t>
  </si>
  <si>
    <t>公司指引与调整前小计的差额</t>
  </si>
  <si>
    <t>税率诊断暂假设权益法收益无追加税、其余税前收益同税率；真实分项税负未披露，计算结果不是官方经营税率。</t>
  </si>
  <si>
    <t>22%为2026年建议值；21%—23%检验税负敏感性。IRS败诉后的持续增税及历史争议负债另作情景。</t>
  </si>
  <si>
    <t>正常化利润仍暂保留100经常成本；折旧暂用1100。两项尚待确认，避免把利润工作基准的确认扩大到全部参数。</t>
  </si>
  <si>
    <t>CCBA退出引起的营运资本出表不是经营现金流；处置所得与保留股权另列。SBC保留成本，不重复加回。</t>
  </si>
  <si>
    <t>现金流核对</t>
  </si>
  <si>
    <t>现金流：经营资产负债净变化</t>
  </si>
  <si>
    <t>现金流：递延所得税调整</t>
  </si>
  <si>
    <t>现金流：SBC非现金调整</t>
  </si>
  <si>
    <t>权益法投资收到的分红（推算）</t>
  </si>
  <si>
    <t>税负与现金流来源</t>
  </si>
  <si>
    <t>sources/companies/US/KO-coca-cola/ir/prepared/earnings-release/Q22026__Coca-Cola+2026+Q2+Earnings+Release_Full+Release_7.28.26.md；p7、p21—22</t>
  </si>
  <si>
    <t>sources/companies/US/KO-coca-cola/ir/prepared/earnings-release/FY2025__Coca-Cola+Q4+2025+Earnings+Release_Full+Release_2.10.26.md；p22—23</t>
  </si>
  <si>
    <t>sources/companies/US/KO-coca-cola/artifacts/ten_k/KO-coca-cola-10Q-Q2/FY2026/psp_97ecfba950d14cbea07200e07838e85b/prepared/document.md；Note14 L1033—1045，现金流量表L235—248</t>
  </si>
  <si>
    <t>官方数据均截至2026-07-03；预测与人工决定截至2026-10-16。</t>
  </si>
  <si>
    <t>22%为所得税费用口径建议；现金税差额另列，非公司经营税率指引。</t>
  </si>
  <si>
    <t>经营周转资金增加／现金耗用</t>
  </si>
  <si>
    <t>2026按现金流附注预测应收、存货、应付应计的净耗用；预付及其他资产在其他现金调整中单列。</t>
  </si>
  <si>
    <t>2026＝其他资产现金流＋非流动负债现金流＋费用税到现金税差额＋其他净调整。详见378行起。</t>
  </si>
  <si>
    <t>NOPAT＋折旧－资本开支小计；最终FCFF见72行，现金调整推导见378行起。</t>
  </si>
  <si>
    <t>减：经营周转资金现金耗用</t>
  </si>
  <si>
    <t>加：其他经营现金调整</t>
  </si>
  <si>
    <t>经营税费用转现金税的净差额暂估500，非直接披露；不把集团递延税全部加回，不外推至永续期。</t>
  </si>
  <si>
    <t>公司FCF含利息、投资相关现金及SBC加回；420行起单独核对，未用指引倒填营运资本。</t>
  </si>
  <si>
    <t>现金流附注明细见451行起；已剔除2025年fairlife经营现金支付6069和2024年IRS押金6000。</t>
  </si>
  <si>
    <t>六、2026年周转资金与其他现金调整</t>
  </si>
  <si>
    <t>FY2021A</t>
  </si>
  <si>
    <t>FY2022A</t>
  </si>
  <si>
    <t>FY2023A</t>
  </si>
  <si>
    <t>FY2024A</t>
  </si>
  <si>
    <t>2025H1A</t>
  </si>
  <si>
    <t>应收账款现金影响</t>
  </si>
  <si>
    <t>按净额预测</t>
  </si>
  <si>
    <t>分项未披露</t>
  </si>
  <si>
    <t>存货现金影响</t>
  </si>
  <si>
    <t>应付及应计费用现金影响</t>
  </si>
  <si>
    <t>剔除fairlife对价支付影响</t>
  </si>
  <si>
    <t>三项周转现金净流入（计算）</t>
  </si>
  <si>
    <t>经营周转资金现金耗用</t>
  </si>
  <si>
    <t>预付及其他资产现金影响（调整后）</t>
  </si>
  <si>
    <t>其他非流动负债现金影响</t>
  </si>
  <si>
    <t>经营资产负债现金影响（不含税）</t>
  </si>
  <si>
    <t>所得税费用减现金经营税（建议）</t>
  </si>
  <si>
    <t>经营分项未披露</t>
  </si>
  <si>
    <t>其他常规非现金净调整（建议）</t>
  </si>
  <si>
    <t>现金调整合计：现金流减／加项</t>
  </si>
  <si>
    <t>企业自由现金流FCFF（建议）</t>
  </si>
  <si>
    <t>隐含现金经营税</t>
  </si>
  <si>
    <t>隐含现金经营税／正常化营业利润</t>
  </si>
  <si>
    <t>正数为现金流入，负数为现金流出；386行改为正数表示现金耗用。2026直接预测现金影响，不等同期末余额差。</t>
  </si>
  <si>
    <t>周转耗用300参考2025年363；其他资产耗用300参考2023年323、2025年388。不假设重复释放大额应付款。</t>
  </si>
  <si>
    <t>2021年应付应计包含BODYARMOR收购相关项目，未能完整剔除，仅作历史背景；预测重点参考2023—2025年。</t>
  </si>
  <si>
    <t>其他非流动负债和剩余非现金净额以零为中性预测；不等于实际项目不存在，也不是遗漏输入。</t>
  </si>
  <si>
    <t>CCBA出表引起的资产负债移除不当作经营现金释放；本轮没有额外加入处置款、减值、交易收益或SBC。</t>
  </si>
  <si>
    <t>现金税判断依据：集团数字仅供校准</t>
  </si>
  <si>
    <t>集团报告所得税费用</t>
  </si>
  <si>
    <t>集团现金所得税（不含IRS押金）</t>
  </si>
  <si>
    <t>未单列披露</t>
  </si>
  <si>
    <t>集团报告税费减现金税</t>
  </si>
  <si>
    <t>集团可比所得税费用</t>
  </si>
  <si>
    <t>集团可比税费减现金税</t>
  </si>
  <si>
    <t>集团现金流中的递延所得税调整</t>
  </si>
  <si>
    <t>集团应计所得税现金变化</t>
  </si>
  <si>
    <t>500是经营税费用到现金税的净差额预算：参考2025集团可比差额498、2026H1递延税353及较低现金纳税。</t>
  </si>
  <si>
    <t>这些集团数据混有投资与离散税项，不能直接识别经营现金税。500证据强度较低，另以0—700检验，不外推远期。</t>
  </si>
  <si>
    <t>2025税率调节表列示权益法税收差异；零追加税只是此前诊断假设，不代表权益法投资实际免税。</t>
  </si>
  <si>
    <t>IRS争议押金及败诉情景另估；投资相关税项不另重复计入经营现金流。</t>
  </si>
  <si>
    <t>七、公司FCF指引的独立口径检查</t>
  </si>
  <si>
    <t>公司报告FCF／年度指引</t>
  </si>
  <si>
    <t>剔除fairlife及IRS押金</t>
  </si>
  <si>
    <t>剔除两项特殊支付后的公司FCF</t>
  </si>
  <si>
    <t>现金利息支出（2026建议）</t>
  </si>
  <si>
    <t>利息收入（现金近似）</t>
  </si>
  <si>
    <t>加：税后净利息支出（近似）</t>
  </si>
  <si>
    <t>减：OCF中税后投资分红（建议）</t>
  </si>
  <si>
    <t>未独立披露税后额</t>
  </si>
  <si>
    <t>参考：权益法投资分红（推算）</t>
  </si>
  <si>
    <t>参考：其他股息收入</t>
  </si>
  <si>
    <t>减：SBC经济成本</t>
  </si>
  <si>
    <t>指引口径桥推算FCFF（近似）</t>
  </si>
  <si>
    <t>与经营预测的差额（不强行配平）</t>
  </si>
  <si>
    <t>利息预算参考2026H1费用744、收入420；分红预算参考2025权益法分红993及2026H1权益法468、其他股息71。</t>
  </si>
  <si>
    <t>1050为已计入OCF的税后分红近似值；部分保险投资收款列CFI，现金分类与分项税额仍不完整。此桥不强行等于主预测。</t>
  </si>
  <si>
    <t>SBC按经济成本保留：由公司现金流出发需扣除；由正常化营业利润出发已扣除，不再重复加回。</t>
  </si>
  <si>
    <t>检查差额同时反映公司现金流预算与本模型现金转化假设、利息和投资现金估计差异，现有披露不足精确归因。</t>
  </si>
  <si>
    <t>仅改变经营现金税差额</t>
  </si>
  <si>
    <t>对应2026年FCFF</t>
  </si>
  <si>
    <t>新增来源数据：现金流附注及税款支付</t>
  </si>
  <si>
    <t>现金流附注项目</t>
  </si>
  <si>
    <t>应收账款现金变化</t>
  </si>
  <si>
    <t>存货现金变化</t>
  </si>
  <si>
    <t>预付及其他资产现金变化</t>
  </si>
  <si>
    <t>应付及应计费用现金变化</t>
  </si>
  <si>
    <t>应计所得税现金变化</t>
  </si>
  <si>
    <t>其他非流动负债现金变化</t>
  </si>
  <si>
    <t>fairlife对价：OCF部分</t>
  </si>
  <si>
    <t>IRS押金：OCF部分</t>
  </si>
  <si>
    <t>附注明细与原底稿现金流之差</t>
  </si>
  <si>
    <t>sources/companies/US/KO-coca-cola/artifacts/ten_k/KO-coca-cola/FY2023/psp_db84d64043d94eb59996e93ad7e18711/prepared/document.md；Note21 p122 L3917—3933；Note15 L3150；Note11 L2659</t>
  </si>
  <si>
    <t>sources/companies/US/KO-coca-cola/artifacts/ten_k/KO-coca-cola/FY2025/psp_49eb40deba72424d91379bb74482f553/prepared/document.md；Note21 p118 L3677—3693；Note15 L3030—3054；Note11 L2585</t>
  </si>
  <si>
    <t>2026Q2 10-Q</t>
  </si>
  <si>
    <t>sources/companies/US/KO-coca-cola/artifacts/ten_k/KO-coca-cola-10Q-Q2/FY2026/psp_97ecfba950d14cbea07200e07838e85b/prepared/document.md；现金流量表L235—248；Note14 L1033起；MD&amp;A L1531、1581—1583</t>
  </si>
  <si>
    <t>官方现金流指引</t>
  </si>
  <si>
    <t>sources/companies/US/KO-coca-cola/ir/prepared/earnings-release/Q22026__Coca-Cola+2026+Q2+Earnings+Release_Full+Release_7.28.26.md；p7</t>
  </si>
  <si>
    <t>2023—2025现金流明细采用FY2025 10-K；2021—2022取FY2023 10-K。2021并购相关应计无法完整剔除，不当作纯经营改善。</t>
  </si>
  <si>
    <t>本轮数值为分析建议，并未新增用户锁定参数。未覆盖2027—2031年现金预测、WACC、终值或股权价值桥。</t>
  </si>
  <si>
    <t>可口可乐｜估值与股东回报</t>
  </si>
  <si>
    <t>金额：百万美元；股数：百万股；每股值：美元。链接已完成的参数，以实际日期折现分红及退出价值。</t>
  </si>
  <si>
    <t>买入股价／本次行情快照</t>
  </si>
  <si>
    <t>美元／股</t>
  </si>
  <si>
    <t>要求年化回报率</t>
  </si>
  <si>
    <t>情景选择：1保守／2基准／3乐观</t>
  </si>
  <si>
    <t>编号</t>
  </si>
  <si>
    <t>退出财年</t>
  </si>
  <si>
    <t>FY</t>
  </si>
  <si>
    <t>默认2031年末；短期比较采用2028年末。</t>
  </si>
  <si>
    <t>起始实际股数代理值</t>
  </si>
  <si>
    <t>最低现金保留额</t>
  </si>
  <si>
    <t>方法：direct-pe-net-shares-v2。FCFF用于经营核验；退出PE不乘FCF转换率，回购通过净股数体现。</t>
  </si>
  <si>
    <t>三情景估值与回报｜2028年末／2031年末退出</t>
  </si>
  <si>
    <t>目标买入价（美元／股）</t>
  </si>
  <si>
    <t>当前买入价对应年化回报</t>
  </si>
  <si>
    <t>年度盈利、现金与净股数｜当前选中情景</t>
  </si>
  <si>
    <t>合并收入</t>
  </si>
  <si>
    <t>归母净利润：预测正常化／历史GAAP</t>
  </si>
  <si>
    <t>归母净利润同比</t>
  </si>
  <si>
    <t>FCF：预测采用值／历史披露口径</t>
  </si>
  <si>
    <t>FCF／归母净利润</t>
  </si>
  <si>
    <t>受现金约束的实际净缩股率</t>
  </si>
  <si>
    <t>期末实际股数</t>
  </si>
  <si>
    <t>加权平均稀释股数</t>
  </si>
  <si>
    <t>稀释EPS：预测正常化／历史GAAP</t>
  </si>
  <si>
    <t>实际现金分红／归母净利润</t>
  </si>
  <si>
    <t>全年现金分红</t>
  </si>
  <si>
    <t>估值日后可收到的现金分红</t>
  </si>
  <si>
    <t>估值日后每股分红</t>
  </si>
  <si>
    <t>期末股数口径每股盈利</t>
  </si>
  <si>
    <t>不适用</t>
  </si>
  <si>
    <t>期末可用现金</t>
  </si>
  <si>
    <t>最低现金要求缺口</t>
  </si>
  <si>
    <t>按实际日期计算｜分红现值与退出价值</t>
  </si>
  <si>
    <t>投资现金流</t>
  </si>
  <si>
    <t>假定派息日</t>
  </si>
  <si>
    <t>距估值日年数</t>
  </si>
  <si>
    <t>年</t>
  </si>
  <si>
    <t>是否在持有期内</t>
  </si>
  <si>
    <t>0／1</t>
  </si>
  <si>
    <t>持有期内每股分红</t>
  </si>
  <si>
    <t>每股分红现值</t>
  </si>
  <si>
    <t>退出日</t>
  </si>
  <si>
    <t>实际持有年数</t>
  </si>
  <si>
    <t>退出年度归母盈利</t>
  </si>
  <si>
    <t>退出年末实际股数</t>
  </si>
  <si>
    <t>退出期末股数口径每股盈利</t>
  </si>
  <si>
    <t>退出市盈率</t>
  </si>
  <si>
    <t>退出每股价值</t>
  </si>
  <si>
    <t>退出每股价值现值</t>
  </si>
  <si>
    <t>持有期分红现值</t>
  </si>
  <si>
    <t>满足要求回报的买入价</t>
  </si>
  <si>
    <t>当前买入价对应XIRR</t>
  </si>
  <si>
    <t>目标价相对当前价差</t>
  </si>
  <si>
    <t>当前价达到要求回报所需退出PE</t>
  </si>
  <si>
    <t>XIRR现金流日期与每股金额</t>
  </si>
  <si>
    <t>买入</t>
  </si>
  <si>
    <t>估值敏感性｜要求回报率 × 退出PE</t>
  </si>
  <si>
    <t>当前经营情景及退出财年不变；列为要求回报率，行为退出PE，结果为目标买入价（美元／股）。</t>
  </si>
  <si>
    <t>三情景核心假设｜链接原参数表</t>
  </si>
  <si>
    <t>假设</t>
  </si>
  <si>
    <t>保守</t>
  </si>
  <si>
    <t>基准</t>
  </si>
  <si>
    <t>乐观</t>
  </si>
  <si>
    <t>远期目标净缩股率</t>
  </si>
  <si>
    <t>2031集团正常化所得税率</t>
  </si>
  <si>
    <t>2031资本开支／收入</t>
  </si>
  <si>
    <t>权益法收益年增长率</t>
  </si>
  <si>
    <t>完整收入、利润率、税负、资本开支及现金约束假设见Valuation Driver Build；本表不复制三套经营预测。</t>
  </si>
  <si>
    <t>预期回报敏感性｜买入价格 × 退出PE</t>
  </si>
  <si>
    <t>口径、依据与更新边界</t>
  </si>
  <si>
    <t>1. 公式：未来每股分红现值＋退出年度归母净利润×退出PE÷期末实际股数的现值。未叠加FCFF终值。</t>
  </si>
  <si>
    <t>2. 2026只计12月15日每股0.53美元分红；2027—2031分红按年末支付、年末股数近似。退出日在相应财年末。</t>
  </si>
  <si>
    <t>3. 股数直接链接净股数桥。现金预算已覆盖抵消员工发行的总回购；回购不再作为持有者收到的分红。</t>
  </si>
  <si>
    <t>4. PE直接作用于归母盈利，不再乘FCF转换率。盈利已含权益法收益，不另加权益法资产或全部现金，也不重复扣债务。</t>
  </si>
  <si>
    <t>7. IRS额外税款压力开关默认关闭。若开启且出现资金缺口，需另补融资或调整分红，不能将该路径视为已可融资。</t>
  </si>
  <si>
    <t>10. 来源：原底稿Valuation Driver Build 594—780行；底层估值skill model-contract.md；行情快照时间见D5。</t>
  </si>
  <si>
    <t>11. 2026FCF指引与独立推导仍有约4.67亿美元差额，已在参数表保留；未来现金不按管理层转换率目标倒填。</t>
  </si>
  <si>
    <t>核验｜只读</t>
  </si>
  <si>
    <t>目标买入价下净现值误差</t>
  </si>
  <si>
    <t>当前价XIRR对应净现值误差</t>
  </si>
  <si>
    <t>退出现金流只出现一次</t>
  </si>
  <si>
    <t>次数</t>
  </si>
  <si>
    <t>现金预算最大缺口</t>
  </si>
  <si>
    <t>退出价值占估值比例</t>
  </si>
  <si>
    <t>情景显示</t>
  </si>
  <si>
    <t>名称</t>
  </si>
  <si>
    <t>参数已完成；估值、日期回报及敏感性见Valuation。</t>
  </si>
  <si>
    <t>情景控制移至Valuation!C7；本表C43只读链接，所有经营预测及现金股数桥随其切换。</t>
  </si>
  <si>
    <t>情景选择（链接Valuation!C7）</t>
  </si>
  <si>
    <t>1保守／2基准／3乐观</t>
  </si>
  <si>
    <t>选择器切换同一套收入和利润公式；三种假设为分析建议。</t>
  </si>
  <si>
    <t>三种情景由销量和价格／组合相加；详见503—513行。</t>
  </si>
  <si>
    <t>2027从2026基期扣净退出收入22亿美元，再计算持续经营增长；2028起不假设新增并购处置。</t>
  </si>
  <si>
    <t>持续经营及汇率收入增量</t>
  </si>
  <si>
    <t>2027先剔除CCBA净退出部分，避免对已退出收入继续计提有机增长。</t>
  </si>
  <si>
    <t>扣除增长投入后的净利润率变化；情景参数见515—518行。</t>
  </si>
  <si>
    <t>2027由调整后的基期利润率减原基期利润率计算；以后年度为零。</t>
  </si>
  <si>
    <t>经常成本按2026基期每年增加2.5%，SBC仍包含在经营成本中。</t>
  </si>
  <si>
    <t>周转耗用／有机收入增量</t>
  </si>
  <si>
    <t>未来采用增量现金法，不用失真账面应付应计余额推断永续负营运资本。</t>
  </si>
  <si>
    <t>正常化期初周转余额</t>
  </si>
  <si>
    <t>现金流法</t>
  </si>
  <si>
    <t>与2026现金流法一致，不虚构存量余额。</t>
  </si>
  <si>
    <t>正常化期末周转余额</t>
  </si>
  <si>
    <t>不将CCBA资产负债出表当作现金回收。</t>
  </si>
  <si>
    <t>远期按22%经营税、资本开支、折旧及增量周转现金推导；SBC及投资现金在617行桥接。</t>
  </si>
  <si>
    <t>远期FCFF与现金股数桥已补齐；估值结果见Valuation。</t>
  </si>
  <si>
    <t>估值方法与旧FCFF接口</t>
  </si>
  <si>
    <t>direct-pe-net-shares-v2</t>
  </si>
  <si>
    <t>按底层模型</t>
  </si>
  <si>
    <t>完整参数及股数现金桥见594—720行；FCFF保留核验。</t>
  </si>
  <si>
    <t>本路线不调用</t>
  </si>
  <si>
    <t>非必需输入</t>
  </si>
  <si>
    <t>用户指定</t>
  </si>
  <si>
    <t>PE退出不使用永续增长终值；不叠加两种终值。</t>
  </si>
  <si>
    <t>IRS独立压力见702—706行，不预设退回既付押金。</t>
  </si>
  <si>
    <t>股数、员工稀释与现金约束见634行。</t>
  </si>
  <si>
    <t>FY2021—FY2022可比口径已补充，来源见565—570行。</t>
  </si>
  <si>
    <t>参数已补齐：2026细分基期、2027—2031三情景、归母盈利、现金分配与净股数。</t>
  </si>
  <si>
    <t>经营税率工作基准</t>
  </si>
  <si>
    <t>正常化营业利润（保留经常成本）</t>
  </si>
  <si>
    <t>七、2027—2031年经营情景</t>
  </si>
  <si>
    <t>修改C43可切换三种情景。年度收入和营业利润结果见49—57行，情景参数见503—522行。</t>
  </si>
  <si>
    <t>CCBA退出：2027年全年化的共同基期</t>
  </si>
  <si>
    <t>2026Q4并购处置净收入减少额</t>
  </si>
  <si>
    <t>沿用2026季度桥；包含全部并购处置，不是CCBA单体收入。</t>
  </si>
  <si>
    <t>减：按Q3强度估计的其他处置影响</t>
  </si>
  <si>
    <t>用Q3约1%的净影响近似常规部分；代理拆分，非公司披露。</t>
  </si>
  <si>
    <t>Q4新增退出影响代理值</t>
  </si>
  <si>
    <t>2027新增受影响季度数</t>
  </si>
  <si>
    <t>个</t>
  </si>
  <si>
    <t>沿用2026Q4初退出的工作假设；交割时间变化需重建2026及2027基期。</t>
  </si>
  <si>
    <t>2026基期尚含的净退出收入</t>
  </si>
  <si>
    <t>约22亿美元，按前三季度全年化缺口取整。保留出售后对外浓缩液收入的净口径。</t>
  </si>
  <si>
    <t>10%为既有净退出利润代理系数；不是CCBA单体利润率。</t>
  </si>
  <si>
    <t>2026基期尚含的净退出营业利润</t>
  </si>
  <si>
    <t>调整后的2026收入基期</t>
  </si>
  <si>
    <t>调整后的2026可比营业利润基期</t>
  </si>
  <si>
    <t>调整后的可比利润率</t>
  </si>
  <si>
    <t>利润率变化由收入、利润同时出表计算，不另拍一个结构提升幅度。</t>
  </si>
  <si>
    <t>公司长期有机收入增长下限</t>
  </si>
  <si>
    <t>上限</t>
  </si>
  <si>
    <t>公司长期可比汇率中性营业利润增速下限</t>
  </si>
  <si>
    <t>销量贡献：当前情景</t>
  </si>
  <si>
    <t>收入归因销量口径，近似浓缩液销售贡献；不是体系箱量乘终端单价。</t>
  </si>
  <si>
    <t>价格／组合：当前情景</t>
  </si>
  <si>
    <t>温和提价、产品及渠道组合的合计；不延续高通胀时期两位数贡献。</t>
  </si>
  <si>
    <t>有机收入增长（量＋价／组合）</t>
  </si>
  <si>
    <t>内生利润率变化：当前情景</t>
  </si>
  <si>
    <t>不作同口径拆分</t>
  </si>
  <si>
    <t>已扣营销、成本压力和增长投入后的净变化，不再单独增加费用节省。</t>
  </si>
  <si>
    <t>汇率贡献（共同假设）</t>
  </si>
  <si>
    <t>保持美元汇率中性以比较经营情景；汇率风险可在后续敏感性中测试。</t>
  </si>
  <si>
    <t>保留经常成本的年增幅</t>
  </si>
  <si>
    <t>分析假设</t>
  </si>
  <si>
    <t>沿用2026年1亿美元经常成本，并按2.5%递增；不把它当永久豁免成本。</t>
  </si>
  <si>
    <t>当前情景：收入与营业利润</t>
  </si>
  <si>
    <t>当前情景</t>
  </si>
  <si>
    <t>正常化营业利润同比</t>
  </si>
  <si>
    <t>未统一正常化</t>
  </si>
  <si>
    <t>正常化营业利润率</t>
  </si>
  <si>
    <t>2026—2031收入复合增长</t>
  </si>
  <si>
    <t>2026—2031正常化营业利润复合增长</t>
  </si>
  <si>
    <t>基准：有机增长5%、5%、4.5%、4.5%、4%；内生利润率每年改善0.3个百分点。</t>
  </si>
  <si>
    <t>保守：量增1%、价格／组合2%；前两年利润率各下降0.2个百分点，其后维持。</t>
  </si>
  <si>
    <t>乐观：有机增长6%逐步降至5%；利润率前两年各改善0.5个百分点，其后各改善0.4个百分点。</t>
  </si>
  <si>
    <t>三种情景共用CCBA退出基期和中性汇率。2027—2031预测均为研究假设，不是公司逐年指引。</t>
  </si>
  <si>
    <t>2027年收入接近持平可以与持续经营增长并存：装瓶退出降低并表收入，同时提高合并利润率。</t>
  </si>
  <si>
    <t>CCBA净退出规模和利润系数缺少公司交叉披露；按2026桥推算数量级，交易时点变化需同步重建基期。</t>
  </si>
  <si>
    <t>公司的6%—8%利润目标为可比汇率中性口径；这里的利润增长还受退出范围及正常化成本影响。</t>
  </si>
  <si>
    <t>假设依据与来源</t>
  </si>
  <si>
    <t>长期目标：2Q26 IR Overview p32。有机收入4%—6%，可比汇率中性营业利润6%—8%；不是逐年承诺。</t>
  </si>
  <si>
    <t>sources/companies/US/KO-coca-cola/ir/prepared/presentation/2Q26-IR-Overview-Presentation__2Q26+IR+Overview+Presentation.md</t>
  </si>
  <si>
    <t>https://investors.coca-colacompany.com/_assets/_58ca73310d2ced796ebc757917b74f04/cocacolacompany/db/861/11134/pdf/2Q26+IR+Overview+Presentation.pdf</t>
  </si>
  <si>
    <t>2026利润桥见275—316行。上半年内生利润率改善0.45个百分点，为基准每年改善0.3个百分点提供参考，不能机械外推。</t>
  </si>
  <si>
    <t>CCBA交易仍按既有2026Q4退出假设；公开交易公告目标在2026年底前完成，未在本模型视为已交割。</t>
  </si>
  <si>
    <t>https://www.coca-colahellenic.com/en/media/news/corporate_news/2025/acquisition-of-coca-cola-beverages-africa-bringing-together-two-leading-bottlers-in-africa</t>
  </si>
  <si>
    <t>销量历史取Operating Metrics第35行公司收入归因，价格／组合取第44行；两者相加与有机增长可因舍入及口径产生差异。</t>
  </si>
  <si>
    <t>2027—2031的销量、价格／组合、利润率变化、汇率和经常成本递增均为分析假设，更新日期2026-10-16。</t>
  </si>
  <si>
    <t>重审条件：CCBA实际交割、范围和供货关系；持续销量低于1%或高于3%；价格／组合、营销和毛利出现持续偏离。</t>
  </si>
  <si>
    <t>补充来源：早期可比收入及营业利润</t>
  </si>
  <si>
    <t>FY2022官方业绩公告p24：FY2021比较期；有机增速见FY2021官方公告。</t>
  </si>
  <si>
    <t>FY2022官方业绩公告p24、p5。</t>
  </si>
  <si>
    <t>FY2023可比金额沿用200行；有机增速见FY2023官方公告（571行链接）。</t>
  </si>
  <si>
    <t>sources/companies/US/KO-coca-cola/valuation-support-20261016/FY2022-full-release.pdf；p24，原始数字。</t>
  </si>
  <si>
    <t>八、远期现金与税负假设</t>
  </si>
  <si>
    <t>经营所得税率</t>
  </si>
  <si>
    <t>集团税率见下</t>
  </si>
  <si>
    <t>沿用22%经营税率；IRS事件开关另加3.8个百分点。</t>
  </si>
  <si>
    <t>资本开支／收入：当前情景</t>
  </si>
  <si>
    <t>2026为公司指引；远期为分析假设，退出装瓶后缓降，仍保留fairlife等增长投入。</t>
  </si>
  <si>
    <t>保守：资本开支／收入</t>
  </si>
  <si>
    <t>基准：资本开支／收入</t>
  </si>
  <si>
    <t>乐观：资本开支／收入</t>
  </si>
  <si>
    <t>2027起1.9%，考虑CCBA出表；不随利润增长机械同比。</t>
  </si>
  <si>
    <t>周转现金耗用／有机收入增量</t>
  </si>
  <si>
    <t>净额预测</t>
  </si>
  <si>
    <t>不强作边际比率</t>
  </si>
  <si>
    <t>仅对有机收入增量按10%计现金耗用；出表导致的账面余额减少不当作现金释放。</t>
  </si>
  <si>
    <t>其他经营资产现金耗用／收入</t>
  </si>
  <si>
    <t>以2026约3亿美元为基期数量级，随收入变化；与核心周转分列。</t>
  </si>
  <si>
    <t>费用税减现金税：非永久收益</t>
  </si>
  <si>
    <t>2026有5亿美元时点假设，2027起归零；不外推税收递延收益。</t>
  </si>
  <si>
    <t>权益法收益年增幅</t>
  </si>
  <si>
    <t>全年金额预测</t>
  </si>
  <si>
    <t>集团正常化所得税率</t>
  </si>
  <si>
    <t>2026为公司19.9%指引；远期22%/20.5%/20%是集团税率判断，与经营税率不同。</t>
  </si>
  <si>
    <t>九、营业利润到归母盈利</t>
  </si>
  <si>
    <t>营业利润：预测正常化／历史GAAP</t>
  </si>
  <si>
    <t>利息收入</t>
  </si>
  <si>
    <t>约2025全年7.86亿美元、2026H1 4.20亿美元；不对积累现金追加投资收益，避免循环与过度乐观。</t>
  </si>
  <si>
    <t>利息费用</t>
  </si>
  <si>
    <t>2026H1可比利息7.57亿美元；后续债务滚续、年度15.5亿美元，非无债务假设。</t>
  </si>
  <si>
    <t>权益法投资收益</t>
  </si>
  <si>
    <t>2025可比20.52亿美元、2026H1可比10.10亿美元；2026估21亿美元。</t>
  </si>
  <si>
    <t>其中：新增CCBA留存权益贡献</t>
  </si>
  <si>
    <t>未单列</t>
  </si>
  <si>
    <t>2027新增6000万美元是留存25%权益的粗估增量；不是披露指引，2026Q4小额并入全年21亿美元。</t>
  </si>
  <si>
    <t>其他收益：预测正常化／历史GAAP</t>
  </si>
  <si>
    <t>2026H1可比其他收益1.74亿美元，全年及远期采用3亿美元；不外推处置收益。</t>
  </si>
  <si>
    <t>正常化税前利润</t>
  </si>
  <si>
    <t>集团有效税率</t>
  </si>
  <si>
    <t>集团所得税费用</t>
  </si>
  <si>
    <t>少数股东损益</t>
  </si>
  <si>
    <t>2026H1可比少数股东损益5500万美元，全年及远期取1亿美元。</t>
  </si>
  <si>
    <t>预测利润已扣经常成本，含权益法收益；PE终值不再另加整笔权益法投资价值。</t>
  </si>
  <si>
    <t>口径不同</t>
  </si>
  <si>
    <t>公司可比口径归母盈利：交叉核验</t>
  </si>
  <si>
    <t>见可比EPS</t>
  </si>
  <si>
    <t>加回保留的经常成本税后影响，仅用于公司可比EPS指引核对，不作为估值盈利。</t>
  </si>
  <si>
    <t>加权平均稀释股数（预测近似）</t>
  </si>
  <si>
    <t>公司可比口径稀释EPS</t>
  </si>
  <si>
    <t>正常化稀释EPS</t>
  </si>
  <si>
    <t>正常化稀释EPS同比</t>
  </si>
  <si>
    <t>2026官方可比EPS指引下限</t>
  </si>
  <si>
    <t>2026官方可比EPS指引上限</t>
  </si>
  <si>
    <t>2026可比EPS是否落在指引内</t>
  </si>
  <si>
    <t>核验</t>
  </si>
  <si>
    <t>十、FCFF到股东现金及转换率</t>
  </si>
  <si>
    <t>未重建同口径</t>
  </si>
  <si>
    <t>归母利润减NOPAT：损益与税口径桥</t>
  </si>
  <si>
    <t>集团税率与经营税率差异在这里体现，不把22%与19.9%混为一谈。</t>
  </si>
  <si>
    <t>减：权益法投资收益</t>
  </si>
  <si>
    <t>加：权益法投资现金分红</t>
  </si>
  <si>
    <t>2025权益法现金分红≈20.31−10.38=9.93亿美元；2026H1约4.68亿美元，采用50%兑现率。</t>
  </si>
  <si>
    <t>减：其他收益</t>
  </si>
  <si>
    <t>加：其他收益中现金流入</t>
  </si>
  <si>
    <t>未逐年拆分</t>
  </si>
  <si>
    <t>正常化其他收益3亿美元中约1.5亿美元按现金收入处理；剩余部分视作非现金或非经营现金，分析估计。</t>
  </si>
  <si>
    <t>加：SBC非现金费用（现金预算用）</t>
  </si>
  <si>
    <t>SBC仍扣减营业利润；这里只还原现金，后续总回购资金覆盖发行稀释，不能重复给股东加价值。</t>
  </si>
  <si>
    <t>独立推导：归母口径FCF近似值</t>
  </si>
  <si>
    <t>远期为扣除少数股东盈利后的现金近似，少数股东利润视作需留给其的现金；不等于公司披露FCF。</t>
  </si>
  <si>
    <t>公司FCF指引（合并口径）</t>
  </si>
  <si>
    <t>未逐年指引</t>
  </si>
  <si>
    <t>历史实际</t>
  </si>
  <si>
    <t>采用FCF：2026指引／远期推导</t>
  </si>
  <si>
    <t>2026用124亿美元公司指引作现金预算上锚；少数股东现金预留在其他必要用途中。远期由利润与现金项目独立推导。</t>
  </si>
  <si>
    <t>采用FCF／正常化归母利润</t>
  </si>
  <si>
    <t>是模型输出，不强行设为90%—95%；公司调整后分母、重大现金项口径不同。</t>
  </si>
  <si>
    <t>2026指引减独立推导差额</t>
  </si>
  <si>
    <t>保留差额，不倒填周转资金。正式Q3/全年披露后复核。</t>
  </si>
  <si>
    <t>FCF扣SBC：经济成本观察</t>
  </si>
  <si>
    <t>权益法分红／投资收益</t>
  </si>
  <si>
    <t>十一、分红、发行、回购与净股数</t>
  </si>
  <si>
    <t>期初股数：2026为估值日代理值</t>
  </si>
  <si>
    <t>净缩股率：正值表示减少</t>
  </si>
  <si>
    <t>目标0%/0.25%/0.5%，实际缩股率受现金余额下限约束，见771—774行。</t>
  </si>
  <si>
    <t>激励等发行／期初股数</t>
  </si>
  <si>
    <t>年度0.3%，参考2023—2025净股数与计划回购桥；2026余期按天折算。</t>
  </si>
  <si>
    <t>发行股数</t>
  </si>
  <si>
    <t>总回购股数（含抵消稀释）</t>
  </si>
  <si>
    <t>总回购须同时覆盖员工发行与净缩股；不能把SBC金额当发行股数。</t>
  </si>
  <si>
    <t>期末实际流通股预测</t>
  </si>
  <si>
    <t>额外稀释加权股数近似</t>
  </si>
  <si>
    <t>加权平均稀释股数近似</t>
  </si>
  <si>
    <t>2026近似4313百万股，未来期初末平均加1000万稀释股；不同于期末实际流通股。</t>
  </si>
  <si>
    <t>预算回购价格／当年盈利</t>
  </si>
  <si>
    <t>非披露项</t>
  </si>
  <si>
    <t>回购价按24倍当年正常化盈利估算，与退出PE分开；高价回购敏感性另测试。</t>
  </si>
  <si>
    <t>隐含回购价格：预算假设</t>
  </si>
  <si>
    <t>未作同口径</t>
  </si>
  <si>
    <t>总回购现金预算</t>
  </si>
  <si>
    <t>股权发行现金流入</t>
  </si>
  <si>
    <t>不预支员工行权现金，保守设零；并非历史没有发行现金。</t>
  </si>
  <si>
    <t>目标全年分红／正常化归母利润</t>
  </si>
  <si>
    <t>远期目标65%，同时不低于上年分红总额；现金不足先减回购。2026按全年2.12美元/股。不是公司承诺。</t>
  </si>
  <si>
    <t>全年现金分红近似</t>
  </si>
  <si>
    <t>估值日后现金分红</t>
  </si>
  <si>
    <t>历史已支付</t>
  </si>
  <si>
    <t>2026仅含12月15日0.53美元/股；2027以后年末一次收款近似，不重复计入已付分红。</t>
  </si>
  <si>
    <t>十二、现金预算与融资约束</t>
  </si>
  <si>
    <t>期初可用现金：2026估值日代理</t>
  </si>
  <si>
    <t>本期间FCF：2026只计剩余期间</t>
  </si>
  <si>
    <t>股权发行现金</t>
  </si>
  <si>
    <t>净融资（到期债务等额滚续）</t>
  </si>
  <si>
    <t>明确假设到期本金等额再融资，净借款为零；因此不再重复减本金。2026H1一年内到期64.94亿美元需持续跟踪。</t>
  </si>
  <si>
    <t>处置净现金流入</t>
  </si>
  <si>
    <t>减：现金分红</t>
  </si>
  <si>
    <t>减：总回购现金</t>
  </si>
  <si>
    <t>减：已知承诺及IRS事件支出</t>
  </si>
  <si>
    <t>不强作同口径</t>
  </si>
  <si>
    <t>2026预留税收抵免投资未出资承诺1.74亿美元；以后IRS压力项按开关计算，不视为已确认债务。</t>
  </si>
  <si>
    <t>减：其他必要现金用途预留</t>
  </si>
  <si>
    <t>2026余期3亿美元含少数股东分配和小额其他支出；2027起7亿美元预留：小型投资5亿、融资租赁本金1亿、其他1亿，年增2.5%，均为预算假设。经营租赁和养老金已在FCF内。</t>
  </si>
  <si>
    <t>最低现金储备</t>
  </si>
  <si>
    <t>研究设定</t>
  </si>
  <si>
    <t>最低现金100亿美元为流动性缓冲假设，接近2025末现金102.7亿美元；不用全部现金支持回购。</t>
  </si>
  <si>
    <t>超过最低储备的余额</t>
  </si>
  <si>
    <t>留存现金不额外加到PE终值；利息收入不因现金积累自动增长。更保守但不能称资金全部分配。</t>
  </si>
  <si>
    <t>未覆盖现金缺口</t>
  </si>
  <si>
    <t>缺口大于零需下调分红回购或另行明确融资；IRS压力不能自动用新增借款掩盖。</t>
  </si>
  <si>
    <t>2026剩余期间：日期、现金与股数</t>
  </si>
  <si>
    <t>2026财年末</t>
  </si>
  <si>
    <t>最新资产负债表日期</t>
  </si>
  <si>
    <t>最新报表现金及现金等价物</t>
  </si>
  <si>
    <t>仅资产负债表现金，不把受限现金、全部证券及IRS押金计为可用现金。</t>
  </si>
  <si>
    <t>最新披露实际流通股</t>
  </si>
  <si>
    <t>10-Q封面2026-07-27值；假设到估值日净股数不变，是代理值而非10月16日实测。</t>
  </si>
  <si>
    <t>股数测量日</t>
  </si>
  <si>
    <t>2026H1实际FCF</t>
  </si>
  <si>
    <t>2026H2剩余FCF预算</t>
  </si>
  <si>
    <t>124亿美元全年指引减已实现68.59亿美元，余期按天分配；现金季节性是误差来源。</t>
  </si>
  <si>
    <t>7月3日至年末天数</t>
  </si>
  <si>
    <t>天</t>
  </si>
  <si>
    <t>估值日至年末天数</t>
  </si>
  <si>
    <t>7月3日后、估值日前已付分红近似</t>
  </si>
  <si>
    <t>7月1日派息已在7月3日现金余额中；这里只扣10月1日一季分红。</t>
  </si>
  <si>
    <t>估值日前H2 FCF近似</t>
  </si>
  <si>
    <t>估值日前其他净现金耗用预留</t>
  </si>
  <si>
    <t>覆盖估值日前净回购、小额投资等不可见变动，非实际披露。</t>
  </si>
  <si>
    <t>估值日现金代理值</t>
  </si>
  <si>
    <t>未披露估值日现金，用H1加已过期间预算桥接；后续Q3披露必须替换。</t>
  </si>
  <si>
    <t>年度激励发行率（D列）</t>
  </si>
  <si>
    <t>十三、模型计算输入（暂不计算估值）</t>
  </si>
  <si>
    <t>底层模型版本</t>
  </si>
  <si>
    <t>依本次“以底层模型为准”的指示采用skill现行完整公式；FCFF保留作经营核验，不与每股分红现金流混折现。</t>
  </si>
  <si>
    <t>要求回报率／股东现金折现率</t>
  </si>
  <si>
    <t>沿用用户指定10%；此处是股东要求回报率，不声称实测WACC等于股权成本。</t>
  </si>
  <si>
    <t>当前情景退出PE</t>
  </si>
  <si>
    <t>2021—2025年末可比PE约21.6—25.6倍；18/22/26倍覆盖折价、较低历史区间及较好增长兑现。</t>
  </si>
  <si>
    <t>保守退出PE</t>
  </si>
  <si>
    <t>基准退出PE</t>
  </si>
  <si>
    <t>乐观退出PE</t>
  </si>
  <si>
    <t>预算回购PE</t>
  </si>
  <si>
    <t>预测终年</t>
  </si>
  <si>
    <t>市场股价</t>
  </si>
  <si>
    <t>2026-10-16 08:55:02 UTC</t>
  </si>
  <si>
    <t>行情工具KO报价92美元；2026-10-16 08:55:02 UTC，非收盘价。市值与每股值使用本模型实际股数代理。</t>
  </si>
  <si>
    <t>折现率敏感性范围</t>
  </si>
  <si>
    <t>退出PE敏感性范围</t>
  </si>
  <si>
    <t>IRS独立压力开关（0关／1开）</t>
  </si>
  <si>
    <t>开关</t>
  </si>
  <si>
    <t>独立法律事件情景，不与经营保守情景混同；开启后税率和2027现金压力同时生效，缺口会显式显示。</t>
  </si>
  <si>
    <t>IRS 2010—2025潜在剩余税息</t>
  </si>
  <si>
    <t>已付60亿美元押金不再扣一次，也不预设返还；140亿美元为10-K/10-Q对2010—2025潜在剩余税息的估计。</t>
  </si>
  <si>
    <t>IRS 2026全年潜在增量近似</t>
  </si>
  <si>
    <t>H1披露约9亿美元潜在增量，全年按两倍近似；付款时间与最终金额未知。</t>
  </si>
  <si>
    <t>IRS潜在新增年度税率</t>
  </si>
  <si>
    <t>IRS压力付款年：非事件预测</t>
  </si>
  <si>
    <t>2026季度现金分红</t>
  </si>
  <si>
    <t>2026-10-15董事会宣布，12月1日登记、12月15日支付。</t>
  </si>
  <si>
    <t>CCBA预计现金价款／费用预留</t>
  </si>
  <si>
    <t>金额／%</t>
  </si>
  <si>
    <t>交易公告KO现金价款13亿美元；5%税费/交割调整缓冲为假设，仅收一次，不加整个CCBA价值。</t>
  </si>
  <si>
    <t>其他必要用途预留年增长</t>
  </si>
  <si>
    <t>历史参考：可比盈利、估值倍数与股数</t>
  </si>
  <si>
    <t>公司可比稀释EPS</t>
  </si>
  <si>
    <t>财年末收盘价</t>
  </si>
  <si>
    <t>年末收盘价／当年可比EPS</t>
  </si>
  <si>
    <t>期末实际流通股（百万股取整）</t>
  </si>
  <si>
    <t>计划回购股份</t>
  </si>
  <si>
    <t>发行等净增股数代理</t>
  </si>
  <si>
    <t>未桥接</t>
  </si>
  <si>
    <t>期末净股数变化加计划回购的代理值，含员工股权及其他变化；扣税股可能使其不同于总发行，故不用它当精准发行量。</t>
  </si>
  <si>
    <t>发行等净增股数／期初股数</t>
  </si>
  <si>
    <t>口径、依据与后续更新</t>
  </si>
  <si>
    <t>黄色为研究输入；已有2026收入、营业利润和FCFF基准不改。三种经营情景共用C43，不另设独立场景。</t>
  </si>
  <si>
    <t>右侧利润历史为GAAP（可比EPS单列）；预测正常化已剔除异常项目，不能将历史GAAP增速当预测同口径增速。</t>
  </si>
  <si>
    <t>历史FCF采用报表CFO减资本开支；第628行仅加回2024 IRS押金、2025 fairlife经营付款，非公司完整调整后FCF口径。</t>
  </si>
  <si>
    <t>历史现金预算只是已披露相关行的参考，不是完整现金流量表；期末值含受限现金，2026预算只采用不受限现金。</t>
  </si>
  <si>
    <t>资本开支历史2021—2025约3.5%、3.5%、4.0%、4.4%、4.4%；CCBA退出后远期取3.5%—4.2%，视情景保留增长投入。</t>
  </si>
  <si>
    <t>经营税率22%与集团税率20%—22%各有用途。集团利润含权益法收益、利息等，FCFF转归母现金时显式桥接。</t>
  </si>
  <si>
    <t>FCFF不加SBC；现金预算可加回非现金SBC，但利润仍含费用，发行与总回购另计，股数和现金不能两头占便宜。</t>
  </si>
  <si>
    <t>期末股数近似计算DPS；EPS用加权平均稀释股数。2026年度利润不按残余期缩减，但只计估值日后的分红和预算现金。</t>
  </si>
  <si>
    <t>2026现金桥按H2天数分摊，是估值日代理，非已披露Q3实际；新10-Q发布后同步替换股数、现金、债务和余期FCF。</t>
  </si>
  <si>
    <t>2027起净融资零表示到期本金等额滚续；借新还旧不是无需还款。拒绝再融资、税案败诉或大额收购时需重建预算。</t>
  </si>
  <si>
    <t>退出PE包含正常化归母盈利对应的全部业务；不再额外加权益法投资和全部现金，也不重复扣已通过利息反映的债务。</t>
  </si>
  <si>
    <t>退出PE不乘FCF转换率；回购不作为持有者额外现金收入。24倍回购预算与18/22/26倍退出情景是两个不同变量。</t>
  </si>
  <si>
    <t>来源：2026Q2业绩公告p7、p21—22，2025全年公告p22—23；2026H1可比净利润78.79亿美元、EPS1.83美元。</t>
  </si>
  <si>
    <t>sources/companies/US/KO-coca-cola/ir/prepared/earnings-release/；Q22026与FY2025原始公告Markdown。</t>
  </si>
  <si>
    <t>2026Q2 IR Overview p31资本配置、p32长期目标：回购抵消员工稀释、调整后FCF转换90%—95%；65%盈利分红率是分析假设。</t>
  </si>
  <si>
    <t>2026Q2 10-Q：封面实际流通股；三表；Note9 IRS；税收抵免投资未出资承诺1.74亿美元。</t>
  </si>
  <si>
    <t>2025 10-K Note13股权激励，Note21权益法收益扣现金分红；原始历史行引用底稿，不覆盖原表。</t>
  </si>
  <si>
    <t>年末价格：https://investors.coca-colacompany.com/stock-info/year-end；EPS取各年全年官方业绩公告。</t>
  </si>
  <si>
    <t>sources/companies/US/KO-coca-cola/valuation-support-20261016/FY2022-full-release.pdf：p24—25涵盖2021/2022可比EPS。</t>
  </si>
  <si>
    <t>分红：https://investors.coca-colacompany.com/news-events/press-releases/detail/1174/coca-cola-board-of-directors-declares-regular-quarterly-dividend</t>
  </si>
  <si>
    <t>本轮新增原件：sources/companies/US/KO-coca-cola/valuation-support-20261016/；年末股价及2026-10-15派息公告HTML。</t>
  </si>
  <si>
    <t>CCBA现金价款13亿美元见交易公告；所得税/交割费用未明确，预算预留5%，交易延期时修改处置现金与营业利润退出时点。</t>
  </si>
  <si>
    <t>资金预算通过只对基准融资和用途假设成立，不把远年未披露用途称已核实。IRS单独压力开关默认关闭。</t>
  </si>
  <si>
    <t>估值已执行：Valuation链接本表参数；行情快照92美元，2026-10-16 08:55:02 UTC。</t>
  </si>
  <si>
    <t>研究截止日2026-10-16。18/22/26倍退出PE、24倍回购PE、0/0.25%/0.5%缩股等为本轮授权研究工作假设。</t>
  </si>
  <si>
    <t>情景参数与回购资金上限</t>
  </si>
  <si>
    <t>权益法收益增长：当前情景</t>
  </si>
  <si>
    <t>集团所得税率：事件前</t>
  </si>
  <si>
    <t>目标净缩股率：当前情景</t>
  </si>
  <si>
    <t>可用于总回购的最高现金预算</t>
  </si>
  <si>
    <t>现金允许的最大净缩股率</t>
  </si>
  <si>
    <t>由总回购预算B反解s=(B−d×PE×NI)/(B+PE×NI)；负数表示连抵消稀释也需动用储备。</t>
  </si>
  <si>
    <t>目标净缩股率</t>
  </si>
  <si>
    <t>受资金约束的实际净缩股率</t>
  </si>
  <si>
    <t>现金紧张先缩减净回购；若零缩股仍有缺口，第668行明确显示，不自动借新债。</t>
  </si>
  <si>
    <t>实际分红／正常化归母利润</t>
  </si>
  <si>
    <t>公司调整后FCF：历史口径</t>
  </si>
  <si>
    <t>未补同口径</t>
  </si>
  <si>
    <t>公司调整后归母利润：历史口径</t>
  </si>
  <si>
    <t>公司调整后FCF转换率</t>
  </si>
  <si>
    <t>2Q26 IR Overview p52：公司转换率历史约93%；与本模型FCF/正常化净利润并非完全同口径。</t>
  </si>
  <si>
    <t>远期转换率低于公司目标：保留净资本投入、周转现金及权益法收益未分红部分，是审慎情景，不用目标反填现金。</t>
  </si>
  <si>
    <t>可口可乐｜统一模型参数</t>
  </si>
  <si>
    <t>黄色蓝字可调；金额为百万美元，股数为百万股。</t>
  </si>
  <si>
    <t>原始披露、历史参照和详细推导保留在 Valuation Driver Build。</t>
  </si>
  <si>
    <t>估值控制</t>
  </si>
  <si>
    <t>测算买入价；原行情快照保留</t>
  </si>
  <si>
    <t>股东现金流折现的要求回报率</t>
  </si>
  <si>
    <t>适用窗口：2026-10-16至2026-11-30</t>
  </si>
  <si>
    <t>退出PE覆盖值（留空随情景）</t>
  </si>
  <si>
    <t>留空随情景；填数覆盖全部情景退出PE</t>
  </si>
  <si>
    <t>可选2027—2031年末退出</t>
  </si>
  <si>
    <t>用于期末股数、每股分红和回购预算</t>
  </si>
  <si>
    <t>现金底线实际约束回购与净缩股</t>
  </si>
  <si>
    <t>退出市盈率｜三情景</t>
  </si>
  <si>
    <t>退出PE</t>
  </si>
  <si>
    <t>当前实际采用PE</t>
  </si>
  <si>
    <t>分组顺序：远期情景 → 共同假设 → 2026预测 → 资本分配 → 压力假设</t>
  </si>
  <si>
    <t>2027—2031｜三情景经营与资本假设</t>
  </si>
  <si>
    <t>销量贡献 · 保守</t>
  </si>
  <si>
    <t>销量贡献 · 基准</t>
  </si>
  <si>
    <t>销量贡献 · 乐观</t>
  </si>
  <si>
    <t>价格／组合 · 保守</t>
  </si>
  <si>
    <t>价格／组合 · 基准</t>
  </si>
  <si>
    <t>价格／组合 · 乐观</t>
  </si>
  <si>
    <t>营业利润率年度改善 · 保守</t>
  </si>
  <si>
    <t>营业利润率年度改善 · 基准</t>
  </si>
  <si>
    <t>营业利润率年度改善 · 乐观</t>
  </si>
  <si>
    <t>资本开支／收入 · 保守</t>
  </si>
  <si>
    <t>资本开支／收入 · 基准</t>
  </si>
  <si>
    <t>资本开支／收入 · 乐观</t>
  </si>
  <si>
    <t>权益法收益增长 · 保守</t>
  </si>
  <si>
    <t>权益法收益增长 · 基准</t>
  </si>
  <si>
    <t>权益法收益增长 · 乐观</t>
  </si>
  <si>
    <t>集团所得税率 · 保守</t>
  </si>
  <si>
    <t>集团所得税率 · 基准</t>
  </si>
  <si>
    <t>集团所得税率 · 乐观</t>
  </si>
  <si>
    <t>目标净缩股率 · 保守</t>
  </si>
  <si>
    <t>实际缩股受现金预算约束</t>
  </si>
  <si>
    <t>目标净缩股率 · 基准</t>
  </si>
  <si>
    <t>目标净缩股率 · 乐观</t>
  </si>
  <si>
    <t>逐年共同假设｜盈利、再投资与现金分配</t>
  </si>
  <si>
    <t>2026｜采用的公司指引与收入假设</t>
  </si>
  <si>
    <t>采用值可调；原披露上下限保留在推导表</t>
  </si>
  <si>
    <t>2026Q3 有机收入增长</t>
  </si>
  <si>
    <t>Q4由全年目标和前三季度反推</t>
  </si>
  <si>
    <t>2026｜Q3、Q4营业利润假设</t>
  </si>
  <si>
    <t>E列：Q3；F列：Q4</t>
  </si>
  <si>
    <t>2026｜正常化利润与经营现金</t>
  </si>
  <si>
    <t>保留经常成本</t>
  </si>
  <si>
    <t>经营税率（后续年份沿用）</t>
  </si>
  <si>
    <t>周转资金现金耗用</t>
  </si>
  <si>
    <t>预付及其他资产现金影响</t>
  </si>
  <si>
    <t>费用税减现金经营税</t>
  </si>
  <si>
    <t>其他常规非现金净调整</t>
  </si>
  <si>
    <t>现金利息支出：OCF核验</t>
  </si>
  <si>
    <t>现金利息收入：OCF核验</t>
  </si>
  <si>
    <t>税后投资分红：OCF核验</t>
  </si>
  <si>
    <t>SBC成本／现金调整基期</t>
  </si>
  <si>
    <t>权益法投资收益基期</t>
  </si>
  <si>
    <t>2026余期净缩股率</t>
  </si>
  <si>
    <t>2026加权平均稀释股数</t>
  </si>
  <si>
    <t>资本分配｜回购、融资与必要用途</t>
  </si>
  <si>
    <t>年度激励发行率</t>
  </si>
  <si>
    <t>回购现金预算包含抵消员工发行</t>
  </si>
  <si>
    <t>用于回购资金估算，独立于退出PE</t>
  </si>
  <si>
    <t>2026已知承诺支出</t>
  </si>
  <si>
    <t>2026余期其他必要用途</t>
  </si>
  <si>
    <t>2027其他必要用途</t>
  </si>
  <si>
    <t>后续按下行增速递增</t>
  </si>
  <si>
    <t>其他必要用途年增长</t>
  </si>
  <si>
    <t>估值日前其他现金耗用</t>
  </si>
  <si>
    <t>用于估值日起始现金代理</t>
  </si>
  <si>
    <t>CCBA交易税费预留比例</t>
  </si>
  <si>
    <t>现金价款沿用公司披露，原推导表保留</t>
  </si>
  <si>
    <t>2027新增退出季度数</t>
  </si>
  <si>
    <t>连接2026与2027退出影响</t>
  </si>
  <si>
    <t>诊断与压力假设｜默认关闭的税案压力</t>
  </si>
  <si>
    <t>IRS压力开关：0关／1开</t>
  </si>
  <si>
    <t>开启后需检查现金缺口</t>
  </si>
  <si>
    <t>IRS全年潜在增量近似</t>
  </si>
  <si>
    <t>金额与付款时点不是已确定事件</t>
  </si>
  <si>
    <t>IRS压力付款年</t>
  </si>
  <si>
    <t>仅用于压力测算</t>
  </si>
  <si>
    <t>权益法追加税率：诊断</t>
  </si>
  <si>
    <t>仅影响税率诊断</t>
  </si>
  <si>
    <t>标准FCFF参考WACC</t>
  </si>
  <si>
    <t>当前股东回报折现仍使用顶部要求回报率</t>
  </si>
  <si>
    <t>标准FCFF参考参数；当前股东现金回报门槛见统一参数页。</t>
  </si>
  <si>
    <t>估值控制｜请在 Valuation Inputs 调整</t>
  </si>
  <si>
    <t>只读链接；买入价统一在参数页修改。</t>
  </si>
  <si>
    <t>只读链接；要求回报率统一在参数页修改。</t>
  </si>
  <si>
    <t>只读链接；情景选择统一在参数页修改。</t>
  </si>
  <si>
    <t>日期在参数页调整；现金桥适用窗口保持。</t>
  </si>
  <si>
    <t>起始股数在参数页调整。</t>
  </si>
  <si>
    <t>最低现金在参数页调整，实际约束回购。</t>
  </si>
  <si>
    <t>黄色交点采用当前回报率和有效退出PE；两轴随控制区变化，经营情景由C7选择。</t>
  </si>
  <si>
    <t>退出PE及其他手动假设统一在 Valuation Inputs 修改；本区显示参数链接。</t>
  </si>
  <si>
    <t>当前经营情景及退出财年不变；买入价按当前值的90%／100%／110%取值，结果为年化XIRR。</t>
  </si>
  <si>
    <t>5. 退出PE统一在Valuation Inputs按情景修改，或用该页C9覆盖；回购PE也在参数页单列。</t>
  </si>
  <si>
    <t>6. 起始股数、最低现金与估值日由上方输入区统一驱动现金股数桥；到期债务等额滚续的假设保留。</t>
  </si>
  <si>
    <t>8. 统一参数页黄色蓝字可修改；本页控制值为只读链接。原生数据表沿用本页计算入口。</t>
  </si>
  <si>
    <t>9. 手动计算模式下修改后按F9。估值日限本次余期现金桥适用窗口；跨分红登记日或财年需要更新现金桥。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</si>
</sst>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76" formatCode="#,##0;\(#,##0\);&quot;-&quot;"/>
    <numFmt numFmtId="177" formatCode="0.0%;\(0.0%\);&quot;-&quot;"/>
    <numFmt numFmtId="178" formatCode="#,##0.0;\(#,##0.0\);&quot;-&quot;"/>
    <numFmt numFmtId="179" formatCode="0.0&quot;x&quot;;\(0.0&quot;x&quot;\);&quot;-&quot;"/>
    <numFmt numFmtId="180" formatCode="#,##0;\(#,##0\);&quot;–&quot;"/>
    <numFmt numFmtId="181" formatCode="0.0%;\(0.0%\);&quot;–&quot;"/>
    <numFmt numFmtId="182" formatCode="0.00;\(0.00\);&quot;–&quot;"/>
    <numFmt numFmtId="183" formatCode="#,##0.0;\(#,##0.0\);&quot;–&quot;"/>
    <numFmt numFmtId="184" formatCode="0.0&quot;x&quot;;\(0.0&quot;x&quot;\);&quot;–&quot;"/>
    <numFmt numFmtId="185" formatCode="#,##0.0;\(#,##0.0\);0.0"/>
    <numFmt numFmtId="186" formatCode="0.0%;\(0.0%\);0.0%"/>
    <numFmt numFmtId="187" formatCode="0.00;\(0.00\);0.00"/>
    <numFmt numFmtId="188" formatCode="0.0%"/>
    <numFmt numFmtId="189" formatCode="yyyy\-mm\-dd"/>
    <numFmt numFmtId="190" formatCode="0.000"/>
    <numFmt numFmtId="191" formatCode="0.00%;\(0.00%\);&quot;–&quot;"/>
    <numFmt numFmtId="192" formatCode="0.0&quot;x&quot;"/>
    <numFmt numFmtId="193" formatCode="[=1]&quot;保守&quot;;[=2]&quot;基准&quot;;&quot;乐观&quot;"/>
    <numFmt numFmtId="194" formatCode="&quot;FY&quot;0"/>
    <numFmt numFmtId="195" formatCode="&quot;FY&quot;0&quot;E&quot;"/>
    <numFmt numFmtId="196" formatCode="&quot;FY&quot;0&quot;A&quot;"/>
    <numFmt numFmtId="197" formatCode="0.000000"/>
    <numFmt numFmtId="198" formatCode=";;;"/>
  </numFmts>
  <fonts count="114">
    <font>
      <sz val="11"/>
      <color theme="1"/>
      <name val="宋体"/>
      <family val="2"/>
      <scheme val="minor"/>
    </font>
    <font>
      <sz val="12"/>
      <color theme="1"/>
      <name val="宋体"/>
      <family val="2"/>
      <charset val="134"/>
      <scheme val="minor"/>
    </font>
    <font>
      <i/>
      <sz val="9"/>
      <color rgb="FF999999"/>
      <name val="Arial"/>
      <family val="2"/>
    </font>
    <font>
      <b/>
      <sz val="10"/>
      <color rgb="FF0000CC"/>
      <name val="Arial"/>
      <family val="2"/>
    </font>
    <font>
      <sz val="10"/>
      <color rgb="FF0000CC"/>
      <name val="Arial"/>
      <family val="2"/>
    </font>
    <font>
      <i/>
      <sz val="10"/>
      <color rgb="FFBF8F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rgb="FF243447"/>
      <name val="Arial"/>
      <family val="2"/>
    </font>
    <font>
      <b/>
      <sz val="11"/>
      <color rgb="FFFFFFFF"/>
      <name val="Arial"/>
      <family val="2"/>
    </font>
    <font>
      <sz val="9"/>
      <color rgb="FF64748B"/>
      <name val="Arial"/>
      <family val="2"/>
    </font>
    <font>
      <b/>
      <sz val="10.5"/>
      <color rgb="FF243447"/>
      <name val="Arial"/>
      <family val="2"/>
    </font>
    <font>
      <b/>
      <sz val="10.5"/>
      <color rgb="FF2454A4"/>
      <name val="Arial"/>
      <family val="2"/>
    </font>
    <font>
      <b/>
      <sz val="10.5"/>
      <color rgb="FF20746C"/>
      <name val="Arial"/>
      <family val="2"/>
    </font>
    <font>
      <b/>
      <sz val="10.5"/>
      <color rgb="FF64748B"/>
      <name val="Arial"/>
      <family val="2"/>
    </font>
    <font>
      <b/>
      <sz val="10"/>
      <color rgb="FFFFFFFF"/>
      <name val="Arial"/>
      <family val="2"/>
    </font>
    <font>
      <sz val="8"/>
      <color rgb="FFB5C0CB"/>
      <name val="Arial"/>
      <family val="2"/>
    </font>
    <font>
      <sz val="8.5"/>
      <color rgb="FF64748B"/>
      <name val="Arial"/>
      <family val="2"/>
    </font>
    <font>
      <u/>
      <sz val="9.5"/>
      <color rgb="FF20746C"/>
      <name val="Arial"/>
      <family val="2"/>
    </font>
    <font>
      <i/>
      <sz val="10.5"/>
      <color rgb="FF243447"/>
      <name val="Arial"/>
      <family val="2"/>
    </font>
    <font>
      <sz val="10.5"/>
      <color rgb="FF2454A4"/>
      <name val="Arial"/>
      <family val="2"/>
    </font>
    <font>
      <sz val="10.5"/>
      <color rgb="FF20746C"/>
      <name val="Arial"/>
      <family val="2"/>
    </font>
    <font>
      <i/>
      <sz val="10.5"/>
      <color rgb="FF64748B"/>
      <name val="Arial"/>
      <family val="2"/>
    </font>
    <font>
      <sz val="10.5"/>
      <color rgb="FF64748B"/>
      <name val="Arial"/>
      <family val="2"/>
    </font>
    <font>
      <sz val="10.5"/>
      <color rgb="FF806741"/>
      <name val="Arial"/>
      <family val="2"/>
    </font>
    <font>
      <b/>
      <sz val="9.5"/>
      <color rgb="FF243447"/>
      <name val="Arial"/>
      <family val="2"/>
    </font>
    <font>
      <sz val="9.5"/>
      <color rgb="FF243447"/>
      <name val="Arial"/>
      <family val="2"/>
    </font>
    <font>
      <sz val="11"/>
      <color rgb="FF000000"/>
      <name val="宋体"/>
      <family val="3"/>
      <charset val="134"/>
    </font>
    <font>
      <b/>
      <sz val="16"/>
      <color rgb="FFFFFFFF"/>
      <name val="宋体"/>
      <family val="2"/>
      <scheme val="minor"/>
    </font>
    <font>
      <sz val="9.5"/>
      <color rgb="FF64748B"/>
      <name val="宋体"/>
      <family val="2"/>
      <scheme val="minor"/>
    </font>
    <font>
      <b/>
      <sz val="10"/>
      <color rgb="FFFFFFFF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0.5"/>
      <color rgb="FFFFFFFF"/>
      <name val="宋体"/>
      <family val="2"/>
      <scheme val="minor"/>
    </font>
    <font>
      <b/>
      <sz val="10.5"/>
      <color rgb="FF243447"/>
      <name val="宋体"/>
      <family val="2"/>
      <scheme val="minor"/>
    </font>
    <font>
      <b/>
      <sz val="10.5"/>
      <color rgb="FF008000"/>
      <name val="宋体"/>
      <family val="2"/>
      <scheme val="minor"/>
    </font>
    <font>
      <i/>
      <sz val="10.5"/>
      <color rgb="FF243447"/>
      <name val="宋体"/>
      <family val="2"/>
      <scheme val="minor"/>
    </font>
    <font>
      <i/>
      <sz val="10.5"/>
      <color rgb="FF008000"/>
      <name val="宋体"/>
      <family val="2"/>
      <scheme val="minor"/>
    </font>
    <font>
      <i/>
      <sz val="10.5"/>
      <color rgb="FF2454A4"/>
      <name val="宋体"/>
      <family val="2"/>
      <scheme val="minor"/>
    </font>
    <font>
      <sz val="9.5"/>
      <color rgb="FF008000"/>
      <name val="宋体"/>
      <family val="2"/>
      <scheme val="minor"/>
    </font>
    <font>
      <sz val="10.5"/>
      <color rgb="FF243447"/>
      <name val="宋体"/>
      <family val="2"/>
      <scheme val="minor"/>
    </font>
    <font>
      <i/>
      <sz val="10.5"/>
      <color rgb="FF64748B"/>
      <name val="宋体"/>
      <family val="2"/>
      <scheme val="minor"/>
    </font>
    <font>
      <sz val="10.5"/>
      <color rgb="FF2454A4"/>
      <name val="宋体"/>
      <family val="2"/>
      <scheme val="minor"/>
    </font>
    <font>
      <sz val="9"/>
      <color rgb="FF008000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  <font>
      <sz val="10"/>
      <color rgb="FF000000"/>
      <name val="宋体"/>
      <family val="3"/>
      <charset val="134"/>
      <scheme val="minor"/>
    </font>
    <font>
      <sz val="10.5"/>
      <color rgb="FF243447"/>
      <name val="宋体"/>
      <family val="2"/>
      <scheme val="minor"/>
    </font>
    <font>
      <b/>
      <sz val="10.5"/>
      <color rgb="FF243447"/>
      <name val="宋体"/>
      <family val="2"/>
      <scheme val="minor"/>
    </font>
    <font>
      <i/>
      <sz val="10.5"/>
      <color rgb="FF243447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0.5"/>
      <color rgb="FF243447"/>
      <name val="宋体"/>
      <family val="2"/>
      <scheme val="minor"/>
    </font>
    <font>
      <i/>
      <sz val="10.5"/>
      <color rgb="FF243447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0.5"/>
      <color rgb="FF243447"/>
      <name val="宋体"/>
      <family val="2"/>
      <scheme val="minor"/>
    </font>
    <font>
      <b/>
      <sz val="10.5"/>
      <color rgb="FF243447"/>
      <name val="宋体"/>
      <family val="2"/>
      <scheme val="minor"/>
    </font>
    <font>
      <i/>
      <sz val="10.5"/>
      <color rgb="FF243447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6"/>
      <color rgb="FF17324D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10.5"/>
      <color rgb="FF2454A4"/>
      <name val="宋体"/>
      <family val="2"/>
      <scheme val="minor"/>
    </font>
    <font>
      <b/>
      <sz val="10.5"/>
      <color rgb="FF243447"/>
      <name val="宋体"/>
      <family val="2"/>
      <scheme val="minor"/>
    </font>
    <font>
      <sz val="10.5"/>
      <color rgb="FF20746C"/>
      <name val="宋体"/>
      <family val="2"/>
      <scheme val="minor"/>
    </font>
    <font>
      <i/>
      <sz val="10.5"/>
      <color rgb="FF243447"/>
      <name val="宋体"/>
      <family val="2"/>
      <scheme val="minor"/>
    </font>
    <font>
      <i/>
      <sz val="10.5"/>
      <color rgb="FF20746C"/>
      <name val="宋体"/>
      <family val="2"/>
      <scheme val="minor"/>
    </font>
    <font>
      <i/>
      <sz val="10.5"/>
      <color rgb="FF2454A4"/>
      <name val="宋体"/>
      <family val="2"/>
      <scheme val="minor"/>
    </font>
    <font>
      <sz val="10"/>
      <color rgb="FF64748B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0.5"/>
      <color rgb="FF243447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0.5"/>
      <color rgb="FF243447"/>
      <name val="宋体"/>
      <family val="2"/>
      <scheme val="minor"/>
    </font>
    <font>
      <sz val="10.5"/>
      <color rgb="FF20746C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0.5"/>
      <color rgb="FF243447"/>
      <name val="宋体"/>
      <family val="2"/>
      <scheme val="minor"/>
    </font>
    <font>
      <b/>
      <sz val="10.5"/>
      <color rgb="FF20746C"/>
      <name val="宋体"/>
      <family val="2"/>
      <scheme val="minor"/>
    </font>
    <font>
      <sz val="10.5"/>
      <color rgb="FF20746C"/>
      <name val="宋体"/>
      <family val="2"/>
      <scheme val="minor"/>
    </font>
    <font>
      <sz val="10.5"/>
      <color rgb="FF20746C"/>
      <name val="宋体"/>
      <family val="2"/>
      <scheme val="minor"/>
    </font>
    <font>
      <sz val="10.5"/>
      <color rgb="FF243447"/>
      <name val="宋体"/>
      <family val="2"/>
      <scheme val="minor"/>
    </font>
    <font>
      <sz val="10.5"/>
      <color rgb="FF243447"/>
      <name val="宋体"/>
      <family val="2"/>
      <scheme val="minor"/>
    </font>
    <font>
      <sz val="10"/>
      <color rgb="FF64748B"/>
      <name val="宋体"/>
      <family val="2"/>
      <scheme val="minor"/>
    </font>
    <font>
      <sz val="10.5"/>
      <color rgb="FF243447"/>
      <name val="宋体"/>
      <family val="2"/>
      <scheme val="minor"/>
    </font>
    <font>
      <sz val="12"/>
      <color rgb="FFFF0000"/>
      <name val="宋体"/>
      <family val="2"/>
      <charset val="134"/>
      <scheme val="minor"/>
    </font>
    <font>
      <i/>
      <sz val="12"/>
      <color rgb="FF7F7F7F"/>
      <name val="宋体"/>
      <family val="2"/>
      <charset val="134"/>
      <scheme val="minor"/>
    </font>
    <font>
      <b/>
      <sz val="12"/>
      <color theme="1"/>
      <name val="宋体"/>
      <family val="2"/>
      <charset val="134"/>
      <scheme val="minor"/>
    </font>
    <font>
      <sz val="12"/>
      <color theme="0"/>
      <name val="宋体"/>
      <family val="2"/>
      <charset val="134"/>
      <scheme val="minor"/>
    </font>
    <font>
      <sz val="10.5"/>
      <color rgb="FF20746C"/>
      <name val="宋体"/>
      <family val="2"/>
      <scheme val="minor"/>
    </font>
    <font>
      <sz val="10.5"/>
      <color rgb="FF2454A4"/>
      <name val="宋体"/>
      <family val="2"/>
      <scheme val="minor"/>
    </font>
    <font>
      <sz val="10.5"/>
      <color rgb="FF243447"/>
      <name val="宋体"/>
      <family val="2"/>
      <scheme val="minor"/>
    </font>
    <font>
      <sz val="10.5"/>
      <color rgb="FF20746C"/>
      <name val="宋体"/>
      <family val="2"/>
      <scheme val="minor"/>
    </font>
    <font>
      <i/>
      <sz val="10.5"/>
      <color rgb="FF20746C"/>
      <name val="宋体"/>
      <family val="2"/>
      <scheme val="minor"/>
    </font>
    <font>
      <b/>
      <sz val="10.5"/>
      <color rgb="FF20746C"/>
      <name val="宋体"/>
      <family val="2"/>
      <scheme val="minor"/>
    </font>
    <font>
      <sz val="11"/>
      <color rgb="FF20746C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0.5"/>
      <color rgb="FFFFFFFF"/>
      <name val="宋体"/>
      <family val="2"/>
      <scheme val="minor"/>
    </font>
    <font>
      <b/>
      <sz val="10.5"/>
      <color rgb="FF243447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11"/>
      <color rgb="FF243447"/>
      <name val="宋体"/>
      <family val="2"/>
      <scheme val="minor"/>
    </font>
    <font>
      <b/>
      <sz val="19"/>
      <color rgb="FFFFFFFF"/>
      <name val="宋体"/>
      <family val="2"/>
      <scheme val="minor"/>
    </font>
    <font>
      <sz val="11"/>
      <color rgb="FF20746C"/>
      <name val="宋体"/>
      <family val="2"/>
      <scheme val="minor"/>
    </font>
    <font>
      <b/>
      <sz val="11"/>
      <color rgb="FF243447"/>
      <name val="宋体"/>
      <family val="2"/>
      <scheme val="minor"/>
    </font>
    <font>
      <b/>
      <sz val="11"/>
      <color rgb="FF20746C"/>
      <name val="宋体"/>
      <family val="2"/>
      <scheme val="minor"/>
    </font>
    <font>
      <sz val="11"/>
      <color rgb="FF243447"/>
      <name val="宋体"/>
      <family val="2"/>
      <scheme val="minor"/>
    </font>
    <font>
      <b/>
      <sz val="17"/>
      <color rgb="FF17324D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11"/>
      <color rgb="FF2454A4"/>
      <name val="宋体"/>
      <family val="2"/>
      <scheme val="minor"/>
    </font>
    <font>
      <b/>
      <sz val="11"/>
      <color theme="3"/>
      <name val="宋体"/>
      <family val="2"/>
      <charset val="134"/>
      <scheme val="minor"/>
    </font>
    <font>
      <sz val="12"/>
      <color rgb="FF006100"/>
      <name val="宋体"/>
      <family val="2"/>
      <charset val="134"/>
      <scheme val="minor"/>
    </font>
    <font>
      <sz val="12"/>
      <color rgb="FF9C0006"/>
      <name val="宋体"/>
      <family val="2"/>
      <charset val="134"/>
      <scheme val="minor"/>
    </font>
    <font>
      <sz val="12"/>
      <color rgb="FF9C5700"/>
      <name val="宋体"/>
      <family val="2"/>
      <charset val="134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18324F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20746C"/>
      </patternFill>
    </fill>
    <fill>
      <patternFill patternType="solid">
        <fgColor rgb="FFF8FAFC"/>
      </patternFill>
    </fill>
    <fill>
      <patternFill patternType="solid">
        <fgColor rgb="FFF2F5F9"/>
      </patternFill>
    </fill>
    <fill>
      <patternFill patternType="solid">
        <fgColor rgb="FFEAF0F8"/>
      </patternFill>
    </fill>
    <fill>
      <patternFill patternType="solid">
        <fgColor rgb="FFEDF5F1"/>
      </patternFill>
    </fill>
    <fill>
      <patternFill patternType="solid">
        <fgColor rgb="FF18324F"/>
      </patternFill>
    </fill>
    <fill>
      <patternFill patternType="none"/>
    </fill>
    <fill>
      <patternFill patternType="solid">
        <fgColor rgb="FFEAF0F8"/>
      </patternFill>
    </fill>
    <fill>
      <patternFill patternType="none"/>
    </fill>
    <fill>
      <patternFill patternType="solid">
        <fgColor rgb="FFFFF2CC"/>
      </patternFill>
    </fill>
    <fill>
      <patternFill patternType="solid">
        <fgColor rgb="FFE9EFF5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D9E3ED"/>
      </patternFill>
    </fill>
    <fill>
      <patternFill patternType="solid">
        <fgColor rgb="FFE9EFF5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17324D"/>
      </patternFill>
    </fill>
    <fill>
      <patternFill patternType="solid">
        <fgColor rgb="FFD9E3ED"/>
      </patternFill>
    </fill>
    <fill>
      <patternFill patternType="solid">
        <fgColor rgb="FFE9EFF5"/>
      </patternFill>
    </fill>
    <fill>
      <patternFill patternType="solid">
        <fgColor rgb="FF17324D"/>
      </patternFill>
    </fill>
    <fill>
      <patternFill patternType="solid">
        <fgColor rgb="FFD9E3ED"/>
      </patternFill>
    </fill>
    <fill>
      <patternFill patternType="solid">
        <fgColor rgb="FFE9EFF5"/>
      </patternFill>
    </fill>
    <fill>
      <patternFill patternType="solid">
        <fgColor rgb="FF17324D"/>
      </patternFill>
    </fill>
    <fill>
      <patternFill patternType="solid">
        <fgColor rgb="FFE9EFF5"/>
      </patternFill>
    </fill>
    <fill>
      <patternFill patternType="solid">
        <fgColor rgb="FFD9E3ED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D9E3ED"/>
      </patternFill>
    </fill>
    <fill>
      <patternFill patternType="solid">
        <fgColor rgb="FFE9EFF5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18324F"/>
      </patternFill>
    </fill>
    <fill>
      <patternFill patternType="solid">
        <fgColor rgb="FFEAF0F8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D9E3ED"/>
      </patternFill>
    </fill>
    <fill>
      <patternFill patternType="solid">
        <fgColor rgb="FFE9EFF5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D9E3E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5">
    <border>
      <left/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B8C6D6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B8C6D6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8">
    <xf numFmtId="0" fontId="0" fillId="0" borderId="0"/>
    <xf numFmtId="0" fontId="8" fillId="0" borderId="0"/>
    <xf numFmtId="0" fontId="45" fillId="0" borderId="0" applyNumberFormat="0" applyFill="0" applyBorder="0" applyAlignment="0" applyProtection="0"/>
    <xf numFmtId="0" fontId="89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88" fillId="0" borderId="19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" fillId="46" borderId="18" applyNumberFormat="0" applyFon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3" fillId="64" borderId="0" applyNumberFormat="0" applyBorder="0" applyAlignment="0" applyProtection="0">
      <alignment vertical="center"/>
    </xf>
    <xf numFmtId="0" fontId="112" fillId="63" borderId="0" applyNumberFormat="0" applyBorder="0" applyAlignment="0" applyProtection="0">
      <alignment vertical="center"/>
    </xf>
    <xf numFmtId="0" fontId="111" fillId="62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01" fillId="53" borderId="24" xfId="0" applyFont="1" applyFill="1" applyBorder="1" applyAlignment="1">
      <alignment horizontal="left" vertical="center"/>
    </xf>
    <xf numFmtId="0" fontId="10" fillId="6" borderId="0" xfId="0" applyFont="1" applyFill="1" applyAlignment="1">
      <alignment horizontal="left" vertical="top" wrapText="1"/>
    </xf>
    <xf numFmtId="0" fontId="30" fillId="13" borderId="6" xfId="2" applyFont="1" applyFill="1" applyBorder="1" applyAlignment="1">
      <alignment horizontal="right" vertical="center"/>
    </xf>
    <xf numFmtId="0" fontId="35" fillId="15" borderId="6" xfId="2" applyFont="1" applyFill="1" applyBorder="1" applyAlignment="1">
      <alignment horizontal="right" vertical="center"/>
    </xf>
    <xf numFmtId="0" fontId="20" fillId="0" borderId="3" xfId="0" applyFont="1" applyBorder="1" applyAlignment="1">
      <alignment vertical="center" wrapText="1"/>
    </xf>
  </cellStyleXfs>
  <cellXfs count="343">
    <xf numFmtId="0" fontId="0" fillId="0" borderId="0" xfId="0"/>
    <xf numFmtId="0" fontId="102" fillId="54" borderId="24" xfId="15" applyFont="1" applyFill="1" applyBorder="1" applyAlignment="1">
      <alignment horizontal="right" vertical="center"/>
    </xf>
    <xf numFmtId="0" fontId="98" fillId="51" borderId="23" xfId="16" applyFont="1" applyFill="1" applyBorder="1" applyAlignment="1">
      <alignment horizontal="right" vertical="center"/>
    </xf>
    <xf numFmtId="0" fontId="97" fillId="53" borderId="24" xfId="15" applyFont="1" applyFill="1" applyBorder="1" applyAlignment="1">
      <alignment horizontal="left" vertical="center"/>
    </xf>
    <xf numFmtId="0" fontId="101" fillId="53" borderId="24" xfId="15" applyFont="1" applyFill="1" applyBorder="1" applyAlignment="1">
      <alignment horizontal="right" vertical="center" wrapText="1"/>
    </xf>
    <xf numFmtId="0" fontId="101" fillId="53" borderId="24" xfId="15" applyFont="1" applyFill="1" applyBorder="1" applyAlignment="1">
      <alignment vertical="center" wrapText="1"/>
    </xf>
    <xf numFmtId="0" fontId="99" fillId="52" borderId="23" xfId="16" applyFont="1" applyFill="1" applyBorder="1" applyAlignment="1">
      <alignment horizontal="right" vertical="center"/>
    </xf>
    <xf numFmtId="0" fontId="100" fillId="54" borderId="24" xfId="15" applyFont="1" applyFill="1" applyBorder="1" applyAlignment="1">
      <alignment vertical="center"/>
    </xf>
    <xf numFmtId="0" fontId="85" fillId="42" borderId="15" xfId="0" applyFont="1" applyFill="1" applyBorder="1" applyAlignment="1">
      <alignment horizontal="left" vertical="center"/>
    </xf>
    <xf numFmtId="0" fontId="76" fillId="16" borderId="7" xfId="0" applyFont="1" applyFill="1" applyBorder="1" applyAlignment="1">
      <alignment horizontal="right" vertical="center"/>
    </xf>
    <xf numFmtId="0" fontId="76" fillId="16" borderId="7" xfId="0" applyFont="1" applyFill="1" applyBorder="1" applyAlignment="1">
      <alignment horizontal="left" vertical="center"/>
    </xf>
    <xf numFmtId="0" fontId="10" fillId="7" borderId="0" xfId="0" applyFont="1" applyFill="1" applyAlignment="1">
      <alignment horizontal="left" vertical="top" wrapText="1"/>
    </xf>
    <xf numFmtId="0" fontId="10" fillId="7" borderId="3" xfId="1" applyFont="1" applyFill="1" applyBorder="1" applyAlignment="1">
      <alignment horizontal="left" vertical="top" wrapText="1"/>
    </xf>
    <xf numFmtId="0" fontId="10" fillId="6" borderId="3" xfId="1" applyFont="1" applyFill="1" applyBorder="1" applyAlignment="1">
      <alignment horizontal="left" vertical="top" wrapText="1"/>
    </xf>
    <xf numFmtId="0" fontId="30" fillId="13" borderId="6" xfId="2" applyFont="1" applyFill="1" applyBorder="1" applyAlignment="1">
      <alignment vertical="center"/>
    </xf>
    <xf numFmtId="0" fontId="34" fillId="13" borderId="6" xfId="2" applyFont="1" applyFill="1" applyBorder="1" applyAlignment="1">
      <alignment horizontal="right" vertical="center"/>
    </xf>
    <xf numFmtId="0" fontId="34" fillId="13" borderId="6" xfId="2" applyFont="1" applyFill="1" applyBorder="1" applyAlignment="1">
      <alignment vertical="center"/>
    </xf>
    <xf numFmtId="0" fontId="31" fillId="14" borderId="6" xfId="2" applyFont="1" applyFill="1" applyBorder="1" applyAlignment="1">
      <alignment horizontal="right" vertical="center" wrapText="1"/>
    </xf>
    <xf numFmtId="0" fontId="31" fillId="14" borderId="6" xfId="2" applyFont="1" applyFill="1" applyBorder="1" applyAlignment="1">
      <alignment vertical="center" wrapText="1"/>
    </xf>
    <xf numFmtId="0" fontId="44" fillId="14" borderId="6" xfId="2" applyFont="1" applyFill="1" applyBorder="1" applyAlignment="1">
      <alignment horizontal="left" vertical="center" wrapText="1"/>
    </xf>
    <xf numFmtId="0" fontId="40" fillId="14" borderId="6" xfId="2" applyFont="1" applyFill="1" applyBorder="1" applyAlignment="1">
      <alignment horizontal="left" vertical="center" wrapText="1"/>
    </xf>
    <xf numFmtId="0" fontId="20" fillId="0" borderId="3" xfId="1" applyFont="1" applyBorder="1" applyAlignment="1">
      <alignment vertical="center" wrapText="1"/>
    </xf>
    <xf numFmtId="0" fontId="0" fillId="0" borderId="0" xfId="0"/>
    <xf numFmtId="0" fontId="0" fillId="2" borderId="0" xfId="1" applyFont="1" applyFill="1"/>
    <xf numFmtId="0" fontId="10" fillId="6" borderId="0" xfId="0" applyFont="1" applyFill="1" applyAlignment="1">
      <alignment horizontal="left" vertical="top" wrapText="1"/>
    </xf>
    <xf numFmtId="0" fontId="10" fillId="7" borderId="0" xfId="0" applyFont="1" applyFill="1" applyAlignment="1">
      <alignment horizontal="left" vertical="top" wrapText="1"/>
    </xf>
    <xf numFmtId="0" fontId="35" fillId="15" borderId="6" xfId="2" applyFont="1" applyFill="1" applyBorder="1" applyAlignment="1">
      <alignment horizontal="right" vertical="center"/>
    </xf>
    <xf numFmtId="0" fontId="0" fillId="2" borderId="0" xfId="1" applyFont="1" applyFill="1"/>
    <xf numFmtId="0" fontId="11" fillId="5" borderId="2" xfId="0" applyFont="1" applyFill="1" applyBorder="1" applyAlignment="1">
      <alignment vertical="center" wrapText="1"/>
    </xf>
    <xf numFmtId="0" fontId="0" fillId="3" borderId="0" xfId="1" applyFont="1" applyFill="1"/>
    <xf numFmtId="177" fontId="2" fillId="0" borderId="0" xfId="1" applyNumberFormat="1" applyFont="1" applyAlignment="1">
      <alignment horizontal="right"/>
    </xf>
    <xf numFmtId="176" fontId="4" fillId="0" borderId="0" xfId="1" applyNumberFormat="1" applyFont="1" applyAlignment="1">
      <alignment horizontal="right"/>
    </xf>
    <xf numFmtId="0" fontId="0" fillId="3" borderId="1" xfId="1" applyFont="1" applyFill="1" applyBorder="1"/>
    <xf numFmtId="176" fontId="2" fillId="0" borderId="0" xfId="1" applyNumberFormat="1" applyFont="1" applyAlignment="1">
      <alignment horizontal="right"/>
    </xf>
    <xf numFmtId="176" fontId="5" fillId="0" borderId="0" xfId="1" applyNumberFormat="1" applyFont="1" applyAlignment="1">
      <alignment horizontal="right"/>
    </xf>
    <xf numFmtId="179" fontId="2" fillId="0" borderId="0" xfId="1" applyNumberFormat="1" applyFont="1" applyAlignment="1">
      <alignment horizontal="right"/>
    </xf>
    <xf numFmtId="0" fontId="7" fillId="4" borderId="0" xfId="1" applyFont="1" applyFill="1" applyAlignment="1">
      <alignment vertical="top" wrapText="1"/>
    </xf>
    <xf numFmtId="0" fontId="6" fillId="0" borderId="0" xfId="1" applyFont="1" applyAlignment="1">
      <alignment vertical="top" wrapText="1"/>
    </xf>
    <xf numFmtId="0" fontId="13" fillId="6" borderId="2" xfId="1" applyFont="1" applyFill="1" applyBorder="1" applyAlignment="1">
      <alignment vertical="top" wrapText="1"/>
    </xf>
    <xf numFmtId="0" fontId="10" fillId="6" borderId="2" xfId="1" applyFont="1" applyFill="1" applyBorder="1" applyAlignment="1">
      <alignment vertical="top" wrapText="1"/>
    </xf>
    <xf numFmtId="0" fontId="13" fillId="7" borderId="2" xfId="1" applyFont="1" applyFill="1" applyBorder="1" applyAlignment="1">
      <alignment vertical="top" wrapText="1"/>
    </xf>
    <xf numFmtId="0" fontId="10" fillId="7" borderId="2" xfId="1" applyFont="1" applyFill="1" applyBorder="1" applyAlignment="1">
      <alignment vertical="top" wrapText="1"/>
    </xf>
    <xf numFmtId="0" fontId="14" fillId="6" borderId="2" xfId="1" applyFont="1" applyFill="1" applyBorder="1" applyAlignment="1">
      <alignment vertical="top" wrapText="1"/>
    </xf>
    <xf numFmtId="0" fontId="15" fillId="6" borderId="2" xfId="1" applyFont="1" applyFill="1" applyBorder="1" applyAlignment="1">
      <alignment vertical="top" wrapText="1"/>
    </xf>
    <xf numFmtId="0" fontId="16" fillId="7" borderId="2" xfId="1" applyFont="1" applyFill="1" applyBorder="1" applyAlignment="1">
      <alignment vertical="top" wrapText="1"/>
    </xf>
    <xf numFmtId="0" fontId="13" fillId="7" borderId="0" xfId="1" applyFont="1" applyFill="1" applyAlignment="1">
      <alignment vertical="top" wrapText="1"/>
    </xf>
    <xf numFmtId="0" fontId="17" fillId="5" borderId="2" xfId="1" applyFont="1" applyFill="1" applyBorder="1" applyAlignment="1">
      <alignment horizontal="center" vertical="center"/>
    </xf>
    <xf numFmtId="0" fontId="18" fillId="9" borderId="2" xfId="1" applyFont="1" applyFill="1" applyBorder="1" applyAlignment="1">
      <alignment vertical="center" wrapText="1"/>
    </xf>
    <xf numFmtId="0" fontId="17" fillId="8" borderId="2" xfId="1" applyFont="1" applyFill="1" applyBorder="1" applyAlignment="1">
      <alignment horizontal="center" vertical="center"/>
    </xf>
    <xf numFmtId="0" fontId="19" fillId="10" borderId="4" xfId="1" applyFont="1" applyFill="1" applyBorder="1" applyAlignment="1">
      <alignment horizontal="center" vertical="center"/>
    </xf>
    <xf numFmtId="0" fontId="18" fillId="9" borderId="0" xfId="1" applyFont="1" applyFill="1"/>
    <xf numFmtId="0" fontId="13" fillId="11" borderId="5" xfId="1" applyFont="1" applyFill="1" applyBorder="1" applyAlignment="1">
      <alignment vertical="center" wrapText="1"/>
    </xf>
    <xf numFmtId="0" fontId="0" fillId="11" borderId="5" xfId="0" applyFill="1" applyBorder="1"/>
    <xf numFmtId="180" fontId="14" fillId="11" borderId="5" xfId="1" applyNumberFormat="1" applyFont="1" applyFill="1" applyBorder="1" applyAlignment="1">
      <alignment horizontal="right" vertical="center"/>
    </xf>
    <xf numFmtId="0" fontId="21" fillId="0" borderId="2" xfId="1" applyFont="1" applyBorder="1" applyAlignment="1">
      <alignment vertical="center" wrapText="1"/>
    </xf>
    <xf numFmtId="181" fontId="10" fillId="0" borderId="2" xfId="1" applyNumberFormat="1" applyFont="1" applyBorder="1" applyAlignment="1">
      <alignment horizontal="right" vertical="center"/>
    </xf>
    <xf numFmtId="0" fontId="10" fillId="0" borderId="2" xfId="1" applyFont="1" applyBorder="1" applyAlignment="1">
      <alignment vertical="center" wrapText="1"/>
    </xf>
    <xf numFmtId="180" fontId="22" fillId="0" borderId="2" xfId="1" applyNumberFormat="1" applyFont="1" applyBorder="1" applyAlignment="1">
      <alignment horizontal="right" vertical="center"/>
    </xf>
    <xf numFmtId="0" fontId="12" fillId="11" borderId="5" xfId="1" applyFont="1" applyFill="1" applyBorder="1" applyAlignment="1">
      <alignment vertical="top" wrapText="1"/>
    </xf>
    <xf numFmtId="180" fontId="14" fillId="11" borderId="5" xfId="0" applyNumberFormat="1" applyFont="1" applyFill="1" applyBorder="1" applyAlignment="1">
      <alignment horizontal="right" vertical="center"/>
    </xf>
    <xf numFmtId="182" fontId="22" fillId="0" borderId="2" xfId="1" applyNumberFormat="1" applyFont="1" applyBorder="1" applyAlignment="1">
      <alignment horizontal="right" vertical="center"/>
    </xf>
    <xf numFmtId="0" fontId="13" fillId="10" borderId="2" xfId="1" applyFont="1" applyFill="1" applyBorder="1" applyAlignment="1">
      <alignment vertical="center" wrapText="1"/>
    </xf>
    <xf numFmtId="0" fontId="0" fillId="10" borderId="0" xfId="0" applyFill="1"/>
    <xf numFmtId="0" fontId="10" fillId="12" borderId="2" xfId="1" applyFont="1" applyFill="1" applyBorder="1" applyAlignment="1">
      <alignment vertical="center" wrapText="1"/>
    </xf>
    <xf numFmtId="0" fontId="0" fillId="12" borderId="0" xfId="0" applyFill="1"/>
    <xf numFmtId="180" fontId="10" fillId="12" borderId="2" xfId="1" applyNumberFormat="1" applyFont="1" applyFill="1" applyBorder="1" applyAlignment="1">
      <alignment horizontal="right" vertical="center"/>
    </xf>
    <xf numFmtId="182" fontId="10" fillId="12" borderId="2" xfId="1" applyNumberFormat="1" applyFont="1" applyFill="1" applyBorder="1" applyAlignment="1">
      <alignment horizontal="right" vertical="center"/>
    </xf>
    <xf numFmtId="180" fontId="22" fillId="0" borderId="2" xfId="0" applyNumberFormat="1" applyFont="1" applyBorder="1" applyAlignment="1">
      <alignment horizontal="right" vertical="center"/>
    </xf>
    <xf numFmtId="183" fontId="23" fillId="0" borderId="2" xfId="1" applyNumberFormat="1" applyFont="1" applyBorder="1" applyAlignment="1">
      <alignment horizontal="right" vertical="center"/>
    </xf>
    <xf numFmtId="183" fontId="10" fillId="0" borderId="2" xfId="1" applyNumberFormat="1" applyFont="1" applyBorder="1" applyAlignment="1">
      <alignment horizontal="right" vertical="center"/>
    </xf>
    <xf numFmtId="0" fontId="12" fillId="10" borderId="2" xfId="1" applyFont="1" applyFill="1" applyBorder="1" applyAlignment="1">
      <alignment vertical="top" wrapText="1"/>
    </xf>
    <xf numFmtId="0" fontId="12" fillId="0" borderId="2" xfId="1" applyFont="1" applyBorder="1" applyAlignment="1">
      <alignment vertical="top" wrapText="1"/>
    </xf>
    <xf numFmtId="180" fontId="13" fillId="11" borderId="5" xfId="1" applyNumberFormat="1" applyFont="1" applyFill="1" applyBorder="1" applyAlignment="1">
      <alignment horizontal="right" vertical="center"/>
    </xf>
    <xf numFmtId="181" fontId="23" fillId="0" borderId="2" xfId="1" applyNumberFormat="1" applyFont="1" applyBorder="1" applyAlignment="1">
      <alignment horizontal="right" vertical="center"/>
    </xf>
    <xf numFmtId="180" fontId="10" fillId="0" borderId="2" xfId="1" applyNumberFormat="1" applyFont="1" applyBorder="1" applyAlignment="1">
      <alignment horizontal="right" vertical="center"/>
    </xf>
    <xf numFmtId="176" fontId="3" fillId="11" borderId="5" xfId="1" applyNumberFormat="1" applyFont="1" applyFill="1" applyBorder="1" applyAlignment="1">
      <alignment horizontal="right"/>
    </xf>
    <xf numFmtId="176" fontId="2" fillId="12" borderId="0" xfId="1" applyNumberFormat="1" applyFont="1" applyFill="1" applyAlignment="1">
      <alignment horizontal="right"/>
    </xf>
    <xf numFmtId="180" fontId="15" fillId="11" borderId="5" xfId="1" applyNumberFormat="1" applyFont="1" applyFill="1" applyBorder="1" applyAlignment="1">
      <alignment horizontal="right" vertical="center"/>
    </xf>
    <xf numFmtId="0" fontId="24" fillId="0" borderId="2" xfId="1" applyFont="1" applyBorder="1" applyAlignment="1">
      <alignment vertical="center" wrapText="1"/>
    </xf>
    <xf numFmtId="180" fontId="25" fillId="0" borderId="2" xfId="1" applyNumberFormat="1" applyFont="1" applyBorder="1" applyAlignment="1">
      <alignment horizontal="right" vertical="center"/>
    </xf>
    <xf numFmtId="180" fontId="23" fillId="12" borderId="2" xfId="1" applyNumberFormat="1" applyFont="1" applyFill="1" applyBorder="1" applyAlignment="1">
      <alignment horizontal="right" vertical="center"/>
    </xf>
    <xf numFmtId="180" fontId="13" fillId="11" borderId="5" xfId="0" applyNumberFormat="1" applyFont="1" applyFill="1" applyBorder="1" applyAlignment="1">
      <alignment horizontal="right" vertical="center"/>
    </xf>
    <xf numFmtId="180" fontId="15" fillId="11" borderId="5" xfId="0" applyNumberFormat="1" applyFont="1" applyFill="1" applyBorder="1" applyAlignment="1">
      <alignment horizontal="right" vertical="center"/>
    </xf>
    <xf numFmtId="180" fontId="25" fillId="0" borderId="2" xfId="0" applyNumberFormat="1" applyFont="1" applyBorder="1" applyAlignment="1">
      <alignment horizontal="right" vertical="center"/>
    </xf>
    <xf numFmtId="180" fontId="10" fillId="12" borderId="2" xfId="0" applyNumberFormat="1" applyFont="1" applyFill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23" fillId="0" borderId="2" xfId="1" applyNumberFormat="1" applyFont="1" applyBorder="1" applyAlignment="1">
      <alignment horizontal="right" vertical="center"/>
    </xf>
    <xf numFmtId="184" fontId="23" fillId="0" borderId="2" xfId="1" applyNumberFormat="1" applyFont="1" applyBorder="1" applyAlignment="1">
      <alignment horizontal="right" vertical="center"/>
    </xf>
    <xf numFmtId="0" fontId="12" fillId="0" borderId="2" xfId="0" applyFont="1" applyBorder="1" applyAlignment="1">
      <alignment vertical="top" wrapText="1"/>
    </xf>
    <xf numFmtId="184" fontId="10" fillId="0" borderId="2" xfId="1" applyNumberFormat="1" applyFont="1" applyBorder="1" applyAlignment="1">
      <alignment horizontal="right" vertical="center"/>
    </xf>
    <xf numFmtId="183" fontId="14" fillId="11" borderId="5" xfId="1" applyNumberFormat="1" applyFont="1" applyFill="1" applyBorder="1" applyAlignment="1">
      <alignment horizontal="right" vertical="center"/>
    </xf>
    <xf numFmtId="178" fontId="3" fillId="11" borderId="5" xfId="1" applyNumberFormat="1" applyFont="1" applyFill="1" applyBorder="1" applyAlignment="1">
      <alignment horizontal="right"/>
    </xf>
    <xf numFmtId="181" fontId="22" fillId="0" borderId="2" xfId="1" applyNumberFormat="1" applyFont="1" applyBorder="1" applyAlignment="1">
      <alignment horizontal="right" vertical="center"/>
    </xf>
    <xf numFmtId="181" fontId="26" fillId="0" borderId="2" xfId="1" applyNumberFormat="1" applyFont="1" applyBorder="1" applyAlignment="1">
      <alignment horizontal="center" vertical="center"/>
    </xf>
    <xf numFmtId="181" fontId="10" fillId="12" borderId="2" xfId="1" applyNumberFormat="1" applyFont="1" applyFill="1" applyBorder="1" applyAlignment="1">
      <alignment horizontal="right" vertical="center"/>
    </xf>
    <xf numFmtId="0" fontId="12" fillId="12" borderId="2" xfId="1" applyFont="1" applyFill="1" applyBorder="1" applyAlignment="1">
      <alignment vertical="top" wrapText="1"/>
    </xf>
    <xf numFmtId="180" fontId="23" fillId="0" borderId="2" xfId="0" applyNumberFormat="1" applyFont="1" applyBorder="1" applyAlignment="1">
      <alignment horizontal="right" vertical="center"/>
    </xf>
    <xf numFmtId="181" fontId="14" fillId="11" borderId="5" xfId="1" applyNumberFormat="1" applyFont="1" applyFill="1" applyBorder="1" applyAlignment="1">
      <alignment horizontal="right" vertical="center"/>
    </xf>
    <xf numFmtId="181" fontId="15" fillId="11" borderId="5" xfId="1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vertical="center" wrapText="1"/>
    </xf>
    <xf numFmtId="0" fontId="13" fillId="11" borderId="5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7" fillId="5" borderId="2" xfId="1" applyFont="1" applyFill="1" applyBorder="1" applyAlignment="1">
      <alignment vertical="center" wrapText="1"/>
    </xf>
    <xf numFmtId="0" fontId="27" fillId="7" borderId="2" xfId="1" applyFont="1" applyFill="1" applyBorder="1" applyAlignment="1">
      <alignment horizontal="left" vertical="top" wrapText="1"/>
    </xf>
    <xf numFmtId="0" fontId="28" fillId="7" borderId="2" xfId="1" applyFont="1" applyFill="1" applyBorder="1" applyAlignment="1">
      <alignment horizontal="left" vertical="top" wrapText="1"/>
    </xf>
    <xf numFmtId="0" fontId="27" fillId="6" borderId="2" xfId="1" applyFont="1" applyFill="1" applyBorder="1" applyAlignment="1">
      <alignment horizontal="left" vertical="top" wrapText="1"/>
    </xf>
    <xf numFmtId="0" fontId="28" fillId="6" borderId="2" xfId="1" applyFont="1" applyFill="1" applyBorder="1" applyAlignment="1">
      <alignment horizontal="left" vertical="top" wrapText="1"/>
    </xf>
    <xf numFmtId="0" fontId="13" fillId="6" borderId="2" xfId="1" applyFont="1" applyFill="1" applyBorder="1" applyAlignment="1">
      <alignment horizontal="left" vertical="top" wrapText="1"/>
    </xf>
    <xf numFmtId="0" fontId="10" fillId="6" borderId="2" xfId="1" applyFont="1" applyFill="1" applyBorder="1" applyAlignment="1">
      <alignment horizontal="left" vertical="top" wrapText="1"/>
    </xf>
    <xf numFmtId="0" fontId="13" fillId="7" borderId="2" xfId="1" applyFont="1" applyFill="1" applyBorder="1" applyAlignment="1">
      <alignment horizontal="left" vertical="top" wrapText="1"/>
    </xf>
    <xf numFmtId="0" fontId="10" fillId="7" borderId="2" xfId="1" applyFont="1" applyFill="1" applyBorder="1" applyAlignment="1">
      <alignment horizontal="left" vertical="top" wrapText="1"/>
    </xf>
    <xf numFmtId="180" fontId="10" fillId="7" borderId="2" xfId="1" applyNumberFormat="1" applyFont="1" applyFill="1" applyBorder="1" applyAlignment="1">
      <alignment horizontal="right" vertical="top" wrapText="1"/>
    </xf>
    <xf numFmtId="180" fontId="10" fillId="6" borderId="2" xfId="1" applyNumberFormat="1" applyFont="1" applyFill="1" applyBorder="1" applyAlignment="1">
      <alignment horizontal="right" vertical="top" wrapText="1"/>
    </xf>
    <xf numFmtId="0" fontId="13" fillId="7" borderId="0" xfId="1" applyFont="1" applyFill="1" applyAlignment="1">
      <alignment horizontal="left" vertical="top" wrapText="1"/>
    </xf>
    <xf numFmtId="0" fontId="10" fillId="6" borderId="0" xfId="1" applyFont="1" applyFill="1" applyAlignment="1">
      <alignment horizontal="left" vertical="top" wrapText="1"/>
    </xf>
    <xf numFmtId="0" fontId="10" fillId="7" borderId="0" xfId="1" applyFont="1" applyFill="1" applyAlignment="1">
      <alignment horizontal="left" vertical="top" wrapText="1"/>
    </xf>
    <xf numFmtId="0" fontId="10" fillId="6" borderId="2" xfId="1" applyFont="1" applyFill="1" applyBorder="1" applyAlignment="1">
      <alignment horizontal="right" vertical="top" wrapText="1"/>
    </xf>
    <xf numFmtId="0" fontId="10" fillId="7" borderId="2" xfId="1" applyFont="1" applyFill="1" applyBorder="1" applyAlignment="1">
      <alignment horizontal="right" vertical="top" wrapText="1"/>
    </xf>
    <xf numFmtId="0" fontId="17" fillId="5" borderId="0" xfId="1" applyFont="1" applyFill="1" applyAlignment="1">
      <alignment vertical="center" wrapText="1"/>
    </xf>
    <xf numFmtId="181" fontId="0" fillId="0" borderId="0" xfId="0" applyNumberFormat="1"/>
    <xf numFmtId="0" fontId="32" fillId="13" borderId="6" xfId="2" applyFont="1" applyFill="1" applyBorder="1" applyAlignment="1">
      <alignment vertical="center"/>
    </xf>
    <xf numFmtId="0" fontId="32" fillId="13" borderId="6" xfId="2" applyFont="1" applyFill="1" applyBorder="1" applyAlignment="1">
      <alignment horizontal="center" vertical="center"/>
    </xf>
    <xf numFmtId="0" fontId="33" fillId="14" borderId="6" xfId="2" applyFont="1" applyFill="1" applyBorder="1" applyAlignment="1">
      <alignment vertical="center"/>
    </xf>
    <xf numFmtId="0" fontId="33" fillId="14" borderId="6" xfId="2" applyFont="1" applyFill="1" applyBorder="1" applyAlignment="1">
      <alignment horizontal="right" vertical="center"/>
    </xf>
    <xf numFmtId="0" fontId="35" fillId="15" borderId="6" xfId="2" applyFont="1" applyFill="1" applyBorder="1" applyAlignment="1">
      <alignment vertical="center"/>
    </xf>
    <xf numFmtId="185" fontId="36" fillId="15" borderId="6" xfId="2" applyNumberFormat="1" applyFont="1" applyFill="1" applyBorder="1" applyAlignment="1">
      <alignment horizontal="right" vertical="center"/>
    </xf>
    <xf numFmtId="0" fontId="35" fillId="14" borderId="6" xfId="2" applyFont="1" applyFill="1" applyBorder="1" applyAlignment="1">
      <alignment vertical="center"/>
    </xf>
    <xf numFmtId="185" fontId="35" fillId="14" borderId="6" xfId="2" applyNumberFormat="1" applyFont="1" applyFill="1" applyBorder="1" applyAlignment="1">
      <alignment horizontal="right" vertical="center"/>
    </xf>
    <xf numFmtId="0" fontId="37" fillId="14" borderId="6" xfId="2" applyFont="1" applyFill="1" applyBorder="1" applyAlignment="1">
      <alignment vertical="center"/>
    </xf>
    <xf numFmtId="186" fontId="38" fillId="14" borderId="6" xfId="2" applyNumberFormat="1" applyFont="1" applyFill="1" applyBorder="1" applyAlignment="1">
      <alignment horizontal="right" vertical="center"/>
    </xf>
    <xf numFmtId="186" fontId="39" fillId="14" borderId="6" xfId="2" applyNumberFormat="1" applyFont="1" applyFill="1" applyBorder="1" applyAlignment="1">
      <alignment horizontal="right" vertical="center"/>
    </xf>
    <xf numFmtId="186" fontId="37" fillId="14" borderId="6" xfId="2" applyNumberFormat="1" applyFont="1" applyFill="1" applyBorder="1" applyAlignment="1">
      <alignment horizontal="right" vertical="center"/>
    </xf>
    <xf numFmtId="0" fontId="40" fillId="14" borderId="6" xfId="2" applyFont="1" applyFill="1" applyBorder="1" applyAlignment="1">
      <alignment horizontal="right" vertical="center"/>
    </xf>
    <xf numFmtId="0" fontId="41" fillId="14" borderId="6" xfId="2" applyFont="1" applyFill="1" applyBorder="1" applyAlignment="1">
      <alignment vertical="center"/>
    </xf>
    <xf numFmtId="185" fontId="41" fillId="14" borderId="6" xfId="2" applyNumberFormat="1" applyFont="1" applyFill="1" applyBorder="1" applyAlignment="1">
      <alignment horizontal="right" vertical="center"/>
    </xf>
    <xf numFmtId="186" fontId="42" fillId="14" borderId="6" xfId="2" applyNumberFormat="1" applyFont="1" applyFill="1" applyBorder="1" applyAlignment="1">
      <alignment horizontal="right" vertical="center"/>
    </xf>
    <xf numFmtId="0" fontId="35" fillId="15" borderId="6" xfId="2" applyFont="1" applyFill="1" applyBorder="1" applyAlignment="1">
      <alignment horizontal="center" vertical="center"/>
    </xf>
    <xf numFmtId="186" fontId="43" fillId="14" borderId="6" xfId="2" applyNumberFormat="1" applyFont="1" applyFill="1" applyBorder="1" applyAlignment="1">
      <alignment horizontal="right" vertical="center"/>
    </xf>
    <xf numFmtId="0" fontId="11" fillId="5" borderId="6" xfId="1" applyFont="1" applyFill="1" applyBorder="1" applyAlignment="1">
      <alignment vertical="center" wrapText="1"/>
    </xf>
    <xf numFmtId="0" fontId="59" fillId="22" borderId="12" xfId="7" applyFont="1" applyFill="1" applyBorder="1" applyAlignment="1">
      <alignment vertical="center"/>
    </xf>
    <xf numFmtId="0" fontId="59" fillId="22" borderId="12" xfId="7" applyFont="1" applyFill="1" applyBorder="1" applyAlignment="1">
      <alignment horizontal="right" vertical="center"/>
    </xf>
    <xf numFmtId="0" fontId="60" fillId="22" borderId="12" xfId="7" applyFont="1" applyFill="1" applyBorder="1" applyAlignment="1">
      <alignment vertical="center"/>
    </xf>
    <xf numFmtId="0" fontId="61" fillId="23" borderId="12" xfId="7" applyFont="1" applyFill="1" applyBorder="1" applyAlignment="1">
      <alignment vertical="center"/>
    </xf>
    <xf numFmtId="0" fontId="61" fillId="23" borderId="12" xfId="7" applyFont="1" applyFill="1" applyBorder="1" applyAlignment="1">
      <alignment horizontal="right" vertical="center"/>
    </xf>
    <xf numFmtId="180" fontId="59" fillId="22" borderId="12" xfId="7" applyNumberFormat="1" applyFont="1" applyFill="1" applyBorder="1" applyAlignment="1">
      <alignment horizontal="right" vertical="center"/>
    </xf>
    <xf numFmtId="181" fontId="59" fillId="22" borderId="12" xfId="7" applyNumberFormat="1" applyFont="1" applyFill="1" applyBorder="1" applyAlignment="1">
      <alignment horizontal="right" vertical="center"/>
    </xf>
    <xf numFmtId="181" fontId="62" fillId="24" borderId="12" xfId="7" applyNumberFormat="1" applyFont="1" applyFill="1" applyBorder="1" applyAlignment="1">
      <alignment horizontal="right" vertical="center"/>
    </xf>
    <xf numFmtId="0" fontId="63" fillId="25" borderId="12" xfId="7" applyFont="1" applyFill="1" applyBorder="1" applyAlignment="1">
      <alignment horizontal="right" vertical="center"/>
    </xf>
    <xf numFmtId="0" fontId="63" fillId="25" borderId="12" xfId="7" applyFont="1" applyFill="1" applyBorder="1" applyAlignment="1">
      <alignment horizontal="center" vertical="center"/>
    </xf>
    <xf numFmtId="180" fontId="64" fillId="22" borderId="12" xfId="7" applyNumberFormat="1" applyFont="1" applyFill="1" applyBorder="1" applyAlignment="1">
      <alignment horizontal="right" vertical="center"/>
    </xf>
    <xf numFmtId="0" fontId="65" fillId="22" borderId="12" xfId="7" applyFont="1" applyFill="1" applyBorder="1" applyAlignment="1">
      <alignment vertical="center"/>
    </xf>
    <xf numFmtId="181" fontId="65" fillId="22" borderId="12" xfId="7" applyNumberFormat="1" applyFont="1" applyFill="1" applyBorder="1" applyAlignment="1">
      <alignment horizontal="right" vertical="center"/>
    </xf>
    <xf numFmtId="0" fontId="63" fillId="26" borderId="13" xfId="7" applyFont="1" applyFill="1" applyBorder="1" applyAlignment="1">
      <alignment vertical="center"/>
    </xf>
    <xf numFmtId="0" fontId="63" fillId="26" borderId="13" xfId="7" applyFont="1" applyFill="1" applyBorder="1" applyAlignment="1">
      <alignment horizontal="right" vertical="center"/>
    </xf>
    <xf numFmtId="180" fontId="63" fillId="26" borderId="13" xfId="7" applyNumberFormat="1" applyFont="1" applyFill="1" applyBorder="1" applyAlignment="1">
      <alignment horizontal="right" vertical="center"/>
    </xf>
    <xf numFmtId="181" fontId="66" fillId="22" borderId="12" xfId="7" applyNumberFormat="1" applyFont="1" applyFill="1" applyBorder="1" applyAlignment="1">
      <alignment horizontal="right" vertical="center"/>
    </xf>
    <xf numFmtId="181" fontId="67" fillId="24" borderId="12" xfId="7" applyNumberFormat="1" applyFont="1" applyFill="1" applyBorder="1" applyAlignment="1">
      <alignment horizontal="right" vertical="center"/>
    </xf>
    <xf numFmtId="0" fontId="62" fillId="24" borderId="12" xfId="7" applyFont="1" applyFill="1" applyBorder="1" applyAlignment="1">
      <alignment horizontal="right" vertical="center"/>
    </xf>
    <xf numFmtId="187" fontId="59" fillId="22" borderId="12" xfId="7" applyNumberFormat="1" applyFont="1" applyFill="1" applyBorder="1" applyAlignment="1">
      <alignment horizontal="right" vertical="center"/>
    </xf>
    <xf numFmtId="180" fontId="59" fillId="27" borderId="12" xfId="7" applyNumberFormat="1" applyFont="1" applyFill="1" applyBorder="1" applyAlignment="1">
      <alignment horizontal="right" vertical="center"/>
    </xf>
    <xf numFmtId="1" fontId="59" fillId="22" borderId="12" xfId="7" applyNumberFormat="1" applyFont="1" applyFill="1" applyBorder="1" applyAlignment="1">
      <alignment horizontal="right" vertical="center"/>
    </xf>
    <xf numFmtId="0" fontId="68" fillId="22" borderId="12" xfId="7" applyFont="1" applyFill="1" applyBorder="1" applyAlignment="1">
      <alignment vertical="center"/>
    </xf>
    <xf numFmtId="0" fontId="68" fillId="22" borderId="12" xfId="7" applyFont="1" applyFill="1" applyBorder="1" applyAlignment="1">
      <alignment horizontal="right" vertical="center"/>
    </xf>
    <xf numFmtId="0" fontId="68" fillId="22" borderId="12" xfId="7" applyFont="1" applyFill="1" applyBorder="1" applyAlignment="1">
      <alignment vertical="center" wrapText="1"/>
    </xf>
    <xf numFmtId="0" fontId="63" fillId="22" borderId="12" xfId="7" applyFont="1" applyFill="1" applyBorder="1" applyAlignment="1">
      <alignment vertical="center"/>
    </xf>
    <xf numFmtId="0" fontId="63" fillId="22" borderId="12" xfId="7" applyFont="1" applyFill="1" applyBorder="1" applyAlignment="1">
      <alignment horizontal="right" vertical="center"/>
    </xf>
    <xf numFmtId="181" fontId="58" fillId="22" borderId="12" xfId="7" applyNumberFormat="1" applyFont="1" applyFill="1" applyBorder="1" applyAlignment="1">
      <alignment horizontal="right" vertical="center"/>
    </xf>
    <xf numFmtId="0" fontId="69" fillId="21" borderId="11" xfId="6" applyFont="1" applyFill="1" applyBorder="1" applyAlignment="1">
      <alignment vertical="center"/>
    </xf>
    <xf numFmtId="0" fontId="69" fillId="21" borderId="11" xfId="6" applyFont="1" applyFill="1" applyBorder="1" applyAlignment="1">
      <alignment horizontal="right" vertical="center"/>
    </xf>
    <xf numFmtId="181" fontId="58" fillId="24" borderId="11" xfId="6" applyNumberFormat="1" applyFont="1" applyFill="1" applyBorder="1" applyAlignment="1">
      <alignment horizontal="right" vertical="center"/>
    </xf>
    <xf numFmtId="180" fontId="57" fillId="26" borderId="13" xfId="6" applyNumberFormat="1" applyFont="1" applyFill="1" applyBorder="1" applyAlignment="1">
      <alignment horizontal="right" vertical="center"/>
    </xf>
    <xf numFmtId="181" fontId="58" fillId="28" borderId="11" xfId="6" applyNumberFormat="1" applyFont="1" applyFill="1" applyBorder="1" applyAlignment="1">
      <alignment horizontal="right" vertical="center"/>
    </xf>
    <xf numFmtId="0" fontId="70" fillId="29" borderId="11" xfId="6" applyFont="1" applyFill="1" applyBorder="1" applyAlignment="1">
      <alignment vertical="center"/>
    </xf>
    <xf numFmtId="0" fontId="70" fillId="29" borderId="11" xfId="6" applyFont="1" applyFill="1" applyBorder="1" applyAlignment="1">
      <alignment horizontal="right" vertical="center"/>
    </xf>
    <xf numFmtId="0" fontId="71" fillId="30" borderId="11" xfId="6" applyFont="1" applyFill="1" applyBorder="1" applyAlignment="1">
      <alignment vertical="center"/>
    </xf>
    <xf numFmtId="0" fontId="71" fillId="30" borderId="11" xfId="6" applyFont="1" applyFill="1" applyBorder="1" applyAlignment="1">
      <alignment horizontal="right" vertical="center"/>
    </xf>
    <xf numFmtId="180" fontId="69" fillId="21" borderId="11" xfId="6" applyNumberFormat="1" applyFont="1" applyFill="1" applyBorder="1" applyAlignment="1">
      <alignment horizontal="right" vertical="center"/>
    </xf>
    <xf numFmtId="181" fontId="69" fillId="21" borderId="11" xfId="6" applyNumberFormat="1" applyFont="1" applyFill="1" applyBorder="1" applyAlignment="1">
      <alignment horizontal="right" vertical="center"/>
    </xf>
    <xf numFmtId="0" fontId="71" fillId="31" borderId="11" xfId="6" applyFont="1" applyFill="1" applyBorder="1" applyAlignment="1">
      <alignment vertical="center"/>
    </xf>
    <xf numFmtId="0" fontId="71" fillId="31" borderId="11" xfId="6" applyFont="1" applyFill="1" applyBorder="1" applyAlignment="1">
      <alignment horizontal="right" vertical="center"/>
    </xf>
    <xf numFmtId="180" fontId="71" fillId="31" borderId="11" xfId="6" applyNumberFormat="1" applyFont="1" applyFill="1" applyBorder="1" applyAlignment="1">
      <alignment horizontal="right" vertical="center"/>
    </xf>
    <xf numFmtId="181" fontId="71" fillId="31" borderId="11" xfId="6" applyNumberFormat="1" applyFont="1" applyFill="1" applyBorder="1" applyAlignment="1">
      <alignment horizontal="right" vertical="center"/>
    </xf>
    <xf numFmtId="181" fontId="58" fillId="21" borderId="11" xfId="6" applyNumberFormat="1" applyFont="1" applyFill="1" applyBorder="1" applyAlignment="1">
      <alignment horizontal="right" vertical="center"/>
    </xf>
    <xf numFmtId="188" fontId="69" fillId="21" borderId="11" xfId="6" applyNumberFormat="1" applyFont="1" applyFill="1" applyBorder="1" applyAlignment="1">
      <alignment horizontal="right" vertical="center"/>
    </xf>
    <xf numFmtId="0" fontId="57" fillId="31" borderId="11" xfId="6" applyFont="1" applyFill="1" applyBorder="1" applyAlignment="1">
      <alignment vertical="center"/>
    </xf>
    <xf numFmtId="180" fontId="57" fillId="31" borderId="11" xfId="6" applyNumberFormat="1" applyFont="1" applyFill="1" applyBorder="1" applyAlignment="1">
      <alignment horizontal="right" vertical="center"/>
    </xf>
    <xf numFmtId="0" fontId="57" fillId="31" borderId="11" xfId="6" applyFont="1" applyFill="1" applyBorder="1" applyAlignment="1">
      <alignment horizontal="right" vertical="center"/>
    </xf>
    <xf numFmtId="0" fontId="70" fillId="29" borderId="11" xfId="6" applyFont="1" applyFill="1" applyBorder="1" applyAlignment="1">
      <alignment vertical="center" wrapText="1"/>
    </xf>
    <xf numFmtId="0" fontId="71" fillId="30" borderId="11" xfId="6" applyFont="1" applyFill="1" applyBorder="1" applyAlignment="1">
      <alignment vertical="center" wrapText="1"/>
    </xf>
    <xf numFmtId="0" fontId="69" fillId="21" borderId="11" xfId="6" applyFont="1" applyFill="1" applyBorder="1" applyAlignment="1">
      <alignment vertical="center" wrapText="1"/>
    </xf>
    <xf numFmtId="0" fontId="71" fillId="31" borderId="11" xfId="6" applyFont="1" applyFill="1" applyBorder="1" applyAlignment="1">
      <alignment vertical="center" wrapText="1"/>
    </xf>
    <xf numFmtId="0" fontId="72" fillId="20" borderId="10" xfId="5" applyFont="1" applyFill="1" applyBorder="1" applyAlignment="1">
      <alignment vertical="center"/>
    </xf>
    <xf numFmtId="0" fontId="72" fillId="20" borderId="10" xfId="5" applyFont="1" applyFill="1" applyBorder="1" applyAlignment="1">
      <alignment horizontal="right" vertical="center"/>
    </xf>
    <xf numFmtId="180" fontId="56" fillId="26" borderId="13" xfId="5" applyNumberFormat="1" applyFont="1" applyFill="1" applyBorder="1" applyAlignment="1">
      <alignment horizontal="right" vertical="center"/>
    </xf>
    <xf numFmtId="180" fontId="55" fillId="24" borderId="10" xfId="5" applyNumberFormat="1" applyFont="1" applyFill="1" applyBorder="1" applyAlignment="1">
      <alignment horizontal="right" vertical="center"/>
    </xf>
    <xf numFmtId="0" fontId="73" fillId="32" borderId="10" xfId="5" applyFont="1" applyFill="1" applyBorder="1" applyAlignment="1">
      <alignment vertical="center"/>
    </xf>
    <xf numFmtId="0" fontId="73" fillId="32" borderId="10" xfId="5" applyFont="1" applyFill="1" applyBorder="1" applyAlignment="1">
      <alignment horizontal="right" vertical="center"/>
    </xf>
    <xf numFmtId="0" fontId="74" fillId="33" borderId="10" xfId="5" applyFont="1" applyFill="1" applyBorder="1" applyAlignment="1">
      <alignment vertical="center"/>
    </xf>
    <xf numFmtId="0" fontId="74" fillId="33" borderId="10" xfId="5" applyFont="1" applyFill="1" applyBorder="1" applyAlignment="1">
      <alignment horizontal="right" vertical="center"/>
    </xf>
    <xf numFmtId="180" fontId="72" fillId="20" borderId="10" xfId="5" applyNumberFormat="1" applyFont="1" applyFill="1" applyBorder="1" applyAlignment="1">
      <alignment horizontal="right" vertical="center"/>
    </xf>
    <xf numFmtId="181" fontId="72" fillId="20" borderId="10" xfId="5" applyNumberFormat="1" applyFont="1" applyFill="1" applyBorder="1" applyAlignment="1">
      <alignment horizontal="right" vertical="center"/>
    </xf>
    <xf numFmtId="0" fontId="74" fillId="34" borderId="10" xfId="5" applyFont="1" applyFill="1" applyBorder="1" applyAlignment="1">
      <alignment vertical="center"/>
    </xf>
    <xf numFmtId="0" fontId="74" fillId="34" borderId="10" xfId="5" applyFont="1" applyFill="1" applyBorder="1" applyAlignment="1">
      <alignment horizontal="right" vertical="center"/>
    </xf>
    <xf numFmtId="180" fontId="74" fillId="34" borderId="10" xfId="5" applyNumberFormat="1" applyFont="1" applyFill="1" applyBorder="1" applyAlignment="1">
      <alignment horizontal="right" vertical="center"/>
    </xf>
    <xf numFmtId="180" fontId="75" fillId="20" borderId="10" xfId="5" applyNumberFormat="1" applyFont="1" applyFill="1" applyBorder="1" applyAlignment="1">
      <alignment horizontal="right" vertical="center"/>
    </xf>
    <xf numFmtId="0" fontId="73" fillId="32" borderId="10" xfId="5" applyFont="1" applyFill="1" applyBorder="1" applyAlignment="1">
      <alignment vertical="center" wrapText="1"/>
    </xf>
    <xf numFmtId="0" fontId="74" fillId="33" borderId="10" xfId="5" applyFont="1" applyFill="1" applyBorder="1" applyAlignment="1">
      <alignment vertical="center" wrapText="1"/>
    </xf>
    <xf numFmtId="0" fontId="72" fillId="20" borderId="10" xfId="5" applyFont="1" applyFill="1" applyBorder="1" applyAlignment="1">
      <alignment vertical="center" wrapText="1"/>
    </xf>
    <xf numFmtId="0" fontId="74" fillId="34" borderId="10" xfId="5" applyFont="1" applyFill="1" applyBorder="1" applyAlignment="1">
      <alignment vertical="center" wrapText="1"/>
    </xf>
    <xf numFmtId="0" fontId="72" fillId="20" borderId="10" xfId="5" applyFont="1" applyFill="1" applyBorder="1" applyAlignment="1">
      <alignment horizontal="right" vertical="center" wrapText="1"/>
    </xf>
    <xf numFmtId="0" fontId="74" fillId="34" borderId="10" xfId="5" applyFont="1" applyFill="1" applyBorder="1" applyAlignment="1">
      <alignment horizontal="right" vertical="center" wrapText="1"/>
    </xf>
    <xf numFmtId="0" fontId="76" fillId="19" borderId="9" xfId="4" applyFont="1" applyFill="1" applyBorder="1" applyAlignment="1">
      <alignment vertical="center"/>
    </xf>
    <xf numFmtId="0" fontId="76" fillId="19" borderId="9" xfId="4" applyFont="1" applyFill="1" applyBorder="1" applyAlignment="1">
      <alignment horizontal="right" vertical="center"/>
    </xf>
    <xf numFmtId="180" fontId="52" fillId="19" borderId="9" xfId="4" applyNumberFormat="1" applyFont="1" applyFill="1" applyBorder="1" applyAlignment="1">
      <alignment horizontal="right" vertical="center"/>
    </xf>
    <xf numFmtId="180" fontId="64" fillId="19" borderId="9" xfId="4" applyNumberFormat="1" applyFont="1" applyFill="1" applyBorder="1" applyAlignment="1">
      <alignment horizontal="right" vertical="center"/>
    </xf>
    <xf numFmtId="0" fontId="52" fillId="19" borderId="9" xfId="4" applyFont="1" applyFill="1" applyBorder="1" applyAlignment="1">
      <alignment horizontal="left" vertical="center"/>
    </xf>
    <xf numFmtId="0" fontId="77" fillId="35" borderId="9" xfId="4" applyFont="1" applyFill="1" applyBorder="1" applyAlignment="1">
      <alignment vertical="center"/>
    </xf>
    <xf numFmtId="0" fontId="77" fillId="35" borderId="9" xfId="4" applyFont="1" applyFill="1" applyBorder="1" applyAlignment="1">
      <alignment horizontal="right" vertical="center"/>
    </xf>
    <xf numFmtId="180" fontId="76" fillId="19" borderId="9" xfId="4" applyNumberFormat="1" applyFont="1" applyFill="1" applyBorder="1" applyAlignment="1">
      <alignment horizontal="right" vertical="center"/>
    </xf>
    <xf numFmtId="181" fontId="76" fillId="19" borderId="9" xfId="4" applyNumberFormat="1" applyFont="1" applyFill="1" applyBorder="1" applyAlignment="1">
      <alignment horizontal="right" vertical="center"/>
    </xf>
    <xf numFmtId="0" fontId="78" fillId="36" borderId="9" xfId="4" applyFont="1" applyFill="1" applyBorder="1" applyAlignment="1">
      <alignment vertical="center"/>
    </xf>
    <xf numFmtId="180" fontId="78" fillId="36" borderId="9" xfId="4" applyNumberFormat="1" applyFont="1" applyFill="1" applyBorder="1" applyAlignment="1">
      <alignment horizontal="right" vertical="center"/>
    </xf>
    <xf numFmtId="0" fontId="78" fillId="36" borderId="9" xfId="4" applyFont="1" applyFill="1" applyBorder="1" applyAlignment="1">
      <alignment horizontal="right" vertical="center"/>
    </xf>
    <xf numFmtId="181" fontId="78" fillId="36" borderId="9" xfId="4" applyNumberFormat="1" applyFont="1" applyFill="1" applyBorder="1" applyAlignment="1">
      <alignment horizontal="right" vertical="center"/>
    </xf>
    <xf numFmtId="0" fontId="78" fillId="37" borderId="9" xfId="4" applyFont="1" applyFill="1" applyBorder="1" applyAlignment="1">
      <alignment horizontal="center" vertical="center"/>
    </xf>
    <xf numFmtId="181" fontId="79" fillId="36" borderId="9" xfId="4" applyNumberFormat="1" applyFont="1" applyFill="1" applyBorder="1" applyAlignment="1">
      <alignment horizontal="right" vertical="center"/>
    </xf>
    <xf numFmtId="180" fontId="53" fillId="26" borderId="13" xfId="4" applyNumberFormat="1" applyFont="1" applyFill="1" applyBorder="1" applyAlignment="1">
      <alignment horizontal="right" vertical="center"/>
    </xf>
    <xf numFmtId="181" fontId="54" fillId="19" borderId="9" xfId="4" applyNumberFormat="1" applyFont="1" applyFill="1" applyBorder="1" applyAlignment="1">
      <alignment horizontal="right" vertical="center"/>
    </xf>
    <xf numFmtId="181" fontId="54" fillId="38" borderId="9" xfId="4" applyNumberFormat="1" applyFont="1" applyFill="1" applyBorder="1" applyAlignment="1">
      <alignment horizontal="right" vertical="center"/>
    </xf>
    <xf numFmtId="180" fontId="52" fillId="38" borderId="9" xfId="4" applyNumberFormat="1" applyFont="1" applyFill="1" applyBorder="1" applyAlignment="1">
      <alignment horizontal="right" vertical="center"/>
    </xf>
    <xf numFmtId="180" fontId="80" fillId="19" borderId="9" xfId="4" applyNumberFormat="1" applyFont="1" applyFill="1" applyBorder="1" applyAlignment="1">
      <alignment horizontal="right" vertical="center"/>
    </xf>
    <xf numFmtId="0" fontId="76" fillId="16" borderId="7" xfId="3" applyFont="1" applyFill="1" applyBorder="1" applyAlignment="1">
      <alignment vertical="center"/>
    </xf>
    <xf numFmtId="0" fontId="76" fillId="16" borderId="7" xfId="3" applyFont="1" applyFill="1" applyBorder="1" applyAlignment="1">
      <alignment horizontal="right" vertical="center"/>
    </xf>
    <xf numFmtId="0" fontId="77" fillId="39" borderId="7" xfId="3" applyFont="1" applyFill="1" applyBorder="1" applyAlignment="1">
      <alignment vertical="center"/>
    </xf>
    <xf numFmtId="0" fontId="77" fillId="39" borderId="7" xfId="3" applyFont="1" applyFill="1" applyBorder="1" applyAlignment="1">
      <alignment horizontal="right" vertical="center"/>
    </xf>
    <xf numFmtId="0" fontId="78" fillId="40" borderId="7" xfId="3" applyFont="1" applyFill="1" applyBorder="1" applyAlignment="1">
      <alignment horizontal="right" vertical="center"/>
    </xf>
    <xf numFmtId="0" fontId="78" fillId="40" borderId="7" xfId="3" applyFont="1" applyFill="1" applyBorder="1" applyAlignment="1">
      <alignment horizontal="center" vertical="center"/>
    </xf>
    <xf numFmtId="181" fontId="76" fillId="16" borderId="7" xfId="3" applyNumberFormat="1" applyFont="1" applyFill="1" applyBorder="1" applyAlignment="1">
      <alignment horizontal="right" vertical="center"/>
    </xf>
    <xf numFmtId="180" fontId="76" fillId="16" borderId="7" xfId="3" applyNumberFormat="1" applyFont="1" applyFill="1" applyBorder="1" applyAlignment="1">
      <alignment horizontal="right" vertical="center"/>
    </xf>
    <xf numFmtId="181" fontId="51" fillId="17" borderId="7" xfId="3" applyNumberFormat="1" applyFont="1" applyFill="1" applyBorder="1" applyAlignment="1">
      <alignment horizontal="right" vertical="center"/>
    </xf>
    <xf numFmtId="180" fontId="50" fillId="18" borderId="8" xfId="3" applyNumberFormat="1" applyFont="1" applyFill="1" applyBorder="1" applyAlignment="1">
      <alignment horizontal="right" vertical="center"/>
    </xf>
    <xf numFmtId="180" fontId="49" fillId="17" borderId="7" xfId="3" applyNumberFormat="1" applyFont="1" applyFill="1" applyBorder="1" applyAlignment="1">
      <alignment horizontal="right" vertical="center"/>
    </xf>
    <xf numFmtId="2" fontId="76" fillId="16" borderId="7" xfId="3" applyNumberFormat="1" applyFont="1" applyFill="1" applyBorder="1" applyAlignment="1">
      <alignment horizontal="right" vertical="center"/>
    </xf>
    <xf numFmtId="189" fontId="76" fillId="16" borderId="7" xfId="3" applyNumberFormat="1" applyFont="1" applyFill="1" applyBorder="1" applyAlignment="1">
      <alignment horizontal="right" vertical="center"/>
    </xf>
    <xf numFmtId="180" fontId="80" fillId="16" borderId="7" xfId="3" applyNumberFormat="1" applyFont="1" applyFill="1" applyBorder="1" applyAlignment="1">
      <alignment horizontal="right" vertical="center"/>
    </xf>
    <xf numFmtId="181" fontId="80" fillId="16" borderId="7" xfId="3" applyNumberFormat="1" applyFont="1" applyFill="1" applyBorder="1" applyAlignment="1">
      <alignment horizontal="right" vertical="center"/>
    </xf>
    <xf numFmtId="2" fontId="80" fillId="16" borderId="7" xfId="3" applyNumberFormat="1" applyFont="1" applyFill="1" applyBorder="1" applyAlignment="1">
      <alignment horizontal="right" vertical="center"/>
    </xf>
    <xf numFmtId="0" fontId="78" fillId="41" borderId="7" xfId="3" applyFont="1" applyFill="1" applyBorder="1" applyAlignment="1">
      <alignment vertical="center"/>
    </xf>
    <xf numFmtId="181" fontId="78" fillId="41" borderId="7" xfId="3" applyNumberFormat="1" applyFont="1" applyFill="1" applyBorder="1" applyAlignment="1">
      <alignment horizontal="right" vertical="center"/>
    </xf>
    <xf numFmtId="181" fontId="79" fillId="41" borderId="7" xfId="3" applyNumberFormat="1" applyFont="1" applyFill="1" applyBorder="1" applyAlignment="1">
      <alignment horizontal="right" vertical="center"/>
    </xf>
    <xf numFmtId="180" fontId="78" fillId="41" borderId="7" xfId="3" applyNumberFormat="1" applyFont="1" applyFill="1" applyBorder="1" applyAlignment="1">
      <alignment horizontal="right" vertical="center"/>
    </xf>
    <xf numFmtId="180" fontId="79" fillId="41" borderId="7" xfId="3" applyNumberFormat="1" applyFont="1" applyFill="1" applyBorder="1" applyAlignment="1">
      <alignment horizontal="right" vertical="center"/>
    </xf>
    <xf numFmtId="0" fontId="78" fillId="41" borderId="7" xfId="3" applyFont="1" applyFill="1" applyBorder="1" applyAlignment="1">
      <alignment horizontal="right" vertical="center"/>
    </xf>
    <xf numFmtId="2" fontId="78" fillId="41" borderId="7" xfId="3" applyNumberFormat="1" applyFont="1" applyFill="1" applyBorder="1" applyAlignment="1">
      <alignment horizontal="right" vertical="center"/>
    </xf>
    <xf numFmtId="180" fontId="49" fillId="16" borderId="7" xfId="3" applyNumberFormat="1" applyFont="1" applyFill="1" applyBorder="1" applyAlignment="1">
      <alignment horizontal="right" vertical="center" wrapText="1"/>
    </xf>
    <xf numFmtId="181" fontId="49" fillId="16" borderId="7" xfId="3" applyNumberFormat="1" applyFont="1" applyFill="1" applyBorder="1" applyAlignment="1">
      <alignment horizontal="right" vertical="center" wrapText="1"/>
    </xf>
    <xf numFmtId="1" fontId="76" fillId="16" borderId="7" xfId="3" applyNumberFormat="1" applyFont="1" applyFill="1" applyBorder="1" applyAlignment="1">
      <alignment horizontal="right" vertical="center"/>
    </xf>
    <xf numFmtId="191" fontId="76" fillId="16" borderId="7" xfId="3" applyNumberFormat="1" applyFont="1" applyFill="1" applyBorder="1" applyAlignment="1">
      <alignment horizontal="right" vertical="center"/>
    </xf>
    <xf numFmtId="191" fontId="78" fillId="41" borderId="7" xfId="3" applyNumberFormat="1" applyFont="1" applyFill="1" applyBorder="1" applyAlignment="1">
      <alignment horizontal="right" vertical="center"/>
    </xf>
    <xf numFmtId="0" fontId="83" fillId="44" borderId="17" xfId="11" applyFont="1" applyFill="1" applyBorder="1">
      <alignment vertical="center"/>
    </xf>
    <xf numFmtId="0" fontId="84" fillId="44" borderId="17" xfId="11" applyFont="1" applyFill="1" applyBorder="1">
      <alignment vertical="center"/>
    </xf>
    <xf numFmtId="0" fontId="82" fillId="43" borderId="16" xfId="10" applyFont="1" applyFill="1" applyBorder="1" applyAlignment="1">
      <alignment vertical="center"/>
    </xf>
    <xf numFmtId="0" fontId="85" fillId="42" borderId="15" xfId="9" applyFont="1" applyFill="1" applyBorder="1" applyAlignment="1">
      <alignment vertical="center"/>
    </xf>
    <xf numFmtId="180" fontId="81" fillId="45" borderId="14" xfId="8" applyNumberFormat="1" applyFont="1" applyFill="1" applyBorder="1" applyAlignment="1">
      <alignment horizontal="right" vertical="center"/>
    </xf>
    <xf numFmtId="189" fontId="90" fillId="49" borderId="20" xfId="12" applyNumberFormat="1" applyFont="1" applyFill="1" applyAlignment="1">
      <alignment horizontal="right" vertical="center"/>
    </xf>
    <xf numFmtId="190" fontId="90" fillId="49" borderId="20" xfId="12" applyNumberFormat="1" applyFont="1" applyFill="1" applyAlignment="1">
      <alignment horizontal="right" vertical="center"/>
    </xf>
    <xf numFmtId="181" fontId="90" fillId="49" borderId="20" xfId="12" applyNumberFormat="1" applyFont="1" applyFill="1" applyAlignment="1">
      <alignment horizontal="right" vertical="center"/>
    </xf>
    <xf numFmtId="180" fontId="90" fillId="49" borderId="20" xfId="12" applyNumberFormat="1" applyFont="1" applyFill="1" applyAlignment="1">
      <alignment horizontal="right" vertical="center"/>
    </xf>
    <xf numFmtId="2" fontId="90" fillId="49" borderId="20" xfId="12" applyNumberFormat="1" applyFont="1" applyFill="1" applyAlignment="1">
      <alignment horizontal="right" vertical="center"/>
    </xf>
    <xf numFmtId="0" fontId="92" fillId="50" borderId="22" xfId="14" applyFont="1" applyFill="1" applyBorder="1" applyAlignment="1">
      <alignment horizontal="right" vertical="center"/>
    </xf>
    <xf numFmtId="0" fontId="101" fillId="53" borderId="24" xfId="17" applyFont="1" applyFill="1" applyBorder="1" applyAlignment="1">
      <alignment vertical="center"/>
    </xf>
    <xf numFmtId="0" fontId="101" fillId="53" borderId="24" xfId="17" applyFont="1" applyFill="1" applyBorder="1" applyAlignment="1">
      <alignment horizontal="right" vertical="center"/>
    </xf>
    <xf numFmtId="2" fontId="101" fillId="53" borderId="24" xfId="17" applyNumberFormat="1" applyFont="1" applyFill="1" applyBorder="1" applyAlignment="1">
      <alignment horizontal="right" vertical="center"/>
    </xf>
    <xf numFmtId="2" fontId="103" fillId="53" borderId="24" xfId="17" applyNumberFormat="1" applyFont="1" applyFill="1" applyBorder="1" applyAlignment="1">
      <alignment horizontal="right" vertical="center"/>
    </xf>
    <xf numFmtId="181" fontId="101" fillId="53" borderId="24" xfId="17" applyNumberFormat="1" applyFont="1" applyFill="1" applyBorder="1" applyAlignment="1">
      <alignment horizontal="right" vertical="center"/>
    </xf>
    <xf numFmtId="181" fontId="103" fillId="53" borderId="24" xfId="17" applyNumberFormat="1" applyFont="1" applyFill="1" applyBorder="1" applyAlignment="1">
      <alignment horizontal="right" vertical="center"/>
    </xf>
    <xf numFmtId="1" fontId="101" fillId="53" borderId="24" xfId="17" applyNumberFormat="1" applyFont="1" applyFill="1" applyBorder="1" applyAlignment="1">
      <alignment horizontal="right" vertical="center"/>
    </xf>
    <xf numFmtId="189" fontId="101" fillId="53" borderId="24" xfId="17" applyNumberFormat="1" applyFont="1" applyFill="1" applyBorder="1" applyAlignment="1">
      <alignment horizontal="right" vertical="center"/>
    </xf>
    <xf numFmtId="189" fontId="103" fillId="53" borderId="24" xfId="17" applyNumberFormat="1" applyFont="1" applyFill="1" applyBorder="1" applyAlignment="1">
      <alignment horizontal="right" vertical="center"/>
    </xf>
    <xf numFmtId="192" fontId="101" fillId="53" borderId="24" xfId="17" applyNumberFormat="1" applyFont="1" applyFill="1" applyBorder="1" applyAlignment="1">
      <alignment horizontal="right" vertical="center"/>
    </xf>
    <xf numFmtId="180" fontId="101" fillId="53" borderId="24" xfId="17" applyNumberFormat="1" applyFont="1" applyFill="1" applyBorder="1" applyAlignment="1">
      <alignment horizontal="right" vertical="center"/>
    </xf>
    <xf numFmtId="180" fontId="103" fillId="53" borderId="24" xfId="17" applyNumberFormat="1" applyFont="1" applyFill="1" applyBorder="1" applyAlignment="1">
      <alignment horizontal="right" vertical="center"/>
    </xf>
    <xf numFmtId="2" fontId="101" fillId="53" borderId="24" xfId="17" applyNumberFormat="1" applyFont="1" applyFill="1" applyBorder="1" applyAlignment="1">
      <alignment vertical="center"/>
    </xf>
    <xf numFmtId="0" fontId="101" fillId="56" borderId="24" xfId="17" applyFont="1" applyFill="1" applyBorder="1" applyAlignment="1">
      <alignment vertical="center"/>
    </xf>
    <xf numFmtId="193" fontId="101" fillId="56" borderId="24" xfId="17" applyNumberFormat="1" applyFont="1" applyFill="1" applyBorder="1" applyAlignment="1">
      <alignment horizontal="right" vertical="center"/>
    </xf>
    <xf numFmtId="194" fontId="101" fillId="53" borderId="24" xfId="17" applyNumberFormat="1" applyFont="1" applyFill="1" applyBorder="1" applyAlignment="1">
      <alignment vertical="center"/>
    </xf>
    <xf numFmtId="0" fontId="104" fillId="57" borderId="24" xfId="17" applyFont="1" applyFill="1" applyBorder="1" applyAlignment="1">
      <alignment vertical="center"/>
    </xf>
    <xf numFmtId="194" fontId="104" fillId="57" borderId="24" xfId="17" applyNumberFormat="1" applyFont="1" applyFill="1" applyBorder="1" applyAlignment="1">
      <alignment vertical="center"/>
    </xf>
    <xf numFmtId="2" fontId="104" fillId="57" borderId="24" xfId="17" applyNumberFormat="1" applyFont="1" applyFill="1" applyBorder="1" applyAlignment="1">
      <alignment horizontal="right" vertical="center"/>
    </xf>
    <xf numFmtId="0" fontId="104" fillId="57" borderId="24" xfId="17" applyFont="1" applyFill="1" applyBorder="1" applyAlignment="1">
      <alignment horizontal="right" vertical="center"/>
    </xf>
    <xf numFmtId="181" fontId="104" fillId="57" borderId="24" xfId="17" applyNumberFormat="1" applyFont="1" applyFill="1" applyBorder="1" applyAlignment="1">
      <alignment horizontal="right" vertical="center"/>
    </xf>
    <xf numFmtId="195" fontId="101" fillId="56" borderId="24" xfId="17" applyNumberFormat="1" applyFont="1" applyFill="1" applyBorder="1" applyAlignment="1">
      <alignment horizontal="right" vertical="center"/>
    </xf>
    <xf numFmtId="0" fontId="101" fillId="56" borderId="24" xfId="17" applyFont="1" applyFill="1" applyBorder="1" applyAlignment="1">
      <alignment horizontal="right" vertical="center"/>
    </xf>
    <xf numFmtId="196" fontId="101" fillId="56" borderId="24" xfId="17" applyNumberFormat="1" applyFont="1" applyFill="1" applyBorder="1" applyAlignment="1">
      <alignment horizontal="right" vertical="center"/>
    </xf>
    <xf numFmtId="10" fontId="103" fillId="53" borderId="24" xfId="17" applyNumberFormat="1" applyFont="1" applyFill="1" applyBorder="1" applyAlignment="1">
      <alignment horizontal="right" vertical="center"/>
    </xf>
    <xf numFmtId="180" fontId="105" fillId="57" borderId="24" xfId="17" applyNumberFormat="1" applyFont="1" applyFill="1" applyBorder="1" applyAlignment="1">
      <alignment horizontal="right" vertical="center"/>
    </xf>
    <xf numFmtId="2" fontId="105" fillId="57" borderId="24" xfId="17" applyNumberFormat="1" applyFont="1" applyFill="1" applyBorder="1" applyAlignment="1">
      <alignment horizontal="right" vertical="center"/>
    </xf>
    <xf numFmtId="194" fontId="101" fillId="56" borderId="24" xfId="17" applyNumberFormat="1" applyFont="1" applyFill="1" applyBorder="1" applyAlignment="1">
      <alignment horizontal="right" vertical="center"/>
    </xf>
    <xf numFmtId="189" fontId="101" fillId="53" borderId="24" xfId="17" applyNumberFormat="1" applyFont="1" applyFill="1" applyBorder="1" applyAlignment="1">
      <alignment vertical="center"/>
    </xf>
    <xf numFmtId="2" fontId="101" fillId="56" borderId="24" xfId="17" applyNumberFormat="1" applyFont="1" applyFill="1" applyBorder="1" applyAlignment="1">
      <alignment horizontal="right" vertical="center"/>
    </xf>
    <xf numFmtId="181" fontId="103" fillId="56" borderId="24" xfId="17" applyNumberFormat="1" applyFont="1" applyFill="1" applyBorder="1" applyAlignment="1">
      <alignment horizontal="right" vertical="center"/>
    </xf>
    <xf numFmtId="192" fontId="103" fillId="56" borderId="24" xfId="17" applyNumberFormat="1" applyFont="1" applyFill="1" applyBorder="1" applyAlignment="1">
      <alignment horizontal="right" vertical="center"/>
    </xf>
    <xf numFmtId="2" fontId="101" fillId="55" borderId="24" xfId="17" applyNumberFormat="1" applyFont="1" applyFill="1" applyBorder="1" applyAlignment="1">
      <alignment horizontal="right" vertical="center"/>
    </xf>
    <xf numFmtId="2" fontId="103" fillId="56" borderId="24" xfId="17" applyNumberFormat="1" applyFont="1" applyFill="1" applyBorder="1" applyAlignment="1">
      <alignment horizontal="right" vertical="center"/>
    </xf>
    <xf numFmtId="192" fontId="103" fillId="56" borderId="24" xfId="17" applyNumberFormat="1" applyFont="1" applyFill="1" applyBorder="1" applyAlignment="1">
      <alignment vertical="center"/>
    </xf>
    <xf numFmtId="181" fontId="101" fillId="55" borderId="24" xfId="17" applyNumberFormat="1" applyFont="1" applyFill="1" applyBorder="1" applyAlignment="1">
      <alignment horizontal="right" vertical="center"/>
    </xf>
    <xf numFmtId="197" fontId="101" fillId="53" borderId="24" xfId="17" applyNumberFormat="1" applyFont="1" applyFill="1" applyBorder="1" applyAlignment="1">
      <alignment horizontal="right" vertical="center"/>
    </xf>
    <xf numFmtId="198" fontId="101" fillId="56" borderId="24" xfId="17" applyNumberFormat="1" applyFont="1" applyFill="1" applyBorder="1" applyAlignment="1">
      <alignment horizontal="right" vertical="center"/>
    </xf>
    <xf numFmtId="198" fontId="101" fillId="56" borderId="24" xfId="17" applyNumberFormat="1" applyFont="1" applyFill="1" applyBorder="1" applyAlignment="1">
      <alignment vertical="center"/>
    </xf>
    <xf numFmtId="0" fontId="106" fillId="58" borderId="21" xfId="13" applyFont="1" applyFill="1" applyAlignment="1">
      <alignment vertical="center"/>
    </xf>
    <xf numFmtId="0" fontId="106" fillId="58" borderId="21" xfId="13" applyFont="1" applyFill="1" applyAlignment="1">
      <alignment horizontal="right" vertical="center"/>
    </xf>
    <xf numFmtId="0" fontId="107" fillId="58" borderId="21" xfId="13" applyFont="1" applyFill="1" applyAlignment="1">
      <alignment vertical="center"/>
    </xf>
    <xf numFmtId="0" fontId="108" fillId="59" borderId="21" xfId="13" applyFont="1" applyFill="1" applyAlignment="1">
      <alignment vertical="center"/>
    </xf>
    <xf numFmtId="0" fontId="108" fillId="59" borderId="21" xfId="13" applyFont="1" applyFill="1" applyAlignment="1">
      <alignment horizontal="right" vertical="center"/>
    </xf>
    <xf numFmtId="2" fontId="109" fillId="60" borderId="21" xfId="13" applyNumberFormat="1" applyFont="1" applyFill="1" applyAlignment="1">
      <alignment horizontal="right" vertical="center"/>
    </xf>
    <xf numFmtId="2" fontId="96" fillId="58" borderId="21" xfId="13" applyNumberFormat="1" applyFont="1" applyFill="1" applyAlignment="1">
      <alignment horizontal="right" vertical="center"/>
    </xf>
    <xf numFmtId="181" fontId="109" fillId="60" borderId="21" xfId="13" applyNumberFormat="1" applyFont="1" applyFill="1" applyAlignment="1">
      <alignment horizontal="right" vertical="center"/>
    </xf>
    <xf numFmtId="181" fontId="96" fillId="58" borderId="21" xfId="13" applyNumberFormat="1" applyFont="1" applyFill="1" applyAlignment="1">
      <alignment horizontal="right" vertical="center"/>
    </xf>
    <xf numFmtId="1" fontId="109" fillId="60" borderId="21" xfId="13" applyNumberFormat="1" applyFont="1" applyFill="1" applyAlignment="1">
      <alignment horizontal="right" vertical="center"/>
    </xf>
    <xf numFmtId="1" fontId="96" fillId="58" borderId="21" xfId="13" applyNumberFormat="1" applyFont="1" applyFill="1" applyAlignment="1">
      <alignment horizontal="right" vertical="center"/>
    </xf>
    <xf numFmtId="189" fontId="109" fillId="60" borderId="21" xfId="13" applyNumberFormat="1" applyFont="1" applyFill="1" applyAlignment="1">
      <alignment horizontal="right" vertical="center"/>
    </xf>
    <xf numFmtId="189" fontId="96" fillId="58" borderId="21" xfId="13" applyNumberFormat="1" applyFont="1" applyFill="1" applyAlignment="1">
      <alignment horizontal="right" vertical="center"/>
    </xf>
    <xf numFmtId="192" fontId="106" fillId="58" borderId="21" xfId="13" applyNumberFormat="1" applyFont="1" applyFill="1" applyAlignment="1">
      <alignment horizontal="right" vertical="center"/>
    </xf>
    <xf numFmtId="192" fontId="109" fillId="60" borderId="21" xfId="13" applyNumberFormat="1" applyFont="1" applyFill="1" applyAlignment="1">
      <alignment horizontal="right" vertical="center"/>
    </xf>
    <xf numFmtId="192" fontId="96" fillId="58" borderId="21" xfId="13" applyNumberFormat="1" applyFont="1" applyFill="1" applyAlignment="1">
      <alignment horizontal="right" vertical="center"/>
    </xf>
    <xf numFmtId="180" fontId="109" fillId="60" borderId="21" xfId="13" applyNumberFormat="1" applyFont="1" applyFill="1" applyAlignment="1">
      <alignment horizontal="right" vertical="center"/>
    </xf>
    <xf numFmtId="180" fontId="96" fillId="58" borderId="21" xfId="13" applyNumberFormat="1" applyFont="1" applyFill="1" applyAlignment="1">
      <alignment horizontal="right" vertical="center"/>
    </xf>
    <xf numFmtId="0" fontId="106" fillId="61" borderId="21" xfId="13" applyFont="1" applyFill="1" applyAlignment="1">
      <alignment vertical="center"/>
    </xf>
    <xf numFmtId="195" fontId="106" fillId="61" borderId="21" xfId="13" applyNumberFormat="1" applyFont="1" applyFill="1" applyAlignment="1">
      <alignment horizontal="right" vertical="center"/>
    </xf>
    <xf numFmtId="181" fontId="91" fillId="58" borderId="21" xfId="13" applyNumberFormat="1" applyFont="1" applyFill="1" applyAlignment="1">
      <alignment horizontal="right" vertical="center"/>
    </xf>
    <xf numFmtId="181" fontId="93" fillId="58" borderId="21" xfId="13" applyNumberFormat="1" applyFont="1" applyFill="1" applyAlignment="1">
      <alignment horizontal="right" vertical="center"/>
    </xf>
    <xf numFmtId="191" fontId="109" fillId="60" borderId="21" xfId="13" applyNumberFormat="1" applyFont="1" applyFill="1" applyAlignment="1">
      <alignment horizontal="right" vertical="center"/>
    </xf>
    <xf numFmtId="191" fontId="93" fillId="58" borderId="21" xfId="13" applyNumberFormat="1" applyFont="1" applyFill="1" applyAlignment="1">
      <alignment horizontal="right" vertical="center"/>
    </xf>
    <xf numFmtId="180" fontId="91" fillId="58" borderId="21" xfId="13" applyNumberFormat="1" applyFont="1" applyFill="1" applyAlignment="1">
      <alignment horizontal="right" vertical="center"/>
    </xf>
    <xf numFmtId="180" fontId="93" fillId="58" borderId="21" xfId="13" applyNumberFormat="1" applyFont="1" applyFill="1" applyAlignment="1">
      <alignment horizontal="right" vertical="center"/>
    </xf>
    <xf numFmtId="181" fontId="94" fillId="58" borderId="21" xfId="13" applyNumberFormat="1" applyFont="1" applyFill="1" applyAlignment="1">
      <alignment horizontal="right" vertical="center"/>
    </xf>
    <xf numFmtId="181" fontId="95" fillId="58" borderId="21" xfId="13" applyNumberFormat="1" applyFont="1" applyFill="1" applyAlignment="1">
      <alignment horizontal="right" vertical="center"/>
    </xf>
    <xf numFmtId="180" fontId="95" fillId="58" borderId="21" xfId="13" applyNumberFormat="1" applyFont="1" applyFill="1" applyAlignment="1">
      <alignment horizontal="right" vertical="center"/>
    </xf>
    <xf numFmtId="2" fontId="93" fillId="58" borderId="21" xfId="13" applyNumberFormat="1" applyFont="1" applyFill="1" applyAlignment="1">
      <alignment horizontal="right" vertical="center"/>
    </xf>
    <xf numFmtId="1" fontId="93" fillId="58" borderId="21" xfId="13" applyNumberFormat="1" applyFont="1" applyFill="1" applyAlignment="1">
      <alignment horizontal="right" vertical="center"/>
    </xf>
    <xf numFmtId="188" fontId="109" fillId="60" borderId="21" xfId="13" applyNumberFormat="1" applyFont="1" applyFill="1" applyAlignment="1">
      <alignment horizontal="right" vertical="center"/>
    </xf>
    <xf numFmtId="188" fontId="93" fillId="58" borderId="21" xfId="13" applyNumberFormat="1" applyFont="1" applyFill="1" applyAlignment="1">
      <alignment horizontal="right" vertical="center"/>
    </xf>
    <xf numFmtId="0" fontId="106" fillId="58" borderId="21" xfId="13" applyFont="1" applyFill="1" applyBorder="1" applyAlignment="1">
      <alignment horizontal="left" vertical="center"/>
    </xf>
  </cellXfs>
  <cellStyles count="13">
    <cellStyle name="40% - 着色 1" xfId="4" builtinId="31"/>
    <cellStyle name="Normal" xfId="1" xr:uid="{00000000-0005-0000-0000-000001000000}"/>
    <cellStyle name="标题 4" xfId="12" builtinId="19"/>
    <cellStyle name="差" xfId="10" builtinId="27"/>
    <cellStyle name="常规" xfId="0" builtinId="0"/>
    <cellStyle name="超链接" xfId="2" builtinId="8"/>
    <cellStyle name="好" xfId="11" builtinId="26"/>
    <cellStyle name="汇总" xfId="5" builtinId="25"/>
    <cellStyle name="解释性文本" xfId="6" builtinId="53"/>
    <cellStyle name="警告文本" xfId="8" builtinId="11"/>
    <cellStyle name="适中" xfId="9" builtinId="28"/>
    <cellStyle name="着色 3" xfId="3" builtinId="37"/>
    <cellStyle name="注释" xfId="7" builtinId="10"/>
  </cellStyles>
  <dxfs count="33">
    <dxf>
      <font>
        <b/>
        <color rgb="FFC00000"/>
      </font>
      <fill>
        <patternFill>
          <bgColor rgb="FFFCE4D6"/>
        </patternFill>
      </fill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05DC94-09DC-6B4C-B011-B2E8B7D14442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a6fe1f32-1a29-4677-b606-53ef5e3ad82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investors.coca-colacompany.com/news-events/press-releases/detail/1076/coca-cola-reports-fourth-quarter-and-full-year-2022-results" TargetMode="External"/><Relationship Id="rId21" Type="http://schemas.openxmlformats.org/officeDocument/2006/relationships/hyperlink" Target="https://investors.coca-colacompany.com/news-events/press-releases/detail/929/the-coca-cola-company-reports-strong-operating-results-for-fourth-quarter-and-full-year-2017-achieves-or-exceeds-the-companys-full-year-guidance" TargetMode="External"/><Relationship Id="rId34" Type="http://schemas.openxmlformats.org/officeDocument/2006/relationships/hyperlink" Target="https://investors.coca-colacompany.com/_assets/_58ca73310d2ced796ebc757917b74f04/cocacolacompany/db/880/11074/earnings_release/Coca-Cola+2025+Q3+Earnings+Release+FINAL.pdf" TargetMode="External"/><Relationship Id="rId42" Type="http://schemas.openxmlformats.org/officeDocument/2006/relationships/hyperlink" Target="https://investors.coca-colacompany.com/news-events/press-releases/detail/962/coca-cola-reports-strong-results-for-fourth-quarter-and-full-year-2018" TargetMode="External"/><Relationship Id="rId47" Type="http://schemas.openxmlformats.org/officeDocument/2006/relationships/hyperlink" Target="https://investors.coca-colacompany.com/news-events/press-releases/detail/1101/coca-cola-reports-fourth-quarter-and-full-year-2023-results" TargetMode="External"/><Relationship Id="rId50" Type="http://schemas.openxmlformats.org/officeDocument/2006/relationships/hyperlink" Target="https://www.sec.gov/Archives/edgar/data/21344/000002134419000014/a2018123110-k.htm" TargetMode="External"/><Relationship Id="rId55" Type="http://schemas.openxmlformats.org/officeDocument/2006/relationships/hyperlink" Target="https://www.sec.gov/Archives/edgar/data/21344/000002134424000009/ko-20231231.htm" TargetMode="External"/><Relationship Id="rId63" Type="http://schemas.openxmlformats.org/officeDocument/2006/relationships/hyperlink" Target="https://investors.coca-colacompany.com/_assets/_58ca73310d2ced796ebc757917b74f04/cocacolacompany/db/880/11126/earnings_release/Coca-Cola+2026+Q2+Earnings+Release_Full+Release_7.28.26.pdf" TargetMode="External"/><Relationship Id="rId7" Type="http://schemas.openxmlformats.org/officeDocument/2006/relationships/hyperlink" Target="https://www.sec.gov/Archives/edgar/data/21344/000002134423000011/ko-20221231.htm" TargetMode="External"/><Relationship Id="rId2" Type="http://schemas.openxmlformats.org/officeDocument/2006/relationships/hyperlink" Target="https://www.sec.gov/Archives/edgar/data/21344/000002134419000014/a2018123110-k.htm" TargetMode="External"/><Relationship Id="rId16" Type="http://schemas.openxmlformats.org/officeDocument/2006/relationships/hyperlink" Target="https://www.sec.gov/Archives/edgar/data/21344/000002134422000009/ko-20211231.htm" TargetMode="External"/><Relationship Id="rId29" Type="http://schemas.openxmlformats.org/officeDocument/2006/relationships/hyperlink" Target="https://investors.coca-colacompany.com/_assets/_58ca73310d2ced796ebc757917b74f04/cocacolacompany/db/880/11088/earnings_release/Coca-Cola+Q4+2025+Earnings+Release_Full+Release_2.10.26.pdf" TargetMode="External"/><Relationship Id="rId11" Type="http://schemas.openxmlformats.org/officeDocument/2006/relationships/hyperlink" Target="https://www.sec.gov/Archives/edgar/data/21344/000002134417000009/a2016123110-k.htm" TargetMode="External"/><Relationship Id="rId24" Type="http://schemas.openxmlformats.org/officeDocument/2006/relationships/hyperlink" Target="https://investors.coca-colacompany.com/news-events/press-releases/detail/1012/coca-cola-reports-fourth-quarter-and-full-year-2020-results" TargetMode="External"/><Relationship Id="rId32" Type="http://schemas.openxmlformats.org/officeDocument/2006/relationships/hyperlink" Target="https://investors.coca-colacompany.com/_assets/_58ca73310d2ced796ebc757917b74f04/cocacolacompany/db/880/10625/earnings_release/Coca-Cola+2025+Q1+Earnings+Release_Full+Release_4.29.25.pdf" TargetMode="External"/><Relationship Id="rId37" Type="http://schemas.openxmlformats.org/officeDocument/2006/relationships/hyperlink" Target="https://investors.coca-colacompany.com/_assets/_58ca73310d2ced796ebc757917b74f04/cocacolacompany/db/880/11126/earnings_release/Coca-Cola+2026+Q2+Earnings+Release_Full+Release_7.28.26.pdf" TargetMode="External"/><Relationship Id="rId40" Type="http://schemas.openxmlformats.org/officeDocument/2006/relationships/hyperlink" Target="https://investors.coca-colacompany.com/news-events/press-releases/detail/871/the-coca-cola-company-reports-fourth-quarter-and-full-year-2016-results" TargetMode="External"/><Relationship Id="rId45" Type="http://schemas.openxmlformats.org/officeDocument/2006/relationships/hyperlink" Target="https://investors.coca-colacompany.com/news-events/press-releases/detail/1046/coca-cola-reports-fourth-quarter-and-full-year-2021-results" TargetMode="External"/><Relationship Id="rId53" Type="http://schemas.openxmlformats.org/officeDocument/2006/relationships/hyperlink" Target="https://www.sec.gov/Archives/edgar/data/21344/000002134422000009/ko-20211231.htm" TargetMode="External"/><Relationship Id="rId58" Type="http://schemas.openxmlformats.org/officeDocument/2006/relationships/hyperlink" Target="https://investors.coca-colacompany.com/_assets/_58ca73310d2ced796ebc757917b74f04/cocacolacompany/db/880/10241/earnings_release/2024_Q3_Earnings_Release_%28Ex-99.1%29_-_FINAL.pdf" TargetMode="External"/><Relationship Id="rId5" Type="http://schemas.openxmlformats.org/officeDocument/2006/relationships/hyperlink" Target="https://www.sec.gov/Archives/edgar/data/21344/000002134421000008/ko-20201231.htm" TargetMode="External"/><Relationship Id="rId61" Type="http://schemas.openxmlformats.org/officeDocument/2006/relationships/hyperlink" Target="https://investors.coca-colacompany.com/_assets/_58ca73310d2ced796ebc757917b74f04/cocacolacompany/db/880/11074/earnings_release/Coca-Cola+2025+Q3+Earnings+Release+FINAL.pdf" TargetMode="External"/><Relationship Id="rId19" Type="http://schemas.openxmlformats.org/officeDocument/2006/relationships/hyperlink" Target="https://www.sec.gov/Archives/edgar/data/21344/000002134425000011/ko-20241231.htm" TargetMode="External"/><Relationship Id="rId14" Type="http://schemas.openxmlformats.org/officeDocument/2006/relationships/hyperlink" Target="https://www.sec.gov/Archives/edgar/data/21344/000002134420000006/a2019123110-k.htm" TargetMode="External"/><Relationship Id="rId22" Type="http://schemas.openxmlformats.org/officeDocument/2006/relationships/hyperlink" Target="https://investors.coca-colacompany.com/news-events/press-releases/detail/962/coca-cola-reports-strong-results-for-fourth-quarter-and-full-year-2018" TargetMode="External"/><Relationship Id="rId27" Type="http://schemas.openxmlformats.org/officeDocument/2006/relationships/hyperlink" Target="https://investors.coca-colacompany.com/news-events/press-releases/detail/1101/coca-cola-reports-fourth-quarter-and-full-year-2023-results" TargetMode="External"/><Relationship Id="rId30" Type="http://schemas.openxmlformats.org/officeDocument/2006/relationships/hyperlink" Target="https://investors.coca-colacompany.com/_assets/_58ca73310d2ced796ebc757917b74f04/cocacolacompany/db/880/10241/earnings_release/2024_Q3_Earnings_Release_%28Ex-99.1%29_-_FINAL.pdf" TargetMode="External"/><Relationship Id="rId35" Type="http://schemas.openxmlformats.org/officeDocument/2006/relationships/hyperlink" Target="https://investors.coca-colacompany.com/_assets/_58ca73310d2ced796ebc757917b74f04/cocacolacompany/db/880/11088/earnings_release/Coca-Cola+Q4+2025+Earnings+Release_Full+Release_2.10.26.pdf" TargetMode="External"/><Relationship Id="rId43" Type="http://schemas.openxmlformats.org/officeDocument/2006/relationships/hyperlink" Target="https://investors.coca-colacompany.com/news-events/press-releases/detail/981/coca-cola-reports-strong-growth-in-fourth-quarter-and-full-year-2019-company-achieves-or-exceeds-all-full-year-guidance" TargetMode="External"/><Relationship Id="rId48" Type="http://schemas.openxmlformats.org/officeDocument/2006/relationships/hyperlink" Target="https://www.sec.gov/Archives/edgar/data/21344/000002134417000009/a2016123110-k.htm" TargetMode="External"/><Relationship Id="rId56" Type="http://schemas.openxmlformats.org/officeDocument/2006/relationships/hyperlink" Target="https://www.sec.gov/Archives/edgar/data/21344/000002134425000011/ko-20241231.htm" TargetMode="External"/><Relationship Id="rId64" Type="http://schemas.openxmlformats.org/officeDocument/2006/relationships/hyperlink" Target="https://investors.coca-colacompany.com/_assets/_58ca73310d2ced796ebc757917b74f04/cocacolacompany/db/880/10242/earnings_release/2024_Q4_Earnings_Release_%28Ex-99.1%29_-_Final.pdf" TargetMode="External"/><Relationship Id="rId8" Type="http://schemas.openxmlformats.org/officeDocument/2006/relationships/hyperlink" Target="https://www.sec.gov/Archives/edgar/data/21344/000002134424000009/ko-20231231.htm" TargetMode="External"/><Relationship Id="rId51" Type="http://schemas.openxmlformats.org/officeDocument/2006/relationships/hyperlink" Target="https://www.sec.gov/Archives/edgar/data/21344/000002134420000006/a2019123110-k.htm" TargetMode="External"/><Relationship Id="rId3" Type="http://schemas.openxmlformats.org/officeDocument/2006/relationships/hyperlink" Target="https://www.sec.gov/Archives/edgar/data/21344/000002134419000014/a2018123110-k.htm" TargetMode="External"/><Relationship Id="rId12" Type="http://schemas.openxmlformats.org/officeDocument/2006/relationships/hyperlink" Target="https://www.sec.gov/Archives/edgar/data/21344/000002134418000008/a2017123110-k.htm" TargetMode="External"/><Relationship Id="rId17" Type="http://schemas.openxmlformats.org/officeDocument/2006/relationships/hyperlink" Target="https://www.sec.gov/Archives/edgar/data/21344/000002134423000011/ko-20221231.htm" TargetMode="External"/><Relationship Id="rId25" Type="http://schemas.openxmlformats.org/officeDocument/2006/relationships/hyperlink" Target="https://investors.coca-colacompany.com/news-events/press-releases/detail/1046/coca-cola-reports-fourth-quarter-and-full-year-2021-results" TargetMode="External"/><Relationship Id="rId33" Type="http://schemas.openxmlformats.org/officeDocument/2006/relationships/hyperlink" Target="https://investors.coca-colacompany.com/_assets/_58ca73310d2ced796ebc757917b74f04/cocacolacompany/db/880/11064/earnings_release/Coca-Cola+2025+Q2+Earnings+Release_Full+Release_7.22.25.pdf" TargetMode="External"/><Relationship Id="rId38" Type="http://schemas.openxmlformats.org/officeDocument/2006/relationships/hyperlink" Target="../../../../../../Desktop/AI%20Invest/Workspace/research/companies/US/KO-coca-cola/data/inbox/2025Q2_EarningsCall_20250722.md" TargetMode="External"/><Relationship Id="rId46" Type="http://schemas.openxmlformats.org/officeDocument/2006/relationships/hyperlink" Target="https://investors.coca-colacompany.com/news-events/press-releases/detail/1076/coca-cola-reports-fourth-quarter-and-full-year-2022-results" TargetMode="External"/><Relationship Id="rId59" Type="http://schemas.openxmlformats.org/officeDocument/2006/relationships/hyperlink" Target="https://investors.coca-colacompany.com/_assets/_58ca73310d2ced796ebc757917b74f04/cocacolacompany/db/880/10625/earnings_release/Coca-Cola+2025+Q1+Earnings+Release_Full+Release_4.29.25.pdf" TargetMode="External"/><Relationship Id="rId20" Type="http://schemas.openxmlformats.org/officeDocument/2006/relationships/hyperlink" Target="https://www.sec.gov/Archives/edgar/data/21344/000162828026010047/ko-20251231.htm" TargetMode="External"/><Relationship Id="rId41" Type="http://schemas.openxmlformats.org/officeDocument/2006/relationships/hyperlink" Target="https://investors.coca-colacompany.com/news-events/press-releases/detail/929/the-coca-cola-company-reports-strong-operating-results-for-fourth-quarter-and-full-year-2017-achieves-or-exceeds-the-companys-full-year-guidance" TargetMode="External"/><Relationship Id="rId54" Type="http://schemas.openxmlformats.org/officeDocument/2006/relationships/hyperlink" Target="https://www.sec.gov/Archives/edgar/data/21344/000002134423000011/ko-20221231.htm" TargetMode="External"/><Relationship Id="rId62" Type="http://schemas.openxmlformats.org/officeDocument/2006/relationships/hyperlink" Target="https://investors.coca-colacompany.com/_assets/_58ca73310d2ced796ebc757917b74f04/cocacolacompany/db/880/11107/earnings_release/Coca-Cola+2026+Q1+Earnings+Release_Full+Release_4.28.26.pdf" TargetMode="External"/><Relationship Id="rId1" Type="http://schemas.openxmlformats.org/officeDocument/2006/relationships/hyperlink" Target="https://www.sec.gov/Archives/edgar/data/21344/000002134419000014/a2018123110-k.htm" TargetMode="External"/><Relationship Id="rId6" Type="http://schemas.openxmlformats.org/officeDocument/2006/relationships/hyperlink" Target="https://www.sec.gov/Archives/edgar/data/21344/000002134422000009/ko-20211231.htm" TargetMode="External"/><Relationship Id="rId15" Type="http://schemas.openxmlformats.org/officeDocument/2006/relationships/hyperlink" Target="https://www.sec.gov/Archives/edgar/data/21344/000002134421000008/ko-20201231.htm" TargetMode="External"/><Relationship Id="rId23" Type="http://schemas.openxmlformats.org/officeDocument/2006/relationships/hyperlink" Target="https://investors.coca-colacompany.com/news-events/press-releases/detail/981/coca-cola-reports-strong-growth-in-fourth-quarter-and-full-year-2019-company-achieves-or-exceeds-all-full-year-guidance" TargetMode="External"/><Relationship Id="rId28" Type="http://schemas.openxmlformats.org/officeDocument/2006/relationships/hyperlink" Target="https://investors.coca-colacompany.com/_assets/_58ca73310d2ced796ebc757917b74f04/cocacolacompany/db/880/10242/earnings_release/2024_Q4_Earnings_Release_%28Ex-99.1%29_-_Final.pdf" TargetMode="External"/><Relationship Id="rId36" Type="http://schemas.openxmlformats.org/officeDocument/2006/relationships/hyperlink" Target="https://investors.coca-colacompany.com/_assets/_58ca73310d2ced796ebc757917b74f04/cocacolacompany/db/880/11107/earnings_release/Coca-Cola+2026+Q1+Earnings+Release_Full+Release_4.28.26.pdf" TargetMode="External"/><Relationship Id="rId49" Type="http://schemas.openxmlformats.org/officeDocument/2006/relationships/hyperlink" Target="https://www.sec.gov/Archives/edgar/data/21344/000002134418000008/a2017123110-k.htm" TargetMode="External"/><Relationship Id="rId57" Type="http://schemas.openxmlformats.org/officeDocument/2006/relationships/hyperlink" Target="https://www.sec.gov/Archives/edgar/data/21344/000162828026010047/ko-20251231.htm" TargetMode="External"/><Relationship Id="rId10" Type="http://schemas.openxmlformats.org/officeDocument/2006/relationships/hyperlink" Target="https://www.sec.gov/Archives/edgar/data/21344/000162828026010047/ko-20251231.htm" TargetMode="External"/><Relationship Id="rId31" Type="http://schemas.openxmlformats.org/officeDocument/2006/relationships/hyperlink" Target="https://investors.coca-colacompany.com/_assets/_58ca73310d2ced796ebc757917b74f04/cocacolacompany/db/880/10242/earnings_release/2024_Q4_Earnings_Release_%28Ex-99.1%29_-_Final.pdf" TargetMode="External"/><Relationship Id="rId44" Type="http://schemas.openxmlformats.org/officeDocument/2006/relationships/hyperlink" Target="https://investors.coca-colacompany.com/news-events/press-releases/detail/1012/coca-cola-reports-fourth-quarter-and-full-year-2020-results" TargetMode="External"/><Relationship Id="rId52" Type="http://schemas.openxmlformats.org/officeDocument/2006/relationships/hyperlink" Target="https://www.sec.gov/Archives/edgar/data/21344/000002134421000008/ko-20201231.htm" TargetMode="External"/><Relationship Id="rId60" Type="http://schemas.openxmlformats.org/officeDocument/2006/relationships/hyperlink" Target="https://investors.coca-colacompany.com/_assets/_58ca73310d2ced796ebc757917b74f04/cocacolacompany/db/880/11064/earnings_release/Coca-Cola+2025+Q2+Earnings+Release_Full+Release_7.22.25.pdf" TargetMode="External"/><Relationship Id="rId65" Type="http://schemas.openxmlformats.org/officeDocument/2006/relationships/hyperlink" Target="https://investors.coca-colacompany.com/_assets/_58ca73310d2ced796ebc757917b74f04/cocacolacompany/db/880/11088/earnings_release/Coca-Cola+Q4+2025+Earnings+Release_Full+Release_2.10.26.pdf" TargetMode="External"/><Relationship Id="rId4" Type="http://schemas.openxmlformats.org/officeDocument/2006/relationships/hyperlink" Target="https://www.sec.gov/Archives/edgar/data/21344/000002134420000006/a2019123110-k.htm" TargetMode="External"/><Relationship Id="rId9" Type="http://schemas.openxmlformats.org/officeDocument/2006/relationships/hyperlink" Target="https://www.sec.gov/Archives/edgar/data/21344/000002134425000011/ko-20241231.htm" TargetMode="External"/><Relationship Id="rId13" Type="http://schemas.openxmlformats.org/officeDocument/2006/relationships/hyperlink" Target="https://www.sec.gov/Archives/edgar/data/21344/000002134419000014/a2018123110-k.htm" TargetMode="External"/><Relationship Id="rId18" Type="http://schemas.openxmlformats.org/officeDocument/2006/relationships/hyperlink" Target="https://www.sec.gov/Archives/edgar/data/21344/000002134424000009/ko-20231231.htm" TargetMode="External"/><Relationship Id="rId39" Type="http://schemas.openxmlformats.org/officeDocument/2006/relationships/hyperlink" Target="../../../../../../Desktop/AI%20Invest/Workspace/research/companies/US/KO-coca-cola/data/inbox/2025Q3_EarningsCall_20251021.md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24F"/>
    <pageSetUpPr fitToPage="1"/>
  </sheetPr>
  <dimension ref="A1:H55"/>
  <sheetViews>
    <sheetView showGridLines="0" zoomScaleNormal="100" workbookViewId="0">
      <pane xSplit="1" ySplit="5" topLeftCell="B6" activePane="bottomRight" state="frozen"/>
      <selection pane="topRight"/>
      <selection pane="bottomLeft"/>
      <selection pane="bottomRight" sqref="A1:B1"/>
    </sheetView>
  </sheetViews>
  <sheetFormatPr baseColWidth="10" defaultColWidth="8.83203125" defaultRowHeight="14"/>
  <cols>
    <col min="1" max="1" width="34" customWidth="1"/>
    <col min="2" max="2" width="108" customWidth="1"/>
    <col min="3" max="8" width="2" customWidth="1"/>
  </cols>
  <sheetData>
    <row r="1" spans="1:8" ht="36" customHeight="1">
      <c r="A1" s="22" t="s">
        <v>83</v>
      </c>
      <c r="B1" s="23"/>
      <c r="C1" s="27"/>
      <c r="D1" s="27"/>
      <c r="E1" s="27"/>
      <c r="F1" s="27"/>
      <c r="G1" s="27"/>
      <c r="H1" s="27"/>
    </row>
    <row r="2" spans="1:8" ht="21" customHeight="1">
      <c r="A2" s="23" t="s">
        <v>1</v>
      </c>
      <c r="B2" s="22"/>
    </row>
    <row r="3" spans="1:8" ht="10" customHeight="1"/>
    <row r="4" spans="1:8" ht="29" customHeight="1">
      <c r="A4" s="23" t="s">
        <v>84</v>
      </c>
      <c r="B4" s="23"/>
    </row>
    <row r="5" spans="1:8" ht="10" customHeight="1"/>
    <row r="6" spans="1:8" ht="24" customHeight="1">
      <c r="A6" s="38" t="s">
        <v>85</v>
      </c>
      <c r="B6" s="39" t="s">
        <v>86</v>
      </c>
    </row>
    <row r="7" spans="1:8" ht="24" customHeight="1">
      <c r="A7" s="40" t="s">
        <v>87</v>
      </c>
      <c r="B7" s="41" t="s">
        <v>88</v>
      </c>
    </row>
    <row r="8" spans="1:8" ht="24" customHeight="1">
      <c r="A8" s="38" t="s">
        <v>89</v>
      </c>
      <c r="B8" s="39" t="s">
        <v>90</v>
      </c>
    </row>
    <row r="9" spans="1:8" ht="24" customHeight="1">
      <c r="A9" s="40" t="s">
        <v>91</v>
      </c>
      <c r="B9" s="41" t="s">
        <v>92</v>
      </c>
    </row>
    <row r="10" spans="1:8" ht="24" customHeight="1">
      <c r="A10" s="38" t="s">
        <v>93</v>
      </c>
      <c r="B10" s="39" t="s">
        <v>94</v>
      </c>
    </row>
    <row r="11" spans="1:8" ht="24" customHeight="1">
      <c r="A11" s="40" t="s">
        <v>95</v>
      </c>
      <c r="B11" s="41" t="s">
        <v>96</v>
      </c>
    </row>
    <row r="12" spans="1:8" ht="37" customHeight="1">
      <c r="A12" s="38" t="s">
        <v>97</v>
      </c>
      <c r="B12" s="39" t="s">
        <v>98</v>
      </c>
    </row>
    <row r="13" spans="1:8" ht="24" customHeight="1">
      <c r="A13" s="40" t="s">
        <v>99</v>
      </c>
      <c r="B13" s="41" t="s">
        <v>100</v>
      </c>
    </row>
    <row r="14" spans="1:8" ht="24" customHeight="1">
      <c r="A14" s="38" t="s">
        <v>101</v>
      </c>
      <c r="B14" s="39" t="s">
        <v>102</v>
      </c>
    </row>
    <row r="15" spans="1:8" ht="10" customHeight="1"/>
    <row r="16" spans="1:8" ht="29" customHeight="1">
      <c r="A16" s="23" t="s">
        <v>103</v>
      </c>
      <c r="B16" s="23"/>
    </row>
    <row r="17" spans="1:2" ht="24" customHeight="1">
      <c r="A17" s="40" t="s">
        <v>104</v>
      </c>
      <c r="B17" s="41" t="s">
        <v>105</v>
      </c>
    </row>
    <row r="18" spans="1:2" ht="24" customHeight="1">
      <c r="A18" s="38" t="s">
        <v>106</v>
      </c>
      <c r="B18" s="39" t="s">
        <v>107</v>
      </c>
    </row>
    <row r="19" spans="1:2" ht="37" customHeight="1">
      <c r="A19" s="40" t="s">
        <v>108</v>
      </c>
      <c r="B19" s="41" t="s">
        <v>109</v>
      </c>
    </row>
    <row r="20" spans="1:2" ht="37" customHeight="1">
      <c r="A20" s="38" t="s">
        <v>110</v>
      </c>
      <c r="B20" s="39" t="s">
        <v>111</v>
      </c>
    </row>
    <row r="21" spans="1:2" ht="24" customHeight="1">
      <c r="A21" s="40" t="s">
        <v>112</v>
      </c>
      <c r="B21" s="41" t="s">
        <v>113</v>
      </c>
    </row>
    <row r="22" spans="1:2" ht="37" customHeight="1">
      <c r="A22" s="38" t="s">
        <v>114</v>
      </c>
      <c r="B22" s="39" t="s">
        <v>115</v>
      </c>
    </row>
    <row r="23" spans="1:2" ht="24" customHeight="1">
      <c r="A23" s="40" t="s">
        <v>116</v>
      </c>
      <c r="B23" s="41" t="s">
        <v>117</v>
      </c>
    </row>
    <row r="24" spans="1:2" ht="10" customHeight="1"/>
    <row r="25" spans="1:2" ht="29" customHeight="1">
      <c r="A25" s="23" t="s">
        <v>118</v>
      </c>
      <c r="B25" s="23"/>
    </row>
    <row r="26" spans="1:2" ht="24" customHeight="1">
      <c r="A26" s="42" t="s">
        <v>119</v>
      </c>
      <c r="B26" s="39" t="s">
        <v>120</v>
      </c>
    </row>
    <row r="27" spans="1:2" ht="24" customHeight="1">
      <c r="A27" s="40" t="s">
        <v>121</v>
      </c>
      <c r="B27" s="41" t="s">
        <v>122</v>
      </c>
    </row>
    <row r="28" spans="1:2" ht="24" customHeight="1">
      <c r="A28" s="43" t="s">
        <v>123</v>
      </c>
      <c r="B28" s="39" t="s">
        <v>124</v>
      </c>
    </row>
    <row r="29" spans="1:2" ht="24" customHeight="1">
      <c r="A29" s="44" t="s">
        <v>125</v>
      </c>
      <c r="B29" s="41" t="s">
        <v>126</v>
      </c>
    </row>
    <row r="30" spans="1:2" ht="10" customHeight="1"/>
    <row r="31" spans="1:2" ht="29" customHeight="1">
      <c r="A31" s="23" t="s">
        <v>127</v>
      </c>
      <c r="B31" s="23"/>
    </row>
    <row r="32" spans="1:2" ht="52.5" customHeight="1">
      <c r="A32" s="38" t="s">
        <v>128</v>
      </c>
      <c r="B32" s="39" t="s">
        <v>129</v>
      </c>
    </row>
    <row r="33" spans="1:2" ht="37" customHeight="1">
      <c r="A33" s="40" t="s">
        <v>130</v>
      </c>
      <c r="B33" s="41" t="s">
        <v>131</v>
      </c>
    </row>
    <row r="34" spans="1:2" ht="37" customHeight="1">
      <c r="A34" s="38" t="s">
        <v>132</v>
      </c>
      <c r="B34" s="39" t="s">
        <v>133</v>
      </c>
    </row>
    <row r="35" spans="1:2" ht="10" customHeight="1"/>
    <row r="36" spans="1:2" ht="29" customHeight="1">
      <c r="A36" s="23" t="s">
        <v>134</v>
      </c>
      <c r="B36" s="23"/>
    </row>
    <row r="37" spans="1:2" ht="37" customHeight="1">
      <c r="A37" s="40" t="s">
        <v>135</v>
      </c>
      <c r="B37" s="41" t="s">
        <v>136</v>
      </c>
    </row>
    <row r="38" spans="1:2" ht="37" customHeight="1">
      <c r="A38" s="38" t="s">
        <v>137</v>
      </c>
      <c r="B38" s="39" t="s">
        <v>138</v>
      </c>
    </row>
    <row r="39" spans="1:2" ht="68" customHeight="1">
      <c r="A39" s="40" t="s">
        <v>139</v>
      </c>
      <c r="B39" s="41" t="s">
        <v>140</v>
      </c>
    </row>
    <row r="40" spans="1:2" ht="52.5" customHeight="1">
      <c r="A40" s="38" t="s">
        <v>141</v>
      </c>
      <c r="B40" s="39" t="s">
        <v>142</v>
      </c>
    </row>
    <row r="41" spans="1:2" ht="52.5" customHeight="1">
      <c r="A41" s="40" t="s">
        <v>143</v>
      </c>
      <c r="B41" s="41" t="s">
        <v>144</v>
      </c>
    </row>
    <row r="42" spans="1:2" ht="52.5" customHeight="1">
      <c r="A42" s="38" t="s">
        <v>145</v>
      </c>
      <c r="B42" s="39" t="s">
        <v>146</v>
      </c>
    </row>
    <row r="43" spans="1:2" ht="10" customHeight="1"/>
    <row r="44" spans="1:2" ht="29" customHeight="1">
      <c r="A44" s="23" t="s">
        <v>147</v>
      </c>
      <c r="B44" s="23"/>
    </row>
    <row r="45" spans="1:2" ht="24" customHeight="1">
      <c r="A45" s="40" t="s">
        <v>148</v>
      </c>
      <c r="B45" s="41" t="s">
        <v>149</v>
      </c>
    </row>
    <row r="46" spans="1:2" ht="37" customHeight="1">
      <c r="A46" s="38" t="s">
        <v>150</v>
      </c>
      <c r="B46" s="39" t="s">
        <v>151</v>
      </c>
    </row>
    <row r="47" spans="1:2" ht="37" customHeight="1">
      <c r="A47" s="40" t="s">
        <v>152</v>
      </c>
      <c r="B47" s="41" t="s">
        <v>153</v>
      </c>
    </row>
    <row r="48" spans="1:2" ht="37" customHeight="1">
      <c r="A48" s="38" t="s">
        <v>154</v>
      </c>
      <c r="B48" s="39" t="s">
        <v>155</v>
      </c>
    </row>
    <row r="49" spans="1:2" ht="10" customHeight="1"/>
    <row r="50" spans="1:2" ht="29" customHeight="1">
      <c r="A50" s="23" t="s">
        <v>156</v>
      </c>
      <c r="B50" s="23"/>
    </row>
    <row r="51" spans="1:2" ht="24" customHeight="1">
      <c r="A51" s="45"/>
      <c r="B51" s="41" t="s">
        <v>157</v>
      </c>
    </row>
    <row r="52" spans="1:2" ht="10" customHeight="1"/>
    <row r="53" spans="1:2" ht="37" customHeight="1">
      <c r="A53" s="40" t="s">
        <v>158</v>
      </c>
      <c r="B53" s="41" t="s">
        <v>159</v>
      </c>
    </row>
    <row r="54" spans="1:2" ht="37" customHeight="1">
      <c r="A54" s="38" t="s">
        <v>160</v>
      </c>
      <c r="B54" s="39" t="s">
        <v>161</v>
      </c>
    </row>
    <row r="55" spans="1:2" ht="37" customHeight="1">
      <c r="A55" s="40" t="s">
        <v>162</v>
      </c>
      <c r="B55" s="41" t="s">
        <v>163</v>
      </c>
    </row>
  </sheetData>
  <mergeCells count="9">
    <mergeCell ref="A44:B44"/>
    <mergeCell ref="A1:B1"/>
    <mergeCell ref="A31:B31"/>
    <mergeCell ref="A50:B50"/>
    <mergeCell ref="A4:B4"/>
    <mergeCell ref="A16:B16"/>
    <mergeCell ref="A2:B2"/>
    <mergeCell ref="A25:B25"/>
    <mergeCell ref="A36:B36"/>
  </mergeCells>
  <phoneticPr fontId="9" type="noConversion"/>
  <pageMargins left="0.25" right="0.25" top="0.4" bottom="0.4" header="0.3" footer="0.3"/>
  <pageSetup paperSize="9" fitToHeight="0" orientation="portrait"/>
  <headerFooter>
    <oddFooter>&amp;L&amp;"Arial"&amp;8 &amp;K64748BKO | Company research&amp;R&amp;8 &amp;K64748BPage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324F"/>
    <pageSetUpPr fitToPage="1"/>
  </sheetPr>
  <dimension ref="A1:U54"/>
  <sheetViews>
    <sheetView showGridLines="0" zoomScale="95" zoomScaleNormal="95" workbookViewId="0">
      <pane xSplit="2" ySplit="5" topLeftCell="C8" activePane="bottomRight" state="frozen"/>
      <selection pane="topRight" activeCell="C3" sqref="C3"/>
      <selection pane="bottomLeft" activeCell="A6" sqref="A6"/>
      <selection pane="bottomRight" activeCell="A11" sqref="A11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22" t="s">
        <v>164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21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25" customHeight="1"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  <c r="K3" s="46" t="s">
        <v>10</v>
      </c>
      <c r="L3" s="46" t="s">
        <v>11</v>
      </c>
      <c r="M3" s="47" t="s">
        <v>12</v>
      </c>
      <c r="N3" s="47" t="s">
        <v>12</v>
      </c>
      <c r="O3" s="47" t="s">
        <v>12</v>
      </c>
      <c r="P3" s="48" t="s">
        <v>13</v>
      </c>
      <c r="Q3" s="48" t="s">
        <v>14</v>
      </c>
      <c r="R3" s="48" t="s">
        <v>15</v>
      </c>
      <c r="S3" s="48" t="s">
        <v>16</v>
      </c>
      <c r="T3" s="48" t="s">
        <v>17</v>
      </c>
      <c r="U3" s="48" t="s">
        <v>18</v>
      </c>
    </row>
    <row r="4" spans="1:21" ht="18" customHeight="1">
      <c r="C4" s="49" t="s">
        <v>19</v>
      </c>
      <c r="D4" s="49" t="s">
        <v>20</v>
      </c>
      <c r="E4" s="49" t="s">
        <v>21</v>
      </c>
      <c r="F4" s="49" t="s">
        <v>22</v>
      </c>
      <c r="G4" s="49" t="s">
        <v>23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28</v>
      </c>
      <c r="M4" s="50"/>
      <c r="N4" s="50"/>
      <c r="O4" s="50"/>
      <c r="P4" s="49" t="s">
        <v>29</v>
      </c>
      <c r="Q4" s="49" t="s">
        <v>30</v>
      </c>
      <c r="R4" s="49" t="s">
        <v>31</v>
      </c>
      <c r="S4" s="49" t="s">
        <v>32</v>
      </c>
      <c r="T4" s="49" t="s">
        <v>33</v>
      </c>
      <c r="U4" s="49" t="s">
        <v>34</v>
      </c>
    </row>
    <row r="5" spans="1:21" ht="10" customHeight="1">
      <c r="M5" s="29"/>
      <c r="N5" s="29"/>
      <c r="O5" s="29"/>
    </row>
    <row r="6" spans="1:21" ht="22" customHeight="1">
      <c r="A6" s="21" t="s">
        <v>35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22" customHeight="1">
      <c r="A7" s="21" t="str">
        <f>HYPERLINK("#'Income Statement'!A10","1. INCOME STATEMENT — AS REPORTED (expenses shown positive, as filed)")</f>
        <v>1. INCOME STATEMENT — AS REPORTED (expenses shown positive, as filed)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1:21" ht="22" customHeight="1">
      <c r="A8" s="21" t="str">
        <f>HYPERLINK("#'Income Statement'!A47","2. CHECKS")</f>
        <v>2. CHECKS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10" customHeight="1">
      <c r="M9" s="29"/>
      <c r="N9" s="29"/>
      <c r="O9" s="29"/>
    </row>
    <row r="10" spans="1:21" ht="29" customHeight="1">
      <c r="A10" s="23" t="s">
        <v>165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spans="1:21" ht="21.5" customHeight="1">
      <c r="A11" s="51" t="s">
        <v>166</v>
      </c>
      <c r="B11" s="52"/>
      <c r="C11" s="53">
        <v>41863</v>
      </c>
      <c r="D11" s="53">
        <v>36212</v>
      </c>
      <c r="E11" s="53">
        <v>34300</v>
      </c>
      <c r="F11" s="53">
        <v>37266</v>
      </c>
      <c r="G11" s="53">
        <v>33014</v>
      </c>
      <c r="H11" s="53">
        <v>38655</v>
      </c>
      <c r="I11" s="53">
        <v>43004</v>
      </c>
      <c r="J11" s="53">
        <v>45754</v>
      </c>
      <c r="K11" s="53">
        <v>47061</v>
      </c>
      <c r="L11" s="53">
        <v>47941</v>
      </c>
      <c r="M11" s="29"/>
      <c r="N11" s="29"/>
      <c r="O11" s="29"/>
      <c r="P11" s="53">
        <v>11854</v>
      </c>
      <c r="Q11" s="53">
        <v>11129</v>
      </c>
      <c r="R11" s="53">
        <v>12535</v>
      </c>
      <c r="S11" s="53">
        <v>12455</v>
      </c>
      <c r="T11" s="53">
        <v>12472</v>
      </c>
      <c r="U11" s="53">
        <v>13380</v>
      </c>
    </row>
    <row r="12" spans="1:21" ht="21.5" customHeight="1">
      <c r="A12" s="54" t="s">
        <v>38</v>
      </c>
      <c r="D12" s="55">
        <f t="shared" ref="D12:L12" si="0">IF(N(C11)=0,"",D11/C11-1)</f>
        <v>-0.13498793684160237</v>
      </c>
      <c r="E12" s="55">
        <f t="shared" si="0"/>
        <v>-5.2800176736993221E-2</v>
      </c>
      <c r="F12" s="55">
        <f t="shared" si="0"/>
        <v>8.647230320699717E-2</v>
      </c>
      <c r="G12" s="55">
        <f t="shared" si="0"/>
        <v>-0.11409864219395693</v>
      </c>
      <c r="H12" s="55">
        <f t="shared" si="0"/>
        <v>0.17086690494941537</v>
      </c>
      <c r="I12" s="55">
        <f t="shared" si="0"/>
        <v>0.11250808433579107</v>
      </c>
      <c r="J12" s="55">
        <f t="shared" si="0"/>
        <v>6.3947539763743011E-2</v>
      </c>
      <c r="K12" s="55">
        <f t="shared" si="0"/>
        <v>2.8565808453905772E-2</v>
      </c>
      <c r="L12" s="55">
        <f t="shared" si="0"/>
        <v>1.8699135164998548E-2</v>
      </c>
      <c r="M12" s="29"/>
      <c r="N12" s="29"/>
      <c r="O12" s="29"/>
    </row>
    <row r="13" spans="1:21" ht="21.5" customHeight="1">
      <c r="A13" s="56" t="s">
        <v>167</v>
      </c>
      <c r="C13" s="57">
        <v>16465</v>
      </c>
      <c r="D13" s="57">
        <v>13721</v>
      </c>
      <c r="E13" s="57">
        <v>13067</v>
      </c>
      <c r="F13" s="57">
        <v>14619</v>
      </c>
      <c r="G13" s="57">
        <v>13433</v>
      </c>
      <c r="H13" s="57">
        <v>15357</v>
      </c>
      <c r="I13" s="57">
        <v>18000</v>
      </c>
      <c r="J13" s="57">
        <v>18520</v>
      </c>
      <c r="K13" s="57">
        <v>18324</v>
      </c>
      <c r="L13" s="57">
        <v>18397</v>
      </c>
      <c r="M13" s="29"/>
      <c r="N13" s="29"/>
      <c r="O13" s="29"/>
      <c r="P13" s="57">
        <v>4664</v>
      </c>
      <c r="Q13" s="57">
        <v>4163</v>
      </c>
      <c r="R13" s="57">
        <v>4714</v>
      </c>
      <c r="S13" s="57">
        <v>4797</v>
      </c>
      <c r="T13" s="57">
        <v>4620</v>
      </c>
      <c r="U13" s="57">
        <v>4965</v>
      </c>
    </row>
    <row r="14" spans="1:21" ht="21.5" customHeight="1">
      <c r="A14" s="51" t="s">
        <v>168</v>
      </c>
      <c r="B14" s="52"/>
      <c r="C14" s="53">
        <v>25398</v>
      </c>
      <c r="D14" s="53">
        <v>22491</v>
      </c>
      <c r="E14" s="53">
        <v>21233</v>
      </c>
      <c r="F14" s="53">
        <v>22647</v>
      </c>
      <c r="G14" s="53">
        <v>19581</v>
      </c>
      <c r="H14" s="53">
        <v>23298</v>
      </c>
      <c r="I14" s="53">
        <v>25004</v>
      </c>
      <c r="J14" s="53">
        <v>27234</v>
      </c>
      <c r="K14" s="53">
        <v>28737</v>
      </c>
      <c r="L14" s="53">
        <v>29544</v>
      </c>
      <c r="M14" s="32"/>
      <c r="N14" s="32"/>
      <c r="O14" s="32"/>
      <c r="P14" s="53">
        <v>7190</v>
      </c>
      <c r="Q14" s="53">
        <v>6966</v>
      </c>
      <c r="R14" s="53">
        <v>7821</v>
      </c>
      <c r="S14" s="53">
        <v>7658</v>
      </c>
      <c r="T14" s="53">
        <v>7852</v>
      </c>
      <c r="U14" s="53">
        <v>8415</v>
      </c>
    </row>
    <row r="15" spans="1:21" ht="21.5" customHeight="1">
      <c r="A15" s="54" t="s">
        <v>169</v>
      </c>
      <c r="C15" s="55">
        <f t="shared" ref="C15:L15" si="1">C14/C11</f>
        <v>0.60669326135250701</v>
      </c>
      <c r="D15" s="55">
        <f t="shared" si="1"/>
        <v>0.62109245553960013</v>
      </c>
      <c r="E15" s="55">
        <f t="shared" si="1"/>
        <v>0.61903790087463562</v>
      </c>
      <c r="F15" s="55">
        <f t="shared" si="1"/>
        <v>0.60771212365158589</v>
      </c>
      <c r="G15" s="55">
        <f t="shared" si="1"/>
        <v>0.59311201308535777</v>
      </c>
      <c r="H15" s="55">
        <f t="shared" si="1"/>
        <v>0.60271633682576642</v>
      </c>
      <c r="I15" s="55">
        <f t="shared" si="1"/>
        <v>0.58143428518277374</v>
      </c>
      <c r="J15" s="55">
        <f t="shared" si="1"/>
        <v>0.5952266468505486</v>
      </c>
      <c r="K15" s="55">
        <f t="shared" si="1"/>
        <v>0.61063300822336963</v>
      </c>
      <c r="L15" s="55">
        <f t="shared" si="1"/>
        <v>0.61625748315637974</v>
      </c>
      <c r="M15" s="29"/>
      <c r="N15" s="29"/>
      <c r="O15" s="29"/>
      <c r="P15" s="55">
        <f t="shared" ref="P15:U15" si="2">P14/P11</f>
        <v>0.60654631348068166</v>
      </c>
      <c r="Q15" s="55">
        <f t="shared" si="2"/>
        <v>0.62593224907898282</v>
      </c>
      <c r="R15" s="55">
        <f t="shared" si="2"/>
        <v>0.62393298763462302</v>
      </c>
      <c r="S15" s="55">
        <f t="shared" si="2"/>
        <v>0.61485347250100364</v>
      </c>
      <c r="T15" s="55">
        <f t="shared" si="2"/>
        <v>0.62957023733162287</v>
      </c>
      <c r="U15" s="55">
        <f t="shared" si="2"/>
        <v>0.62892376681614348</v>
      </c>
    </row>
    <row r="16" spans="1:21" ht="21.5" customHeight="1">
      <c r="A16" s="56" t="s">
        <v>170</v>
      </c>
      <c r="C16" s="57">
        <v>15370</v>
      </c>
      <c r="D16" s="57">
        <v>12834</v>
      </c>
      <c r="E16" s="57">
        <v>11002</v>
      </c>
      <c r="F16" s="57">
        <v>12103</v>
      </c>
      <c r="G16" s="57">
        <v>9731</v>
      </c>
      <c r="H16" s="57">
        <v>12144</v>
      </c>
      <c r="I16" s="57">
        <v>12880</v>
      </c>
      <c r="J16" s="57">
        <v>13972</v>
      </c>
      <c r="K16" s="57">
        <v>14582</v>
      </c>
      <c r="L16" s="57">
        <v>14521</v>
      </c>
      <c r="M16" s="29"/>
      <c r="N16" s="29"/>
      <c r="O16" s="29"/>
      <c r="P16" s="57">
        <v>3636</v>
      </c>
      <c r="Q16" s="57">
        <v>3234</v>
      </c>
      <c r="R16" s="57">
        <v>3470</v>
      </c>
      <c r="S16" s="57">
        <v>3618</v>
      </c>
      <c r="T16" s="57">
        <v>3472</v>
      </c>
      <c r="U16" s="57">
        <v>3720</v>
      </c>
    </row>
    <row r="17" spans="1:21" ht="21.5" customHeight="1">
      <c r="A17" s="56" t="s">
        <v>171</v>
      </c>
      <c r="C17" s="57">
        <v>1371</v>
      </c>
      <c r="D17" s="57">
        <v>1902</v>
      </c>
      <c r="E17" s="57">
        <v>1079</v>
      </c>
      <c r="F17" s="57">
        <v>458</v>
      </c>
      <c r="G17" s="57">
        <v>853</v>
      </c>
      <c r="H17" s="57">
        <v>846</v>
      </c>
      <c r="I17" s="57">
        <v>1215</v>
      </c>
      <c r="J17" s="57">
        <v>1951</v>
      </c>
      <c r="K17" s="57">
        <v>4163</v>
      </c>
      <c r="L17" s="57">
        <v>1261</v>
      </c>
      <c r="M17" s="29"/>
      <c r="N17" s="29"/>
      <c r="O17" s="29"/>
      <c r="P17" s="57">
        <v>1044</v>
      </c>
      <c r="Q17" s="57">
        <v>73</v>
      </c>
      <c r="R17" s="57">
        <v>71</v>
      </c>
      <c r="S17" s="57">
        <v>58</v>
      </c>
      <c r="T17" s="57">
        <v>21</v>
      </c>
      <c r="U17" s="57">
        <v>23</v>
      </c>
    </row>
    <row r="18" spans="1:21" ht="21.5" customHeight="1">
      <c r="A18" s="51" t="s">
        <v>172</v>
      </c>
      <c r="B18" s="52"/>
      <c r="C18" s="53">
        <v>8657</v>
      </c>
      <c r="D18" s="53">
        <v>7755</v>
      </c>
      <c r="E18" s="53">
        <v>9152</v>
      </c>
      <c r="F18" s="53">
        <v>10086</v>
      </c>
      <c r="G18" s="53">
        <v>8997</v>
      </c>
      <c r="H18" s="53">
        <v>10308</v>
      </c>
      <c r="I18" s="53">
        <v>10909</v>
      </c>
      <c r="J18" s="53">
        <v>11311</v>
      </c>
      <c r="K18" s="53">
        <v>9992</v>
      </c>
      <c r="L18" s="53">
        <v>13762</v>
      </c>
      <c r="M18" s="32"/>
      <c r="N18" s="32"/>
      <c r="O18" s="32"/>
      <c r="P18" s="53">
        <v>2510</v>
      </c>
      <c r="Q18" s="53">
        <v>3659</v>
      </c>
      <c r="R18" s="53">
        <v>4280</v>
      </c>
      <c r="S18" s="53">
        <v>3982</v>
      </c>
      <c r="T18" s="53">
        <v>4359</v>
      </c>
      <c r="U18" s="53">
        <v>4672</v>
      </c>
    </row>
    <row r="19" spans="1:21" ht="21.5" customHeight="1">
      <c r="A19" s="54" t="s">
        <v>173</v>
      </c>
      <c r="C19" s="55">
        <f t="shared" ref="C19:L19" si="3">C18/C11</f>
        <v>0.20679358861046748</v>
      </c>
      <c r="D19" s="55">
        <f t="shared" si="3"/>
        <v>0.21415552855407047</v>
      </c>
      <c r="E19" s="55">
        <f t="shared" si="3"/>
        <v>0.26682215743440235</v>
      </c>
      <c r="F19" s="55">
        <f t="shared" si="3"/>
        <v>0.27064884881661566</v>
      </c>
      <c r="G19" s="55">
        <f t="shared" si="3"/>
        <v>0.27252074877324772</v>
      </c>
      <c r="H19" s="55">
        <f t="shared" si="3"/>
        <v>0.26666666666666666</v>
      </c>
      <c r="I19" s="55">
        <f t="shared" si="3"/>
        <v>0.25367407683006232</v>
      </c>
      <c r="J19" s="55">
        <f t="shared" si="3"/>
        <v>0.24721335839489444</v>
      </c>
      <c r="K19" s="55">
        <f t="shared" si="3"/>
        <v>0.21232018019166612</v>
      </c>
      <c r="L19" s="55">
        <f t="shared" si="3"/>
        <v>0.28706117936630443</v>
      </c>
      <c r="M19" s="29"/>
      <c r="N19" s="29"/>
      <c r="O19" s="29"/>
      <c r="P19" s="55">
        <f t="shared" ref="P19:U19" si="4">P18/P11</f>
        <v>0.21174287160452168</v>
      </c>
      <c r="Q19" s="55">
        <f t="shared" si="4"/>
        <v>0.32878066313235693</v>
      </c>
      <c r="R19" s="55">
        <f t="shared" si="4"/>
        <v>0.34144395692062224</v>
      </c>
      <c r="S19" s="55">
        <f t="shared" si="4"/>
        <v>0.31971095945403455</v>
      </c>
      <c r="T19" s="55">
        <f t="shared" si="4"/>
        <v>0.34950288646568312</v>
      </c>
      <c r="U19" s="55">
        <f t="shared" si="4"/>
        <v>0.34917787742899853</v>
      </c>
    </row>
    <row r="20" spans="1:21" ht="21.5" customHeight="1">
      <c r="A20" s="54" t="s">
        <v>38</v>
      </c>
      <c r="D20" s="55">
        <f t="shared" ref="D20:L20" si="5">IF(N(C18)=0,"",D18/C18-1)</f>
        <v>-0.10419313850063527</v>
      </c>
      <c r="E20" s="55">
        <f t="shared" si="5"/>
        <v>0.18014184397163113</v>
      </c>
      <c r="F20" s="55">
        <f t="shared" si="5"/>
        <v>0.10205419580419584</v>
      </c>
      <c r="G20" s="55">
        <f t="shared" si="5"/>
        <v>-0.10797144556811422</v>
      </c>
      <c r="H20" s="55">
        <f t="shared" si="5"/>
        <v>0.1457152384128042</v>
      </c>
      <c r="I20" s="55">
        <f t="shared" si="5"/>
        <v>5.830422972448579E-2</v>
      </c>
      <c r="J20" s="55">
        <f t="shared" si="5"/>
        <v>3.685030708589232E-2</v>
      </c>
      <c r="K20" s="55">
        <f t="shared" si="5"/>
        <v>-0.1166121474670675</v>
      </c>
      <c r="L20" s="55">
        <f t="shared" si="5"/>
        <v>0.37730184147317858</v>
      </c>
      <c r="M20" s="29"/>
      <c r="N20" s="29"/>
      <c r="O20" s="29"/>
    </row>
    <row r="21" spans="1:21" ht="21.5" customHeight="1">
      <c r="A21" s="56" t="s">
        <v>174</v>
      </c>
      <c r="C21" s="57">
        <v>642</v>
      </c>
      <c r="D21" s="57">
        <v>679</v>
      </c>
      <c r="E21" s="57">
        <v>689</v>
      </c>
      <c r="F21" s="57">
        <v>563</v>
      </c>
      <c r="G21" s="57">
        <v>370</v>
      </c>
      <c r="H21" s="57">
        <v>276</v>
      </c>
      <c r="I21" s="57">
        <v>449</v>
      </c>
      <c r="J21" s="57">
        <v>907</v>
      </c>
      <c r="K21" s="57">
        <v>988</v>
      </c>
      <c r="L21" s="57">
        <v>786</v>
      </c>
      <c r="M21" s="29"/>
      <c r="N21" s="29"/>
      <c r="O21" s="29"/>
      <c r="P21" s="57">
        <v>263</v>
      </c>
      <c r="Q21" s="57">
        <v>180</v>
      </c>
      <c r="R21" s="57">
        <v>188</v>
      </c>
      <c r="S21" s="57">
        <v>185</v>
      </c>
      <c r="T21" s="57">
        <v>222</v>
      </c>
      <c r="U21" s="57">
        <v>198</v>
      </c>
    </row>
    <row r="22" spans="1:21" ht="21.5" customHeight="1">
      <c r="A22" s="56" t="s">
        <v>175</v>
      </c>
      <c r="C22" s="57">
        <v>733</v>
      </c>
      <c r="D22" s="57">
        <v>853</v>
      </c>
      <c r="E22" s="57">
        <v>950</v>
      </c>
      <c r="F22" s="57">
        <v>946</v>
      </c>
      <c r="G22" s="57">
        <v>1437</v>
      </c>
      <c r="H22" s="57">
        <v>1597</v>
      </c>
      <c r="I22" s="57">
        <v>882</v>
      </c>
      <c r="J22" s="57">
        <v>1527</v>
      </c>
      <c r="K22" s="57">
        <v>1656</v>
      </c>
      <c r="L22" s="57">
        <v>1654</v>
      </c>
      <c r="M22" s="29"/>
      <c r="N22" s="29"/>
      <c r="O22" s="29"/>
      <c r="P22" s="57">
        <v>425</v>
      </c>
      <c r="Q22" s="57">
        <v>387</v>
      </c>
      <c r="R22" s="57">
        <v>445</v>
      </c>
      <c r="S22" s="57">
        <v>391</v>
      </c>
      <c r="T22" s="57">
        <v>375</v>
      </c>
      <c r="U22" s="57">
        <v>369</v>
      </c>
    </row>
    <row r="23" spans="1:21" ht="21.5" customHeight="1">
      <c r="A23" s="56" t="s">
        <v>176</v>
      </c>
      <c r="C23" s="57">
        <v>835</v>
      </c>
      <c r="D23" s="57">
        <v>1072</v>
      </c>
      <c r="E23" s="57">
        <v>1008</v>
      </c>
      <c r="F23" s="57">
        <v>1049</v>
      </c>
      <c r="G23" s="57">
        <v>978</v>
      </c>
      <c r="H23" s="57">
        <v>1438</v>
      </c>
      <c r="I23" s="57">
        <v>1472</v>
      </c>
      <c r="J23" s="57">
        <v>1691</v>
      </c>
      <c r="K23" s="57">
        <v>1770</v>
      </c>
      <c r="L23" s="57">
        <v>2031</v>
      </c>
      <c r="M23" s="29"/>
      <c r="N23" s="29"/>
      <c r="O23" s="29"/>
      <c r="P23" s="57">
        <v>541</v>
      </c>
      <c r="Q23" s="57">
        <v>351</v>
      </c>
      <c r="R23" s="57">
        <v>561</v>
      </c>
      <c r="S23" s="57">
        <v>644</v>
      </c>
      <c r="T23" s="57">
        <v>384</v>
      </c>
      <c r="U23" s="57">
        <v>604</v>
      </c>
    </row>
    <row r="24" spans="1:21" ht="21.5" customHeight="1">
      <c r="A24" s="56" t="s">
        <v>177</v>
      </c>
      <c r="C24" s="57">
        <v>-1265</v>
      </c>
      <c r="D24" s="57">
        <v>-1763</v>
      </c>
      <c r="E24" s="57">
        <v>-1674</v>
      </c>
      <c r="F24" s="57">
        <v>34</v>
      </c>
      <c r="G24" s="57">
        <v>841</v>
      </c>
      <c r="H24" s="57">
        <v>2000</v>
      </c>
      <c r="I24" s="57">
        <v>-262</v>
      </c>
      <c r="J24" s="57">
        <v>570</v>
      </c>
      <c r="K24" s="57">
        <v>1992</v>
      </c>
      <c r="L24" s="57">
        <v>1073</v>
      </c>
      <c r="M24" s="29"/>
      <c r="N24" s="29"/>
      <c r="O24" s="29"/>
      <c r="P24" s="57">
        <v>491</v>
      </c>
      <c r="Q24" s="57">
        <v>254</v>
      </c>
      <c r="R24" s="57">
        <v>212</v>
      </c>
      <c r="S24" s="57">
        <v>-237</v>
      </c>
      <c r="T24" s="57">
        <v>21</v>
      </c>
      <c r="U24" s="57">
        <v>370</v>
      </c>
    </row>
    <row r="25" spans="1:21" ht="21.5" customHeight="1">
      <c r="A25" s="51" t="s">
        <v>178</v>
      </c>
      <c r="B25" s="58" t="s">
        <v>179</v>
      </c>
      <c r="C25" s="53">
        <v>8136</v>
      </c>
      <c r="D25" s="53">
        <v>6890</v>
      </c>
      <c r="E25" s="53">
        <v>8225</v>
      </c>
      <c r="F25" s="53">
        <v>10786</v>
      </c>
      <c r="G25" s="53">
        <v>9749</v>
      </c>
      <c r="H25" s="53">
        <v>12425</v>
      </c>
      <c r="I25" s="53">
        <v>11686</v>
      </c>
      <c r="J25" s="53">
        <v>12952</v>
      </c>
      <c r="K25" s="53">
        <v>13086</v>
      </c>
      <c r="L25" s="53">
        <v>15998</v>
      </c>
      <c r="M25" s="32"/>
      <c r="N25" s="32"/>
      <c r="O25" s="32"/>
      <c r="P25" s="53">
        <v>3380</v>
      </c>
      <c r="Q25" s="53">
        <v>4057</v>
      </c>
      <c r="R25" s="53">
        <v>4796</v>
      </c>
      <c r="S25" s="53">
        <v>4183</v>
      </c>
      <c r="T25" s="53">
        <v>4611</v>
      </c>
      <c r="U25" s="53">
        <v>5475</v>
      </c>
    </row>
    <row r="26" spans="1:21" ht="21.5" customHeight="1">
      <c r="A26" s="56" t="s">
        <v>180</v>
      </c>
      <c r="C26" s="57">
        <v>1586</v>
      </c>
      <c r="D26" s="57">
        <v>5607</v>
      </c>
      <c r="E26" s="57">
        <v>1749</v>
      </c>
      <c r="F26" s="57">
        <v>1801</v>
      </c>
      <c r="G26" s="57">
        <v>1981</v>
      </c>
      <c r="H26" s="57">
        <v>2621</v>
      </c>
      <c r="I26" s="57">
        <v>2115</v>
      </c>
      <c r="J26" s="57">
        <v>2249</v>
      </c>
      <c r="K26" s="57">
        <v>2437</v>
      </c>
      <c r="L26" s="57">
        <v>2861</v>
      </c>
      <c r="M26" s="29"/>
      <c r="N26" s="29"/>
      <c r="O26" s="29"/>
      <c r="P26" s="57">
        <v>530</v>
      </c>
      <c r="Q26" s="57">
        <v>722</v>
      </c>
      <c r="R26" s="57">
        <v>993</v>
      </c>
      <c r="S26" s="57">
        <v>500</v>
      </c>
      <c r="T26" s="57">
        <v>645</v>
      </c>
      <c r="U26" s="57">
        <v>1037</v>
      </c>
    </row>
    <row r="27" spans="1:21" ht="21.5" customHeight="1">
      <c r="A27" s="54" t="s">
        <v>181</v>
      </c>
      <c r="C27" s="55">
        <f t="shared" ref="C27:L27" si="6">C26/C25</f>
        <v>0.19493608652900687</v>
      </c>
      <c r="D27" s="55">
        <f t="shared" si="6"/>
        <v>0.81378809869375912</v>
      </c>
      <c r="E27" s="55">
        <f t="shared" si="6"/>
        <v>0.21264437689969604</v>
      </c>
      <c r="F27" s="55">
        <f t="shared" si="6"/>
        <v>0.16697570925273503</v>
      </c>
      <c r="G27" s="55">
        <f t="shared" si="6"/>
        <v>0.20320032823879372</v>
      </c>
      <c r="H27" s="55">
        <f t="shared" si="6"/>
        <v>0.21094567404426559</v>
      </c>
      <c r="I27" s="55">
        <f t="shared" si="6"/>
        <v>0.18098579496833819</v>
      </c>
      <c r="J27" s="55">
        <f t="shared" si="6"/>
        <v>0.17364113650401483</v>
      </c>
      <c r="K27" s="55">
        <f t="shared" si="6"/>
        <v>0.18622955830658719</v>
      </c>
      <c r="L27" s="55">
        <f t="shared" si="6"/>
        <v>0.17883485435679461</v>
      </c>
      <c r="M27" s="29"/>
      <c r="N27" s="29"/>
      <c r="O27" s="29"/>
      <c r="P27" s="55">
        <f t="shared" ref="P27:U27" si="7">P26/P25</f>
        <v>0.15680473372781065</v>
      </c>
      <c r="Q27" s="55">
        <f t="shared" si="7"/>
        <v>0.17796401281735272</v>
      </c>
      <c r="R27" s="55">
        <f t="shared" si="7"/>
        <v>0.20704753961634695</v>
      </c>
      <c r="S27" s="55">
        <f t="shared" si="7"/>
        <v>0.11953143676786995</v>
      </c>
      <c r="T27" s="55">
        <f t="shared" si="7"/>
        <v>0.1398828887443071</v>
      </c>
      <c r="U27" s="55">
        <f t="shared" si="7"/>
        <v>0.18940639269406392</v>
      </c>
    </row>
    <row r="28" spans="1:21" ht="21.5" customHeight="1">
      <c r="A28" s="56" t="s">
        <v>182</v>
      </c>
      <c r="C28" s="57">
        <v>6550</v>
      </c>
      <c r="M28" s="29"/>
      <c r="N28" s="29"/>
      <c r="O28" s="29"/>
    </row>
    <row r="29" spans="1:21" ht="37" customHeight="1">
      <c r="A29" s="51" t="s">
        <v>183</v>
      </c>
      <c r="B29" s="58" t="s">
        <v>184</v>
      </c>
      <c r="C29" s="59">
        <v>0</v>
      </c>
      <c r="D29" s="52"/>
      <c r="E29" s="52"/>
      <c r="F29" s="52"/>
      <c r="G29" s="52"/>
      <c r="H29" s="52"/>
      <c r="I29" s="52"/>
      <c r="J29" s="52"/>
      <c r="K29" s="52"/>
      <c r="L29" s="52"/>
      <c r="M29" s="29"/>
      <c r="N29" s="29"/>
      <c r="O29" s="29"/>
      <c r="P29" s="52"/>
      <c r="Q29" s="52"/>
      <c r="R29" s="52"/>
      <c r="S29" s="52"/>
      <c r="T29" s="52"/>
      <c r="U29" s="52"/>
    </row>
    <row r="30" spans="1:21" ht="21.5" customHeight="1">
      <c r="A30" s="51" t="s">
        <v>185</v>
      </c>
      <c r="B30" s="52"/>
      <c r="C30" s="53">
        <v>6550</v>
      </c>
      <c r="D30" s="53">
        <v>1283</v>
      </c>
      <c r="E30" s="53">
        <v>6476</v>
      </c>
      <c r="F30" s="53">
        <v>8985</v>
      </c>
      <c r="G30" s="53">
        <v>7768</v>
      </c>
      <c r="H30" s="53">
        <v>9804</v>
      </c>
      <c r="I30" s="53">
        <v>9571</v>
      </c>
      <c r="J30" s="53">
        <v>10703</v>
      </c>
      <c r="K30" s="53">
        <v>10649</v>
      </c>
      <c r="L30" s="53">
        <v>13137</v>
      </c>
      <c r="M30" s="32"/>
      <c r="N30" s="32"/>
      <c r="O30" s="32"/>
      <c r="P30" s="53">
        <v>2850</v>
      </c>
      <c r="Q30" s="53">
        <v>3335</v>
      </c>
      <c r="R30" s="53">
        <v>3803</v>
      </c>
      <c r="S30" s="53">
        <v>3683</v>
      </c>
      <c r="T30" s="53">
        <v>3966</v>
      </c>
      <c r="U30" s="53">
        <v>4438</v>
      </c>
    </row>
    <row r="31" spans="1:21" ht="37" customHeight="1">
      <c r="A31" s="56" t="s">
        <v>186</v>
      </c>
      <c r="C31" s="57">
        <v>23</v>
      </c>
      <c r="D31" s="57">
        <v>35</v>
      </c>
      <c r="E31" s="57">
        <v>42</v>
      </c>
      <c r="F31" s="57">
        <v>65</v>
      </c>
      <c r="G31" s="57">
        <v>21</v>
      </c>
      <c r="H31" s="57">
        <v>33</v>
      </c>
      <c r="I31" s="57">
        <v>29</v>
      </c>
      <c r="J31" s="57">
        <v>-11</v>
      </c>
      <c r="K31" s="57">
        <v>18</v>
      </c>
      <c r="L31" s="57">
        <v>30</v>
      </c>
      <c r="M31" s="29"/>
      <c r="N31" s="29"/>
      <c r="O31" s="29"/>
      <c r="P31" s="57">
        <v>2</v>
      </c>
      <c r="Q31" s="57">
        <v>5</v>
      </c>
      <c r="R31" s="57">
        <v>-7</v>
      </c>
      <c r="S31" s="57">
        <v>-13</v>
      </c>
      <c r="T31" s="57">
        <v>42</v>
      </c>
      <c r="U31" s="57">
        <v>13</v>
      </c>
    </row>
    <row r="32" spans="1:21" ht="37" customHeight="1">
      <c r="A32" s="51" t="s">
        <v>187</v>
      </c>
      <c r="B32" s="52"/>
      <c r="C32" s="53">
        <v>6527</v>
      </c>
      <c r="D32" s="53">
        <v>1248</v>
      </c>
      <c r="E32" s="53">
        <v>6434</v>
      </c>
      <c r="F32" s="53">
        <v>8920</v>
      </c>
      <c r="G32" s="53">
        <v>7747</v>
      </c>
      <c r="H32" s="53">
        <v>9771</v>
      </c>
      <c r="I32" s="53">
        <v>9542</v>
      </c>
      <c r="J32" s="53">
        <v>10714</v>
      </c>
      <c r="K32" s="53">
        <v>10631</v>
      </c>
      <c r="L32" s="53">
        <v>13107</v>
      </c>
      <c r="M32" s="32"/>
      <c r="N32" s="32"/>
      <c r="O32" s="32"/>
      <c r="P32" s="53">
        <v>2848</v>
      </c>
      <c r="Q32" s="53">
        <v>3330</v>
      </c>
      <c r="R32" s="53">
        <v>3810</v>
      </c>
      <c r="S32" s="53">
        <v>3696</v>
      </c>
      <c r="T32" s="53">
        <v>3924</v>
      </c>
      <c r="U32" s="53">
        <v>4425</v>
      </c>
    </row>
    <row r="33" spans="1:21" ht="21.5" customHeight="1">
      <c r="A33" s="54" t="s">
        <v>188</v>
      </c>
      <c r="C33" s="55">
        <f t="shared" ref="C33:L33" si="8">C32/C11</f>
        <v>0.15591333635907603</v>
      </c>
      <c r="D33" s="55">
        <f t="shared" si="8"/>
        <v>3.4463713686070915E-2</v>
      </c>
      <c r="E33" s="55">
        <f t="shared" si="8"/>
        <v>0.18758017492711371</v>
      </c>
      <c r="F33" s="55">
        <f t="shared" si="8"/>
        <v>0.23936027478130198</v>
      </c>
      <c r="G33" s="55">
        <f t="shared" si="8"/>
        <v>0.23465802386866177</v>
      </c>
      <c r="H33" s="55">
        <f t="shared" si="8"/>
        <v>0.25277454404346139</v>
      </c>
      <c r="I33" s="55">
        <f t="shared" si="8"/>
        <v>0.22188633615477629</v>
      </c>
      <c r="J33" s="55">
        <f t="shared" si="8"/>
        <v>0.23416531887922368</v>
      </c>
      <c r="K33" s="55">
        <f t="shared" si="8"/>
        <v>0.22589830220352308</v>
      </c>
      <c r="L33" s="55">
        <f t="shared" si="8"/>
        <v>0.27339855238730942</v>
      </c>
      <c r="M33" s="29"/>
      <c r="N33" s="29"/>
      <c r="O33" s="29"/>
      <c r="P33" s="55">
        <f t="shared" ref="P33:U33" si="9">P32/P11</f>
        <v>0.2402564535177999</v>
      </c>
      <c r="Q33" s="55">
        <f t="shared" si="9"/>
        <v>0.29921825860364815</v>
      </c>
      <c r="R33" s="55">
        <f t="shared" si="9"/>
        <v>0.30394894295971281</v>
      </c>
      <c r="S33" s="55">
        <f t="shared" si="9"/>
        <v>0.29674829385788842</v>
      </c>
      <c r="T33" s="55">
        <f t="shared" si="9"/>
        <v>0.31462475946119306</v>
      </c>
      <c r="U33" s="55">
        <f t="shared" si="9"/>
        <v>0.33071748878923768</v>
      </c>
    </row>
    <row r="34" spans="1:21" ht="21.5" customHeight="1">
      <c r="A34" s="54" t="s">
        <v>38</v>
      </c>
      <c r="D34" s="55">
        <f t="shared" ref="D34:L34" si="10">IF(N(C32)=0,"",D32/C32-1)</f>
        <v>-0.80879423931362038</v>
      </c>
      <c r="E34" s="55">
        <f t="shared" si="10"/>
        <v>4.1554487179487181</v>
      </c>
      <c r="F34" s="55">
        <f t="shared" si="10"/>
        <v>0.38638483058750395</v>
      </c>
      <c r="G34" s="55">
        <f t="shared" si="10"/>
        <v>-0.13150224215246642</v>
      </c>
      <c r="H34" s="55">
        <f t="shared" si="10"/>
        <v>0.26126242416419254</v>
      </c>
      <c r="I34" s="55">
        <f t="shared" si="10"/>
        <v>-2.3436700440077729E-2</v>
      </c>
      <c r="J34" s="55">
        <f t="shared" si="10"/>
        <v>0.12282540347935433</v>
      </c>
      <c r="K34" s="55">
        <f t="shared" si="10"/>
        <v>-7.7468732499533788E-3</v>
      </c>
      <c r="L34" s="55">
        <f t="shared" si="10"/>
        <v>0.2329037719875835</v>
      </c>
      <c r="M34" s="29"/>
      <c r="N34" s="29"/>
      <c r="O34" s="29"/>
    </row>
    <row r="35" spans="1:21" ht="21.5" customHeight="1">
      <c r="A35" s="56" t="s">
        <v>189</v>
      </c>
      <c r="C35" s="60">
        <v>1.51</v>
      </c>
      <c r="M35" s="29"/>
      <c r="N35" s="29"/>
      <c r="O35" s="29"/>
    </row>
    <row r="36" spans="1:21" ht="21.5" customHeight="1">
      <c r="A36" s="61" t="s">
        <v>190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29"/>
      <c r="N36" s="29"/>
      <c r="O36" s="29"/>
      <c r="P36" s="62"/>
      <c r="Q36" s="62"/>
      <c r="R36" s="62"/>
      <c r="S36" s="62"/>
      <c r="T36" s="62"/>
      <c r="U36" s="62"/>
    </row>
    <row r="37" spans="1:21" ht="37" customHeight="1">
      <c r="A37" s="51" t="s">
        <v>191</v>
      </c>
      <c r="B37" s="52"/>
      <c r="C37" s="59">
        <v>0</v>
      </c>
      <c r="D37" s="52"/>
      <c r="E37" s="52"/>
      <c r="F37" s="52"/>
      <c r="G37" s="52"/>
      <c r="H37" s="52"/>
      <c r="I37" s="52"/>
      <c r="J37" s="52"/>
      <c r="K37" s="52"/>
      <c r="L37" s="52"/>
      <c r="M37" s="29"/>
      <c r="N37" s="29"/>
      <c r="O37" s="29"/>
      <c r="P37" s="52"/>
      <c r="Q37" s="52"/>
      <c r="R37" s="52"/>
      <c r="S37" s="52"/>
      <c r="T37" s="52"/>
      <c r="U37" s="52"/>
    </row>
    <row r="38" spans="1:21" ht="21.5" customHeight="1">
      <c r="A38" s="56" t="s">
        <v>192</v>
      </c>
      <c r="C38" s="60">
        <v>1.51</v>
      </c>
      <c r="D38" s="60">
        <v>0.28999999999999998</v>
      </c>
      <c r="E38" s="60">
        <v>1.51</v>
      </c>
      <c r="F38" s="60">
        <v>2.09</v>
      </c>
      <c r="G38" s="60">
        <v>1.8</v>
      </c>
      <c r="H38" s="60">
        <v>2.2599999999999998</v>
      </c>
      <c r="I38" s="60">
        <v>2.2000000000000002</v>
      </c>
      <c r="J38" s="60">
        <v>2.48</v>
      </c>
      <c r="K38" s="60">
        <v>2.4700000000000002</v>
      </c>
      <c r="L38" s="60">
        <v>3.05</v>
      </c>
      <c r="M38" s="29"/>
      <c r="N38" s="29"/>
      <c r="O38" s="29"/>
      <c r="P38" s="60">
        <v>0.66</v>
      </c>
      <c r="Q38" s="60">
        <v>0.77</v>
      </c>
      <c r="R38" s="60">
        <v>0.89</v>
      </c>
      <c r="S38" s="60">
        <v>0.86</v>
      </c>
      <c r="T38" s="60">
        <v>0.91</v>
      </c>
      <c r="U38" s="60">
        <v>1.03</v>
      </c>
    </row>
    <row r="39" spans="1:21" ht="21.5" customHeight="1">
      <c r="A39" s="56" t="s">
        <v>193</v>
      </c>
      <c r="C39" s="60">
        <v>1.49</v>
      </c>
      <c r="M39" s="29"/>
      <c r="N39" s="29"/>
      <c r="O39" s="29"/>
    </row>
    <row r="40" spans="1:21" ht="21.5" customHeight="1">
      <c r="A40" s="61" t="s">
        <v>194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29"/>
      <c r="N40" s="29"/>
      <c r="O40" s="29"/>
      <c r="P40" s="62"/>
      <c r="Q40" s="62"/>
      <c r="R40" s="62"/>
      <c r="S40" s="62"/>
      <c r="T40" s="62"/>
      <c r="U40" s="62"/>
    </row>
    <row r="41" spans="1:21" ht="37" customHeight="1">
      <c r="A41" s="51" t="s">
        <v>195</v>
      </c>
      <c r="B41" s="52"/>
      <c r="C41" s="59">
        <v>0</v>
      </c>
      <c r="D41" s="52"/>
      <c r="E41" s="52"/>
      <c r="F41" s="52"/>
      <c r="G41" s="52"/>
      <c r="H41" s="52"/>
      <c r="I41" s="52"/>
      <c r="J41" s="52"/>
      <c r="K41" s="52"/>
      <c r="L41" s="52"/>
      <c r="M41" s="29"/>
      <c r="N41" s="29"/>
      <c r="O41" s="29"/>
      <c r="P41" s="52"/>
      <c r="Q41" s="52"/>
      <c r="R41" s="52"/>
      <c r="S41" s="52"/>
      <c r="T41" s="52"/>
      <c r="U41" s="52"/>
    </row>
    <row r="42" spans="1:21" ht="21.5" customHeight="1">
      <c r="A42" s="56" t="s">
        <v>196</v>
      </c>
      <c r="C42" s="60">
        <v>1.49</v>
      </c>
      <c r="D42" s="60">
        <v>0.28999999999999998</v>
      </c>
      <c r="E42" s="60">
        <v>1.5</v>
      </c>
      <c r="F42" s="60">
        <v>2.0699999999999998</v>
      </c>
      <c r="G42" s="60">
        <v>1.79</v>
      </c>
      <c r="H42" s="60">
        <v>2.25</v>
      </c>
      <c r="I42" s="60">
        <v>2.19</v>
      </c>
      <c r="J42" s="60">
        <v>2.4700000000000002</v>
      </c>
      <c r="K42" s="60">
        <v>2.46</v>
      </c>
      <c r="L42" s="60">
        <v>3.04</v>
      </c>
      <c r="M42" s="29"/>
      <c r="N42" s="29"/>
      <c r="O42" s="29"/>
      <c r="P42" s="60">
        <v>0.66</v>
      </c>
      <c r="Q42" s="60">
        <v>0.77</v>
      </c>
      <c r="R42" s="60">
        <v>0.88</v>
      </c>
      <c r="S42" s="60">
        <v>0.86</v>
      </c>
      <c r="T42" s="60">
        <v>0.91</v>
      </c>
      <c r="U42" s="60">
        <v>1.03</v>
      </c>
    </row>
    <row r="43" spans="1:21" ht="21.5" customHeight="1">
      <c r="A43" s="56" t="s">
        <v>197</v>
      </c>
      <c r="C43" s="57">
        <v>4317</v>
      </c>
      <c r="D43" s="57">
        <v>4272</v>
      </c>
      <c r="E43" s="57">
        <v>4259</v>
      </c>
      <c r="F43" s="57">
        <v>4276</v>
      </c>
      <c r="G43" s="57">
        <v>4295</v>
      </c>
      <c r="H43" s="57">
        <v>4315</v>
      </c>
      <c r="I43" s="57">
        <v>4328</v>
      </c>
      <c r="J43" s="57">
        <v>4323</v>
      </c>
      <c r="K43" s="57">
        <v>4309</v>
      </c>
      <c r="L43" s="57">
        <v>4303</v>
      </c>
      <c r="M43" s="29"/>
      <c r="N43" s="29"/>
      <c r="O43" s="29"/>
      <c r="P43" s="57">
        <v>4311</v>
      </c>
      <c r="Q43" s="57">
        <v>4302</v>
      </c>
      <c r="R43" s="57">
        <v>4304</v>
      </c>
      <c r="S43" s="57">
        <v>4303</v>
      </c>
      <c r="T43" s="57">
        <v>4302</v>
      </c>
      <c r="U43" s="57">
        <v>4303</v>
      </c>
    </row>
    <row r="44" spans="1:21" ht="21.5" customHeight="1">
      <c r="A44" s="56" t="s">
        <v>198</v>
      </c>
      <c r="C44" s="57">
        <v>50</v>
      </c>
      <c r="D44" s="57">
        <v>52</v>
      </c>
      <c r="E44" s="57">
        <v>40</v>
      </c>
      <c r="F44" s="57">
        <v>38</v>
      </c>
      <c r="G44" s="57">
        <v>28</v>
      </c>
      <c r="H44" s="57">
        <v>25</v>
      </c>
      <c r="I44" s="57">
        <v>22</v>
      </c>
      <c r="J44" s="57">
        <v>16</v>
      </c>
      <c r="K44" s="57">
        <v>11</v>
      </c>
      <c r="L44" s="57">
        <v>10</v>
      </c>
      <c r="M44" s="29"/>
      <c r="N44" s="29"/>
      <c r="O44" s="29"/>
      <c r="P44" s="57">
        <v>12</v>
      </c>
      <c r="Q44" s="57">
        <v>11</v>
      </c>
      <c r="R44" s="57">
        <v>11</v>
      </c>
      <c r="S44" s="57">
        <v>10</v>
      </c>
      <c r="T44" s="57">
        <v>12</v>
      </c>
      <c r="U44" s="57">
        <v>10</v>
      </c>
    </row>
    <row r="45" spans="1:21" ht="21.5" customHeight="1">
      <c r="A45" s="56" t="s">
        <v>199</v>
      </c>
      <c r="C45" s="57">
        <v>4367</v>
      </c>
      <c r="D45" s="57">
        <v>4324</v>
      </c>
      <c r="E45" s="57">
        <v>4299</v>
      </c>
      <c r="F45" s="57">
        <v>4314</v>
      </c>
      <c r="G45" s="57">
        <v>4323</v>
      </c>
      <c r="H45" s="57">
        <v>4340</v>
      </c>
      <c r="I45" s="57">
        <v>4350</v>
      </c>
      <c r="J45" s="57">
        <v>4339</v>
      </c>
      <c r="K45" s="57">
        <v>4320</v>
      </c>
      <c r="L45" s="57">
        <v>4313</v>
      </c>
      <c r="M45" s="29"/>
      <c r="N45" s="29"/>
      <c r="O45" s="29"/>
      <c r="P45" s="57">
        <v>4323</v>
      </c>
      <c r="Q45" s="57">
        <v>4313</v>
      </c>
      <c r="R45" s="57">
        <v>4315</v>
      </c>
      <c r="S45" s="57">
        <v>4313</v>
      </c>
      <c r="T45" s="57">
        <v>4314</v>
      </c>
      <c r="U45" s="57">
        <v>4313</v>
      </c>
    </row>
    <row r="46" spans="1:21" ht="10" customHeight="1">
      <c r="M46" s="29"/>
      <c r="N46" s="29"/>
      <c r="O46" s="29"/>
    </row>
    <row r="47" spans="1:21" ht="29" customHeight="1">
      <c r="A47" s="23" t="s">
        <v>200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</row>
    <row r="48" spans="1:21" ht="21.5" customHeight="1">
      <c r="A48" s="63" t="s">
        <v>201</v>
      </c>
      <c r="B48" s="64"/>
      <c r="C48" s="65">
        <f t="shared" ref="C48:L48" si="11">C11-C13-C14</f>
        <v>0</v>
      </c>
      <c r="D48" s="65">
        <f t="shared" si="11"/>
        <v>0</v>
      </c>
      <c r="E48" s="65">
        <f t="shared" si="11"/>
        <v>0</v>
      </c>
      <c r="F48" s="65">
        <f t="shared" si="11"/>
        <v>0</v>
      </c>
      <c r="G48" s="65">
        <f t="shared" si="11"/>
        <v>0</v>
      </c>
      <c r="H48" s="65">
        <f t="shared" si="11"/>
        <v>0</v>
      </c>
      <c r="I48" s="65">
        <f t="shared" si="11"/>
        <v>0</v>
      </c>
      <c r="J48" s="65">
        <f t="shared" si="11"/>
        <v>0</v>
      </c>
      <c r="K48" s="65">
        <f t="shared" si="11"/>
        <v>0</v>
      </c>
      <c r="L48" s="65">
        <f t="shared" si="11"/>
        <v>0</v>
      </c>
      <c r="M48" s="29"/>
      <c r="N48" s="29"/>
      <c r="O48" s="29"/>
      <c r="P48" s="65">
        <f t="shared" ref="P48:U48" si="12">P11-P13-P14</f>
        <v>0</v>
      </c>
      <c r="Q48" s="65">
        <f t="shared" si="12"/>
        <v>0</v>
      </c>
      <c r="R48" s="65">
        <f t="shared" si="12"/>
        <v>0</v>
      </c>
      <c r="S48" s="65">
        <f t="shared" si="12"/>
        <v>0</v>
      </c>
      <c r="T48" s="65">
        <f t="shared" si="12"/>
        <v>0</v>
      </c>
      <c r="U48" s="65">
        <f t="shared" si="12"/>
        <v>0</v>
      </c>
    </row>
    <row r="49" spans="1:21" ht="21.5" customHeight="1">
      <c r="A49" s="63" t="s">
        <v>202</v>
      </c>
      <c r="B49" s="64"/>
      <c r="C49" s="65">
        <f t="shared" ref="C49:L49" si="13">C14-C16-C17-C18</f>
        <v>0</v>
      </c>
      <c r="D49" s="65">
        <f t="shared" si="13"/>
        <v>0</v>
      </c>
      <c r="E49" s="65">
        <f t="shared" si="13"/>
        <v>0</v>
      </c>
      <c r="F49" s="65">
        <f t="shared" si="13"/>
        <v>0</v>
      </c>
      <c r="G49" s="65">
        <f t="shared" si="13"/>
        <v>0</v>
      </c>
      <c r="H49" s="65">
        <f t="shared" si="13"/>
        <v>0</v>
      </c>
      <c r="I49" s="65">
        <f t="shared" si="13"/>
        <v>0</v>
      </c>
      <c r="J49" s="65">
        <f t="shared" si="13"/>
        <v>0</v>
      </c>
      <c r="K49" s="65">
        <f t="shared" si="13"/>
        <v>0</v>
      </c>
      <c r="L49" s="65">
        <f t="shared" si="13"/>
        <v>0</v>
      </c>
      <c r="M49" s="29"/>
      <c r="N49" s="29"/>
      <c r="O49" s="29"/>
      <c r="P49" s="65">
        <f t="shared" ref="P49:U49" si="14">P14-P16-P17-P18</f>
        <v>0</v>
      </c>
      <c r="Q49" s="65">
        <f t="shared" si="14"/>
        <v>0</v>
      </c>
      <c r="R49" s="65">
        <f t="shared" si="14"/>
        <v>0</v>
      </c>
      <c r="S49" s="65">
        <f t="shared" si="14"/>
        <v>0</v>
      </c>
      <c r="T49" s="65">
        <f t="shared" si="14"/>
        <v>0</v>
      </c>
      <c r="U49" s="65">
        <f t="shared" si="14"/>
        <v>0</v>
      </c>
    </row>
    <row r="50" spans="1:21" ht="21.5" customHeight="1">
      <c r="A50" s="63" t="s">
        <v>203</v>
      </c>
      <c r="B50" s="64"/>
      <c r="C50" s="65">
        <f t="shared" ref="C50:L50" si="15">C18+C21-C22+C23+C24-C25</f>
        <v>0</v>
      </c>
      <c r="D50" s="65">
        <f t="shared" si="15"/>
        <v>0</v>
      </c>
      <c r="E50" s="65">
        <f t="shared" si="15"/>
        <v>0</v>
      </c>
      <c r="F50" s="65">
        <f t="shared" si="15"/>
        <v>0</v>
      </c>
      <c r="G50" s="65">
        <f t="shared" si="15"/>
        <v>0</v>
      </c>
      <c r="H50" s="65">
        <f t="shared" si="15"/>
        <v>0</v>
      </c>
      <c r="I50" s="65">
        <f t="shared" si="15"/>
        <v>0</v>
      </c>
      <c r="J50" s="65">
        <f t="shared" si="15"/>
        <v>0</v>
      </c>
      <c r="K50" s="65">
        <f t="shared" si="15"/>
        <v>0</v>
      </c>
      <c r="L50" s="65">
        <f t="shared" si="15"/>
        <v>0</v>
      </c>
      <c r="M50" s="29"/>
      <c r="N50" s="29"/>
      <c r="O50" s="29"/>
      <c r="P50" s="65">
        <f t="shared" ref="P50:U50" si="16">P18+P21-P22+P23+P24-P25</f>
        <v>0</v>
      </c>
      <c r="Q50" s="65">
        <f t="shared" si="16"/>
        <v>0</v>
      </c>
      <c r="R50" s="65">
        <f t="shared" si="16"/>
        <v>0</v>
      </c>
      <c r="S50" s="65">
        <f t="shared" si="16"/>
        <v>0</v>
      </c>
      <c r="T50" s="65">
        <f t="shared" si="16"/>
        <v>0</v>
      </c>
      <c r="U50" s="65">
        <f t="shared" si="16"/>
        <v>0</v>
      </c>
    </row>
    <row r="51" spans="1:21" ht="21.5" customHeight="1">
      <c r="A51" s="63" t="s">
        <v>204</v>
      </c>
      <c r="B51" s="64"/>
      <c r="C51" s="65">
        <f t="shared" ref="C51:L51" si="17">C25-C26-C30</f>
        <v>0</v>
      </c>
      <c r="D51" s="65">
        <f t="shared" si="17"/>
        <v>0</v>
      </c>
      <c r="E51" s="65">
        <f t="shared" si="17"/>
        <v>0</v>
      </c>
      <c r="F51" s="65">
        <f t="shared" si="17"/>
        <v>0</v>
      </c>
      <c r="G51" s="65">
        <f t="shared" si="17"/>
        <v>0</v>
      </c>
      <c r="H51" s="65">
        <f t="shared" si="17"/>
        <v>0</v>
      </c>
      <c r="I51" s="65">
        <f t="shared" si="17"/>
        <v>0</v>
      </c>
      <c r="J51" s="65">
        <f t="shared" si="17"/>
        <v>0</v>
      </c>
      <c r="K51" s="65">
        <f t="shared" si="17"/>
        <v>0</v>
      </c>
      <c r="L51" s="65">
        <f t="shared" si="17"/>
        <v>0</v>
      </c>
      <c r="M51" s="29"/>
      <c r="N51" s="29"/>
      <c r="O51" s="29"/>
      <c r="P51" s="65">
        <f t="shared" ref="P51:U51" si="18">P25-P26-P30</f>
        <v>0</v>
      </c>
      <c r="Q51" s="65">
        <f t="shared" si="18"/>
        <v>0</v>
      </c>
      <c r="R51" s="65">
        <f t="shared" si="18"/>
        <v>0</v>
      </c>
      <c r="S51" s="65">
        <f t="shared" si="18"/>
        <v>0</v>
      </c>
      <c r="T51" s="65">
        <f t="shared" si="18"/>
        <v>0</v>
      </c>
      <c r="U51" s="65">
        <f t="shared" si="18"/>
        <v>0</v>
      </c>
    </row>
    <row r="52" spans="1:21" ht="21.5" customHeight="1">
      <c r="A52" s="63" t="s">
        <v>205</v>
      </c>
      <c r="B52" s="64"/>
      <c r="C52" s="65">
        <f t="shared" ref="C52:L52" si="19">C30-C31-C32</f>
        <v>0</v>
      </c>
      <c r="D52" s="65">
        <f t="shared" si="19"/>
        <v>0</v>
      </c>
      <c r="E52" s="65">
        <f t="shared" si="19"/>
        <v>0</v>
      </c>
      <c r="F52" s="65">
        <f t="shared" si="19"/>
        <v>0</v>
      </c>
      <c r="G52" s="65">
        <f t="shared" si="19"/>
        <v>0</v>
      </c>
      <c r="H52" s="65">
        <f t="shared" si="19"/>
        <v>0</v>
      </c>
      <c r="I52" s="65">
        <f t="shared" si="19"/>
        <v>0</v>
      </c>
      <c r="J52" s="65">
        <f t="shared" si="19"/>
        <v>0</v>
      </c>
      <c r="K52" s="65">
        <f t="shared" si="19"/>
        <v>0</v>
      </c>
      <c r="L52" s="65">
        <f t="shared" si="19"/>
        <v>0</v>
      </c>
      <c r="M52" s="29"/>
      <c r="N52" s="29"/>
      <c r="O52" s="29"/>
      <c r="P52" s="65">
        <f t="shared" ref="P52:U52" si="20">P30-P31-P32</f>
        <v>0</v>
      </c>
      <c r="Q52" s="65">
        <f t="shared" si="20"/>
        <v>0</v>
      </c>
      <c r="R52" s="65">
        <f t="shared" si="20"/>
        <v>0</v>
      </c>
      <c r="S52" s="65">
        <f t="shared" si="20"/>
        <v>0</v>
      </c>
      <c r="T52" s="65">
        <f t="shared" si="20"/>
        <v>0</v>
      </c>
      <c r="U52" s="65">
        <f t="shared" si="20"/>
        <v>0</v>
      </c>
    </row>
    <row r="53" spans="1:21" ht="37" customHeight="1">
      <c r="A53" s="63" t="s">
        <v>206</v>
      </c>
      <c r="B53" s="64"/>
      <c r="C53" s="66">
        <f t="shared" ref="C53:L53" si="21">C32/C45-C42</f>
        <v>4.6187313945500463E-3</v>
      </c>
      <c r="D53" s="66">
        <f t="shared" si="21"/>
        <v>-1.3783533765032163E-3</v>
      </c>
      <c r="E53" s="66">
        <f t="shared" si="21"/>
        <v>-3.3728774133519046E-3</v>
      </c>
      <c r="F53" s="66">
        <f t="shared" si="21"/>
        <v>-2.3133982382939067E-3</v>
      </c>
      <c r="G53" s="66">
        <f t="shared" si="21"/>
        <v>2.0425630349294455E-3</v>
      </c>
      <c r="H53" s="66">
        <f t="shared" si="21"/>
        <v>1.3824884792628112E-3</v>
      </c>
      <c r="I53" s="66">
        <f t="shared" si="21"/>
        <v>3.5632183908047566E-3</v>
      </c>
      <c r="J53" s="66">
        <f t="shared" si="21"/>
        <v>-7.6745793961752184E-4</v>
      </c>
      <c r="K53" s="66">
        <f t="shared" si="21"/>
        <v>8.796296296296191E-4</v>
      </c>
      <c r="L53" s="66">
        <f t="shared" si="21"/>
        <v>-1.0479944354280235E-3</v>
      </c>
      <c r="M53" s="29"/>
      <c r="N53" s="29"/>
      <c r="O53" s="29"/>
      <c r="P53" s="66">
        <f t="shared" ref="P53:U53" si="22">P32/P45-P42</f>
        <v>-1.1982419616007878E-3</v>
      </c>
      <c r="Q53" s="66">
        <f t="shared" si="22"/>
        <v>2.0843960120565663E-3</v>
      </c>
      <c r="R53" s="66">
        <f t="shared" si="22"/>
        <v>2.9663962920046805E-3</v>
      </c>
      <c r="S53" s="66">
        <f t="shared" si="22"/>
        <v>-3.0558775794110593E-3</v>
      </c>
      <c r="T53" s="66">
        <f t="shared" si="22"/>
        <v>-4.0333796940195121E-4</v>
      </c>
      <c r="U53" s="66">
        <f t="shared" si="22"/>
        <v>-4.031996290285278E-3</v>
      </c>
    </row>
    <row r="54" spans="1:21" ht="10" customHeight="1">
      <c r="M54" s="29"/>
      <c r="N54" s="29"/>
      <c r="O54" s="29"/>
    </row>
  </sheetData>
  <mergeCells count="7">
    <mergeCell ref="A2:U2"/>
    <mergeCell ref="A7:U7"/>
    <mergeCell ref="A10:U10"/>
    <mergeCell ref="A47:U47"/>
    <mergeCell ref="A1:U1"/>
    <mergeCell ref="A8:U8"/>
    <mergeCell ref="A6:U6"/>
  </mergeCells>
  <phoneticPr fontId="9" type="noConversion"/>
  <conditionalFormatting sqref="C48:U52">
    <cfRule type="cellIs" dxfId="32" priority="1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8324F"/>
    <pageSetUpPr fitToPage="1"/>
  </sheetPr>
  <dimension ref="A1:U73"/>
  <sheetViews>
    <sheetView showGridLines="0" zoomScale="130" zoomScaleNormal="130" workbookViewId="0">
      <pane xSplit="2" ySplit="5" topLeftCell="C6" activePane="bottomRight" state="frozen"/>
      <selection activeCell="H27" sqref="H27"/>
      <selection pane="topRight" activeCell="H27" sqref="H27"/>
      <selection pane="bottomLeft" activeCell="H27" sqref="H27"/>
      <selection pane="bottomRight" activeCell="H27" sqref="H27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22" t="s">
        <v>207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14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14" customHeight="1"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  <c r="K3" s="46" t="s">
        <v>10</v>
      </c>
      <c r="L3" s="46" t="s">
        <v>11</v>
      </c>
      <c r="M3" s="47" t="s">
        <v>12</v>
      </c>
      <c r="N3" s="47" t="s">
        <v>12</v>
      </c>
      <c r="O3" s="47" t="s">
        <v>12</v>
      </c>
      <c r="P3" s="48" t="s">
        <v>13</v>
      </c>
      <c r="Q3" s="48" t="s">
        <v>14</v>
      </c>
      <c r="R3" s="48" t="s">
        <v>15</v>
      </c>
      <c r="S3" s="48" t="s">
        <v>16</v>
      </c>
      <c r="T3" s="48" t="s">
        <v>17</v>
      </c>
      <c r="U3" s="48" t="s">
        <v>18</v>
      </c>
    </row>
    <row r="4" spans="1:21" ht="14" customHeight="1">
      <c r="C4" s="49" t="s">
        <v>19</v>
      </c>
      <c r="D4" s="49" t="s">
        <v>20</v>
      </c>
      <c r="E4" s="49" t="s">
        <v>21</v>
      </c>
      <c r="F4" s="49" t="s">
        <v>22</v>
      </c>
      <c r="G4" s="49" t="s">
        <v>23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28</v>
      </c>
      <c r="M4" s="50"/>
      <c r="N4" s="50"/>
      <c r="O4" s="50"/>
      <c r="P4" s="49" t="s">
        <v>29</v>
      </c>
      <c r="Q4" s="49" t="s">
        <v>30</v>
      </c>
      <c r="R4" s="49" t="s">
        <v>31</v>
      </c>
      <c r="S4" s="49" t="s">
        <v>32</v>
      </c>
      <c r="T4" s="49" t="s">
        <v>33</v>
      </c>
      <c r="U4" s="49" t="s">
        <v>34</v>
      </c>
    </row>
    <row r="5" spans="1:21" ht="14" customHeight="1">
      <c r="M5" s="29"/>
      <c r="N5" s="29"/>
      <c r="O5" s="29"/>
    </row>
    <row r="6" spans="1:21" ht="22" customHeight="1">
      <c r="A6" s="21" t="s">
        <v>35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22" customHeight="1">
      <c r="A7" s="21" t="str">
        <f>HYPERLINK("#'Balance Sheet'!A11","1. BALANCE SHEET — AS REPORTED (year-end values from the first 10-K after the year-end; quarterly columns are 10-Q period-end)")</f>
        <v>1. BALANCE SHEET — AS REPORTED (year-end values from the first 10-K after the year-end; quarterly columns are 10-Q period-end)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1:21" ht="22" customHeight="1">
      <c r="A8" s="21" t="str">
        <f>HYPERLINK("#'Balance Sheet'!A58","2. CHECKS")</f>
        <v>2. CHECKS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22" customHeight="1">
      <c r="A9" s="21" t="str">
        <f>HYPERLINK("#'Balance Sheet'!A68","3. WORKING CAPITAL ANALYTICS (quarterly uses 91 days; the 10-Q IS is a three-month column)")</f>
        <v>3. WORKING CAPITAL ANALYTICS (quarterly uses 91 days; the 10-Q IS is a three-month column)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</row>
    <row r="10" spans="1:21" ht="10" customHeight="1">
      <c r="M10" s="29"/>
      <c r="N10" s="29"/>
      <c r="O10" s="29"/>
    </row>
    <row r="11" spans="1:21" ht="29" customHeight="1">
      <c r="A11" s="23" t="s">
        <v>208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spans="1:21" ht="21.5" customHeight="1">
      <c r="A12" s="61" t="s">
        <v>209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29"/>
      <c r="N12" s="29"/>
      <c r="O12" s="29"/>
      <c r="P12" s="62"/>
      <c r="Q12" s="62"/>
      <c r="R12" s="62"/>
      <c r="S12" s="62"/>
      <c r="T12" s="62"/>
      <c r="U12" s="62"/>
    </row>
    <row r="13" spans="1:21" ht="21.5" customHeight="1">
      <c r="A13" s="61" t="s">
        <v>210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29"/>
      <c r="N13" s="29"/>
      <c r="O13" s="29"/>
      <c r="P13" s="62"/>
      <c r="Q13" s="62"/>
      <c r="R13" s="62"/>
      <c r="S13" s="62"/>
      <c r="T13" s="62"/>
      <c r="U13" s="62"/>
    </row>
    <row r="14" spans="1:21" ht="21.5" customHeight="1">
      <c r="A14" s="56" t="s">
        <v>211</v>
      </c>
      <c r="C14" s="57">
        <v>8555</v>
      </c>
      <c r="D14" s="57">
        <v>6006</v>
      </c>
      <c r="E14" s="57">
        <v>9077</v>
      </c>
      <c r="F14" s="57">
        <v>6480</v>
      </c>
      <c r="G14" s="57">
        <v>6795</v>
      </c>
      <c r="H14" s="57">
        <v>9684</v>
      </c>
      <c r="I14" s="57">
        <v>9519</v>
      </c>
      <c r="J14" s="57">
        <v>9366</v>
      </c>
      <c r="K14" s="57">
        <v>10828</v>
      </c>
      <c r="L14" s="57">
        <v>10270</v>
      </c>
      <c r="M14" s="29"/>
      <c r="N14" s="29"/>
      <c r="O14" s="29"/>
      <c r="P14" s="57">
        <v>13938</v>
      </c>
      <c r="Q14" s="57">
        <v>8417</v>
      </c>
      <c r="R14" s="57">
        <v>9590</v>
      </c>
      <c r="S14" s="57">
        <v>12732</v>
      </c>
      <c r="T14" s="57">
        <v>10574</v>
      </c>
      <c r="U14" s="57">
        <v>12907</v>
      </c>
    </row>
    <row r="15" spans="1:21" ht="21.5" customHeight="1">
      <c r="A15" s="56" t="s">
        <v>212</v>
      </c>
      <c r="C15" s="57">
        <v>9595</v>
      </c>
      <c r="D15" s="57">
        <v>9352</v>
      </c>
      <c r="E15" s="57">
        <v>2025</v>
      </c>
      <c r="F15" s="57">
        <v>1467</v>
      </c>
      <c r="G15" s="57">
        <v>1771</v>
      </c>
      <c r="H15" s="57">
        <v>1242</v>
      </c>
      <c r="I15" s="57">
        <v>1043</v>
      </c>
      <c r="J15" s="57">
        <v>2997</v>
      </c>
      <c r="K15" s="57">
        <v>2020</v>
      </c>
      <c r="L15" s="57">
        <v>3602</v>
      </c>
      <c r="M15" s="29"/>
      <c r="N15" s="29"/>
      <c r="O15" s="29"/>
      <c r="P15" s="57">
        <v>2439</v>
      </c>
      <c r="Q15" s="57">
        <v>3579</v>
      </c>
      <c r="R15" s="57">
        <v>2658</v>
      </c>
      <c r="S15" s="57">
        <v>1142</v>
      </c>
      <c r="T15" s="57">
        <v>509</v>
      </c>
      <c r="U15" s="57">
        <v>622</v>
      </c>
    </row>
    <row r="16" spans="1:21" ht="21.5" customHeight="1">
      <c r="A16" s="51" t="s">
        <v>213</v>
      </c>
      <c r="B16" s="52"/>
      <c r="C16" s="53">
        <v>18150</v>
      </c>
      <c r="D16" s="53">
        <v>15358</v>
      </c>
      <c r="E16" s="53">
        <v>11102</v>
      </c>
      <c r="F16" s="53">
        <v>7947</v>
      </c>
      <c r="G16" s="53">
        <v>8566</v>
      </c>
      <c r="H16" s="53">
        <v>10926</v>
      </c>
      <c r="I16" s="53">
        <v>10562</v>
      </c>
      <c r="J16" s="53">
        <v>12363</v>
      </c>
      <c r="K16" s="53">
        <v>12848</v>
      </c>
      <c r="L16" s="53">
        <v>13872</v>
      </c>
      <c r="M16" s="32"/>
      <c r="N16" s="32"/>
      <c r="O16" s="32"/>
      <c r="P16" s="53">
        <v>16377</v>
      </c>
      <c r="Q16" s="53">
        <v>11996</v>
      </c>
      <c r="R16" s="53">
        <v>12248</v>
      </c>
      <c r="S16" s="53">
        <v>13874</v>
      </c>
      <c r="T16" s="53">
        <v>11083</v>
      </c>
      <c r="U16" s="53">
        <v>13529</v>
      </c>
    </row>
    <row r="17" spans="1:21" ht="21.5" customHeight="1">
      <c r="A17" s="56" t="s">
        <v>214</v>
      </c>
      <c r="C17" s="57">
        <v>4051</v>
      </c>
      <c r="D17" s="57">
        <v>5317</v>
      </c>
      <c r="E17" s="57">
        <v>5013</v>
      </c>
      <c r="F17" s="57">
        <v>3228</v>
      </c>
      <c r="G17" s="57">
        <v>2348</v>
      </c>
      <c r="H17" s="57">
        <v>1699</v>
      </c>
      <c r="I17" s="57">
        <v>1069</v>
      </c>
      <c r="J17" s="57">
        <v>1300</v>
      </c>
      <c r="K17" s="57">
        <v>1723</v>
      </c>
      <c r="L17" s="57">
        <v>1934</v>
      </c>
      <c r="M17" s="29"/>
      <c r="N17" s="29"/>
      <c r="O17" s="29"/>
      <c r="P17" s="57">
        <v>1787</v>
      </c>
      <c r="Q17" s="57">
        <v>1791</v>
      </c>
      <c r="R17" s="57">
        <v>2049</v>
      </c>
      <c r="S17" s="57">
        <v>1907</v>
      </c>
      <c r="T17" s="57">
        <v>2737</v>
      </c>
      <c r="U17" s="57">
        <v>2842</v>
      </c>
    </row>
    <row r="18" spans="1:21" ht="21.5" customHeight="1">
      <c r="A18" s="56" t="s">
        <v>215</v>
      </c>
      <c r="C18" s="57">
        <v>3856</v>
      </c>
      <c r="D18" s="57">
        <v>3667</v>
      </c>
      <c r="E18" s="57">
        <v>3685</v>
      </c>
      <c r="F18" s="57">
        <v>3971</v>
      </c>
      <c r="G18" s="57">
        <v>3144</v>
      </c>
      <c r="H18" s="57">
        <v>3512</v>
      </c>
      <c r="I18" s="57">
        <v>3487</v>
      </c>
      <c r="J18" s="57">
        <v>3410</v>
      </c>
      <c r="K18" s="57">
        <v>3569</v>
      </c>
      <c r="L18" s="57">
        <v>3038</v>
      </c>
      <c r="M18" s="29"/>
      <c r="N18" s="29"/>
      <c r="O18" s="29"/>
      <c r="P18" s="57">
        <v>4233</v>
      </c>
      <c r="Q18" s="57">
        <v>4091</v>
      </c>
      <c r="R18" s="57">
        <v>4168</v>
      </c>
      <c r="S18" s="57">
        <v>3946</v>
      </c>
      <c r="T18" s="57">
        <v>3675</v>
      </c>
      <c r="U18" s="57">
        <v>3732</v>
      </c>
    </row>
    <row r="19" spans="1:21" ht="21.5" customHeight="1">
      <c r="A19" s="56" t="s">
        <v>216</v>
      </c>
      <c r="C19" s="57">
        <v>2675</v>
      </c>
      <c r="D19" s="57">
        <v>2655</v>
      </c>
      <c r="E19" s="57">
        <v>3071</v>
      </c>
      <c r="F19" s="57">
        <v>3379</v>
      </c>
      <c r="G19" s="57">
        <v>3266</v>
      </c>
      <c r="H19" s="57">
        <v>3414</v>
      </c>
      <c r="I19" s="57">
        <v>4233</v>
      </c>
      <c r="J19" s="57">
        <v>4424</v>
      </c>
      <c r="K19" s="57">
        <v>4728</v>
      </c>
      <c r="L19" s="57">
        <v>4425</v>
      </c>
      <c r="M19" s="29"/>
      <c r="N19" s="29"/>
      <c r="O19" s="29"/>
      <c r="P19" s="57">
        <v>4714</v>
      </c>
      <c r="Q19" s="57">
        <v>5102</v>
      </c>
      <c r="R19" s="57">
        <v>5082</v>
      </c>
      <c r="S19" s="57">
        <v>4802</v>
      </c>
      <c r="T19" s="57">
        <v>4730</v>
      </c>
      <c r="U19" s="57">
        <v>4647</v>
      </c>
    </row>
    <row r="20" spans="1:21" ht="21.5" customHeight="1">
      <c r="A20" s="56" t="s">
        <v>217</v>
      </c>
      <c r="C20" s="57">
        <v>2481</v>
      </c>
      <c r="D20" s="57">
        <v>2000</v>
      </c>
      <c r="E20" s="57">
        <v>2059</v>
      </c>
      <c r="F20" s="57">
        <v>1886</v>
      </c>
      <c r="G20" s="57">
        <v>1916</v>
      </c>
      <c r="H20" s="57">
        <v>2994</v>
      </c>
      <c r="I20" s="57">
        <v>3240</v>
      </c>
      <c r="J20" s="57">
        <v>5235</v>
      </c>
      <c r="K20" s="57">
        <v>2998</v>
      </c>
      <c r="L20" s="57">
        <v>2433</v>
      </c>
      <c r="M20" s="29"/>
      <c r="N20" s="29"/>
      <c r="O20" s="29"/>
      <c r="P20" s="57">
        <v>3177</v>
      </c>
      <c r="Q20" s="57">
        <v>3198</v>
      </c>
      <c r="R20" s="57">
        <v>3062</v>
      </c>
      <c r="S20" s="57">
        <v>2718</v>
      </c>
      <c r="T20" s="57">
        <v>2953</v>
      </c>
      <c r="U20" s="57">
        <v>2688</v>
      </c>
    </row>
    <row r="21" spans="1:21" ht="21.5" customHeight="1">
      <c r="A21" s="56" t="s">
        <v>218</v>
      </c>
      <c r="C21" s="57">
        <v>2797</v>
      </c>
      <c r="D21" s="57">
        <v>219</v>
      </c>
      <c r="K21" s="57">
        <v>131</v>
      </c>
      <c r="L21" s="57">
        <v>5342</v>
      </c>
      <c r="M21" s="29"/>
      <c r="N21" s="29"/>
      <c r="O21" s="29"/>
      <c r="T21" s="57">
        <v>5212</v>
      </c>
      <c r="U21" s="57">
        <v>5438</v>
      </c>
    </row>
    <row r="22" spans="1:21" ht="21.5" customHeight="1">
      <c r="A22" s="56" t="s">
        <v>219</v>
      </c>
      <c r="C22" s="67">
        <v>0</v>
      </c>
      <c r="D22" s="57">
        <v>7329</v>
      </c>
      <c r="M22" s="29"/>
      <c r="N22" s="29"/>
      <c r="O22" s="29"/>
    </row>
    <row r="23" spans="1:21" ht="21.5" customHeight="1">
      <c r="A23" s="51" t="s">
        <v>220</v>
      </c>
      <c r="B23" s="52"/>
      <c r="C23" s="53">
        <v>34010</v>
      </c>
      <c r="D23" s="53">
        <v>36545</v>
      </c>
      <c r="E23" s="53">
        <v>24930</v>
      </c>
      <c r="F23" s="53">
        <v>20411</v>
      </c>
      <c r="G23" s="53">
        <v>19240</v>
      </c>
      <c r="H23" s="53">
        <v>22545</v>
      </c>
      <c r="I23" s="53">
        <v>22591</v>
      </c>
      <c r="J23" s="53">
        <v>26732</v>
      </c>
      <c r="K23" s="53">
        <v>25997</v>
      </c>
      <c r="L23" s="53">
        <v>31044</v>
      </c>
      <c r="M23" s="32"/>
      <c r="N23" s="32"/>
      <c r="O23" s="32"/>
      <c r="P23" s="53">
        <v>30288</v>
      </c>
      <c r="Q23" s="53">
        <v>26178</v>
      </c>
      <c r="R23" s="53">
        <v>26609</v>
      </c>
      <c r="S23" s="53">
        <v>27247</v>
      </c>
      <c r="T23" s="53">
        <v>30390</v>
      </c>
      <c r="U23" s="53">
        <v>32876</v>
      </c>
    </row>
    <row r="24" spans="1:21" ht="21.5" customHeight="1">
      <c r="A24" s="56" t="s">
        <v>221</v>
      </c>
      <c r="C24" s="57">
        <v>16260</v>
      </c>
      <c r="D24" s="57">
        <v>20856</v>
      </c>
      <c r="E24" s="57">
        <v>19412</v>
      </c>
      <c r="F24" s="57">
        <v>19025</v>
      </c>
      <c r="G24" s="57">
        <v>19273</v>
      </c>
      <c r="H24" s="57">
        <v>17598</v>
      </c>
      <c r="I24" s="57">
        <v>18264</v>
      </c>
      <c r="J24" s="57">
        <v>19671</v>
      </c>
      <c r="K24" s="57">
        <v>18087</v>
      </c>
      <c r="L24" s="57">
        <v>20235</v>
      </c>
      <c r="M24" s="29"/>
      <c r="N24" s="29"/>
      <c r="O24" s="29"/>
      <c r="P24" s="57">
        <v>18993</v>
      </c>
      <c r="Q24" s="57">
        <v>18369</v>
      </c>
      <c r="R24" s="57">
        <v>19379</v>
      </c>
      <c r="S24" s="57">
        <v>20323</v>
      </c>
      <c r="T24" s="57">
        <v>20403</v>
      </c>
      <c r="U24" s="57">
        <v>20782</v>
      </c>
    </row>
    <row r="25" spans="1:21" ht="21.5" customHeight="1">
      <c r="A25" s="56" t="s">
        <v>222</v>
      </c>
      <c r="C25" s="57">
        <v>989</v>
      </c>
      <c r="D25" s="57">
        <v>1096</v>
      </c>
      <c r="E25" s="57">
        <v>867</v>
      </c>
      <c r="F25" s="57">
        <v>854</v>
      </c>
      <c r="G25" s="57">
        <v>812</v>
      </c>
      <c r="H25" s="57">
        <v>818</v>
      </c>
      <c r="I25" s="57">
        <v>501</v>
      </c>
      <c r="M25" s="29"/>
      <c r="N25" s="29"/>
      <c r="O25" s="29"/>
      <c r="P25" s="57">
        <v>44</v>
      </c>
    </row>
    <row r="26" spans="1:21" ht="21.5" customHeight="1">
      <c r="A26" s="56" t="s">
        <v>223</v>
      </c>
      <c r="D26" s="57">
        <v>330</v>
      </c>
      <c r="E26" s="57">
        <v>2674</v>
      </c>
      <c r="F26" s="57">
        <v>2412</v>
      </c>
      <c r="G26" s="57">
        <v>2460</v>
      </c>
      <c r="H26" s="57">
        <v>2129</v>
      </c>
      <c r="I26" s="57">
        <v>1746</v>
      </c>
      <c r="J26" s="57">
        <v>1561</v>
      </c>
      <c r="K26" s="57">
        <v>1319</v>
      </c>
      <c r="L26" s="57">
        <v>1206</v>
      </c>
      <c r="M26" s="29"/>
      <c r="N26" s="29"/>
      <c r="O26" s="29"/>
      <c r="P26" s="57">
        <v>1428</v>
      </c>
      <c r="Q26" s="57">
        <v>1311</v>
      </c>
      <c r="R26" s="57">
        <v>1325</v>
      </c>
      <c r="S26" s="57">
        <v>1267</v>
      </c>
      <c r="T26" s="57">
        <v>1141</v>
      </c>
      <c r="U26" s="57">
        <v>1090</v>
      </c>
    </row>
    <row r="27" spans="1:21" ht="21.5" customHeight="1">
      <c r="A27" s="56" t="s">
        <v>224</v>
      </c>
      <c r="C27" s="57">
        <v>10635</v>
      </c>
      <c r="D27" s="57">
        <v>8203</v>
      </c>
      <c r="E27" s="57">
        <v>9598</v>
      </c>
      <c r="F27" s="57">
        <v>10838</v>
      </c>
      <c r="G27" s="57">
        <v>10777</v>
      </c>
      <c r="H27" s="57">
        <v>9920</v>
      </c>
      <c r="I27" s="57">
        <v>9841</v>
      </c>
      <c r="J27" s="57">
        <v>9236</v>
      </c>
      <c r="K27" s="57">
        <v>10303</v>
      </c>
      <c r="L27" s="57">
        <v>9613</v>
      </c>
      <c r="M27" s="29"/>
      <c r="N27" s="29"/>
      <c r="O27" s="29"/>
      <c r="P27" s="57">
        <v>9864</v>
      </c>
      <c r="Q27" s="57">
        <v>10431</v>
      </c>
      <c r="R27" s="57">
        <v>10784</v>
      </c>
      <c r="S27" s="57">
        <v>10902</v>
      </c>
      <c r="T27" s="57">
        <v>9522</v>
      </c>
      <c r="U27" s="57">
        <v>9636</v>
      </c>
    </row>
    <row r="28" spans="1:21" ht="21.5" customHeight="1">
      <c r="A28" s="56" t="s">
        <v>225</v>
      </c>
      <c r="C28" s="57">
        <v>6097</v>
      </c>
      <c r="D28" s="57">
        <v>6729</v>
      </c>
      <c r="E28" s="57">
        <v>6682</v>
      </c>
      <c r="F28" s="57">
        <v>9266</v>
      </c>
      <c r="G28" s="57">
        <v>10395</v>
      </c>
      <c r="H28" s="57">
        <v>14465</v>
      </c>
      <c r="I28" s="57">
        <v>14214</v>
      </c>
      <c r="J28" s="57">
        <v>14349</v>
      </c>
      <c r="K28" s="57">
        <v>13301</v>
      </c>
      <c r="L28" s="57">
        <v>12531</v>
      </c>
      <c r="M28" s="29"/>
      <c r="N28" s="29"/>
      <c r="O28" s="29"/>
      <c r="P28" s="57">
        <v>13598</v>
      </c>
      <c r="Q28" s="57">
        <v>13425</v>
      </c>
      <c r="R28" s="57">
        <v>13615</v>
      </c>
      <c r="S28" s="57">
        <v>13515</v>
      </c>
      <c r="T28" s="57">
        <v>12463</v>
      </c>
      <c r="U28" s="57">
        <v>12500</v>
      </c>
    </row>
    <row r="29" spans="1:21" ht="21.5" customHeight="1">
      <c r="A29" s="56" t="s">
        <v>226</v>
      </c>
      <c r="C29" s="57">
        <v>3676</v>
      </c>
      <c r="D29" s="57">
        <v>138</v>
      </c>
      <c r="E29" s="57">
        <v>51</v>
      </c>
      <c r="M29" s="29"/>
      <c r="N29" s="29"/>
      <c r="O29" s="29"/>
    </row>
    <row r="30" spans="1:21" ht="21.5" customHeight="1">
      <c r="A30" s="56" t="s">
        <v>227</v>
      </c>
      <c r="C30" s="57">
        <v>10629</v>
      </c>
      <c r="D30" s="57">
        <v>9401</v>
      </c>
      <c r="E30" s="57">
        <v>14109</v>
      </c>
      <c r="F30" s="57">
        <v>16764</v>
      </c>
      <c r="G30" s="57">
        <v>17506</v>
      </c>
      <c r="H30" s="57">
        <v>19363</v>
      </c>
      <c r="I30" s="57">
        <v>18782</v>
      </c>
      <c r="J30" s="57">
        <v>18358</v>
      </c>
      <c r="K30" s="57">
        <v>18139</v>
      </c>
      <c r="L30" s="57">
        <v>15491</v>
      </c>
      <c r="M30" s="29"/>
      <c r="N30" s="29"/>
      <c r="O30" s="29"/>
      <c r="P30" s="57">
        <v>18686</v>
      </c>
      <c r="Q30" s="57">
        <v>18333</v>
      </c>
      <c r="R30" s="57">
        <v>18663</v>
      </c>
      <c r="S30" s="57">
        <v>18662</v>
      </c>
      <c r="T30" s="57">
        <v>15411</v>
      </c>
      <c r="U30" s="57">
        <v>15456</v>
      </c>
    </row>
    <row r="31" spans="1:21" ht="21.5" customHeight="1">
      <c r="A31" s="56" t="s">
        <v>228</v>
      </c>
      <c r="C31" s="57">
        <v>726</v>
      </c>
      <c r="D31" s="57">
        <v>368</v>
      </c>
      <c r="E31" s="57">
        <v>745</v>
      </c>
      <c r="F31" s="57">
        <v>736</v>
      </c>
      <c r="G31" s="57">
        <v>649</v>
      </c>
      <c r="H31" s="57">
        <v>785</v>
      </c>
      <c r="I31" s="57">
        <v>635</v>
      </c>
      <c r="M31" s="29"/>
      <c r="N31" s="29"/>
      <c r="O31" s="29"/>
      <c r="P31" s="57">
        <v>461</v>
      </c>
    </row>
    <row r="32" spans="1:21" ht="21.5" customHeight="1">
      <c r="A32" s="56" t="s">
        <v>229</v>
      </c>
      <c r="C32" s="57">
        <v>4248</v>
      </c>
      <c r="D32" s="57">
        <v>4230</v>
      </c>
      <c r="E32" s="57">
        <v>4148</v>
      </c>
      <c r="F32" s="57">
        <v>6075</v>
      </c>
      <c r="G32" s="57">
        <v>6184</v>
      </c>
      <c r="H32" s="57">
        <v>6731</v>
      </c>
      <c r="I32" s="57">
        <v>6189</v>
      </c>
      <c r="J32" s="57">
        <v>7796</v>
      </c>
      <c r="K32" s="57">
        <v>13403</v>
      </c>
      <c r="L32" s="57">
        <v>14696</v>
      </c>
      <c r="M32" s="29"/>
      <c r="N32" s="29"/>
      <c r="O32" s="29"/>
      <c r="P32" s="57">
        <v>12904</v>
      </c>
      <c r="Q32" s="57">
        <v>13669</v>
      </c>
      <c r="R32" s="57">
        <v>13958</v>
      </c>
      <c r="S32" s="57">
        <v>14129</v>
      </c>
      <c r="T32" s="57">
        <v>14887</v>
      </c>
      <c r="U32" s="57">
        <v>15582</v>
      </c>
    </row>
    <row r="33" spans="1:21" ht="21.5" customHeight="1">
      <c r="A33" s="51" t="s">
        <v>230</v>
      </c>
      <c r="B33" s="52"/>
      <c r="C33" s="53">
        <v>87270</v>
      </c>
      <c r="D33" s="53">
        <v>87896</v>
      </c>
      <c r="E33" s="53">
        <v>83216</v>
      </c>
      <c r="F33" s="53">
        <v>86381</v>
      </c>
      <c r="G33" s="53">
        <v>87296</v>
      </c>
      <c r="H33" s="53">
        <v>94354</v>
      </c>
      <c r="I33" s="53">
        <v>92763</v>
      </c>
      <c r="J33" s="53">
        <v>97703</v>
      </c>
      <c r="K33" s="53">
        <v>100549</v>
      </c>
      <c r="L33" s="53">
        <v>104816</v>
      </c>
      <c r="M33" s="32"/>
      <c r="N33" s="32"/>
      <c r="O33" s="32"/>
      <c r="P33" s="53">
        <v>106266</v>
      </c>
      <c r="Q33" s="53">
        <v>101716</v>
      </c>
      <c r="R33" s="53">
        <v>104333</v>
      </c>
      <c r="S33" s="53">
        <v>106045</v>
      </c>
      <c r="T33" s="53">
        <v>104217</v>
      </c>
      <c r="U33" s="53">
        <v>107922</v>
      </c>
    </row>
    <row r="34" spans="1:21" ht="21.5" customHeight="1">
      <c r="A34" s="61" t="s">
        <v>231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29"/>
      <c r="N34" s="29"/>
      <c r="O34" s="29"/>
      <c r="P34" s="62"/>
      <c r="Q34" s="62"/>
      <c r="R34" s="62"/>
      <c r="S34" s="62"/>
      <c r="T34" s="62"/>
      <c r="U34" s="62"/>
    </row>
    <row r="35" spans="1:21" ht="21.5" customHeight="1">
      <c r="A35" s="61" t="s">
        <v>232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29"/>
      <c r="N35" s="29"/>
      <c r="O35" s="29"/>
      <c r="P35" s="62"/>
      <c r="Q35" s="62"/>
      <c r="R35" s="62"/>
      <c r="S35" s="62"/>
      <c r="T35" s="62"/>
      <c r="U35" s="62"/>
    </row>
    <row r="36" spans="1:21" ht="21.5" customHeight="1">
      <c r="A36" s="56" t="s">
        <v>233</v>
      </c>
      <c r="C36" s="57">
        <v>9490</v>
      </c>
      <c r="D36" s="57">
        <v>8748</v>
      </c>
      <c r="E36" s="57">
        <v>9533</v>
      </c>
      <c r="F36" s="57">
        <v>11312</v>
      </c>
      <c r="G36" s="57">
        <v>11145</v>
      </c>
      <c r="H36" s="57">
        <v>14619</v>
      </c>
      <c r="I36" s="57">
        <v>15749</v>
      </c>
      <c r="J36" s="57">
        <v>15485</v>
      </c>
      <c r="K36" s="57">
        <v>21712</v>
      </c>
      <c r="L36" s="57">
        <v>14813</v>
      </c>
      <c r="M36" s="29"/>
      <c r="N36" s="29"/>
      <c r="O36" s="29"/>
      <c r="P36" s="57">
        <v>23820</v>
      </c>
      <c r="Q36" s="57">
        <v>16499</v>
      </c>
      <c r="R36" s="57">
        <v>17030</v>
      </c>
      <c r="S36" s="57">
        <v>17692</v>
      </c>
      <c r="T36" s="57">
        <v>14409</v>
      </c>
      <c r="U36" s="57">
        <v>15434</v>
      </c>
    </row>
    <row r="37" spans="1:21" ht="21.5" customHeight="1">
      <c r="A37" s="56" t="s">
        <v>234</v>
      </c>
      <c r="C37" s="57">
        <v>12498</v>
      </c>
      <c r="D37" s="57">
        <v>13205</v>
      </c>
      <c r="E37" s="57">
        <v>13835</v>
      </c>
      <c r="F37" s="57">
        <v>10994</v>
      </c>
      <c r="G37" s="57">
        <v>2183</v>
      </c>
      <c r="H37" s="57">
        <v>3307</v>
      </c>
      <c r="I37" s="57">
        <v>2373</v>
      </c>
      <c r="J37" s="57">
        <v>4557</v>
      </c>
      <c r="K37" s="57">
        <v>1499</v>
      </c>
      <c r="L37" s="57">
        <v>1551</v>
      </c>
      <c r="M37" s="29"/>
      <c r="N37" s="29"/>
      <c r="O37" s="29"/>
      <c r="P37" s="57">
        <v>2203</v>
      </c>
      <c r="Q37" s="57">
        <v>5418</v>
      </c>
      <c r="R37" s="57">
        <v>4379</v>
      </c>
      <c r="S37" s="57">
        <v>2319</v>
      </c>
      <c r="T37" s="57">
        <v>332</v>
      </c>
      <c r="U37" s="57">
        <v>48</v>
      </c>
    </row>
    <row r="38" spans="1:21" ht="21.5" customHeight="1">
      <c r="A38" s="56" t="s">
        <v>235</v>
      </c>
      <c r="C38" s="57">
        <v>3527</v>
      </c>
      <c r="D38" s="57">
        <v>3298</v>
      </c>
      <c r="E38" s="57">
        <v>5003</v>
      </c>
      <c r="F38" s="57">
        <v>4253</v>
      </c>
      <c r="G38" s="57">
        <v>485</v>
      </c>
      <c r="H38" s="57">
        <v>1338</v>
      </c>
      <c r="I38" s="57">
        <v>399</v>
      </c>
      <c r="J38" s="57">
        <v>1960</v>
      </c>
      <c r="K38" s="57">
        <v>648</v>
      </c>
      <c r="L38" s="57">
        <v>1822</v>
      </c>
      <c r="M38" s="29"/>
      <c r="N38" s="29"/>
      <c r="O38" s="29"/>
      <c r="P38" s="57">
        <v>1067</v>
      </c>
      <c r="Q38" s="57">
        <v>163</v>
      </c>
      <c r="R38" s="57">
        <v>91</v>
      </c>
      <c r="S38" s="57">
        <v>1920</v>
      </c>
      <c r="T38" s="57">
        <v>4493</v>
      </c>
      <c r="U38" s="57">
        <v>6494</v>
      </c>
    </row>
    <row r="39" spans="1:21" ht="21.5" customHeight="1">
      <c r="A39" s="56" t="s">
        <v>236</v>
      </c>
      <c r="C39" s="57">
        <v>307</v>
      </c>
      <c r="D39" s="57">
        <v>410</v>
      </c>
      <c r="E39" s="57">
        <v>411</v>
      </c>
      <c r="F39" s="57">
        <v>414</v>
      </c>
      <c r="G39" s="57">
        <v>788</v>
      </c>
      <c r="H39" s="57">
        <v>686</v>
      </c>
      <c r="I39" s="57">
        <v>1203</v>
      </c>
      <c r="J39" s="57">
        <v>1569</v>
      </c>
      <c r="K39" s="57">
        <v>1387</v>
      </c>
      <c r="L39" s="57">
        <v>525</v>
      </c>
      <c r="M39" s="29"/>
      <c r="N39" s="29"/>
      <c r="O39" s="29"/>
      <c r="P39" s="57">
        <v>1479</v>
      </c>
      <c r="Q39" s="57">
        <v>1728</v>
      </c>
      <c r="R39" s="57">
        <v>444</v>
      </c>
      <c r="S39" s="57">
        <v>568</v>
      </c>
      <c r="T39" s="57">
        <v>717</v>
      </c>
      <c r="U39" s="57">
        <v>782</v>
      </c>
    </row>
    <row r="40" spans="1:21" ht="21.5" customHeight="1">
      <c r="A40" s="56" t="s">
        <v>237</v>
      </c>
      <c r="C40" s="57">
        <v>710</v>
      </c>
      <c r="D40" s="57">
        <v>37</v>
      </c>
      <c r="K40" s="57">
        <v>3</v>
      </c>
      <c r="L40" s="57">
        <v>2570</v>
      </c>
      <c r="M40" s="29"/>
      <c r="N40" s="29"/>
      <c r="O40" s="29"/>
      <c r="T40" s="57">
        <v>2427</v>
      </c>
      <c r="U40" s="57">
        <v>2442</v>
      </c>
    </row>
    <row r="41" spans="1:21" ht="21.5" customHeight="1">
      <c r="A41" s="56" t="s">
        <v>238</v>
      </c>
      <c r="C41" s="67">
        <v>0</v>
      </c>
      <c r="D41" s="57">
        <v>1496</v>
      </c>
      <c r="M41" s="29"/>
      <c r="N41" s="29"/>
      <c r="O41" s="29"/>
    </row>
    <row r="42" spans="1:21" ht="21.5" customHeight="1">
      <c r="A42" s="51" t="s">
        <v>239</v>
      </c>
      <c r="B42" s="52"/>
      <c r="C42" s="53">
        <v>26532</v>
      </c>
      <c r="D42" s="53">
        <v>27194</v>
      </c>
      <c r="E42" s="53">
        <v>28782</v>
      </c>
      <c r="F42" s="53">
        <v>26973</v>
      </c>
      <c r="G42" s="53">
        <v>14601</v>
      </c>
      <c r="H42" s="53">
        <v>19950</v>
      </c>
      <c r="I42" s="53">
        <v>19724</v>
      </c>
      <c r="J42" s="53">
        <v>23571</v>
      </c>
      <c r="K42" s="53">
        <v>25249</v>
      </c>
      <c r="L42" s="53">
        <v>21281</v>
      </c>
      <c r="M42" s="32"/>
      <c r="N42" s="32"/>
      <c r="O42" s="32"/>
      <c r="P42" s="53">
        <v>28569</v>
      </c>
      <c r="Q42" s="53">
        <v>23808</v>
      </c>
      <c r="R42" s="53">
        <v>21944</v>
      </c>
      <c r="S42" s="53">
        <v>22499</v>
      </c>
      <c r="T42" s="53">
        <v>22378</v>
      </c>
      <c r="U42" s="53">
        <v>25200</v>
      </c>
    </row>
    <row r="43" spans="1:21" ht="21.5" customHeight="1">
      <c r="A43" s="56" t="s">
        <v>240</v>
      </c>
      <c r="C43" s="57">
        <v>29684</v>
      </c>
      <c r="D43" s="57">
        <v>31182</v>
      </c>
      <c r="E43" s="57">
        <v>25376</v>
      </c>
      <c r="F43" s="57">
        <v>27516</v>
      </c>
      <c r="G43" s="57">
        <v>40125</v>
      </c>
      <c r="H43" s="57">
        <v>38116</v>
      </c>
      <c r="I43" s="57">
        <v>36377</v>
      </c>
      <c r="J43" s="57">
        <v>35547</v>
      </c>
      <c r="K43" s="57">
        <v>42375</v>
      </c>
      <c r="L43" s="57">
        <v>42119</v>
      </c>
      <c r="M43" s="29"/>
      <c r="N43" s="29"/>
      <c r="O43" s="29"/>
      <c r="P43" s="57">
        <v>42994</v>
      </c>
      <c r="Q43" s="57">
        <v>43530</v>
      </c>
      <c r="R43" s="57">
        <v>44976</v>
      </c>
      <c r="S43" s="57">
        <v>43177</v>
      </c>
      <c r="T43" s="57">
        <v>39065</v>
      </c>
      <c r="U43" s="57">
        <v>37001</v>
      </c>
    </row>
    <row r="44" spans="1:21" ht="21.5" customHeight="1">
      <c r="A44" s="56" t="s">
        <v>241</v>
      </c>
      <c r="C44" s="57">
        <v>4081</v>
      </c>
      <c r="D44" s="57">
        <v>8021</v>
      </c>
      <c r="E44" s="57">
        <v>7646</v>
      </c>
      <c r="F44" s="57">
        <v>8510</v>
      </c>
      <c r="G44" s="57">
        <v>9453</v>
      </c>
      <c r="H44" s="57">
        <v>8607</v>
      </c>
      <c r="I44" s="57">
        <v>7922</v>
      </c>
      <c r="J44" s="57">
        <v>8466</v>
      </c>
      <c r="K44" s="57">
        <v>4084</v>
      </c>
      <c r="L44" s="57">
        <v>4735</v>
      </c>
      <c r="M44" s="29"/>
      <c r="N44" s="29"/>
      <c r="O44" s="29"/>
      <c r="P44" s="57">
        <v>4257</v>
      </c>
      <c r="Q44" s="57">
        <v>4313</v>
      </c>
      <c r="R44" s="57">
        <v>4856</v>
      </c>
      <c r="S44" s="57">
        <v>4667</v>
      </c>
      <c r="T44" s="57">
        <v>4425</v>
      </c>
      <c r="U44" s="57">
        <v>4627</v>
      </c>
    </row>
    <row r="45" spans="1:21" ht="21.5" customHeight="1">
      <c r="A45" s="56" t="s">
        <v>242</v>
      </c>
      <c r="C45" s="57">
        <v>3753</v>
      </c>
      <c r="D45" s="57">
        <v>2522</v>
      </c>
      <c r="E45" s="57">
        <v>2354</v>
      </c>
      <c r="F45" s="57">
        <v>2284</v>
      </c>
      <c r="G45" s="57">
        <v>1833</v>
      </c>
      <c r="H45" s="57">
        <v>2821</v>
      </c>
      <c r="I45" s="57">
        <v>2914</v>
      </c>
      <c r="J45" s="57">
        <v>2639</v>
      </c>
      <c r="K45" s="57">
        <v>2469</v>
      </c>
      <c r="L45" s="57">
        <v>2406</v>
      </c>
      <c r="M45" s="29"/>
      <c r="N45" s="29"/>
      <c r="O45" s="29"/>
      <c r="P45" s="57">
        <v>2292</v>
      </c>
      <c r="Q45" s="57">
        <v>2311</v>
      </c>
      <c r="R45" s="57">
        <v>2375</v>
      </c>
      <c r="S45" s="57">
        <v>2435</v>
      </c>
      <c r="T45" s="57">
        <v>2615</v>
      </c>
      <c r="U45" s="57">
        <v>2779</v>
      </c>
    </row>
    <row r="46" spans="1:21" ht="21.5" customHeight="1">
      <c r="A46" s="61" t="s">
        <v>243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29"/>
      <c r="N46" s="29"/>
      <c r="O46" s="29"/>
      <c r="P46" s="62"/>
      <c r="Q46" s="62"/>
      <c r="R46" s="62"/>
      <c r="S46" s="62"/>
      <c r="T46" s="62"/>
      <c r="U46" s="62"/>
    </row>
    <row r="47" spans="1:21" ht="21.5" customHeight="1">
      <c r="A47" s="61" t="s">
        <v>244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29"/>
      <c r="N47" s="29"/>
      <c r="O47" s="29"/>
      <c r="P47" s="62"/>
      <c r="Q47" s="62"/>
      <c r="R47" s="62"/>
      <c r="S47" s="62"/>
      <c r="T47" s="62"/>
      <c r="U47" s="62"/>
    </row>
    <row r="48" spans="1:21" ht="21.5" customHeight="1">
      <c r="A48" s="56" t="s">
        <v>245</v>
      </c>
      <c r="C48" s="57">
        <v>1760</v>
      </c>
      <c r="D48" s="57">
        <v>1760</v>
      </c>
      <c r="E48" s="57">
        <v>1760</v>
      </c>
      <c r="F48" s="57">
        <v>1760</v>
      </c>
      <c r="G48" s="57">
        <v>1760</v>
      </c>
      <c r="H48" s="57">
        <v>1760</v>
      </c>
      <c r="I48" s="57">
        <v>1760</v>
      </c>
      <c r="J48" s="57">
        <v>1760</v>
      </c>
      <c r="K48" s="57">
        <v>1760</v>
      </c>
      <c r="L48" s="57">
        <v>1760</v>
      </c>
      <c r="M48" s="29"/>
      <c r="N48" s="29"/>
      <c r="O48" s="29"/>
      <c r="P48" s="57">
        <v>1760</v>
      </c>
      <c r="Q48" s="57">
        <v>1760</v>
      </c>
      <c r="R48" s="57">
        <v>1760</v>
      </c>
      <c r="S48" s="57">
        <v>1760</v>
      </c>
      <c r="T48" s="57">
        <v>1760</v>
      </c>
      <c r="U48" s="57">
        <v>1760</v>
      </c>
    </row>
    <row r="49" spans="1:21" ht="21.5" customHeight="1">
      <c r="A49" s="56" t="s">
        <v>246</v>
      </c>
      <c r="C49" s="57">
        <v>14993</v>
      </c>
      <c r="D49" s="57">
        <v>15864</v>
      </c>
      <c r="E49" s="57">
        <v>16520</v>
      </c>
      <c r="F49" s="57">
        <v>17154</v>
      </c>
      <c r="G49" s="57">
        <v>17601</v>
      </c>
      <c r="H49" s="57">
        <v>18116</v>
      </c>
      <c r="I49" s="57">
        <v>18822</v>
      </c>
      <c r="J49" s="57">
        <v>19209</v>
      </c>
      <c r="K49" s="57">
        <v>19801</v>
      </c>
      <c r="L49" s="57">
        <v>20581</v>
      </c>
      <c r="M49" s="29"/>
      <c r="N49" s="29"/>
      <c r="O49" s="29"/>
      <c r="P49" s="57">
        <v>19710</v>
      </c>
      <c r="Q49" s="57">
        <v>19873</v>
      </c>
      <c r="R49" s="57">
        <v>19970</v>
      </c>
      <c r="S49" s="57">
        <v>20489</v>
      </c>
      <c r="T49" s="57">
        <v>20634</v>
      </c>
      <c r="U49" s="57">
        <v>20741</v>
      </c>
    </row>
    <row r="50" spans="1:21" ht="21.5" customHeight="1">
      <c r="A50" s="56" t="s">
        <v>247</v>
      </c>
      <c r="C50" s="57">
        <v>65502</v>
      </c>
      <c r="D50" s="57">
        <v>60430</v>
      </c>
      <c r="E50" s="57">
        <v>63234</v>
      </c>
      <c r="F50" s="57">
        <v>65855</v>
      </c>
      <c r="G50" s="57">
        <v>66555</v>
      </c>
      <c r="H50" s="57">
        <v>69094</v>
      </c>
      <c r="I50" s="57">
        <v>71019</v>
      </c>
      <c r="J50" s="57">
        <v>73782</v>
      </c>
      <c r="K50" s="57">
        <v>76054</v>
      </c>
      <c r="L50" s="57">
        <v>80382</v>
      </c>
      <c r="M50" s="29"/>
      <c r="N50" s="29"/>
      <c r="O50" s="29"/>
      <c r="P50" s="57">
        <v>75946</v>
      </c>
      <c r="Q50" s="57">
        <v>77189</v>
      </c>
      <c r="R50" s="57">
        <v>78803</v>
      </c>
      <c r="S50" s="57">
        <v>80305</v>
      </c>
      <c r="T50" s="57">
        <v>82026</v>
      </c>
      <c r="U50" s="57">
        <v>84169</v>
      </c>
    </row>
    <row r="51" spans="1:21" ht="21.5" customHeight="1">
      <c r="A51" s="56" t="s">
        <v>248</v>
      </c>
      <c r="C51" s="57">
        <v>-11205</v>
      </c>
      <c r="D51" s="57">
        <v>-10305</v>
      </c>
      <c r="E51" s="57">
        <v>-12814</v>
      </c>
      <c r="F51" s="57">
        <v>-13544</v>
      </c>
      <c r="G51" s="57">
        <v>-14601</v>
      </c>
      <c r="H51" s="57">
        <v>-14330</v>
      </c>
      <c r="I51" s="57">
        <v>-14895</v>
      </c>
      <c r="J51" s="57">
        <v>-14275</v>
      </c>
      <c r="K51" s="57">
        <v>-16843</v>
      </c>
      <c r="L51" s="57">
        <v>-14131</v>
      </c>
      <c r="M51" s="29"/>
      <c r="N51" s="29"/>
      <c r="O51" s="29"/>
      <c r="P51" s="57">
        <v>-15536</v>
      </c>
      <c r="Q51" s="57">
        <v>-16482</v>
      </c>
      <c r="R51" s="57">
        <v>-15758</v>
      </c>
      <c r="S51" s="57">
        <v>-14952</v>
      </c>
      <c r="T51" s="57">
        <v>-14040</v>
      </c>
      <c r="U51" s="57">
        <v>-13626</v>
      </c>
    </row>
    <row r="52" spans="1:21" ht="21.5" customHeight="1">
      <c r="A52" s="56" t="s">
        <v>249</v>
      </c>
      <c r="C52" s="57">
        <v>-47988</v>
      </c>
      <c r="D52" s="57">
        <v>-50677</v>
      </c>
      <c r="E52" s="57">
        <v>-51719</v>
      </c>
      <c r="F52" s="57">
        <v>-52244</v>
      </c>
      <c r="G52" s="57">
        <v>-52016</v>
      </c>
      <c r="H52" s="57">
        <v>-51641</v>
      </c>
      <c r="I52" s="57">
        <v>-52601</v>
      </c>
      <c r="J52" s="57">
        <v>-54535</v>
      </c>
      <c r="K52" s="57">
        <v>-55916</v>
      </c>
      <c r="L52" s="57">
        <v>-56423</v>
      </c>
      <c r="M52" s="29"/>
      <c r="N52" s="29"/>
      <c r="O52" s="29"/>
      <c r="P52" s="57">
        <v>-55362</v>
      </c>
      <c r="Q52" s="57">
        <v>-56138</v>
      </c>
      <c r="R52" s="57">
        <v>-56190</v>
      </c>
      <c r="S52" s="57">
        <v>-56355</v>
      </c>
      <c r="T52" s="57">
        <v>-56747</v>
      </c>
      <c r="U52" s="57">
        <v>-56894</v>
      </c>
    </row>
    <row r="53" spans="1:21" ht="21.5" customHeight="1">
      <c r="A53" s="51" t="s">
        <v>250</v>
      </c>
      <c r="B53" s="52"/>
      <c r="C53" s="53">
        <v>23062</v>
      </c>
      <c r="D53" s="53">
        <v>17072</v>
      </c>
      <c r="E53" s="53">
        <v>16981</v>
      </c>
      <c r="F53" s="53">
        <v>18981</v>
      </c>
      <c r="G53" s="53">
        <v>19299</v>
      </c>
      <c r="H53" s="53">
        <v>22999</v>
      </c>
      <c r="I53" s="53">
        <v>24105</v>
      </c>
      <c r="J53" s="53">
        <v>25941</v>
      </c>
      <c r="K53" s="53">
        <v>24856</v>
      </c>
      <c r="L53" s="53">
        <v>32169</v>
      </c>
      <c r="M53" s="32"/>
      <c r="N53" s="32"/>
      <c r="O53" s="32"/>
      <c r="P53" s="53">
        <v>26518</v>
      </c>
      <c r="Q53" s="53">
        <v>26202</v>
      </c>
      <c r="R53" s="53">
        <v>28585</v>
      </c>
      <c r="S53" s="53">
        <v>31247</v>
      </c>
      <c r="T53" s="53">
        <v>33633</v>
      </c>
      <c r="U53" s="53">
        <v>36150</v>
      </c>
    </row>
    <row r="54" spans="1:21" ht="21.5" customHeight="1">
      <c r="A54" s="51" t="s">
        <v>251</v>
      </c>
      <c r="B54" s="52"/>
      <c r="C54" s="53">
        <v>158</v>
      </c>
      <c r="D54" s="53">
        <v>1905</v>
      </c>
      <c r="E54" s="53">
        <v>2077</v>
      </c>
      <c r="F54" s="53">
        <v>2117</v>
      </c>
      <c r="G54" s="53">
        <v>1985</v>
      </c>
      <c r="H54" s="53">
        <v>1861</v>
      </c>
      <c r="I54" s="53">
        <v>1721</v>
      </c>
      <c r="J54" s="53">
        <v>1539</v>
      </c>
      <c r="K54" s="53">
        <v>1516</v>
      </c>
      <c r="L54" s="53">
        <v>2106</v>
      </c>
      <c r="M54" s="32"/>
      <c r="N54" s="32"/>
      <c r="O54" s="32"/>
      <c r="P54" s="53">
        <v>1636</v>
      </c>
      <c r="Q54" s="53">
        <v>1552</v>
      </c>
      <c r="R54" s="53">
        <v>1597</v>
      </c>
      <c r="S54" s="53">
        <v>2020</v>
      </c>
      <c r="T54" s="53">
        <v>2101</v>
      </c>
      <c r="U54" s="53">
        <v>2165</v>
      </c>
    </row>
    <row r="55" spans="1:21" ht="21.5" customHeight="1">
      <c r="A55" s="51" t="s">
        <v>252</v>
      </c>
      <c r="B55" s="52"/>
      <c r="C55" s="53">
        <v>23220</v>
      </c>
      <c r="D55" s="53">
        <v>18977</v>
      </c>
      <c r="E55" s="53">
        <v>19058</v>
      </c>
      <c r="F55" s="53">
        <v>21098</v>
      </c>
      <c r="G55" s="53">
        <v>21284</v>
      </c>
      <c r="H55" s="53">
        <v>24860</v>
      </c>
      <c r="I55" s="53">
        <v>25826</v>
      </c>
      <c r="J55" s="53">
        <v>27480</v>
      </c>
      <c r="K55" s="53">
        <v>26372</v>
      </c>
      <c r="L55" s="53">
        <v>34275</v>
      </c>
      <c r="M55" s="32"/>
      <c r="N55" s="32"/>
      <c r="O55" s="32"/>
      <c r="P55" s="53">
        <v>28154</v>
      </c>
      <c r="Q55" s="53">
        <v>27754</v>
      </c>
      <c r="R55" s="53">
        <v>30182</v>
      </c>
      <c r="S55" s="53">
        <v>33267</v>
      </c>
      <c r="T55" s="53">
        <v>35734</v>
      </c>
      <c r="U55" s="53">
        <v>38315</v>
      </c>
    </row>
    <row r="56" spans="1:21" ht="21.5" customHeight="1">
      <c r="A56" s="51" t="s">
        <v>253</v>
      </c>
      <c r="B56" s="52"/>
      <c r="C56" s="53">
        <v>87270</v>
      </c>
      <c r="D56" s="53">
        <v>87896</v>
      </c>
      <c r="E56" s="53">
        <v>83216</v>
      </c>
      <c r="F56" s="53">
        <v>86381</v>
      </c>
      <c r="G56" s="53">
        <v>87296</v>
      </c>
      <c r="H56" s="53">
        <v>94354</v>
      </c>
      <c r="I56" s="53">
        <v>92763</v>
      </c>
      <c r="J56" s="53">
        <v>97703</v>
      </c>
      <c r="K56" s="53">
        <v>100549</v>
      </c>
      <c r="L56" s="53">
        <v>104816</v>
      </c>
      <c r="M56" s="32"/>
      <c r="N56" s="32"/>
      <c r="O56" s="32"/>
      <c r="P56" s="53">
        <v>106266</v>
      </c>
      <c r="Q56" s="53">
        <v>101716</v>
      </c>
      <c r="R56" s="53">
        <v>104333</v>
      </c>
      <c r="S56" s="53">
        <v>106045</v>
      </c>
      <c r="T56" s="53">
        <v>104217</v>
      </c>
      <c r="U56" s="53">
        <v>107922</v>
      </c>
    </row>
    <row r="57" spans="1:21" ht="10" customHeight="1">
      <c r="M57" s="29"/>
      <c r="N57" s="29"/>
      <c r="O57" s="29"/>
    </row>
    <row r="58" spans="1:21" ht="29" customHeight="1">
      <c r="A58" s="23" t="s">
        <v>200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 spans="1:21" ht="21.5" customHeight="1">
      <c r="A59" s="63" t="s">
        <v>254</v>
      </c>
      <c r="B59" s="64"/>
      <c r="C59" s="65">
        <f t="shared" ref="C59:L59" si="0">C14+C15-C16</f>
        <v>0</v>
      </c>
      <c r="D59" s="65">
        <f t="shared" si="0"/>
        <v>0</v>
      </c>
      <c r="E59" s="65">
        <f t="shared" si="0"/>
        <v>0</v>
      </c>
      <c r="F59" s="65">
        <f t="shared" si="0"/>
        <v>0</v>
      </c>
      <c r="G59" s="65">
        <f t="shared" si="0"/>
        <v>0</v>
      </c>
      <c r="H59" s="65">
        <f t="shared" si="0"/>
        <v>0</v>
      </c>
      <c r="I59" s="65">
        <f t="shared" si="0"/>
        <v>0</v>
      </c>
      <c r="J59" s="65">
        <f t="shared" si="0"/>
        <v>0</v>
      </c>
      <c r="K59" s="65">
        <f t="shared" si="0"/>
        <v>0</v>
      </c>
      <c r="L59" s="65">
        <f t="shared" si="0"/>
        <v>0</v>
      </c>
      <c r="M59" s="29"/>
      <c r="N59" s="29"/>
      <c r="O59" s="29"/>
      <c r="P59" s="65">
        <f t="shared" ref="P59:U59" si="1">P14+P15-P16</f>
        <v>0</v>
      </c>
      <c r="Q59" s="65">
        <f t="shared" si="1"/>
        <v>0</v>
      </c>
      <c r="R59" s="65">
        <f t="shared" si="1"/>
        <v>0</v>
      </c>
      <c r="S59" s="65">
        <f t="shared" si="1"/>
        <v>0</v>
      </c>
      <c r="T59" s="65">
        <f t="shared" si="1"/>
        <v>0</v>
      </c>
      <c r="U59" s="65">
        <f t="shared" si="1"/>
        <v>0</v>
      </c>
    </row>
    <row r="60" spans="1:21" ht="21.5" customHeight="1">
      <c r="A60" s="63" t="s">
        <v>255</v>
      </c>
      <c r="B60" s="64"/>
      <c r="C60" s="65">
        <f t="shared" ref="C60:L60" si="2">C16+C17+C18+C19+C20+C21+C22-C23</f>
        <v>0</v>
      </c>
      <c r="D60" s="65">
        <f t="shared" si="2"/>
        <v>0</v>
      </c>
      <c r="E60" s="65">
        <f t="shared" si="2"/>
        <v>0</v>
      </c>
      <c r="F60" s="65">
        <f t="shared" si="2"/>
        <v>0</v>
      </c>
      <c r="G60" s="65">
        <f t="shared" si="2"/>
        <v>0</v>
      </c>
      <c r="H60" s="65">
        <f t="shared" si="2"/>
        <v>0</v>
      </c>
      <c r="I60" s="65">
        <f t="shared" si="2"/>
        <v>0</v>
      </c>
      <c r="J60" s="65">
        <f t="shared" si="2"/>
        <v>0</v>
      </c>
      <c r="K60" s="65">
        <f t="shared" si="2"/>
        <v>0</v>
      </c>
      <c r="L60" s="65">
        <f t="shared" si="2"/>
        <v>0</v>
      </c>
      <c r="M60" s="29"/>
      <c r="N60" s="29"/>
      <c r="O60" s="29"/>
      <c r="P60" s="65">
        <f t="shared" ref="P60:U60" si="3">P16+P17+P18+P19+P20+P21+P22-P23</f>
        <v>0</v>
      </c>
      <c r="Q60" s="65">
        <f t="shared" si="3"/>
        <v>0</v>
      </c>
      <c r="R60" s="65">
        <f t="shared" si="3"/>
        <v>0</v>
      </c>
      <c r="S60" s="65">
        <f t="shared" si="3"/>
        <v>0</v>
      </c>
      <c r="T60" s="65">
        <f t="shared" si="3"/>
        <v>0</v>
      </c>
      <c r="U60" s="65">
        <f t="shared" si="3"/>
        <v>0</v>
      </c>
    </row>
    <row r="61" spans="1:21" ht="21.5" customHeight="1">
      <c r="A61" s="63" t="s">
        <v>256</v>
      </c>
      <c r="B61" s="64"/>
      <c r="C61" s="65">
        <f t="shared" ref="C61:L61" si="4">C23+C24+C25+C32+C26+C27+C28+C29+C30+C31-C33</f>
        <v>0</v>
      </c>
      <c r="D61" s="65">
        <f t="shared" si="4"/>
        <v>0</v>
      </c>
      <c r="E61" s="65">
        <f t="shared" si="4"/>
        <v>0</v>
      </c>
      <c r="F61" s="65">
        <f t="shared" si="4"/>
        <v>0</v>
      </c>
      <c r="G61" s="65">
        <f t="shared" si="4"/>
        <v>0</v>
      </c>
      <c r="H61" s="65">
        <f t="shared" si="4"/>
        <v>0</v>
      </c>
      <c r="I61" s="65">
        <f t="shared" si="4"/>
        <v>0</v>
      </c>
      <c r="J61" s="65">
        <f t="shared" si="4"/>
        <v>0</v>
      </c>
      <c r="K61" s="65">
        <f t="shared" si="4"/>
        <v>0</v>
      </c>
      <c r="L61" s="65">
        <f t="shared" si="4"/>
        <v>0</v>
      </c>
      <c r="M61" s="29"/>
      <c r="N61" s="29"/>
      <c r="O61" s="29"/>
      <c r="P61" s="65">
        <f t="shared" ref="P61:U61" si="5">P23+P24+P25+P32+P26+P27+P28+P29+P30+P31-P33</f>
        <v>0</v>
      </c>
      <c r="Q61" s="65">
        <f t="shared" si="5"/>
        <v>0</v>
      </c>
      <c r="R61" s="65">
        <f t="shared" si="5"/>
        <v>0</v>
      </c>
      <c r="S61" s="65">
        <f t="shared" si="5"/>
        <v>0</v>
      </c>
      <c r="T61" s="65">
        <f t="shared" si="5"/>
        <v>0</v>
      </c>
      <c r="U61" s="65">
        <f t="shared" si="5"/>
        <v>0</v>
      </c>
    </row>
    <row r="62" spans="1:21" ht="37" customHeight="1">
      <c r="A62" s="63" t="s">
        <v>257</v>
      </c>
      <c r="B62" s="64"/>
      <c r="C62" s="65">
        <f t="shared" ref="C62:L62" si="6">C36+C37+C38+C39+C40+C41-C42</f>
        <v>0</v>
      </c>
      <c r="D62" s="65">
        <f t="shared" si="6"/>
        <v>0</v>
      </c>
      <c r="E62" s="65">
        <f t="shared" si="6"/>
        <v>0</v>
      </c>
      <c r="F62" s="65">
        <f t="shared" si="6"/>
        <v>0</v>
      </c>
      <c r="G62" s="65">
        <f t="shared" si="6"/>
        <v>0</v>
      </c>
      <c r="H62" s="65">
        <f t="shared" si="6"/>
        <v>0</v>
      </c>
      <c r="I62" s="65">
        <f t="shared" si="6"/>
        <v>0</v>
      </c>
      <c r="J62" s="65">
        <f t="shared" si="6"/>
        <v>0</v>
      </c>
      <c r="K62" s="65">
        <f t="shared" si="6"/>
        <v>0</v>
      </c>
      <c r="L62" s="65">
        <f t="shared" si="6"/>
        <v>0</v>
      </c>
      <c r="M62" s="29"/>
      <c r="N62" s="29"/>
      <c r="O62" s="29"/>
      <c r="P62" s="65">
        <f t="shared" ref="P62:U62" si="7">P36+P37+P38+P39+P40+P41-P42</f>
        <v>0</v>
      </c>
      <c r="Q62" s="65">
        <f t="shared" si="7"/>
        <v>0</v>
      </c>
      <c r="R62" s="65">
        <f t="shared" si="7"/>
        <v>0</v>
      </c>
      <c r="S62" s="65">
        <f t="shared" si="7"/>
        <v>0</v>
      </c>
      <c r="T62" s="65">
        <f t="shared" si="7"/>
        <v>0</v>
      </c>
      <c r="U62" s="65">
        <f t="shared" si="7"/>
        <v>0</v>
      </c>
    </row>
    <row r="63" spans="1:21" ht="37" customHeight="1">
      <c r="A63" s="63" t="s">
        <v>258</v>
      </c>
      <c r="B63" s="64"/>
      <c r="C63" s="65">
        <f t="shared" ref="C63:L63" si="8">C48+C49+C50+C51+C52-C53</f>
        <v>0</v>
      </c>
      <c r="D63" s="65">
        <f t="shared" si="8"/>
        <v>0</v>
      </c>
      <c r="E63" s="65">
        <f t="shared" si="8"/>
        <v>0</v>
      </c>
      <c r="F63" s="65">
        <f t="shared" si="8"/>
        <v>0</v>
      </c>
      <c r="G63" s="65">
        <f t="shared" si="8"/>
        <v>0</v>
      </c>
      <c r="H63" s="65">
        <f t="shared" si="8"/>
        <v>0</v>
      </c>
      <c r="I63" s="65">
        <f t="shared" si="8"/>
        <v>0</v>
      </c>
      <c r="J63" s="65">
        <f t="shared" si="8"/>
        <v>0</v>
      </c>
      <c r="K63" s="65">
        <f t="shared" si="8"/>
        <v>0</v>
      </c>
      <c r="L63" s="65">
        <f t="shared" si="8"/>
        <v>0</v>
      </c>
      <c r="M63" s="29"/>
      <c r="N63" s="29"/>
      <c r="O63" s="29"/>
      <c r="P63" s="65">
        <f t="shared" ref="P63:U63" si="9">P48+P49+P50+P51+P52-P53</f>
        <v>0</v>
      </c>
      <c r="Q63" s="65">
        <f t="shared" si="9"/>
        <v>0</v>
      </c>
      <c r="R63" s="65">
        <f t="shared" si="9"/>
        <v>0</v>
      </c>
      <c r="S63" s="65">
        <f t="shared" si="9"/>
        <v>0</v>
      </c>
      <c r="T63" s="65">
        <f t="shared" si="9"/>
        <v>0</v>
      </c>
      <c r="U63" s="65">
        <f t="shared" si="9"/>
        <v>0</v>
      </c>
    </row>
    <row r="64" spans="1:21" ht="21.5" customHeight="1">
      <c r="A64" s="63" t="s">
        <v>259</v>
      </c>
      <c r="B64" s="64"/>
      <c r="C64" s="65">
        <f t="shared" ref="C64:L64" si="10">C53+C54-C55</f>
        <v>0</v>
      </c>
      <c r="D64" s="65">
        <f t="shared" si="10"/>
        <v>0</v>
      </c>
      <c r="E64" s="65">
        <f t="shared" si="10"/>
        <v>0</v>
      </c>
      <c r="F64" s="65">
        <f t="shared" si="10"/>
        <v>0</v>
      </c>
      <c r="G64" s="65">
        <f t="shared" si="10"/>
        <v>0</v>
      </c>
      <c r="H64" s="65">
        <f t="shared" si="10"/>
        <v>0</v>
      </c>
      <c r="I64" s="65">
        <f t="shared" si="10"/>
        <v>0</v>
      </c>
      <c r="J64" s="65">
        <f t="shared" si="10"/>
        <v>0</v>
      </c>
      <c r="K64" s="65">
        <f t="shared" si="10"/>
        <v>0</v>
      </c>
      <c r="L64" s="65">
        <f t="shared" si="10"/>
        <v>0</v>
      </c>
      <c r="M64" s="29"/>
      <c r="N64" s="29"/>
      <c r="O64" s="29"/>
      <c r="P64" s="65">
        <f t="shared" ref="P64:U64" si="11">P53+P54-P55</f>
        <v>0</v>
      </c>
      <c r="Q64" s="65">
        <f t="shared" si="11"/>
        <v>0</v>
      </c>
      <c r="R64" s="65">
        <f t="shared" si="11"/>
        <v>0</v>
      </c>
      <c r="S64" s="65">
        <f t="shared" si="11"/>
        <v>0</v>
      </c>
      <c r="T64" s="65">
        <f t="shared" si="11"/>
        <v>0</v>
      </c>
      <c r="U64" s="65">
        <f t="shared" si="11"/>
        <v>0</v>
      </c>
    </row>
    <row r="65" spans="1:21" ht="21.5" customHeight="1">
      <c r="A65" s="63" t="s">
        <v>260</v>
      </c>
      <c r="B65" s="64"/>
      <c r="C65" s="65">
        <f t="shared" ref="C65:L65" si="12">C42+C43+C44+C45+C55-C56</f>
        <v>0</v>
      </c>
      <c r="D65" s="65">
        <f t="shared" si="12"/>
        <v>0</v>
      </c>
      <c r="E65" s="65">
        <f t="shared" si="12"/>
        <v>0</v>
      </c>
      <c r="F65" s="65">
        <f t="shared" si="12"/>
        <v>0</v>
      </c>
      <c r="G65" s="65">
        <f t="shared" si="12"/>
        <v>0</v>
      </c>
      <c r="H65" s="65">
        <f t="shared" si="12"/>
        <v>0</v>
      </c>
      <c r="I65" s="65">
        <f t="shared" si="12"/>
        <v>0</v>
      </c>
      <c r="J65" s="65">
        <f t="shared" si="12"/>
        <v>0</v>
      </c>
      <c r="K65" s="65">
        <f t="shared" si="12"/>
        <v>0</v>
      </c>
      <c r="L65" s="65">
        <f t="shared" si="12"/>
        <v>0</v>
      </c>
      <c r="M65" s="29"/>
      <c r="N65" s="29"/>
      <c r="O65" s="29"/>
      <c r="P65" s="65">
        <f t="shared" ref="P65:U65" si="13">P42+P43+P44+P45+P55-P56</f>
        <v>0</v>
      </c>
      <c r="Q65" s="65">
        <f t="shared" si="13"/>
        <v>0</v>
      </c>
      <c r="R65" s="65">
        <f t="shared" si="13"/>
        <v>0</v>
      </c>
      <c r="S65" s="65">
        <f t="shared" si="13"/>
        <v>0</v>
      </c>
      <c r="T65" s="65">
        <f t="shared" si="13"/>
        <v>0</v>
      </c>
      <c r="U65" s="65">
        <f t="shared" si="13"/>
        <v>0</v>
      </c>
    </row>
    <row r="66" spans="1:21" ht="37" customHeight="1">
      <c r="A66" s="63" t="s">
        <v>261</v>
      </c>
      <c r="B66" s="64"/>
      <c r="C66" s="65">
        <f t="shared" ref="C66:L66" si="14">C33-C56</f>
        <v>0</v>
      </c>
      <c r="D66" s="65">
        <f t="shared" si="14"/>
        <v>0</v>
      </c>
      <c r="E66" s="65">
        <f t="shared" si="14"/>
        <v>0</v>
      </c>
      <c r="F66" s="65">
        <f t="shared" si="14"/>
        <v>0</v>
      </c>
      <c r="G66" s="65">
        <f t="shared" si="14"/>
        <v>0</v>
      </c>
      <c r="H66" s="65">
        <f t="shared" si="14"/>
        <v>0</v>
      </c>
      <c r="I66" s="65">
        <f t="shared" si="14"/>
        <v>0</v>
      </c>
      <c r="J66" s="65">
        <f t="shared" si="14"/>
        <v>0</v>
      </c>
      <c r="K66" s="65">
        <f t="shared" si="14"/>
        <v>0</v>
      </c>
      <c r="L66" s="65">
        <f t="shared" si="14"/>
        <v>0</v>
      </c>
      <c r="M66" s="29"/>
      <c r="N66" s="29"/>
      <c r="O66" s="29"/>
      <c r="P66" s="65">
        <f t="shared" ref="P66:U66" si="15">P33-P56</f>
        <v>0</v>
      </c>
      <c r="Q66" s="65">
        <f t="shared" si="15"/>
        <v>0</v>
      </c>
      <c r="R66" s="65">
        <f t="shared" si="15"/>
        <v>0</v>
      </c>
      <c r="S66" s="65">
        <f t="shared" si="15"/>
        <v>0</v>
      </c>
      <c r="T66" s="65">
        <f t="shared" si="15"/>
        <v>0</v>
      </c>
      <c r="U66" s="65">
        <f t="shared" si="15"/>
        <v>0</v>
      </c>
    </row>
    <row r="67" spans="1:21" ht="10" customHeight="1">
      <c r="M67" s="29"/>
      <c r="N67" s="29"/>
      <c r="O67" s="29"/>
    </row>
    <row r="68" spans="1:21" ht="29" customHeight="1">
      <c r="A68" s="23" t="s">
        <v>262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</row>
    <row r="69" spans="1:21" ht="21.5" customHeight="1">
      <c r="A69" s="56" t="s">
        <v>263</v>
      </c>
      <c r="C69" s="68">
        <f>C18/'Income Statement'!C11*365</f>
        <v>33.620141891407684</v>
      </c>
      <c r="D69" s="68">
        <f>D18/'Income Statement'!D11*365</f>
        <v>36.961642549431126</v>
      </c>
      <c r="E69" s="68">
        <f>E18/'Income Statement'!E11*365</f>
        <v>39.213556851311949</v>
      </c>
      <c r="F69" s="68">
        <f>F18/'Income Statement'!F11*365</f>
        <v>38.893763752482151</v>
      </c>
      <c r="G69" s="68">
        <f>G18/'Income Statement'!G11*365</f>
        <v>34.759798873205305</v>
      </c>
      <c r="H69" s="68">
        <f>H18/'Income Statement'!H11*365</f>
        <v>33.162074763937397</v>
      </c>
      <c r="I69" s="68">
        <f>I18/'Income Statement'!I11*365</f>
        <v>29.59620035345549</v>
      </c>
      <c r="J69" s="68">
        <f>J18/'Income Statement'!J11*365</f>
        <v>27.203086068977576</v>
      </c>
      <c r="K69" s="68">
        <f>K18/'Income Statement'!K11*365</f>
        <v>27.680776014109345</v>
      </c>
      <c r="L69" s="68">
        <f>L18/'Income Statement'!L11*365</f>
        <v>23.129888821676644</v>
      </c>
      <c r="M69" s="29"/>
      <c r="N69" s="29"/>
      <c r="O69" s="29"/>
      <c r="P69" s="68">
        <f>P18/'Income Statement'!P11*91</f>
        <v>32.495613295090266</v>
      </c>
      <c r="Q69" s="68">
        <f>Q18/'Income Statement'!Q11*91</f>
        <v>33.451433192559982</v>
      </c>
      <c r="R69" s="68">
        <f>R18/'Income Statement'!R11*91</f>
        <v>30.25831671320303</v>
      </c>
      <c r="S69" s="68">
        <f>S18/'Income Statement'!S11*91</f>
        <v>28.830670413488559</v>
      </c>
      <c r="T69" s="68">
        <f>T18/'Income Statement'!T11*91</f>
        <v>26.814063502245027</v>
      </c>
      <c r="U69" s="68">
        <f>U18/'Income Statement'!U11*91</f>
        <v>25.382062780269059</v>
      </c>
    </row>
    <row r="70" spans="1:21" ht="21.5" customHeight="1">
      <c r="A70" s="56" t="s">
        <v>264</v>
      </c>
      <c r="C70" s="68">
        <f>C19/'Income Statement'!C13*365</f>
        <v>59.300030367446098</v>
      </c>
      <c r="D70" s="68">
        <f>D19/'Income Statement'!D13*365</f>
        <v>70.627140878944687</v>
      </c>
      <c r="E70" s="68">
        <f>E19/'Income Statement'!E13*365</f>
        <v>85.782122905027933</v>
      </c>
      <c r="F70" s="68">
        <f>F19/'Income Statement'!F13*365</f>
        <v>84.365209658663389</v>
      </c>
      <c r="G70" s="68">
        <f>G19/'Income Statement'!G13*365</f>
        <v>88.743393136306111</v>
      </c>
      <c r="H70" s="68">
        <f>H19/'Income Statement'!H13*365</f>
        <v>81.142801328384451</v>
      </c>
      <c r="I70" s="68">
        <f>I19/'Income Statement'!I13*365</f>
        <v>85.835833333333326</v>
      </c>
      <c r="J70" s="68">
        <f>J19/'Income Statement'!J13*365</f>
        <v>87.190064794816408</v>
      </c>
      <c r="K70" s="68">
        <f>K19/'Income Statement'!K13*365</f>
        <v>94.1781270464964</v>
      </c>
      <c r="L70" s="68">
        <f>L19/'Income Statement'!L13*365</f>
        <v>87.792846659781489</v>
      </c>
      <c r="M70" s="29"/>
      <c r="N70" s="29"/>
      <c r="O70" s="29"/>
      <c r="P70" s="68">
        <f>P19/'Income Statement'!P13*91</f>
        <v>91.975557461406524</v>
      </c>
      <c r="Q70" s="68">
        <f>Q19/'Income Statement'!Q13*91</f>
        <v>111.52582272399711</v>
      </c>
      <c r="R70" s="68">
        <f>R19/'Income Statement'!R13*91</f>
        <v>98.103945693678398</v>
      </c>
      <c r="S70" s="68">
        <f>S19/'Income Statement'!S13*91</f>
        <v>91.094850948509489</v>
      </c>
      <c r="T70" s="68">
        <f>T19/'Income Statement'!T13*91</f>
        <v>93.166666666666657</v>
      </c>
      <c r="U70" s="68">
        <f>U19/'Income Statement'!U13*91</f>
        <v>85.171601208459222</v>
      </c>
    </row>
    <row r="71" spans="1:21" ht="21.5" customHeight="1">
      <c r="A71" s="56" t="s">
        <v>265</v>
      </c>
      <c r="C71" s="68">
        <f>C36/'Income Statement'!C13*365</f>
        <v>210.37655633161253</v>
      </c>
      <c r="D71" s="68">
        <f>D36/'Income Statement'!D13*365</f>
        <v>232.71044384520079</v>
      </c>
      <c r="E71" s="68">
        <f>E36/'Income Statement'!E13*365</f>
        <v>266.28491620111731</v>
      </c>
      <c r="F71" s="68">
        <f>F36/'Income Statement'!F13*365</f>
        <v>282.43245092003559</v>
      </c>
      <c r="G71" s="68">
        <f>G36/'Income Statement'!G13*365</f>
        <v>302.83071540236728</v>
      </c>
      <c r="H71" s="68">
        <f>H36/'Income Statement'!H13*365</f>
        <v>347.45946473920691</v>
      </c>
      <c r="I71" s="68">
        <f>I36/'Income Statement'!I13*365</f>
        <v>319.35472222222222</v>
      </c>
      <c r="J71" s="68">
        <f>J36/'Income Statement'!J13*365</f>
        <v>305.18493520518359</v>
      </c>
      <c r="K71" s="68">
        <f>K36/'Income Statement'!K13*365</f>
        <v>432.48635669067892</v>
      </c>
      <c r="L71" s="68">
        <f>L36/'Income Statement'!L13*365</f>
        <v>293.89275425341089</v>
      </c>
      <c r="M71" s="29"/>
      <c r="N71" s="29"/>
      <c r="O71" s="29"/>
      <c r="P71" s="68">
        <f>P36/'Income Statement'!P13*91</f>
        <v>464.75557461406521</v>
      </c>
      <c r="Q71" s="68">
        <f>Q36/'Income Statement'!Q13*91</f>
        <v>360.65553687244778</v>
      </c>
      <c r="R71" s="68">
        <f>R36/'Income Statement'!R13*91</f>
        <v>328.75053033517185</v>
      </c>
      <c r="S71" s="68">
        <f>S36/'Income Statement'!S13*91</f>
        <v>335.62059620596204</v>
      </c>
      <c r="T71" s="68">
        <f>T36/'Income Statement'!T13*91</f>
        <v>283.81363636363636</v>
      </c>
      <c r="U71" s="68">
        <f>U36/'Income Statement'!U13*91</f>
        <v>282.87895266868077</v>
      </c>
    </row>
    <row r="72" spans="1:21" ht="21.5" customHeight="1">
      <c r="A72" s="56" t="s">
        <v>266</v>
      </c>
      <c r="C72" s="69">
        <f t="shared" ref="C72:L72" si="16">C69+C70-C71</f>
        <v>-117.45638407275875</v>
      </c>
      <c r="D72" s="69">
        <f t="shared" si="16"/>
        <v>-125.12166041682497</v>
      </c>
      <c r="E72" s="69">
        <f t="shared" si="16"/>
        <v>-141.28923644477743</v>
      </c>
      <c r="F72" s="69">
        <f t="shared" si="16"/>
        <v>-159.17347750889004</v>
      </c>
      <c r="G72" s="69">
        <f t="shared" si="16"/>
        <v>-179.32752339285585</v>
      </c>
      <c r="H72" s="69">
        <f t="shared" si="16"/>
        <v>-233.15458864688506</v>
      </c>
      <c r="I72" s="69">
        <f t="shared" si="16"/>
        <v>-203.92268853543339</v>
      </c>
      <c r="J72" s="69">
        <f t="shared" si="16"/>
        <v>-190.79178434138962</v>
      </c>
      <c r="K72" s="69">
        <f t="shared" si="16"/>
        <v>-310.62745363007321</v>
      </c>
      <c r="L72" s="69">
        <f t="shared" si="16"/>
        <v>-182.97001877195277</v>
      </c>
      <c r="M72" s="29"/>
      <c r="N72" s="29"/>
      <c r="O72" s="29"/>
      <c r="P72" s="69">
        <f t="shared" ref="P72:U72" si="17">P69+P70-P71</f>
        <v>-340.28440385756841</v>
      </c>
      <c r="Q72" s="69">
        <f t="shared" si="17"/>
        <v>-215.6782809558907</v>
      </c>
      <c r="R72" s="69">
        <f t="shared" si="17"/>
        <v>-200.38826792829042</v>
      </c>
      <c r="S72" s="69">
        <f t="shared" si="17"/>
        <v>-215.69507484396399</v>
      </c>
      <c r="T72" s="69">
        <f t="shared" si="17"/>
        <v>-163.83290619472467</v>
      </c>
      <c r="U72" s="69">
        <f t="shared" si="17"/>
        <v>-172.32528867995248</v>
      </c>
    </row>
    <row r="73" spans="1:21" ht="10" customHeight="1">
      <c r="M73" s="29"/>
      <c r="N73" s="29"/>
      <c r="O73" s="29"/>
    </row>
  </sheetData>
  <mergeCells count="9">
    <mergeCell ref="A68:U68"/>
    <mergeCell ref="A11:U11"/>
    <mergeCell ref="A58:U58"/>
    <mergeCell ref="A1:U1"/>
    <mergeCell ref="A9:U9"/>
    <mergeCell ref="A8:U8"/>
    <mergeCell ref="A6:U6"/>
    <mergeCell ref="A2:U2"/>
    <mergeCell ref="A7:U7"/>
  </mergeCells>
  <phoneticPr fontId="9" type="noConversion"/>
  <conditionalFormatting sqref="C59:U66">
    <cfRule type="cellIs" dxfId="31" priority="1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8324F"/>
    <pageSetUpPr fitToPage="1"/>
  </sheetPr>
  <dimension ref="A1:U78"/>
  <sheetViews>
    <sheetView showGridLines="0" zoomScale="95" zoomScaleNormal="95" workbookViewId="0">
      <pane xSplit="2" ySplit="5" topLeftCell="C16" activePane="bottomRight" state="frozen"/>
      <selection pane="topRight" activeCell="C3" sqref="C3"/>
      <selection pane="bottomLeft" activeCell="A6" sqref="A6"/>
      <selection pane="bottomRight" activeCell="A6" sqref="A6:U6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22" t="s">
        <v>267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21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25" customHeight="1"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  <c r="K3" s="46" t="s">
        <v>10</v>
      </c>
      <c r="L3" s="46" t="s">
        <v>11</v>
      </c>
      <c r="M3" s="47" t="s">
        <v>12</v>
      </c>
      <c r="N3" s="47" t="s">
        <v>12</v>
      </c>
      <c r="O3" s="47" t="s">
        <v>12</v>
      </c>
      <c r="P3" s="48" t="s">
        <v>13</v>
      </c>
      <c r="Q3" s="48" t="s">
        <v>14</v>
      </c>
      <c r="R3" s="48" t="s">
        <v>15</v>
      </c>
      <c r="S3" s="48" t="s">
        <v>16</v>
      </c>
      <c r="T3" s="48" t="s">
        <v>17</v>
      </c>
      <c r="U3" s="48" t="s">
        <v>18</v>
      </c>
    </row>
    <row r="4" spans="1:21" ht="18" customHeight="1">
      <c r="C4" s="49" t="s">
        <v>19</v>
      </c>
      <c r="D4" s="49" t="s">
        <v>20</v>
      </c>
      <c r="E4" s="49" t="s">
        <v>21</v>
      </c>
      <c r="F4" s="49" t="s">
        <v>22</v>
      </c>
      <c r="G4" s="49" t="s">
        <v>23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28</v>
      </c>
      <c r="M4" s="50"/>
      <c r="N4" s="50"/>
      <c r="O4" s="50"/>
      <c r="P4" s="49" t="s">
        <v>29</v>
      </c>
      <c r="Q4" s="49" t="s">
        <v>30</v>
      </c>
      <c r="R4" s="49" t="s">
        <v>31</v>
      </c>
      <c r="S4" s="49" t="s">
        <v>32</v>
      </c>
      <c r="T4" s="49" t="s">
        <v>33</v>
      </c>
      <c r="U4" s="49" t="s">
        <v>34</v>
      </c>
    </row>
    <row r="5" spans="1:21" ht="10" customHeight="1">
      <c r="M5" s="29"/>
      <c r="N5" s="29"/>
      <c r="O5" s="29"/>
    </row>
    <row r="6" spans="1:21" ht="22" customHeight="1">
      <c r="A6" s="21" t="s">
        <v>35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22" customHeight="1">
      <c r="A7" s="21" t="str">
        <f>HYPERLINK("#'Cash Flow'!A11","1. CASH FLOW STATEMENT — AS REPORTED (quarterly columns are fiscal year-to-date)")</f>
        <v>1. CASH FLOW STATEMENT — AS REPORTED (quarterly columns are fiscal year-to-date)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1:21" ht="22" customHeight="1">
      <c r="A8" s="21" t="str">
        <f>HYPERLINK("#'Cash Flow'!A64","2. CHECKS")</f>
        <v>2. CHECKS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22" customHeight="1">
      <c r="A9" s="21" t="str">
        <f>HYPERLINK("#'Cash Flow'!A70","3. FREE CASH FLOW AND SHAREOWNER RETURN ANALYTICS (annual; quarterly shown where inputs are YTD)")</f>
        <v>3. FREE CASH FLOW AND SHAREOWNER RETURN ANALYTICS (annual; quarterly shown where inputs are YTD)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</row>
    <row r="10" spans="1:21" ht="10" customHeight="1">
      <c r="M10" s="29"/>
      <c r="N10" s="29"/>
      <c r="O10" s="29"/>
    </row>
    <row r="11" spans="1:21" ht="29" customHeight="1">
      <c r="A11" s="23" t="s">
        <v>268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spans="1:21" ht="21.5" customHeight="1">
      <c r="A12" s="61" t="s">
        <v>269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29"/>
      <c r="N12" s="29"/>
      <c r="O12" s="29"/>
      <c r="P12" s="62"/>
      <c r="Q12" s="62"/>
      <c r="R12" s="62"/>
      <c r="S12" s="62"/>
      <c r="T12" s="62"/>
      <c r="U12" s="62"/>
    </row>
    <row r="13" spans="1:21" ht="21.5" customHeight="1">
      <c r="A13" s="51" t="s">
        <v>270</v>
      </c>
      <c r="B13" s="52"/>
      <c r="C13" s="53">
        <v>6550</v>
      </c>
      <c r="D13" s="53">
        <v>1283</v>
      </c>
      <c r="E13" s="53">
        <v>6476</v>
      </c>
      <c r="F13" s="53">
        <v>8985</v>
      </c>
      <c r="G13" s="53">
        <v>7768</v>
      </c>
      <c r="H13" s="53">
        <v>9804</v>
      </c>
      <c r="I13" s="53">
        <v>9571</v>
      </c>
      <c r="J13" s="53">
        <v>10703</v>
      </c>
      <c r="K13" s="53">
        <v>10649</v>
      </c>
      <c r="L13" s="53">
        <v>13137</v>
      </c>
      <c r="M13" s="32"/>
      <c r="N13" s="32"/>
      <c r="O13" s="32"/>
      <c r="P13" s="53">
        <v>8436</v>
      </c>
      <c r="Q13" s="53">
        <v>3335</v>
      </c>
      <c r="R13" s="53">
        <v>7138</v>
      </c>
      <c r="S13" s="53">
        <v>10821</v>
      </c>
      <c r="T13" s="53">
        <v>3966</v>
      </c>
      <c r="U13" s="53">
        <v>8404</v>
      </c>
    </row>
    <row r="14" spans="1:21" ht="21.5" customHeight="1">
      <c r="A14" s="51" t="s">
        <v>271</v>
      </c>
      <c r="B14" s="52"/>
      <c r="C14" s="59">
        <v>0</v>
      </c>
      <c r="D14" s="52"/>
      <c r="E14" s="52"/>
      <c r="F14" s="52"/>
      <c r="G14" s="52"/>
      <c r="H14" s="52"/>
      <c r="I14" s="52"/>
      <c r="J14" s="52"/>
      <c r="K14" s="52"/>
      <c r="L14" s="52"/>
      <c r="M14" s="29"/>
      <c r="N14" s="29"/>
      <c r="O14" s="29"/>
      <c r="P14" s="52"/>
      <c r="Q14" s="52"/>
      <c r="R14" s="52"/>
      <c r="S14" s="52"/>
      <c r="T14" s="52"/>
      <c r="U14" s="52"/>
    </row>
    <row r="15" spans="1:21" ht="21.5" customHeight="1">
      <c r="A15" s="56" t="s">
        <v>182</v>
      </c>
      <c r="C15" s="57">
        <v>6550</v>
      </c>
      <c r="M15" s="29"/>
      <c r="N15" s="29"/>
      <c r="O15" s="29"/>
    </row>
    <row r="16" spans="1:21" ht="21.5" customHeight="1">
      <c r="A16" s="61" t="s">
        <v>272</v>
      </c>
      <c r="B16" s="70" t="s">
        <v>273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29"/>
      <c r="N16" s="29"/>
      <c r="O16" s="29"/>
      <c r="P16" s="62"/>
      <c r="Q16" s="62"/>
      <c r="R16" s="62"/>
      <c r="S16" s="62"/>
      <c r="T16" s="62"/>
      <c r="U16" s="62"/>
    </row>
    <row r="17" spans="1:21" ht="21.5" customHeight="1">
      <c r="A17" s="56" t="s">
        <v>274</v>
      </c>
      <c r="C17" s="57">
        <v>1787</v>
      </c>
      <c r="D17" s="57">
        <v>1260</v>
      </c>
      <c r="E17" s="57">
        <v>1086</v>
      </c>
      <c r="F17" s="57">
        <v>1365</v>
      </c>
      <c r="G17" s="57">
        <v>1536</v>
      </c>
      <c r="H17" s="57">
        <v>1452</v>
      </c>
      <c r="I17" s="57">
        <v>1260</v>
      </c>
      <c r="J17" s="57">
        <v>1128</v>
      </c>
      <c r="K17" s="57">
        <v>1075</v>
      </c>
      <c r="L17" s="57">
        <v>1050</v>
      </c>
      <c r="M17" s="29"/>
      <c r="N17" s="29"/>
      <c r="O17" s="29"/>
      <c r="P17" s="57">
        <v>799</v>
      </c>
      <c r="Q17" s="57">
        <v>267</v>
      </c>
      <c r="R17" s="57">
        <v>546</v>
      </c>
      <c r="S17" s="57">
        <v>814</v>
      </c>
      <c r="T17" s="57">
        <v>264</v>
      </c>
      <c r="U17" s="57">
        <v>530</v>
      </c>
    </row>
    <row r="18" spans="1:21" ht="21.5" customHeight="1">
      <c r="A18" s="56" t="s">
        <v>275</v>
      </c>
      <c r="C18" s="57">
        <v>258</v>
      </c>
      <c r="D18" s="57">
        <v>219</v>
      </c>
      <c r="E18" s="57">
        <v>225</v>
      </c>
      <c r="F18" s="57">
        <v>201</v>
      </c>
      <c r="G18" s="57">
        <v>126</v>
      </c>
      <c r="H18" s="57">
        <v>337</v>
      </c>
      <c r="I18" s="57">
        <v>356</v>
      </c>
      <c r="J18" s="57">
        <v>254</v>
      </c>
      <c r="K18" s="57">
        <v>286</v>
      </c>
      <c r="L18" s="57">
        <v>279</v>
      </c>
      <c r="M18" s="29"/>
      <c r="N18" s="29"/>
      <c r="O18" s="29"/>
      <c r="P18" s="57">
        <v>207</v>
      </c>
      <c r="Q18" s="57">
        <v>63</v>
      </c>
      <c r="R18" s="57">
        <v>130</v>
      </c>
      <c r="S18" s="57">
        <v>204</v>
      </c>
      <c r="T18" s="57">
        <v>56</v>
      </c>
      <c r="U18" s="57">
        <v>117</v>
      </c>
    </row>
    <row r="19" spans="1:21" ht="21.5" customHeight="1">
      <c r="A19" s="56" t="s">
        <v>276</v>
      </c>
      <c r="C19" s="57">
        <v>-856</v>
      </c>
      <c r="D19" s="57">
        <v>-1252</v>
      </c>
      <c r="E19" s="57">
        <v>-413</v>
      </c>
      <c r="F19" s="57">
        <v>-280</v>
      </c>
      <c r="G19" s="57">
        <v>-18</v>
      </c>
      <c r="H19" s="57">
        <v>894</v>
      </c>
      <c r="I19" s="57">
        <v>-122</v>
      </c>
      <c r="J19" s="57">
        <v>-2</v>
      </c>
      <c r="K19" s="57">
        <v>-11</v>
      </c>
      <c r="L19" s="57">
        <v>517</v>
      </c>
      <c r="M19" s="29"/>
      <c r="N19" s="29"/>
      <c r="O19" s="29"/>
      <c r="P19" s="67">
        <v>0</v>
      </c>
      <c r="Q19" s="57">
        <v>95</v>
      </c>
      <c r="R19" s="57">
        <v>459</v>
      </c>
      <c r="S19" s="57">
        <v>496</v>
      </c>
      <c r="T19" s="57">
        <v>205</v>
      </c>
      <c r="U19" s="57">
        <v>353</v>
      </c>
    </row>
    <row r="20" spans="1:21" ht="21.5" customHeight="1">
      <c r="A20" s="56" t="s">
        <v>277</v>
      </c>
      <c r="C20" s="57">
        <v>-449</v>
      </c>
      <c r="D20" s="57">
        <v>-628</v>
      </c>
      <c r="E20" s="57">
        <v>-457</v>
      </c>
      <c r="F20" s="57">
        <v>-421</v>
      </c>
      <c r="G20" s="57">
        <v>-511</v>
      </c>
      <c r="H20" s="57">
        <v>-615</v>
      </c>
      <c r="I20" s="57">
        <v>-838</v>
      </c>
      <c r="J20" s="57">
        <v>-1019</v>
      </c>
      <c r="K20" s="57">
        <v>-802</v>
      </c>
      <c r="L20" s="57">
        <v>-1038</v>
      </c>
      <c r="M20" s="29"/>
      <c r="N20" s="29"/>
      <c r="O20" s="29"/>
      <c r="P20" s="57">
        <v>-693</v>
      </c>
      <c r="Q20" s="57">
        <v>-264</v>
      </c>
      <c r="R20" s="57">
        <v>-387</v>
      </c>
      <c r="S20" s="57">
        <v>-859</v>
      </c>
      <c r="T20" s="57">
        <v>-375</v>
      </c>
      <c r="U20" s="57">
        <v>-520</v>
      </c>
    </row>
    <row r="21" spans="1:21" ht="21.5" customHeight="1">
      <c r="A21" s="56" t="s">
        <v>278</v>
      </c>
      <c r="C21" s="57">
        <v>158</v>
      </c>
      <c r="D21" s="57">
        <v>292</v>
      </c>
      <c r="E21" s="57">
        <v>-50</v>
      </c>
      <c r="F21" s="57">
        <v>91</v>
      </c>
      <c r="G21" s="57">
        <v>-88</v>
      </c>
      <c r="H21" s="57">
        <v>86</v>
      </c>
      <c r="I21" s="57">
        <v>203</v>
      </c>
      <c r="J21" s="57">
        <v>175</v>
      </c>
      <c r="K21" s="57">
        <v>-110</v>
      </c>
      <c r="L21" s="57">
        <v>191</v>
      </c>
      <c r="M21" s="29"/>
      <c r="N21" s="29"/>
      <c r="O21" s="29"/>
      <c r="P21" s="57">
        <v>-61</v>
      </c>
      <c r="Q21" s="57">
        <v>50</v>
      </c>
      <c r="R21" s="57">
        <v>111</v>
      </c>
      <c r="S21" s="57">
        <v>127</v>
      </c>
      <c r="T21" s="57">
        <v>33</v>
      </c>
      <c r="U21" s="57">
        <v>107</v>
      </c>
    </row>
    <row r="22" spans="1:21" ht="21.5" customHeight="1">
      <c r="A22" s="56" t="s">
        <v>279</v>
      </c>
      <c r="C22" s="57">
        <v>1146</v>
      </c>
      <c r="D22" s="57">
        <v>1459</v>
      </c>
      <c r="E22" s="57">
        <v>743</v>
      </c>
      <c r="F22" s="57">
        <v>-467</v>
      </c>
      <c r="G22" s="57">
        <v>-914</v>
      </c>
      <c r="H22" s="57">
        <v>-1365</v>
      </c>
      <c r="I22" s="57">
        <v>-129</v>
      </c>
      <c r="J22" s="57">
        <v>-492</v>
      </c>
      <c r="K22" s="57">
        <v>-1737</v>
      </c>
      <c r="L22" s="57">
        <v>-713</v>
      </c>
      <c r="M22" s="29"/>
      <c r="N22" s="29"/>
      <c r="O22" s="29"/>
      <c r="P22" s="57">
        <v>-1722</v>
      </c>
      <c r="Q22" s="57">
        <v>-331</v>
      </c>
      <c r="R22" s="57">
        <v>-433</v>
      </c>
      <c r="S22" s="57">
        <v>-396</v>
      </c>
      <c r="T22" s="57">
        <v>10</v>
      </c>
      <c r="U22" s="57">
        <v>-56</v>
      </c>
    </row>
    <row r="23" spans="1:21" ht="21.5" customHeight="1">
      <c r="A23" s="56" t="s">
        <v>171</v>
      </c>
      <c r="C23" s="57">
        <v>647</v>
      </c>
      <c r="D23" s="57">
        <v>1218</v>
      </c>
      <c r="E23" s="57">
        <v>558</v>
      </c>
      <c r="F23" s="57">
        <v>127</v>
      </c>
      <c r="G23" s="57">
        <v>556</v>
      </c>
      <c r="H23" s="57">
        <v>506</v>
      </c>
      <c r="I23" s="57">
        <v>1086</v>
      </c>
      <c r="J23" s="57">
        <v>1741</v>
      </c>
      <c r="K23" s="57">
        <v>4000</v>
      </c>
      <c r="L23" s="57">
        <v>1052</v>
      </c>
      <c r="M23" s="29"/>
      <c r="N23" s="29"/>
      <c r="O23" s="29"/>
      <c r="P23" s="57">
        <v>3874</v>
      </c>
      <c r="Q23" s="67">
        <v>0</v>
      </c>
      <c r="R23" s="57">
        <v>38</v>
      </c>
      <c r="S23" s="57">
        <v>38</v>
      </c>
      <c r="T23" s="57">
        <v>10</v>
      </c>
      <c r="U23" s="67">
        <v>0</v>
      </c>
    </row>
    <row r="24" spans="1:21" ht="21.5" customHeight="1">
      <c r="A24" s="56" t="s">
        <v>280</v>
      </c>
      <c r="C24" s="57">
        <v>-224</v>
      </c>
      <c r="D24" s="57">
        <v>-252</v>
      </c>
      <c r="E24" s="57">
        <v>699</v>
      </c>
      <c r="F24" s="57">
        <v>504</v>
      </c>
      <c r="G24" s="57">
        <v>699</v>
      </c>
      <c r="H24" s="57">
        <v>201</v>
      </c>
      <c r="I24" s="57">
        <v>236</v>
      </c>
      <c r="J24" s="57">
        <v>-43</v>
      </c>
      <c r="K24" s="57">
        <v>-311</v>
      </c>
      <c r="L24" s="57">
        <v>141</v>
      </c>
      <c r="M24" s="29"/>
      <c r="N24" s="29"/>
      <c r="O24" s="29"/>
      <c r="P24" s="57">
        <v>-143</v>
      </c>
      <c r="Q24" s="57">
        <v>104</v>
      </c>
      <c r="R24" s="57">
        <v>238</v>
      </c>
      <c r="S24" s="57">
        <v>447</v>
      </c>
      <c r="T24" s="57">
        <v>115</v>
      </c>
      <c r="U24" s="57">
        <v>-125</v>
      </c>
    </row>
    <row r="25" spans="1:21" ht="21.5" customHeight="1">
      <c r="A25" s="56" t="s">
        <v>281</v>
      </c>
      <c r="C25" s="57">
        <v>-225</v>
      </c>
      <c r="D25" s="57">
        <v>3442</v>
      </c>
      <c r="E25" s="57">
        <v>-1240</v>
      </c>
      <c r="F25" s="57">
        <v>366</v>
      </c>
      <c r="G25" s="57">
        <v>690</v>
      </c>
      <c r="H25" s="57">
        <v>1325</v>
      </c>
      <c r="I25" s="57">
        <v>-605</v>
      </c>
      <c r="J25" s="57">
        <v>-846</v>
      </c>
      <c r="K25" s="57">
        <v>-6234</v>
      </c>
      <c r="L25" s="57">
        <v>-7208</v>
      </c>
      <c r="M25" s="29"/>
      <c r="N25" s="29"/>
      <c r="O25" s="29"/>
      <c r="P25" s="57">
        <v>-7843</v>
      </c>
      <c r="Q25" s="57">
        <v>-8521</v>
      </c>
      <c r="R25" s="57">
        <v>-9231</v>
      </c>
      <c r="S25" s="57">
        <v>-8040</v>
      </c>
      <c r="T25" s="57">
        <v>-2263</v>
      </c>
      <c r="U25" s="57">
        <v>-1267</v>
      </c>
    </row>
    <row r="26" spans="1:21" ht="21.5" customHeight="1">
      <c r="A26" s="51" t="s">
        <v>282</v>
      </c>
      <c r="B26" s="52"/>
      <c r="C26" s="53">
        <v>8792</v>
      </c>
      <c r="D26" s="53">
        <v>7041</v>
      </c>
      <c r="E26" s="53">
        <v>7627</v>
      </c>
      <c r="F26" s="53">
        <v>10471</v>
      </c>
      <c r="G26" s="53">
        <v>9844</v>
      </c>
      <c r="H26" s="53">
        <v>12625</v>
      </c>
      <c r="I26" s="53">
        <v>11018</v>
      </c>
      <c r="J26" s="53">
        <v>11599</v>
      </c>
      <c r="K26" s="53">
        <v>6805</v>
      </c>
      <c r="L26" s="53">
        <v>7408</v>
      </c>
      <c r="M26" s="32"/>
      <c r="N26" s="32"/>
      <c r="O26" s="32"/>
      <c r="P26" s="53">
        <v>2854</v>
      </c>
      <c r="Q26" s="53">
        <v>-5202</v>
      </c>
      <c r="R26" s="53">
        <v>-1391</v>
      </c>
      <c r="S26" s="53">
        <v>3652</v>
      </c>
      <c r="T26" s="53">
        <v>2021</v>
      </c>
      <c r="U26" s="53">
        <v>7543</v>
      </c>
    </row>
    <row r="27" spans="1:21" ht="21.5" customHeight="1">
      <c r="A27" s="61" t="s">
        <v>283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29"/>
      <c r="N27" s="29"/>
      <c r="O27" s="29"/>
      <c r="P27" s="62"/>
      <c r="Q27" s="62"/>
      <c r="R27" s="62"/>
      <c r="S27" s="62"/>
      <c r="T27" s="62"/>
      <c r="U27" s="62"/>
    </row>
    <row r="28" spans="1:21" ht="21.5" customHeight="1">
      <c r="A28" s="56" t="s">
        <v>284</v>
      </c>
      <c r="C28" s="57">
        <v>-16626</v>
      </c>
      <c r="D28" s="57">
        <v>-17296</v>
      </c>
      <c r="E28" s="57">
        <v>-7789</v>
      </c>
      <c r="F28" s="57">
        <v>-4704</v>
      </c>
      <c r="G28" s="57">
        <v>-13583</v>
      </c>
      <c r="H28" s="57">
        <v>-6030</v>
      </c>
      <c r="I28" s="57">
        <v>-3751</v>
      </c>
      <c r="J28" s="57">
        <v>-6698</v>
      </c>
      <c r="K28" s="57">
        <v>-5640</v>
      </c>
      <c r="L28" s="57">
        <v>-6160</v>
      </c>
      <c r="M28" s="29"/>
      <c r="N28" s="29"/>
      <c r="O28" s="29"/>
      <c r="P28" s="57">
        <v>-4398</v>
      </c>
      <c r="Q28" s="57">
        <v>-2507</v>
      </c>
      <c r="R28" s="57">
        <v>-2865</v>
      </c>
      <c r="S28" s="57">
        <v>-3292</v>
      </c>
      <c r="T28" s="57">
        <v>-1459</v>
      </c>
      <c r="U28" s="57">
        <v>-2799</v>
      </c>
    </row>
    <row r="29" spans="1:21" ht="21.5" customHeight="1">
      <c r="A29" s="56" t="s">
        <v>285</v>
      </c>
      <c r="C29" s="57">
        <v>17842</v>
      </c>
      <c r="D29" s="57">
        <v>16694</v>
      </c>
      <c r="E29" s="57">
        <v>14977</v>
      </c>
      <c r="F29" s="57">
        <v>6973</v>
      </c>
      <c r="G29" s="57">
        <v>13835</v>
      </c>
      <c r="H29" s="57">
        <v>7059</v>
      </c>
      <c r="I29" s="57">
        <v>4771</v>
      </c>
      <c r="J29" s="57">
        <v>4354</v>
      </c>
      <c r="K29" s="57">
        <v>6589</v>
      </c>
      <c r="L29" s="57">
        <v>4665</v>
      </c>
      <c r="M29" s="29"/>
      <c r="N29" s="29"/>
      <c r="O29" s="29"/>
      <c r="P29" s="57">
        <v>5125</v>
      </c>
      <c r="Q29" s="57">
        <v>1005</v>
      </c>
      <c r="R29" s="57">
        <v>2201</v>
      </c>
      <c r="S29" s="57">
        <v>4300</v>
      </c>
      <c r="T29" s="57">
        <v>3503</v>
      </c>
      <c r="U29" s="57">
        <v>4574</v>
      </c>
    </row>
    <row r="30" spans="1:21" ht="37" customHeight="1">
      <c r="A30" s="56" t="s">
        <v>286</v>
      </c>
      <c r="B30" s="71" t="s">
        <v>287</v>
      </c>
      <c r="C30" s="57">
        <v>-838</v>
      </c>
      <c r="D30" s="57">
        <v>-3809</v>
      </c>
      <c r="E30" s="57">
        <v>-1263</v>
      </c>
      <c r="F30" s="57">
        <v>-5542</v>
      </c>
      <c r="G30" s="57">
        <v>-1052</v>
      </c>
      <c r="H30" s="57">
        <v>-4766</v>
      </c>
      <c r="I30" s="57">
        <v>-73</v>
      </c>
      <c r="J30" s="57">
        <v>-62</v>
      </c>
      <c r="K30" s="57">
        <v>-315</v>
      </c>
      <c r="L30" s="57">
        <v>-461</v>
      </c>
      <c r="M30" s="29"/>
      <c r="N30" s="29"/>
      <c r="O30" s="29"/>
      <c r="P30" s="57">
        <v>-153</v>
      </c>
      <c r="Q30" s="57">
        <v>-42</v>
      </c>
      <c r="R30" s="57">
        <v>-179</v>
      </c>
      <c r="S30" s="57">
        <v>-356</v>
      </c>
      <c r="T30" s="57">
        <v>-37</v>
      </c>
      <c r="U30" s="57">
        <v>-199</v>
      </c>
    </row>
    <row r="31" spans="1:21" ht="37" customHeight="1">
      <c r="A31" s="56" t="s">
        <v>288</v>
      </c>
      <c r="B31" s="71" t="s">
        <v>289</v>
      </c>
      <c r="C31" s="57">
        <v>1035</v>
      </c>
      <c r="D31" s="57">
        <v>3821</v>
      </c>
      <c r="E31" s="57">
        <v>1362</v>
      </c>
      <c r="F31" s="57">
        <v>429</v>
      </c>
      <c r="G31" s="57">
        <v>189</v>
      </c>
      <c r="H31" s="57">
        <v>2180</v>
      </c>
      <c r="I31" s="57">
        <v>458</v>
      </c>
      <c r="J31" s="57">
        <v>430</v>
      </c>
      <c r="K31" s="57">
        <v>3485</v>
      </c>
      <c r="L31" s="57">
        <v>3567</v>
      </c>
      <c r="M31" s="29"/>
      <c r="N31" s="29"/>
      <c r="O31" s="29"/>
      <c r="P31" s="57">
        <v>3468</v>
      </c>
      <c r="Q31" s="57">
        <v>748</v>
      </c>
      <c r="R31" s="57">
        <v>973</v>
      </c>
      <c r="S31" s="57">
        <v>1020</v>
      </c>
      <c r="T31" s="67">
        <v>0</v>
      </c>
      <c r="U31" s="57">
        <v>1</v>
      </c>
    </row>
    <row r="32" spans="1:21" ht="21.5" customHeight="1">
      <c r="A32" s="56" t="s">
        <v>290</v>
      </c>
      <c r="C32" s="57">
        <v>-2262</v>
      </c>
      <c r="D32" s="57">
        <v>-1750</v>
      </c>
      <c r="E32" s="57">
        <v>-1548</v>
      </c>
      <c r="F32" s="57">
        <v>-2054</v>
      </c>
      <c r="G32" s="57">
        <v>-1177</v>
      </c>
      <c r="H32" s="57">
        <v>-1367</v>
      </c>
      <c r="I32" s="57">
        <v>-1484</v>
      </c>
      <c r="J32" s="57">
        <v>-1852</v>
      </c>
      <c r="K32" s="57">
        <v>-2064</v>
      </c>
      <c r="L32" s="57">
        <v>-2112</v>
      </c>
      <c r="M32" s="29"/>
      <c r="N32" s="29"/>
      <c r="O32" s="29"/>
      <c r="P32" s="57">
        <v>-1261</v>
      </c>
      <c r="Q32" s="57">
        <v>-309</v>
      </c>
      <c r="R32" s="57">
        <v>-751</v>
      </c>
      <c r="S32" s="57">
        <v>-1230</v>
      </c>
      <c r="T32" s="57">
        <v>-266</v>
      </c>
      <c r="U32" s="57">
        <v>-684</v>
      </c>
    </row>
    <row r="33" spans="1:21" ht="21.5" customHeight="1">
      <c r="A33" s="56" t="s">
        <v>291</v>
      </c>
      <c r="C33" s="57">
        <v>150</v>
      </c>
      <c r="D33" s="57">
        <v>108</v>
      </c>
      <c r="E33" s="57">
        <v>248</v>
      </c>
      <c r="F33" s="57">
        <v>978</v>
      </c>
      <c r="G33" s="57">
        <v>189</v>
      </c>
      <c r="H33" s="57">
        <v>108</v>
      </c>
      <c r="I33" s="57">
        <v>75</v>
      </c>
      <c r="J33" s="57">
        <v>74</v>
      </c>
      <c r="K33" s="57">
        <v>40</v>
      </c>
      <c r="L33" s="57">
        <v>13</v>
      </c>
      <c r="M33" s="29"/>
      <c r="N33" s="29"/>
      <c r="O33" s="29"/>
      <c r="P33" s="57">
        <v>33</v>
      </c>
      <c r="Q33" s="57">
        <v>8</v>
      </c>
      <c r="R33" s="57">
        <v>13</v>
      </c>
      <c r="S33" s="57">
        <v>21</v>
      </c>
      <c r="T33" s="57">
        <v>2</v>
      </c>
      <c r="U33" s="57">
        <v>7</v>
      </c>
    </row>
    <row r="34" spans="1:21" ht="37" customHeight="1">
      <c r="A34" s="56" t="s">
        <v>292</v>
      </c>
      <c r="G34" s="67">
        <v>0</v>
      </c>
      <c r="H34" s="67">
        <v>0</v>
      </c>
      <c r="I34" s="57">
        <v>-1465</v>
      </c>
      <c r="J34" s="57">
        <v>366</v>
      </c>
      <c r="K34" s="57">
        <v>235</v>
      </c>
      <c r="L34" s="57">
        <v>330</v>
      </c>
      <c r="M34" s="29"/>
      <c r="N34" s="29"/>
      <c r="O34" s="29"/>
      <c r="P34" s="57">
        <v>299</v>
      </c>
      <c r="Q34" s="57">
        <v>-15</v>
      </c>
      <c r="R34" s="57">
        <v>206</v>
      </c>
      <c r="S34" s="57">
        <v>300</v>
      </c>
      <c r="T34" s="57">
        <v>-20</v>
      </c>
      <c r="U34" s="57">
        <v>-37</v>
      </c>
    </row>
    <row r="35" spans="1:21" ht="21.5" customHeight="1">
      <c r="A35" s="56" t="s">
        <v>293</v>
      </c>
      <c r="C35" s="57">
        <v>-305</v>
      </c>
      <c r="D35" s="57">
        <v>-80</v>
      </c>
      <c r="E35" s="57">
        <v>-60</v>
      </c>
      <c r="F35" s="57">
        <v>-56</v>
      </c>
      <c r="G35" s="57">
        <v>122</v>
      </c>
      <c r="H35" s="57">
        <v>51</v>
      </c>
      <c r="I35" s="57">
        <v>706</v>
      </c>
      <c r="J35" s="57">
        <v>39</v>
      </c>
      <c r="K35" s="57">
        <v>194</v>
      </c>
      <c r="L35" s="57">
        <v>91</v>
      </c>
      <c r="M35" s="29"/>
      <c r="N35" s="29"/>
      <c r="O35" s="29"/>
      <c r="P35" s="57">
        <v>194</v>
      </c>
      <c r="Q35" s="57">
        <v>45</v>
      </c>
      <c r="R35" s="57">
        <v>124</v>
      </c>
      <c r="S35" s="57">
        <v>214</v>
      </c>
      <c r="T35" s="57">
        <v>23</v>
      </c>
      <c r="U35" s="57">
        <v>241</v>
      </c>
    </row>
    <row r="36" spans="1:21" ht="21.5" customHeight="1">
      <c r="A36" s="51" t="s">
        <v>294</v>
      </c>
      <c r="B36" s="52"/>
      <c r="C36" s="53">
        <v>-1004</v>
      </c>
      <c r="D36" s="53">
        <v>-2312</v>
      </c>
      <c r="E36" s="53">
        <v>5927</v>
      </c>
      <c r="F36" s="53">
        <v>-3976</v>
      </c>
      <c r="G36" s="53">
        <v>-1477</v>
      </c>
      <c r="H36" s="53">
        <v>-2765</v>
      </c>
      <c r="I36" s="53">
        <v>-763</v>
      </c>
      <c r="J36" s="53">
        <v>-3349</v>
      </c>
      <c r="K36" s="53">
        <v>2524</v>
      </c>
      <c r="L36" s="53">
        <v>-67</v>
      </c>
      <c r="M36" s="32"/>
      <c r="N36" s="32"/>
      <c r="O36" s="32"/>
      <c r="P36" s="53">
        <v>3307</v>
      </c>
      <c r="Q36" s="53">
        <v>-1067</v>
      </c>
      <c r="R36" s="53">
        <v>-278</v>
      </c>
      <c r="S36" s="53">
        <v>977</v>
      </c>
      <c r="T36" s="53">
        <v>1746</v>
      </c>
      <c r="U36" s="53">
        <v>1104</v>
      </c>
    </row>
    <row r="37" spans="1:21" ht="21.5" customHeight="1">
      <c r="A37" s="61" t="s">
        <v>295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29"/>
      <c r="N37" s="29"/>
      <c r="O37" s="29"/>
      <c r="P37" s="62"/>
      <c r="Q37" s="62"/>
      <c r="R37" s="62"/>
      <c r="S37" s="62"/>
      <c r="T37" s="62"/>
      <c r="U37" s="62"/>
    </row>
    <row r="38" spans="1:21" ht="21.5" customHeight="1">
      <c r="A38" s="56" t="s">
        <v>296</v>
      </c>
      <c r="C38" s="57">
        <v>27281</v>
      </c>
      <c r="D38" s="57">
        <v>29926</v>
      </c>
      <c r="E38" s="57">
        <v>27605</v>
      </c>
      <c r="F38" s="57">
        <v>23009</v>
      </c>
      <c r="G38" s="57">
        <v>26934</v>
      </c>
      <c r="H38" s="57">
        <v>13094</v>
      </c>
      <c r="I38" s="57">
        <v>3972</v>
      </c>
      <c r="J38" s="57">
        <v>6891</v>
      </c>
      <c r="K38" s="57">
        <v>12061</v>
      </c>
      <c r="L38" s="57">
        <v>4980</v>
      </c>
      <c r="M38" s="29"/>
      <c r="N38" s="29"/>
      <c r="O38" s="29"/>
      <c r="P38" s="57">
        <v>11298</v>
      </c>
      <c r="Q38" s="57">
        <v>5436</v>
      </c>
      <c r="R38" s="57">
        <v>5320</v>
      </c>
      <c r="S38" s="57">
        <v>4854</v>
      </c>
      <c r="T38" s="67">
        <v>0</v>
      </c>
      <c r="U38" s="57">
        <v>9</v>
      </c>
    </row>
    <row r="39" spans="1:21" ht="21.5" customHeight="1">
      <c r="A39" s="56" t="s">
        <v>297</v>
      </c>
      <c r="C39" s="57">
        <v>-25615</v>
      </c>
      <c r="D39" s="57">
        <v>-28871</v>
      </c>
      <c r="E39" s="57">
        <v>-30600</v>
      </c>
      <c r="F39" s="57">
        <v>-24850</v>
      </c>
      <c r="G39" s="57">
        <v>-28796</v>
      </c>
      <c r="H39" s="57">
        <v>-12866</v>
      </c>
      <c r="I39" s="57">
        <v>-4930</v>
      </c>
      <c r="J39" s="57">
        <v>-5034</v>
      </c>
      <c r="K39" s="57">
        <v>-9533</v>
      </c>
      <c r="L39" s="57">
        <v>-4967</v>
      </c>
      <c r="M39" s="29"/>
      <c r="N39" s="29"/>
      <c r="O39" s="29"/>
      <c r="P39" s="57">
        <v>-7925</v>
      </c>
      <c r="Q39" s="57">
        <v>-1599</v>
      </c>
      <c r="R39" s="57">
        <v>-2630</v>
      </c>
      <c r="S39" s="57">
        <v>-4166</v>
      </c>
      <c r="T39" s="57">
        <v>-1262</v>
      </c>
      <c r="U39" s="57">
        <v>-1559</v>
      </c>
    </row>
    <row r="40" spans="1:21" ht="21.5" customHeight="1">
      <c r="A40" s="56" t="s">
        <v>298</v>
      </c>
      <c r="C40" s="57">
        <v>1434</v>
      </c>
      <c r="D40" s="57">
        <v>1595</v>
      </c>
      <c r="E40" s="57">
        <v>1476</v>
      </c>
      <c r="F40" s="57">
        <v>1012</v>
      </c>
      <c r="G40" s="57">
        <v>647</v>
      </c>
      <c r="H40" s="57">
        <v>702</v>
      </c>
      <c r="I40" s="57">
        <v>837</v>
      </c>
      <c r="J40" s="57">
        <v>539</v>
      </c>
      <c r="K40" s="57">
        <v>747</v>
      </c>
      <c r="L40" s="57">
        <v>313</v>
      </c>
      <c r="M40" s="29"/>
      <c r="N40" s="29"/>
      <c r="O40" s="29"/>
      <c r="P40" s="57">
        <v>717</v>
      </c>
      <c r="Q40" s="57">
        <v>159</v>
      </c>
      <c r="R40" s="57">
        <v>223</v>
      </c>
      <c r="S40" s="57">
        <v>243</v>
      </c>
      <c r="T40" s="57">
        <v>155</v>
      </c>
      <c r="U40" s="57">
        <v>251</v>
      </c>
    </row>
    <row r="41" spans="1:21" ht="21.5" customHeight="1">
      <c r="A41" s="56" t="s">
        <v>299</v>
      </c>
      <c r="C41" s="57">
        <v>-3681</v>
      </c>
      <c r="D41" s="57">
        <v>-3682</v>
      </c>
      <c r="E41" s="57">
        <v>-1912</v>
      </c>
      <c r="F41" s="57">
        <v>-1103</v>
      </c>
      <c r="G41" s="57">
        <v>-118</v>
      </c>
      <c r="H41" s="57">
        <v>-111</v>
      </c>
      <c r="I41" s="57">
        <v>-1418</v>
      </c>
      <c r="J41" s="57">
        <v>-2289</v>
      </c>
      <c r="K41" s="57">
        <v>-1795</v>
      </c>
      <c r="L41" s="57">
        <v>-746</v>
      </c>
      <c r="M41" s="29"/>
      <c r="N41" s="29"/>
      <c r="O41" s="29"/>
      <c r="P41" s="57">
        <v>-1228</v>
      </c>
      <c r="Q41" s="57">
        <v>-370</v>
      </c>
      <c r="R41" s="57">
        <v>-472</v>
      </c>
      <c r="S41" s="57">
        <v>-644</v>
      </c>
      <c r="T41" s="57">
        <v>-477</v>
      </c>
      <c r="U41" s="57">
        <v>-663</v>
      </c>
    </row>
    <row r="42" spans="1:21" ht="21.5" customHeight="1">
      <c r="A42" s="56" t="s">
        <v>300</v>
      </c>
      <c r="C42" s="57">
        <v>-6043</v>
      </c>
      <c r="D42" s="57">
        <v>-6320</v>
      </c>
      <c r="E42" s="57">
        <v>-6644</v>
      </c>
      <c r="F42" s="57">
        <v>-6845</v>
      </c>
      <c r="G42" s="57">
        <v>-7047</v>
      </c>
      <c r="H42" s="57">
        <v>-7252</v>
      </c>
      <c r="I42" s="57">
        <v>-7616</v>
      </c>
      <c r="J42" s="57">
        <v>-7952</v>
      </c>
      <c r="K42" s="57">
        <v>-8359</v>
      </c>
      <c r="L42" s="57">
        <v>-8779</v>
      </c>
      <c r="M42" s="29"/>
      <c r="N42" s="29"/>
      <c r="O42" s="29"/>
      <c r="P42" s="57">
        <v>-4274</v>
      </c>
      <c r="Q42" s="57">
        <v>-89</v>
      </c>
      <c r="R42" s="57">
        <v>-2283</v>
      </c>
      <c r="S42" s="57">
        <v>-4391</v>
      </c>
      <c r="T42" s="57">
        <v>-2281</v>
      </c>
      <c r="U42" s="57">
        <v>-4562</v>
      </c>
    </row>
    <row r="43" spans="1:21" ht="21.5" customHeight="1">
      <c r="A43" s="56" t="s">
        <v>301</v>
      </c>
      <c r="J43" s="67">
        <v>0</v>
      </c>
      <c r="K43" s="67">
        <v>0</v>
      </c>
      <c r="L43" s="57">
        <v>1338</v>
      </c>
      <c r="M43" s="29"/>
      <c r="N43" s="29"/>
      <c r="O43" s="29"/>
      <c r="S43" s="57">
        <v>1277</v>
      </c>
    </row>
    <row r="44" spans="1:21" ht="21.5" customHeight="1">
      <c r="A44" s="56" t="s">
        <v>302</v>
      </c>
      <c r="C44" s="57">
        <v>79</v>
      </c>
      <c r="D44" s="57">
        <v>-95</v>
      </c>
      <c r="E44" s="57">
        <v>-272</v>
      </c>
      <c r="F44" s="57">
        <v>-227</v>
      </c>
      <c r="G44" s="57">
        <v>310</v>
      </c>
      <c r="H44" s="57">
        <v>-353</v>
      </c>
      <c r="I44" s="57">
        <v>-1095</v>
      </c>
      <c r="J44" s="57">
        <v>-465</v>
      </c>
      <c r="K44" s="57">
        <v>-31</v>
      </c>
      <c r="L44" s="57">
        <v>-279</v>
      </c>
      <c r="M44" s="29"/>
      <c r="N44" s="29"/>
      <c r="O44" s="29"/>
      <c r="P44" s="57">
        <v>-14</v>
      </c>
      <c r="Q44" s="57">
        <v>-105</v>
      </c>
      <c r="R44" s="57">
        <v>-106</v>
      </c>
      <c r="S44" s="57">
        <v>-261</v>
      </c>
      <c r="T44" s="57">
        <v>-3</v>
      </c>
      <c r="U44" s="57">
        <v>-11</v>
      </c>
    </row>
    <row r="45" spans="1:21" ht="21.5" customHeight="1">
      <c r="A45" s="51" t="s">
        <v>303</v>
      </c>
      <c r="B45" s="52"/>
      <c r="C45" s="53">
        <v>-6545</v>
      </c>
      <c r="D45" s="53">
        <v>-7447</v>
      </c>
      <c r="E45" s="53">
        <v>-10347</v>
      </c>
      <c r="F45" s="53">
        <v>-9004</v>
      </c>
      <c r="G45" s="53">
        <v>-8070</v>
      </c>
      <c r="H45" s="53">
        <v>-6786</v>
      </c>
      <c r="I45" s="53">
        <v>-10250</v>
      </c>
      <c r="J45" s="53">
        <v>-8310</v>
      </c>
      <c r="K45" s="53">
        <v>-6910</v>
      </c>
      <c r="L45" s="53">
        <v>-8140</v>
      </c>
      <c r="M45" s="32"/>
      <c r="N45" s="32"/>
      <c r="O45" s="32"/>
      <c r="P45" s="53">
        <v>-1426</v>
      </c>
      <c r="Q45" s="53">
        <v>3432</v>
      </c>
      <c r="R45" s="53">
        <v>52</v>
      </c>
      <c r="S45" s="53">
        <v>-3088</v>
      </c>
      <c r="T45" s="53">
        <v>-3868</v>
      </c>
      <c r="U45" s="53">
        <v>-6535</v>
      </c>
    </row>
    <row r="46" spans="1:21" ht="21.5" customHeight="1">
      <c r="A46" s="61" t="s">
        <v>304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29"/>
      <c r="N46" s="29"/>
      <c r="O46" s="29"/>
      <c r="P46" s="62"/>
      <c r="Q46" s="62"/>
      <c r="R46" s="62"/>
      <c r="S46" s="62"/>
      <c r="T46" s="62"/>
      <c r="U46" s="62"/>
    </row>
    <row r="47" spans="1:21" ht="21.5" customHeight="1">
      <c r="A47" s="51" t="s">
        <v>305</v>
      </c>
      <c r="B47" s="58" t="s">
        <v>306</v>
      </c>
      <c r="C47" s="59">
        <v>0</v>
      </c>
      <c r="D47" s="52"/>
      <c r="E47" s="52"/>
      <c r="F47" s="52"/>
      <c r="G47" s="52"/>
      <c r="H47" s="52"/>
      <c r="I47" s="52"/>
      <c r="J47" s="52"/>
      <c r="K47" s="52"/>
      <c r="L47" s="52"/>
      <c r="M47" s="29"/>
      <c r="N47" s="29"/>
      <c r="O47" s="29"/>
      <c r="P47" s="52"/>
      <c r="Q47" s="52"/>
      <c r="R47" s="52"/>
      <c r="S47" s="52"/>
      <c r="T47" s="52"/>
      <c r="U47" s="52"/>
    </row>
    <row r="48" spans="1:21" ht="21.5" customHeight="1">
      <c r="A48" s="51" t="s">
        <v>307</v>
      </c>
      <c r="B48" s="58" t="s">
        <v>308</v>
      </c>
      <c r="C48" s="59">
        <v>0</v>
      </c>
      <c r="D48" s="52"/>
      <c r="E48" s="52"/>
      <c r="F48" s="52"/>
      <c r="G48" s="52"/>
      <c r="H48" s="52"/>
      <c r="I48" s="52"/>
      <c r="J48" s="52"/>
      <c r="K48" s="52"/>
      <c r="L48" s="52"/>
      <c r="M48" s="29"/>
      <c r="N48" s="29"/>
      <c r="O48" s="29"/>
      <c r="P48" s="52"/>
      <c r="Q48" s="52"/>
      <c r="R48" s="52"/>
      <c r="S48" s="52"/>
      <c r="T48" s="52"/>
      <c r="U48" s="52"/>
    </row>
    <row r="49" spans="1:21" ht="21.5" customHeight="1">
      <c r="A49" s="51" t="s">
        <v>309</v>
      </c>
      <c r="B49" s="58" t="s">
        <v>310</v>
      </c>
      <c r="C49" s="59">
        <v>0</v>
      </c>
      <c r="D49" s="52"/>
      <c r="E49" s="52"/>
      <c r="F49" s="52"/>
      <c r="G49" s="52"/>
      <c r="H49" s="52"/>
      <c r="I49" s="52"/>
      <c r="J49" s="52"/>
      <c r="K49" s="52"/>
      <c r="L49" s="52"/>
      <c r="M49" s="29"/>
      <c r="N49" s="29"/>
      <c r="O49" s="29"/>
      <c r="P49" s="52"/>
      <c r="Q49" s="52"/>
      <c r="R49" s="52"/>
      <c r="S49" s="52"/>
      <c r="T49" s="52"/>
      <c r="U49" s="52"/>
    </row>
    <row r="50" spans="1:21" ht="21.5" customHeight="1">
      <c r="A50" s="51" t="s">
        <v>311</v>
      </c>
      <c r="B50" s="52"/>
      <c r="C50" s="59">
        <v>0</v>
      </c>
      <c r="D50" s="52"/>
      <c r="E50" s="52"/>
      <c r="F50" s="52"/>
      <c r="G50" s="52"/>
      <c r="H50" s="52"/>
      <c r="I50" s="52"/>
      <c r="J50" s="52"/>
      <c r="K50" s="52"/>
      <c r="L50" s="52"/>
      <c r="M50" s="29"/>
      <c r="N50" s="29"/>
      <c r="O50" s="29"/>
      <c r="P50" s="52"/>
      <c r="Q50" s="52"/>
      <c r="R50" s="52"/>
      <c r="S50" s="52"/>
      <c r="T50" s="52"/>
      <c r="U50" s="52"/>
    </row>
    <row r="51" spans="1:21" ht="21.5" customHeight="1">
      <c r="A51" s="61" t="s">
        <v>312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29"/>
      <c r="N51" s="29"/>
      <c r="O51" s="29"/>
      <c r="P51" s="62"/>
      <c r="Q51" s="62"/>
      <c r="R51" s="62"/>
      <c r="S51" s="62"/>
      <c r="T51" s="62"/>
      <c r="U51" s="62"/>
    </row>
    <row r="52" spans="1:21" ht="21.5" customHeight="1">
      <c r="A52" s="61" t="s">
        <v>211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29"/>
      <c r="N52" s="29"/>
      <c r="O52" s="29"/>
      <c r="P52" s="62"/>
      <c r="Q52" s="62"/>
      <c r="R52" s="62"/>
      <c r="S52" s="62"/>
      <c r="T52" s="62"/>
      <c r="U52" s="62"/>
    </row>
    <row r="53" spans="1:21" ht="21.5" customHeight="1">
      <c r="A53" s="61" t="s">
        <v>313</v>
      </c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29"/>
      <c r="N53" s="29"/>
      <c r="O53" s="29"/>
      <c r="P53" s="62"/>
      <c r="Q53" s="62"/>
      <c r="R53" s="62"/>
      <c r="S53" s="62"/>
      <c r="T53" s="62"/>
      <c r="U53" s="62"/>
    </row>
    <row r="54" spans="1:21" ht="21.5" customHeight="1">
      <c r="A54" s="61" t="s">
        <v>314</v>
      </c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29"/>
      <c r="N54" s="29"/>
      <c r="O54" s="29"/>
      <c r="P54" s="62"/>
      <c r="Q54" s="62"/>
      <c r="R54" s="62"/>
      <c r="S54" s="62"/>
      <c r="T54" s="62"/>
      <c r="U54" s="62"/>
    </row>
    <row r="55" spans="1:21" ht="21.5" customHeight="1">
      <c r="A55" s="61" t="s">
        <v>315</v>
      </c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29"/>
      <c r="N55" s="29"/>
      <c r="O55" s="29"/>
      <c r="P55" s="62"/>
      <c r="Q55" s="62"/>
      <c r="R55" s="62"/>
      <c r="S55" s="62"/>
      <c r="T55" s="62"/>
      <c r="U55" s="62"/>
    </row>
    <row r="56" spans="1:21" ht="21.5" customHeight="1">
      <c r="A56" s="56" t="s">
        <v>316</v>
      </c>
      <c r="B56" s="71" t="s">
        <v>317</v>
      </c>
      <c r="C56" s="57">
        <v>-5</v>
      </c>
      <c r="D56" s="57">
        <v>241</v>
      </c>
      <c r="E56" s="57">
        <v>-262</v>
      </c>
      <c r="F56" s="57">
        <v>-72</v>
      </c>
      <c r="G56" s="57">
        <v>76</v>
      </c>
      <c r="H56" s="57">
        <v>-159</v>
      </c>
      <c r="I56" s="57">
        <v>-205</v>
      </c>
      <c r="J56" s="57">
        <v>-73</v>
      </c>
      <c r="K56" s="57">
        <v>-623</v>
      </c>
      <c r="L56" s="57">
        <v>321</v>
      </c>
      <c r="M56" s="29"/>
      <c r="N56" s="29"/>
      <c r="O56" s="29"/>
      <c r="P56" s="57">
        <v>-266</v>
      </c>
      <c r="Q56" s="57">
        <v>163</v>
      </c>
      <c r="R56" s="57">
        <v>332</v>
      </c>
      <c r="S56" s="57">
        <v>335</v>
      </c>
      <c r="T56" s="57">
        <v>86</v>
      </c>
      <c r="U56" s="57">
        <v>85</v>
      </c>
    </row>
    <row r="57" spans="1:21" ht="21.5" customHeight="1">
      <c r="A57" s="61" t="s">
        <v>318</v>
      </c>
      <c r="B57" s="70" t="s">
        <v>319</v>
      </c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29"/>
      <c r="N57" s="29"/>
      <c r="O57" s="29"/>
      <c r="P57" s="62"/>
      <c r="Q57" s="62"/>
      <c r="R57" s="62"/>
      <c r="S57" s="62"/>
      <c r="T57" s="62"/>
      <c r="U57" s="62"/>
    </row>
    <row r="58" spans="1:21" ht="21.5" customHeight="1">
      <c r="A58" s="51" t="s">
        <v>320</v>
      </c>
      <c r="B58" s="58" t="s">
        <v>321</v>
      </c>
      <c r="C58" s="53">
        <v>1238</v>
      </c>
      <c r="D58" s="53">
        <v>-2477</v>
      </c>
      <c r="E58" s="53">
        <v>2945</v>
      </c>
      <c r="F58" s="53">
        <v>-2581</v>
      </c>
      <c r="G58" s="53">
        <v>373</v>
      </c>
      <c r="H58" s="53">
        <v>2915</v>
      </c>
      <c r="I58" s="53">
        <v>-200</v>
      </c>
      <c r="J58" s="53">
        <v>-133</v>
      </c>
      <c r="K58" s="53">
        <v>1796</v>
      </c>
      <c r="L58" s="53">
        <v>-478</v>
      </c>
      <c r="M58" s="32"/>
      <c r="N58" s="32"/>
      <c r="O58" s="32"/>
      <c r="P58" s="53">
        <v>4469</v>
      </c>
      <c r="Q58" s="53">
        <v>-2674</v>
      </c>
      <c r="R58" s="53">
        <v>-1285</v>
      </c>
      <c r="S58" s="53">
        <v>1876</v>
      </c>
      <c r="T58" s="53">
        <v>-15</v>
      </c>
      <c r="U58" s="53">
        <v>2197</v>
      </c>
    </row>
    <row r="59" spans="1:21" ht="21.5" customHeight="1">
      <c r="A59" s="56" t="s">
        <v>322</v>
      </c>
      <c r="B59" s="71" t="s">
        <v>323</v>
      </c>
      <c r="C59" s="57">
        <v>7612</v>
      </c>
      <c r="D59" s="57">
        <v>8850</v>
      </c>
      <c r="E59" s="57">
        <v>6373</v>
      </c>
      <c r="F59" s="57">
        <v>9318</v>
      </c>
      <c r="G59" s="57">
        <v>6737</v>
      </c>
      <c r="H59" s="57">
        <v>7110</v>
      </c>
      <c r="I59" s="57">
        <v>10025</v>
      </c>
      <c r="J59" s="57">
        <v>9825</v>
      </c>
      <c r="K59" s="57">
        <v>9692</v>
      </c>
      <c r="L59" s="57">
        <v>11488</v>
      </c>
      <c r="M59" s="29"/>
      <c r="N59" s="29"/>
      <c r="O59" s="29"/>
      <c r="P59" s="57">
        <v>9692</v>
      </c>
      <c r="Q59" s="57">
        <v>11488</v>
      </c>
      <c r="R59" s="57">
        <v>11488</v>
      </c>
      <c r="S59" s="57">
        <v>11488</v>
      </c>
      <c r="T59" s="57">
        <v>11010</v>
      </c>
      <c r="U59" s="57">
        <v>11010</v>
      </c>
    </row>
    <row r="60" spans="1:21" ht="21.5" customHeight="1">
      <c r="A60" s="51" t="s">
        <v>324</v>
      </c>
      <c r="B60" s="58" t="s">
        <v>325</v>
      </c>
      <c r="C60" s="53">
        <v>8850</v>
      </c>
      <c r="D60" s="53">
        <v>6373</v>
      </c>
      <c r="E60" s="53">
        <v>9318</v>
      </c>
      <c r="F60" s="53">
        <v>6737</v>
      </c>
      <c r="G60" s="53">
        <v>7110</v>
      </c>
      <c r="H60" s="53">
        <v>10025</v>
      </c>
      <c r="I60" s="53">
        <v>9825</v>
      </c>
      <c r="J60" s="53">
        <v>9692</v>
      </c>
      <c r="K60" s="53">
        <v>11488</v>
      </c>
      <c r="L60" s="53">
        <v>11010</v>
      </c>
      <c r="M60" s="32"/>
      <c r="N60" s="32"/>
      <c r="O60" s="32"/>
      <c r="P60" s="53">
        <v>14161</v>
      </c>
      <c r="Q60" s="53">
        <v>8814</v>
      </c>
      <c r="R60" s="53">
        <v>10203</v>
      </c>
      <c r="S60" s="53">
        <v>13364</v>
      </c>
      <c r="T60" s="53">
        <v>10995</v>
      </c>
      <c r="U60" s="53">
        <v>13207</v>
      </c>
    </row>
    <row r="61" spans="1:21" ht="37" customHeight="1">
      <c r="A61" s="56" t="s">
        <v>326</v>
      </c>
      <c r="B61" s="71" t="s">
        <v>327</v>
      </c>
      <c r="C61" s="57">
        <v>295</v>
      </c>
      <c r="D61" s="57">
        <v>271</v>
      </c>
      <c r="E61" s="57">
        <v>241</v>
      </c>
      <c r="F61" s="57">
        <v>257</v>
      </c>
      <c r="G61" s="57">
        <v>315</v>
      </c>
      <c r="H61" s="57">
        <v>341</v>
      </c>
      <c r="I61" s="57">
        <v>306</v>
      </c>
      <c r="J61" s="57">
        <v>326</v>
      </c>
      <c r="K61" s="57">
        <v>660</v>
      </c>
      <c r="L61" s="57">
        <v>740</v>
      </c>
      <c r="M61" s="29"/>
      <c r="N61" s="29"/>
      <c r="O61" s="29"/>
      <c r="P61" s="57">
        <v>223</v>
      </c>
      <c r="Q61" s="57">
        <v>397</v>
      </c>
      <c r="R61" s="57">
        <v>613</v>
      </c>
      <c r="S61" s="57">
        <v>632</v>
      </c>
      <c r="T61" s="57">
        <v>421</v>
      </c>
      <c r="U61" s="57">
        <v>300</v>
      </c>
    </row>
    <row r="62" spans="1:21" ht="21.5" customHeight="1">
      <c r="A62" s="51" t="s">
        <v>328</v>
      </c>
      <c r="B62" s="52"/>
      <c r="C62" s="53">
        <v>8555</v>
      </c>
      <c r="D62" s="53">
        <v>6102</v>
      </c>
      <c r="E62" s="53">
        <v>9077</v>
      </c>
      <c r="F62" s="53">
        <v>6480</v>
      </c>
      <c r="G62" s="53">
        <v>6795</v>
      </c>
      <c r="H62" s="53">
        <v>9684</v>
      </c>
      <c r="I62" s="53">
        <v>9519</v>
      </c>
      <c r="J62" s="53">
        <v>9366</v>
      </c>
      <c r="K62" s="53">
        <v>10828</v>
      </c>
      <c r="L62" s="53">
        <v>10270</v>
      </c>
      <c r="M62" s="32"/>
      <c r="N62" s="32"/>
      <c r="O62" s="32"/>
      <c r="P62" s="53">
        <v>13938</v>
      </c>
      <c r="Q62" s="53">
        <v>8417</v>
      </c>
      <c r="R62" s="53">
        <v>9590</v>
      </c>
      <c r="S62" s="53">
        <v>12732</v>
      </c>
      <c r="T62" s="53">
        <v>10574</v>
      </c>
      <c r="U62" s="53">
        <v>12907</v>
      </c>
    </row>
    <row r="63" spans="1:21" ht="10" customHeight="1">
      <c r="M63" s="29"/>
      <c r="N63" s="29"/>
      <c r="O63" s="29"/>
    </row>
    <row r="64" spans="1:21" ht="29" customHeight="1">
      <c r="A64" s="23" t="s">
        <v>200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</row>
    <row r="65" spans="1:21" ht="21.5" customHeight="1">
      <c r="A65" s="63" t="s">
        <v>329</v>
      </c>
      <c r="B65" s="64"/>
      <c r="C65" s="65">
        <f t="shared" ref="C65:L65" si="0">C13+C17+C18+C19+C20+C21+C22+C23+C24+C25-C26</f>
        <v>0</v>
      </c>
      <c r="D65" s="65">
        <f t="shared" si="0"/>
        <v>0</v>
      </c>
      <c r="E65" s="65">
        <f t="shared" si="0"/>
        <v>0</v>
      </c>
      <c r="F65" s="65">
        <f t="shared" si="0"/>
        <v>0</v>
      </c>
      <c r="G65" s="65">
        <f t="shared" si="0"/>
        <v>0</v>
      </c>
      <c r="H65" s="65">
        <f t="shared" si="0"/>
        <v>0</v>
      </c>
      <c r="I65" s="65">
        <f t="shared" si="0"/>
        <v>0</v>
      </c>
      <c r="J65" s="65">
        <f t="shared" si="0"/>
        <v>0</v>
      </c>
      <c r="K65" s="65">
        <f t="shared" si="0"/>
        <v>0</v>
      </c>
      <c r="L65" s="65">
        <f t="shared" si="0"/>
        <v>0</v>
      </c>
      <c r="M65" s="29"/>
      <c r="N65" s="29"/>
      <c r="O65" s="29"/>
      <c r="P65" s="65">
        <f t="shared" ref="P65:U65" si="1">P13+P17+P18+P19+P20+P21+P22+P23+P24+P25-P26</f>
        <v>0</v>
      </c>
      <c r="Q65" s="65">
        <f t="shared" si="1"/>
        <v>0</v>
      </c>
      <c r="R65" s="65">
        <f t="shared" si="1"/>
        <v>0</v>
      </c>
      <c r="S65" s="65">
        <f t="shared" si="1"/>
        <v>0</v>
      </c>
      <c r="T65" s="65">
        <f t="shared" si="1"/>
        <v>0</v>
      </c>
      <c r="U65" s="65">
        <f t="shared" si="1"/>
        <v>0</v>
      </c>
    </row>
    <row r="66" spans="1:21" ht="37" customHeight="1">
      <c r="A66" s="63" t="s">
        <v>330</v>
      </c>
      <c r="B66" s="64"/>
      <c r="C66" s="65">
        <f t="shared" ref="C66:L66" si="2">C28+C29+C30+C31+C32+C33+C34+C35-C36</f>
        <v>0</v>
      </c>
      <c r="D66" s="65">
        <f t="shared" si="2"/>
        <v>0</v>
      </c>
      <c r="E66" s="65">
        <f t="shared" si="2"/>
        <v>0</v>
      </c>
      <c r="F66" s="65">
        <f t="shared" si="2"/>
        <v>0</v>
      </c>
      <c r="G66" s="65">
        <f t="shared" si="2"/>
        <v>0</v>
      </c>
      <c r="H66" s="65">
        <f t="shared" si="2"/>
        <v>0</v>
      </c>
      <c r="I66" s="65">
        <f t="shared" si="2"/>
        <v>0</v>
      </c>
      <c r="J66" s="65">
        <f t="shared" si="2"/>
        <v>0</v>
      </c>
      <c r="K66" s="65">
        <f t="shared" si="2"/>
        <v>0</v>
      </c>
      <c r="L66" s="65">
        <f t="shared" si="2"/>
        <v>0</v>
      </c>
      <c r="M66" s="29"/>
      <c r="N66" s="29"/>
      <c r="O66" s="29"/>
      <c r="P66" s="65">
        <f t="shared" ref="P66:U66" si="3">P28+P29+P30+P31+P32+P33+P34+P35-P36</f>
        <v>0</v>
      </c>
      <c r="Q66" s="65">
        <f t="shared" si="3"/>
        <v>0</v>
      </c>
      <c r="R66" s="65">
        <f t="shared" si="3"/>
        <v>0</v>
      </c>
      <c r="S66" s="65">
        <f t="shared" si="3"/>
        <v>0</v>
      </c>
      <c r="T66" s="65">
        <f t="shared" si="3"/>
        <v>0</v>
      </c>
      <c r="U66" s="65">
        <f t="shared" si="3"/>
        <v>0</v>
      </c>
    </row>
    <row r="67" spans="1:21" ht="37" customHeight="1">
      <c r="A67" s="63" t="s">
        <v>331</v>
      </c>
      <c r="B67" s="64"/>
      <c r="C67" s="65">
        <f t="shared" ref="C67:L67" si="4">C38+C39+C40+C41+C42+C43+C44-C45</f>
        <v>0</v>
      </c>
      <c r="D67" s="65">
        <f t="shared" si="4"/>
        <v>0</v>
      </c>
      <c r="E67" s="65">
        <f t="shared" si="4"/>
        <v>0</v>
      </c>
      <c r="F67" s="65">
        <f t="shared" si="4"/>
        <v>0</v>
      </c>
      <c r="G67" s="65">
        <f t="shared" si="4"/>
        <v>0</v>
      </c>
      <c r="H67" s="65">
        <f t="shared" si="4"/>
        <v>0</v>
      </c>
      <c r="I67" s="65">
        <f t="shared" si="4"/>
        <v>0</v>
      </c>
      <c r="J67" s="65">
        <f t="shared" si="4"/>
        <v>0</v>
      </c>
      <c r="K67" s="65">
        <f t="shared" si="4"/>
        <v>0</v>
      </c>
      <c r="L67" s="65">
        <f t="shared" si="4"/>
        <v>0</v>
      </c>
      <c r="M67" s="29"/>
      <c r="N67" s="29"/>
      <c r="O67" s="29"/>
      <c r="P67" s="65">
        <f t="shared" ref="P67:U67" si="5">P38+P39+P40+P41+P42+P43+P44-P45</f>
        <v>0</v>
      </c>
      <c r="Q67" s="65">
        <f t="shared" si="5"/>
        <v>0</v>
      </c>
      <c r="R67" s="65">
        <f t="shared" si="5"/>
        <v>0</v>
      </c>
      <c r="S67" s="65">
        <f t="shared" si="5"/>
        <v>0</v>
      </c>
      <c r="T67" s="65">
        <f t="shared" si="5"/>
        <v>0</v>
      </c>
      <c r="U67" s="65">
        <f t="shared" si="5"/>
        <v>0</v>
      </c>
    </row>
    <row r="68" spans="1:21" ht="21.5" customHeight="1">
      <c r="A68" s="63" t="s">
        <v>332</v>
      </c>
      <c r="B68" s="64"/>
      <c r="C68" s="65">
        <f t="shared" ref="C68:L68" si="6">C26+C36+C45+C50+C56-C58</f>
        <v>0</v>
      </c>
      <c r="D68" s="65">
        <f t="shared" si="6"/>
        <v>0</v>
      </c>
      <c r="E68" s="65">
        <f t="shared" si="6"/>
        <v>0</v>
      </c>
      <c r="F68" s="65">
        <f t="shared" si="6"/>
        <v>0</v>
      </c>
      <c r="G68" s="65">
        <f t="shared" si="6"/>
        <v>0</v>
      </c>
      <c r="H68" s="65">
        <f t="shared" si="6"/>
        <v>0</v>
      </c>
      <c r="I68" s="65">
        <f t="shared" si="6"/>
        <v>0</v>
      </c>
      <c r="J68" s="65">
        <f t="shared" si="6"/>
        <v>0</v>
      </c>
      <c r="K68" s="65">
        <f t="shared" si="6"/>
        <v>0</v>
      </c>
      <c r="L68" s="65">
        <f t="shared" si="6"/>
        <v>0</v>
      </c>
      <c r="M68" s="29"/>
      <c r="N68" s="29"/>
      <c r="O68" s="29"/>
      <c r="P68" s="65">
        <f t="shared" ref="P68:U68" si="7">P26+P36+P45+P50+P56-P58</f>
        <v>0</v>
      </c>
      <c r="Q68" s="65">
        <f t="shared" si="7"/>
        <v>0</v>
      </c>
      <c r="R68" s="65">
        <f t="shared" si="7"/>
        <v>0</v>
      </c>
      <c r="S68" s="65">
        <f t="shared" si="7"/>
        <v>0</v>
      </c>
      <c r="T68" s="65">
        <f t="shared" si="7"/>
        <v>0</v>
      </c>
      <c r="U68" s="65">
        <f t="shared" si="7"/>
        <v>0</v>
      </c>
    </row>
    <row r="69" spans="1:21" ht="10" customHeight="1">
      <c r="M69" s="29"/>
      <c r="N69" s="29"/>
      <c r="O69" s="29"/>
    </row>
    <row r="70" spans="1:21" ht="29" customHeight="1">
      <c r="A70" s="23" t="s">
        <v>333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</row>
    <row r="71" spans="1:21" ht="21.5" customHeight="1">
      <c r="A71" s="51" t="s">
        <v>334</v>
      </c>
      <c r="B71" s="52"/>
      <c r="C71" s="72">
        <f t="shared" ref="C71:L71" si="8">C26+C32</f>
        <v>6530</v>
      </c>
      <c r="D71" s="72">
        <f t="shared" si="8"/>
        <v>5291</v>
      </c>
      <c r="E71" s="72">
        <f t="shared" si="8"/>
        <v>6079</v>
      </c>
      <c r="F71" s="72">
        <f t="shared" si="8"/>
        <v>8417</v>
      </c>
      <c r="G71" s="72">
        <f t="shared" si="8"/>
        <v>8667</v>
      </c>
      <c r="H71" s="72">
        <f t="shared" si="8"/>
        <v>11258</v>
      </c>
      <c r="I71" s="72">
        <f t="shared" si="8"/>
        <v>9534</v>
      </c>
      <c r="J71" s="72">
        <f t="shared" si="8"/>
        <v>9747</v>
      </c>
      <c r="K71" s="72">
        <f t="shared" si="8"/>
        <v>4741</v>
      </c>
      <c r="L71" s="72">
        <f t="shared" si="8"/>
        <v>5296</v>
      </c>
      <c r="M71" s="29"/>
      <c r="N71" s="29"/>
      <c r="O71" s="29"/>
      <c r="P71" s="72">
        <f t="shared" ref="P71:U71" si="9">P26+P32</f>
        <v>1593</v>
      </c>
      <c r="Q71" s="72">
        <f t="shared" si="9"/>
        <v>-5511</v>
      </c>
      <c r="R71" s="72">
        <f t="shared" si="9"/>
        <v>-2142</v>
      </c>
      <c r="S71" s="72">
        <f t="shared" si="9"/>
        <v>2422</v>
      </c>
      <c r="T71" s="72">
        <f t="shared" si="9"/>
        <v>1755</v>
      </c>
      <c r="U71" s="72">
        <f t="shared" si="9"/>
        <v>6859</v>
      </c>
    </row>
    <row r="72" spans="1:21" ht="21.5" customHeight="1">
      <c r="A72" s="54" t="s">
        <v>38</v>
      </c>
      <c r="D72" s="55">
        <f t="shared" ref="D72:L72" si="10">IF(N(C71)=0,"",D71/C71-1)</f>
        <v>-0.18973966309341506</v>
      </c>
      <c r="E72" s="55">
        <f t="shared" si="10"/>
        <v>0.1489321489321489</v>
      </c>
      <c r="F72" s="55">
        <f t="shared" si="10"/>
        <v>0.38460273071228812</v>
      </c>
      <c r="G72" s="55">
        <f t="shared" si="10"/>
        <v>2.9701793988356817E-2</v>
      </c>
      <c r="H72" s="55">
        <f t="shared" si="10"/>
        <v>0.29895004038306228</v>
      </c>
      <c r="I72" s="55">
        <f t="shared" si="10"/>
        <v>-0.15313554805471663</v>
      </c>
      <c r="J72" s="55">
        <f t="shared" si="10"/>
        <v>2.2341095028319602E-2</v>
      </c>
      <c r="K72" s="55">
        <f t="shared" si="10"/>
        <v>-0.51359392633630863</v>
      </c>
      <c r="L72" s="55">
        <f t="shared" si="10"/>
        <v>0.11706391056739074</v>
      </c>
      <c r="M72" s="29"/>
      <c r="N72" s="29"/>
      <c r="O72" s="29"/>
    </row>
    <row r="73" spans="1:21" ht="21.5" customHeight="1">
      <c r="A73" s="54" t="s">
        <v>335</v>
      </c>
      <c r="C73" s="73">
        <f>0-C32/'Income Statement'!C11</f>
        <v>5.403339464443542E-2</v>
      </c>
      <c r="D73" s="73">
        <f>0-D32/'Income Statement'!D11</f>
        <v>4.8326521595051367E-2</v>
      </c>
      <c r="E73" s="73">
        <f>0-E32/'Income Statement'!E11</f>
        <v>4.5131195335276965E-2</v>
      </c>
      <c r="F73" s="73">
        <f>0-F32/'Income Statement'!F11</f>
        <v>5.5117265067353621E-2</v>
      </c>
      <c r="G73" s="73">
        <f>0-G32/'Income Statement'!G11</f>
        <v>3.5651541770158113E-2</v>
      </c>
      <c r="H73" s="73">
        <f>0-H32/'Income Statement'!H11</f>
        <v>3.5364118484025354E-2</v>
      </c>
      <c r="I73" s="73">
        <f>0-I32/'Income Statement'!I11</f>
        <v>3.4508417821597991E-2</v>
      </c>
      <c r="J73" s="73">
        <f>0-J32/'Income Statement'!J11</f>
        <v>4.0477335314945143E-2</v>
      </c>
      <c r="K73" s="73">
        <f>0-K32/'Income Statement'!K11</f>
        <v>4.3857971568814942E-2</v>
      </c>
      <c r="L73" s="73">
        <f>0-L32/'Income Statement'!L11</f>
        <v>4.4054149892576291E-2</v>
      </c>
      <c r="M73" s="29"/>
      <c r="N73" s="29"/>
      <c r="O73" s="29"/>
    </row>
    <row r="74" spans="1:21" ht="21.5" customHeight="1">
      <c r="A74" s="54" t="s">
        <v>336</v>
      </c>
      <c r="C74" s="73">
        <f>C71/'Income Statement'!C11</f>
        <v>0.15598499868619067</v>
      </c>
      <c r="D74" s="73">
        <f>D71/'Income Statement'!D11</f>
        <v>0.14611178614823817</v>
      </c>
      <c r="E74" s="73">
        <f>E71/'Income Statement'!E11</f>
        <v>0.17723032069970845</v>
      </c>
      <c r="F74" s="73">
        <f>F71/'Income Statement'!F11</f>
        <v>0.22586271668545055</v>
      </c>
      <c r="G74" s="73">
        <f>G71/'Income Statement'!G11</f>
        <v>0.26252498939843705</v>
      </c>
      <c r="H74" s="73">
        <f>H71/'Income Statement'!H11</f>
        <v>0.29124304747121976</v>
      </c>
      <c r="I74" s="73">
        <f>I71/'Income Statement'!I11</f>
        <v>0.22170030694819087</v>
      </c>
      <c r="J74" s="73">
        <f>J71/'Income Statement'!J11</f>
        <v>0.21303055470559951</v>
      </c>
      <c r="K74" s="73">
        <f>K71/'Income Statement'!K11</f>
        <v>0.10074159070143006</v>
      </c>
      <c r="L74" s="73">
        <f>L71/'Income Statement'!L11</f>
        <v>0.11046911829123297</v>
      </c>
      <c r="M74" s="29"/>
      <c r="N74" s="29"/>
      <c r="O74" s="29"/>
    </row>
    <row r="75" spans="1:21" ht="21.5" customHeight="1">
      <c r="A75" s="54" t="s">
        <v>337</v>
      </c>
      <c r="C75" s="73">
        <f>C71/'Income Statement'!C32</f>
        <v>1.0004596292324193</v>
      </c>
      <c r="D75" s="73">
        <f>D71/'Income Statement'!D32</f>
        <v>4.239583333333333</v>
      </c>
      <c r="E75" s="73">
        <f>E71/'Income Statement'!E32</f>
        <v>0.94482437053155111</v>
      </c>
      <c r="F75" s="73">
        <f>F71/'Income Statement'!F32</f>
        <v>0.94360986547085202</v>
      </c>
      <c r="G75" s="73">
        <f>G71/'Income Statement'!G32</f>
        <v>1.1187556473473603</v>
      </c>
      <c r="H75" s="73">
        <f>H71/'Income Statement'!H32</f>
        <v>1.1521850373554396</v>
      </c>
      <c r="I75" s="73">
        <f>I71/'Income Statement'!I32</f>
        <v>0.99916160134143783</v>
      </c>
      <c r="J75" s="73">
        <f>J71/'Income Statement'!J32</f>
        <v>0.9097442598469293</v>
      </c>
      <c r="K75" s="73">
        <f>K71/'Income Statement'!K32</f>
        <v>0.4459599285109585</v>
      </c>
      <c r="L75" s="73">
        <f>L71/'Income Statement'!L32</f>
        <v>0.40405889982452126</v>
      </c>
      <c r="M75" s="29"/>
      <c r="N75" s="29"/>
      <c r="O75" s="29"/>
    </row>
    <row r="76" spans="1:21" ht="37" customHeight="1">
      <c r="A76" s="56" t="s">
        <v>338</v>
      </c>
      <c r="C76" s="74">
        <f t="shared" ref="C76:L76" si="11">0-C42-C41</f>
        <v>9724</v>
      </c>
      <c r="D76" s="74">
        <f t="shared" si="11"/>
        <v>10002</v>
      </c>
      <c r="E76" s="74">
        <f t="shared" si="11"/>
        <v>8556</v>
      </c>
      <c r="F76" s="74">
        <f t="shared" si="11"/>
        <v>7948</v>
      </c>
      <c r="G76" s="74">
        <f t="shared" si="11"/>
        <v>7165</v>
      </c>
      <c r="H76" s="74">
        <f t="shared" si="11"/>
        <v>7363</v>
      </c>
      <c r="I76" s="74">
        <f t="shared" si="11"/>
        <v>9034</v>
      </c>
      <c r="J76" s="74">
        <f t="shared" si="11"/>
        <v>10241</v>
      </c>
      <c r="K76" s="74">
        <f t="shared" si="11"/>
        <v>10154</v>
      </c>
      <c r="L76" s="74">
        <f t="shared" si="11"/>
        <v>9525</v>
      </c>
      <c r="M76" s="29"/>
      <c r="N76" s="29"/>
      <c r="O76" s="29"/>
      <c r="P76" s="74">
        <f t="shared" ref="P76:U76" si="12">0-P42-P41</f>
        <v>5502</v>
      </c>
      <c r="Q76" s="74">
        <f t="shared" si="12"/>
        <v>459</v>
      </c>
      <c r="R76" s="74">
        <f t="shared" si="12"/>
        <v>2755</v>
      </c>
      <c r="S76" s="74">
        <f t="shared" si="12"/>
        <v>5035</v>
      </c>
      <c r="T76" s="74">
        <f t="shared" si="12"/>
        <v>2758</v>
      </c>
      <c r="U76" s="74">
        <f t="shared" si="12"/>
        <v>5225</v>
      </c>
    </row>
    <row r="77" spans="1:21" ht="21.5" customHeight="1">
      <c r="A77" s="54" t="s">
        <v>339</v>
      </c>
      <c r="C77" s="55">
        <f t="shared" ref="C77:L77" si="13">C76/C71</f>
        <v>1.4891271056661561</v>
      </c>
      <c r="D77" s="55">
        <f t="shared" si="13"/>
        <v>1.8903798903798903</v>
      </c>
      <c r="E77" s="55">
        <f t="shared" si="13"/>
        <v>1.4074683336075013</v>
      </c>
      <c r="F77" s="55">
        <f t="shared" si="13"/>
        <v>0.94427943447784246</v>
      </c>
      <c r="G77" s="55">
        <f t="shared" si="13"/>
        <v>0.8266989731164186</v>
      </c>
      <c r="H77" s="55">
        <f t="shared" si="13"/>
        <v>0.65402380529401316</v>
      </c>
      <c r="I77" s="55">
        <f t="shared" si="13"/>
        <v>0.94755611495699599</v>
      </c>
      <c r="J77" s="55">
        <f t="shared" si="13"/>
        <v>1.0506822612085771</v>
      </c>
      <c r="K77" s="55">
        <f t="shared" si="13"/>
        <v>2.1417422484707869</v>
      </c>
      <c r="L77" s="55">
        <f t="shared" si="13"/>
        <v>1.7985271903323263</v>
      </c>
      <c r="M77" s="29"/>
      <c r="N77" s="29"/>
      <c r="O77" s="29"/>
      <c r="P77" s="55">
        <f t="shared" ref="P77:U77" si="14">P76/P71</f>
        <v>3.4538606403013183</v>
      </c>
      <c r="Q77" s="55">
        <f t="shared" si="14"/>
        <v>-8.3287969515514426E-2</v>
      </c>
      <c r="R77" s="55">
        <f t="shared" si="14"/>
        <v>-1.2861811391223157</v>
      </c>
      <c r="S77" s="55">
        <f t="shared" si="14"/>
        <v>2.0788604459124689</v>
      </c>
      <c r="T77" s="55">
        <f t="shared" si="14"/>
        <v>1.5715099715099714</v>
      </c>
      <c r="U77" s="55">
        <f t="shared" si="14"/>
        <v>0.76177285318559562</v>
      </c>
    </row>
    <row r="78" spans="1:21" ht="10" customHeight="1">
      <c r="M78" s="29"/>
      <c r="N78" s="29"/>
      <c r="O78" s="29"/>
    </row>
  </sheetData>
  <mergeCells count="9">
    <mergeCell ref="A64:U64"/>
    <mergeCell ref="A7:U7"/>
    <mergeCell ref="A11:U11"/>
    <mergeCell ref="A70:U70"/>
    <mergeCell ref="A1:U1"/>
    <mergeCell ref="A9:U9"/>
    <mergeCell ref="A8:U8"/>
    <mergeCell ref="A6:U6"/>
    <mergeCell ref="A2:U2"/>
  </mergeCells>
  <phoneticPr fontId="9" type="noConversion"/>
  <conditionalFormatting sqref="C65:U68">
    <cfRule type="cellIs" dxfId="30" priority="1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07D79"/>
    <pageSetUpPr fitToPage="1"/>
  </sheetPr>
  <dimension ref="A1:U244"/>
  <sheetViews>
    <sheetView showGridLines="0" zoomScale="95" zoomScaleNormal="95" workbookViewId="0">
      <pane xSplit="2" ySplit="5" topLeftCell="C6" activePane="bottomRight" state="frozen"/>
      <selection pane="topRight" activeCell="C3" sqref="C3"/>
      <selection pane="bottomLeft" activeCell="A6" sqref="A6"/>
      <selection pane="bottomRight" activeCell="L45" sqref="L45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22" t="s">
        <v>340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21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25" customHeight="1"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  <c r="K3" s="46" t="s">
        <v>10</v>
      </c>
      <c r="L3" s="46" t="s">
        <v>11</v>
      </c>
      <c r="M3" s="47" t="s">
        <v>12</v>
      </c>
      <c r="N3" s="47" t="s">
        <v>12</v>
      </c>
      <c r="O3" s="47" t="s">
        <v>12</v>
      </c>
      <c r="P3" s="48" t="s">
        <v>13</v>
      </c>
      <c r="Q3" s="48" t="s">
        <v>14</v>
      </c>
      <c r="R3" s="48" t="s">
        <v>15</v>
      </c>
      <c r="S3" s="48" t="s">
        <v>16</v>
      </c>
      <c r="T3" s="48" t="s">
        <v>17</v>
      </c>
      <c r="U3" s="48" t="s">
        <v>18</v>
      </c>
    </row>
    <row r="4" spans="1:21" ht="18" customHeight="1">
      <c r="C4" s="49" t="s">
        <v>19</v>
      </c>
      <c r="D4" s="49" t="s">
        <v>20</v>
      </c>
      <c r="E4" s="49" t="s">
        <v>21</v>
      </c>
      <c r="F4" s="49" t="s">
        <v>22</v>
      </c>
      <c r="G4" s="49" t="s">
        <v>23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28</v>
      </c>
      <c r="M4" s="50"/>
      <c r="N4" s="50"/>
      <c r="O4" s="50"/>
      <c r="P4" s="49" t="s">
        <v>29</v>
      </c>
      <c r="Q4" s="49" t="s">
        <v>30</v>
      </c>
      <c r="R4" s="49" t="s">
        <v>31</v>
      </c>
      <c r="S4" s="49" t="s">
        <v>32</v>
      </c>
      <c r="T4" s="49" t="s">
        <v>33</v>
      </c>
      <c r="U4" s="49" t="s">
        <v>34</v>
      </c>
    </row>
    <row r="5" spans="1:21" ht="10" customHeight="1">
      <c r="M5" s="29"/>
      <c r="N5" s="29"/>
      <c r="O5" s="29"/>
    </row>
    <row r="6" spans="1:21" ht="22" customHeight="1">
      <c r="A6" s="21" t="s">
        <v>35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22" customHeight="1">
      <c r="A7" s="21" t="str">
        <f>HYPERLINK("#'Segments'!A11","1. SEGMENTS — BASIS C (FY2025 10-K recast: Global Ventures dissolved into the geographic segments; FY2023-FY2025 only)")</f>
        <v>1. SEGMENTS — BASIS C (FY2025 10-K recast: Global Ventures dissolved into the geographic segments; FY2023-FY2025 only)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1:21" ht="22" customHeight="1">
      <c r="A8" s="21" t="str">
        <f>HYPERLINK("#'Segments'!A86","2. SEGMENTS — BASIS B (FY2019-FY2024 10-K presentation incl. Global Ventures; FY2017-FY2024, each year from the latest 10-K presenting it on this basis)")</f>
        <v>2. SEGMENTS — BASIS B (FY2019-FY2024 10-K presentation incl. Global Ventures; FY2017-FY2024, each year from the latest 10-K presenting it on this basis)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22" customHeight="1">
      <c r="A9" s="21" t="str">
        <f>HYPERLINK("#'Segments'!A168","3. SEGMENTS — BASIS A (FY2018 10-K presentation: no Global Ventures; FY2016-FY2018)")</f>
        <v>3. SEGMENTS — BASIS A (FY2018 10-K presentation: no Global Ventures; FY2016-FY2018)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</row>
    <row r="10" spans="1:21" ht="10" customHeight="1">
      <c r="M10" s="29"/>
      <c r="N10" s="29"/>
      <c r="O10" s="29"/>
    </row>
    <row r="11" spans="1:21" ht="29" customHeight="1">
      <c r="A11" s="23" t="s">
        <v>341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spans="1:21" ht="21.5" customHeight="1">
      <c r="A12" s="61" t="s">
        <v>342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29"/>
      <c r="N12" s="29"/>
      <c r="O12" s="29"/>
      <c r="P12" s="62"/>
      <c r="Q12" s="62"/>
      <c r="R12" s="62"/>
      <c r="S12" s="62"/>
      <c r="T12" s="62"/>
      <c r="U12" s="62"/>
    </row>
    <row r="13" spans="1:21" ht="21.5" customHeight="1">
      <c r="A13" s="56" t="s">
        <v>42</v>
      </c>
      <c r="J13" s="57">
        <v>10152</v>
      </c>
      <c r="K13" s="57">
        <v>10278</v>
      </c>
      <c r="L13" s="57">
        <v>10833</v>
      </c>
      <c r="M13" s="29"/>
      <c r="N13" s="29"/>
      <c r="O13" s="29"/>
      <c r="P13" s="31"/>
      <c r="Q13" s="57">
        <v>2481</v>
      </c>
      <c r="R13" s="57">
        <v>3008</v>
      </c>
      <c r="S13" s="57">
        <v>2818</v>
      </c>
      <c r="T13" s="57">
        <v>2807</v>
      </c>
      <c r="U13" s="57">
        <v>3087</v>
      </c>
    </row>
    <row r="14" spans="1:21" ht="21.5" customHeight="1">
      <c r="A14" s="56" t="s">
        <v>43</v>
      </c>
      <c r="J14" s="57">
        <v>5834</v>
      </c>
      <c r="K14" s="57">
        <v>6471</v>
      </c>
      <c r="L14" s="57">
        <v>6331</v>
      </c>
      <c r="M14" s="29"/>
      <c r="N14" s="29"/>
      <c r="O14" s="29"/>
      <c r="P14" s="31"/>
      <c r="Q14" s="57">
        <v>1477</v>
      </c>
      <c r="R14" s="57">
        <v>1587</v>
      </c>
      <c r="S14" s="57">
        <v>1572</v>
      </c>
      <c r="T14" s="57">
        <v>1678</v>
      </c>
      <c r="U14" s="57">
        <v>1839</v>
      </c>
    </row>
    <row r="15" spans="1:21" ht="21.5" customHeight="1">
      <c r="A15" s="56" t="s">
        <v>44</v>
      </c>
      <c r="J15" s="57">
        <v>16965</v>
      </c>
      <c r="K15" s="57">
        <v>18860</v>
      </c>
      <c r="L15" s="57">
        <v>19579</v>
      </c>
      <c r="M15" s="29"/>
      <c r="N15" s="29"/>
      <c r="O15" s="29"/>
      <c r="P15" s="31"/>
      <c r="Q15" s="57">
        <v>4359</v>
      </c>
      <c r="R15" s="57">
        <v>5028</v>
      </c>
      <c r="S15" s="57">
        <v>5249</v>
      </c>
      <c r="T15" s="57">
        <v>4891</v>
      </c>
      <c r="U15" s="57">
        <v>5405</v>
      </c>
    </row>
    <row r="16" spans="1:21" ht="21.5" customHeight="1">
      <c r="A16" s="56" t="s">
        <v>46</v>
      </c>
      <c r="J16" s="57">
        <v>4811</v>
      </c>
      <c r="K16" s="57">
        <v>5127</v>
      </c>
      <c r="L16" s="57">
        <v>5328</v>
      </c>
      <c r="M16" s="29"/>
      <c r="N16" s="29"/>
      <c r="O16" s="29"/>
      <c r="P16" s="31"/>
      <c r="Q16" s="57">
        <v>1325</v>
      </c>
      <c r="R16" s="57">
        <v>1464</v>
      </c>
      <c r="S16" s="57">
        <v>1438</v>
      </c>
      <c r="T16" s="57">
        <v>1426</v>
      </c>
      <c r="U16" s="57">
        <v>1487</v>
      </c>
    </row>
    <row r="17" spans="1:21" ht="21.5" customHeight="1">
      <c r="A17" s="56" t="s">
        <v>45</v>
      </c>
      <c r="J17" s="57">
        <v>7852</v>
      </c>
      <c r="K17" s="57">
        <v>6215</v>
      </c>
      <c r="L17" s="57">
        <v>5726</v>
      </c>
      <c r="M17" s="29"/>
      <c r="N17" s="29"/>
      <c r="O17" s="29"/>
      <c r="P17" s="31"/>
      <c r="Q17" s="57">
        <v>1461</v>
      </c>
      <c r="R17" s="57">
        <v>1409</v>
      </c>
      <c r="S17" s="57">
        <v>1344</v>
      </c>
      <c r="T17" s="57">
        <v>1638</v>
      </c>
      <c r="U17" s="57">
        <v>1525</v>
      </c>
    </row>
    <row r="18" spans="1:21" ht="21.5" customHeight="1">
      <c r="A18" s="56" t="s">
        <v>77</v>
      </c>
      <c r="J18" s="57">
        <v>140</v>
      </c>
      <c r="K18" s="57">
        <v>110</v>
      </c>
      <c r="L18" s="57">
        <v>144</v>
      </c>
      <c r="M18" s="29"/>
      <c r="N18" s="29"/>
      <c r="O18" s="29"/>
      <c r="P18" s="31"/>
      <c r="Q18" s="57">
        <v>26</v>
      </c>
      <c r="R18" s="57">
        <v>39</v>
      </c>
      <c r="S18" s="57">
        <v>34</v>
      </c>
      <c r="T18" s="57">
        <v>32</v>
      </c>
      <c r="U18" s="57">
        <v>37</v>
      </c>
    </row>
    <row r="19" spans="1:21" ht="21.5" customHeight="1">
      <c r="A19" s="51" t="s">
        <v>343</v>
      </c>
      <c r="B19" s="52"/>
      <c r="C19" s="52"/>
      <c r="D19" s="52"/>
      <c r="E19" s="52"/>
      <c r="F19" s="52"/>
      <c r="G19" s="52"/>
      <c r="H19" s="52"/>
      <c r="I19" s="52"/>
      <c r="J19" s="53">
        <v>45754</v>
      </c>
      <c r="K19" s="53">
        <v>47061</v>
      </c>
      <c r="L19" s="53">
        <v>47941</v>
      </c>
      <c r="M19" s="32"/>
      <c r="N19" s="32"/>
      <c r="O19" s="32"/>
      <c r="P19" s="75"/>
      <c r="Q19" s="53">
        <v>11129</v>
      </c>
      <c r="R19" s="53">
        <v>12535</v>
      </c>
      <c r="S19" s="53">
        <v>12455</v>
      </c>
      <c r="T19" s="53">
        <v>12472</v>
      </c>
      <c r="U19" s="53">
        <v>13380</v>
      </c>
    </row>
    <row r="20" spans="1:21" ht="21.5" customHeight="1">
      <c r="A20" s="63" t="s">
        <v>344</v>
      </c>
      <c r="B20" s="64"/>
      <c r="C20" s="64"/>
      <c r="D20" s="64"/>
      <c r="E20" s="64"/>
      <c r="F20" s="64"/>
      <c r="G20" s="64"/>
      <c r="H20" s="64"/>
      <c r="I20" s="64"/>
      <c r="J20" s="65">
        <f>J13+J14+J15+J16+J17+J18-J19</f>
        <v>0</v>
      </c>
      <c r="K20" s="65">
        <f>K13+K14+K15+K16+K17+K18-K19</f>
        <v>0</v>
      </c>
      <c r="L20" s="65">
        <f>L13+L14+L15+L16+L17+L18-L19</f>
        <v>0</v>
      </c>
      <c r="M20" s="29"/>
      <c r="N20" s="29"/>
      <c r="O20" s="29"/>
      <c r="P20" s="76"/>
      <c r="Q20" s="76"/>
      <c r="R20" s="76"/>
      <c r="S20" s="76"/>
      <c r="T20" s="76"/>
      <c r="U20" s="76"/>
    </row>
    <row r="21" spans="1:21" ht="10" customHeight="1">
      <c r="M21" s="29"/>
      <c r="N21" s="29"/>
      <c r="O21" s="29"/>
    </row>
    <row r="22" spans="1:21" ht="21.5" customHeight="1">
      <c r="A22" s="61" t="s">
        <v>345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29"/>
      <c r="N22" s="29"/>
      <c r="O22" s="29"/>
      <c r="P22" s="62"/>
      <c r="Q22" s="62"/>
      <c r="R22" s="62"/>
      <c r="S22" s="62"/>
      <c r="T22" s="62"/>
      <c r="U22" s="62"/>
    </row>
    <row r="23" spans="1:21" ht="21.5" customHeight="1">
      <c r="A23" s="56" t="s">
        <v>42</v>
      </c>
      <c r="J23" s="57">
        <v>686</v>
      </c>
      <c r="K23" s="57">
        <v>680</v>
      </c>
      <c r="L23" s="57">
        <v>680</v>
      </c>
      <c r="M23" s="29"/>
      <c r="N23" s="29"/>
      <c r="O23" s="29"/>
      <c r="P23" s="31"/>
      <c r="Q23" s="57">
        <v>176</v>
      </c>
      <c r="R23" s="57">
        <v>168</v>
      </c>
      <c r="S23" s="57">
        <v>178</v>
      </c>
      <c r="T23" s="57">
        <v>205</v>
      </c>
      <c r="U23" s="57">
        <v>153</v>
      </c>
    </row>
    <row r="24" spans="1:21" ht="21.5" customHeight="1">
      <c r="A24" s="56" t="s">
        <v>43</v>
      </c>
      <c r="J24" s="57">
        <v>0</v>
      </c>
      <c r="K24" s="57">
        <v>0</v>
      </c>
      <c r="L24" s="57">
        <v>3</v>
      </c>
      <c r="M24" s="29"/>
      <c r="N24" s="29"/>
      <c r="O24" s="29"/>
      <c r="P24" s="31"/>
      <c r="Q24" s="57">
        <v>0</v>
      </c>
      <c r="R24" s="57">
        <v>0</v>
      </c>
      <c r="S24" s="57">
        <v>1</v>
      </c>
      <c r="T24" s="57">
        <v>0</v>
      </c>
      <c r="U24" s="57">
        <v>0</v>
      </c>
    </row>
    <row r="25" spans="1:21" ht="21.5" customHeight="1">
      <c r="A25" s="56" t="s">
        <v>44</v>
      </c>
      <c r="J25" s="57">
        <v>8</v>
      </c>
      <c r="K25" s="57">
        <v>9</v>
      </c>
      <c r="L25" s="57">
        <v>7</v>
      </c>
      <c r="M25" s="29"/>
      <c r="N25" s="29"/>
      <c r="O25" s="29"/>
      <c r="P25" s="31"/>
      <c r="Q25" s="57">
        <v>2</v>
      </c>
      <c r="R25" s="57">
        <v>1</v>
      </c>
      <c r="S25" s="57">
        <v>4</v>
      </c>
      <c r="T25" s="57">
        <v>2</v>
      </c>
      <c r="U25" s="57">
        <v>3</v>
      </c>
    </row>
    <row r="26" spans="1:21" ht="21.5" customHeight="1">
      <c r="A26" s="56" t="s">
        <v>46</v>
      </c>
      <c r="J26" s="57">
        <v>731</v>
      </c>
      <c r="K26" s="57">
        <v>467</v>
      </c>
      <c r="L26" s="57">
        <v>310</v>
      </c>
      <c r="M26" s="29"/>
      <c r="N26" s="29"/>
      <c r="O26" s="29"/>
      <c r="P26" s="31"/>
      <c r="Q26" s="57">
        <v>96</v>
      </c>
      <c r="R26" s="57">
        <v>108</v>
      </c>
      <c r="S26" s="57">
        <v>68</v>
      </c>
      <c r="T26" s="57">
        <v>82</v>
      </c>
      <c r="U26" s="57">
        <v>94</v>
      </c>
    </row>
    <row r="27" spans="1:21" ht="21.5" customHeight="1">
      <c r="A27" s="56" t="s">
        <v>45</v>
      </c>
      <c r="J27" s="57">
        <v>8</v>
      </c>
      <c r="K27" s="57">
        <v>8</v>
      </c>
      <c r="L27" s="57">
        <v>9</v>
      </c>
      <c r="M27" s="29"/>
      <c r="N27" s="29"/>
      <c r="O27" s="29"/>
      <c r="P27" s="31"/>
      <c r="Q27" s="57">
        <v>2</v>
      </c>
      <c r="R27" s="57">
        <v>2</v>
      </c>
      <c r="S27" s="57">
        <v>2</v>
      </c>
      <c r="T27" s="57">
        <v>2</v>
      </c>
      <c r="U27" s="57">
        <v>2</v>
      </c>
    </row>
    <row r="28" spans="1:21" ht="21.5" customHeight="1">
      <c r="A28" s="56" t="s">
        <v>77</v>
      </c>
      <c r="J28" s="57">
        <v>0</v>
      </c>
      <c r="K28" s="57">
        <v>0</v>
      </c>
      <c r="L28" s="57">
        <v>0</v>
      </c>
      <c r="M28" s="29"/>
      <c r="N28" s="29"/>
      <c r="O28" s="29"/>
      <c r="P28" s="31"/>
      <c r="Q28" s="57">
        <v>0</v>
      </c>
      <c r="R28" s="57">
        <v>0</v>
      </c>
      <c r="S28" s="57">
        <v>0</v>
      </c>
      <c r="T28" s="57">
        <v>0</v>
      </c>
      <c r="U28" s="57">
        <v>0</v>
      </c>
    </row>
    <row r="29" spans="1:21" ht="21.5" customHeight="1">
      <c r="A29" s="56" t="s">
        <v>346</v>
      </c>
      <c r="J29" s="57">
        <v>-1433</v>
      </c>
      <c r="K29" s="57">
        <v>-1164</v>
      </c>
      <c r="L29" s="57">
        <v>-1009</v>
      </c>
      <c r="M29" s="29"/>
      <c r="N29" s="29"/>
      <c r="O29" s="29"/>
      <c r="P29" s="31"/>
      <c r="Q29" s="57">
        <v>-276</v>
      </c>
      <c r="R29" s="57">
        <v>-279</v>
      </c>
      <c r="S29" s="57">
        <v>-253</v>
      </c>
      <c r="T29" s="57">
        <v>-291</v>
      </c>
      <c r="U29" s="57">
        <v>-252</v>
      </c>
    </row>
    <row r="30" spans="1:21" ht="21.5" customHeight="1">
      <c r="A30" s="51" t="s">
        <v>343</v>
      </c>
      <c r="B30" s="52"/>
      <c r="C30" s="52"/>
      <c r="D30" s="52"/>
      <c r="E30" s="52"/>
      <c r="F30" s="52"/>
      <c r="G30" s="52"/>
      <c r="H30" s="52"/>
      <c r="I30" s="52"/>
      <c r="J30" s="53">
        <v>0</v>
      </c>
      <c r="K30" s="53">
        <v>0</v>
      </c>
      <c r="L30" s="53">
        <v>0</v>
      </c>
      <c r="M30" s="32"/>
      <c r="N30" s="32"/>
      <c r="O30" s="32"/>
      <c r="P30" s="75"/>
      <c r="Q30" s="72">
        <f>Q23+Q24+Q25+Q26+Q27+Q28+Q29</f>
        <v>0</v>
      </c>
      <c r="R30" s="72">
        <f>R23+R24+R25+R26+R27+R28+R29</f>
        <v>0</v>
      </c>
      <c r="S30" s="72">
        <f>S23+S24+S25+S26+S27+S28+S29</f>
        <v>0</v>
      </c>
      <c r="T30" s="72">
        <f>T23+T24+T25+T26+T27+T28+T29</f>
        <v>0</v>
      </c>
      <c r="U30" s="72">
        <f>U23+U24+U25+U26+U27+U28+U29</f>
        <v>0</v>
      </c>
    </row>
    <row r="31" spans="1:21" ht="21.5" customHeight="1">
      <c r="A31" s="63" t="s">
        <v>344</v>
      </c>
      <c r="B31" s="64"/>
      <c r="C31" s="64"/>
      <c r="D31" s="64"/>
      <c r="E31" s="64"/>
      <c r="F31" s="64"/>
      <c r="G31" s="64"/>
      <c r="H31" s="64"/>
      <c r="I31" s="64"/>
      <c r="J31" s="65">
        <f>J23+J24+J25+J26+J27+J28+J29-J30</f>
        <v>0</v>
      </c>
      <c r="K31" s="65">
        <f>K23+K24+K25+K26+K27+K28+K29-K30</f>
        <v>0</v>
      </c>
      <c r="L31" s="65">
        <f>L23+L24+L25+L26+L27+L28+L29-L30</f>
        <v>0</v>
      </c>
      <c r="M31" s="29"/>
      <c r="N31" s="29"/>
      <c r="O31" s="29"/>
      <c r="P31" s="76"/>
      <c r="Q31" s="76"/>
      <c r="R31" s="76"/>
      <c r="S31" s="76"/>
      <c r="T31" s="76"/>
      <c r="U31" s="76"/>
    </row>
    <row r="32" spans="1:21" ht="10" customHeight="1">
      <c r="M32" s="29"/>
      <c r="N32" s="29"/>
      <c r="O32" s="29"/>
    </row>
    <row r="33" spans="1:21" ht="21.5" customHeight="1">
      <c r="A33" s="61" t="s">
        <v>347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29"/>
      <c r="N33" s="29"/>
      <c r="O33" s="29"/>
      <c r="P33" s="62"/>
      <c r="Q33" s="62"/>
      <c r="R33" s="62"/>
      <c r="S33" s="62"/>
      <c r="T33" s="62"/>
      <c r="U33" s="62"/>
    </row>
    <row r="34" spans="1:21" ht="21.5" customHeight="1">
      <c r="A34" s="56" t="s">
        <v>42</v>
      </c>
      <c r="J34" s="57">
        <v>10838</v>
      </c>
      <c r="K34" s="57">
        <v>10958</v>
      </c>
      <c r="L34" s="57">
        <v>11513</v>
      </c>
      <c r="M34" s="29"/>
      <c r="N34" s="29"/>
      <c r="O34" s="29"/>
      <c r="P34" s="31"/>
      <c r="Q34" s="57">
        <v>2657</v>
      </c>
      <c r="R34" s="57">
        <v>3176</v>
      </c>
      <c r="S34" s="57">
        <v>2996</v>
      </c>
      <c r="T34" s="57">
        <v>3012</v>
      </c>
      <c r="U34" s="57">
        <v>3240</v>
      </c>
    </row>
    <row r="35" spans="1:21" ht="21.5" customHeight="1">
      <c r="A35" s="56" t="s">
        <v>43</v>
      </c>
      <c r="J35" s="57">
        <v>5834</v>
      </c>
      <c r="K35" s="57">
        <v>6471</v>
      </c>
      <c r="L35" s="57">
        <v>6334</v>
      </c>
      <c r="M35" s="29"/>
      <c r="N35" s="29"/>
      <c r="O35" s="29"/>
      <c r="P35" s="31"/>
      <c r="Q35" s="57">
        <v>1477</v>
      </c>
      <c r="R35" s="57">
        <v>1587</v>
      </c>
      <c r="S35" s="57">
        <v>1573</v>
      </c>
      <c r="T35" s="57">
        <v>1678</v>
      </c>
      <c r="U35" s="57">
        <v>1839</v>
      </c>
    </row>
    <row r="36" spans="1:21" ht="21.5" customHeight="1">
      <c r="A36" s="56" t="s">
        <v>44</v>
      </c>
      <c r="J36" s="57">
        <v>16973</v>
      </c>
      <c r="K36" s="57">
        <v>18869</v>
      </c>
      <c r="L36" s="57">
        <v>19586</v>
      </c>
      <c r="M36" s="29"/>
      <c r="N36" s="29"/>
      <c r="O36" s="29"/>
      <c r="P36" s="31"/>
      <c r="Q36" s="57">
        <v>4361</v>
      </c>
      <c r="R36" s="57">
        <v>5029</v>
      </c>
      <c r="S36" s="57">
        <v>5253</v>
      </c>
      <c r="T36" s="57">
        <v>4893</v>
      </c>
      <c r="U36" s="57">
        <v>5408</v>
      </c>
    </row>
    <row r="37" spans="1:21" ht="21.5" customHeight="1">
      <c r="A37" s="56" t="s">
        <v>46</v>
      </c>
      <c r="J37" s="57">
        <v>5542</v>
      </c>
      <c r="K37" s="57">
        <v>5594</v>
      </c>
      <c r="L37" s="57">
        <v>5638</v>
      </c>
      <c r="M37" s="29"/>
      <c r="N37" s="29"/>
      <c r="O37" s="29"/>
      <c r="P37" s="31"/>
      <c r="Q37" s="57">
        <v>1421</v>
      </c>
      <c r="R37" s="57">
        <v>1572</v>
      </c>
      <c r="S37" s="57">
        <v>1506</v>
      </c>
      <c r="T37" s="57">
        <v>1508</v>
      </c>
      <c r="U37" s="57">
        <v>1581</v>
      </c>
    </row>
    <row r="38" spans="1:21" ht="21.5" customHeight="1">
      <c r="A38" s="56" t="s">
        <v>45</v>
      </c>
      <c r="J38" s="57">
        <v>7860</v>
      </c>
      <c r="K38" s="57">
        <v>6223</v>
      </c>
      <c r="L38" s="57">
        <v>5735</v>
      </c>
      <c r="M38" s="29"/>
      <c r="N38" s="29"/>
      <c r="O38" s="29"/>
      <c r="P38" s="31"/>
      <c r="Q38" s="57">
        <v>1463</v>
      </c>
      <c r="R38" s="57">
        <v>1411</v>
      </c>
      <c r="S38" s="57">
        <v>1346</v>
      </c>
      <c r="T38" s="57">
        <v>1640</v>
      </c>
      <c r="U38" s="57">
        <v>1527</v>
      </c>
    </row>
    <row r="39" spans="1:21" ht="21.5" customHeight="1">
      <c r="A39" s="56" t="s">
        <v>77</v>
      </c>
      <c r="J39" s="57">
        <v>140</v>
      </c>
      <c r="K39" s="57">
        <v>110</v>
      </c>
      <c r="L39" s="57">
        <v>144</v>
      </c>
      <c r="M39" s="29"/>
      <c r="N39" s="29"/>
      <c r="O39" s="29"/>
      <c r="P39" s="31"/>
      <c r="Q39" s="57">
        <v>26</v>
      </c>
      <c r="R39" s="57">
        <v>39</v>
      </c>
      <c r="S39" s="57">
        <v>34</v>
      </c>
      <c r="T39" s="57">
        <v>32</v>
      </c>
      <c r="U39" s="57">
        <v>37</v>
      </c>
    </row>
    <row r="40" spans="1:21" ht="21.5" customHeight="1">
      <c r="A40" s="56" t="s">
        <v>346</v>
      </c>
      <c r="J40" s="57">
        <v>-1433</v>
      </c>
      <c r="K40" s="57">
        <v>-1164</v>
      </c>
      <c r="L40" s="57">
        <v>-1009</v>
      </c>
      <c r="M40" s="29"/>
      <c r="N40" s="29"/>
      <c r="O40" s="29"/>
      <c r="P40" s="31"/>
      <c r="Q40" s="57">
        <v>-276</v>
      </c>
      <c r="R40" s="57">
        <v>-279</v>
      </c>
      <c r="S40" s="57">
        <v>-253</v>
      </c>
      <c r="T40" s="57">
        <v>-291</v>
      </c>
      <c r="U40" s="57">
        <v>-252</v>
      </c>
    </row>
    <row r="41" spans="1:21" ht="21.5" customHeight="1">
      <c r="A41" s="51" t="s">
        <v>343</v>
      </c>
      <c r="B41" s="52"/>
      <c r="C41" s="52"/>
      <c r="D41" s="52"/>
      <c r="E41" s="52"/>
      <c r="F41" s="52"/>
      <c r="G41" s="52"/>
      <c r="H41" s="52"/>
      <c r="I41" s="52"/>
      <c r="J41" s="53">
        <v>45754</v>
      </c>
      <c r="K41" s="53">
        <v>47061</v>
      </c>
      <c r="L41" s="53">
        <v>47941</v>
      </c>
      <c r="M41" s="32"/>
      <c r="N41" s="32"/>
      <c r="O41" s="32"/>
      <c r="P41" s="75"/>
      <c r="Q41" s="77">
        <f>'Income Statement'!Q11</f>
        <v>11129</v>
      </c>
      <c r="R41" s="77">
        <f>'Income Statement'!R11</f>
        <v>12535</v>
      </c>
      <c r="S41" s="77">
        <f>'Income Statement'!S11</f>
        <v>12455</v>
      </c>
      <c r="T41" s="77">
        <f>'Income Statement'!T11</f>
        <v>12472</v>
      </c>
      <c r="U41" s="77">
        <f>'Income Statement'!U11</f>
        <v>13380</v>
      </c>
    </row>
    <row r="42" spans="1:21" ht="21.5" customHeight="1">
      <c r="A42" s="63" t="s">
        <v>344</v>
      </c>
      <c r="B42" s="64"/>
      <c r="C42" s="64"/>
      <c r="D42" s="64"/>
      <c r="E42" s="64"/>
      <c r="F42" s="64"/>
      <c r="G42" s="64"/>
      <c r="H42" s="64"/>
      <c r="I42" s="64"/>
      <c r="J42" s="65">
        <f>J34+J35+J36+J37+J38+J39+J40-J41</f>
        <v>0</v>
      </c>
      <c r="K42" s="65">
        <f>K34+K35+K36+K37+K38+K39+K40-K41</f>
        <v>0</v>
      </c>
      <c r="L42" s="65">
        <f>L34+L35+L36+L37+L38+L39+L40-L41</f>
        <v>0</v>
      </c>
      <c r="M42" s="29"/>
      <c r="N42" s="29"/>
      <c r="O42" s="29"/>
      <c r="P42" s="76"/>
      <c r="Q42" s="76"/>
      <c r="R42" s="76"/>
      <c r="S42" s="76"/>
      <c r="T42" s="76"/>
      <c r="U42" s="76"/>
    </row>
    <row r="43" spans="1:21" ht="10" customHeight="1">
      <c r="M43" s="29"/>
      <c r="N43" s="29"/>
      <c r="O43" s="29"/>
    </row>
    <row r="44" spans="1:21" ht="21.5" customHeight="1">
      <c r="A44" s="61" t="s">
        <v>348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29"/>
      <c r="N44" s="29"/>
      <c r="O44" s="29"/>
      <c r="P44" s="62"/>
      <c r="Q44" s="62"/>
      <c r="R44" s="62"/>
      <c r="S44" s="62"/>
      <c r="T44" s="62"/>
      <c r="U44" s="62"/>
    </row>
    <row r="45" spans="1:21" ht="21.5" customHeight="1">
      <c r="A45" s="56" t="s">
        <v>42</v>
      </c>
      <c r="J45" s="57">
        <v>4323</v>
      </c>
      <c r="K45" s="57">
        <v>4255</v>
      </c>
      <c r="L45" s="57">
        <v>4298</v>
      </c>
      <c r="M45" s="29"/>
      <c r="N45" s="29"/>
      <c r="O45" s="29"/>
      <c r="P45" s="31"/>
      <c r="Q45" s="57">
        <v>1065</v>
      </c>
      <c r="R45" s="57">
        <v>1325</v>
      </c>
      <c r="S45" s="57">
        <v>1097</v>
      </c>
      <c r="T45" s="57">
        <v>1259</v>
      </c>
      <c r="U45" s="57">
        <v>1309</v>
      </c>
    </row>
    <row r="46" spans="1:21" ht="21.5" customHeight="1">
      <c r="A46" s="56" t="s">
        <v>43</v>
      </c>
      <c r="J46" s="57">
        <v>3436</v>
      </c>
      <c r="K46" s="57">
        <v>3792</v>
      </c>
      <c r="L46" s="57">
        <v>3742</v>
      </c>
      <c r="M46" s="29"/>
      <c r="N46" s="29"/>
      <c r="O46" s="29"/>
      <c r="P46" s="31"/>
      <c r="Q46" s="57">
        <v>904</v>
      </c>
      <c r="R46" s="57">
        <v>957</v>
      </c>
      <c r="S46" s="57">
        <v>897</v>
      </c>
      <c r="T46" s="57">
        <v>1038</v>
      </c>
      <c r="U46" s="57">
        <v>1177</v>
      </c>
    </row>
    <row r="47" spans="1:21" ht="21.5" customHeight="1">
      <c r="A47" s="56" t="s">
        <v>44</v>
      </c>
      <c r="J47" s="57">
        <v>4634</v>
      </c>
      <c r="K47" s="57">
        <v>4556</v>
      </c>
      <c r="L47" s="57">
        <v>5070</v>
      </c>
      <c r="M47" s="29"/>
      <c r="N47" s="29"/>
      <c r="O47" s="29"/>
      <c r="P47" s="31"/>
      <c r="Q47" s="57">
        <v>1341</v>
      </c>
      <c r="R47" s="57">
        <v>1621</v>
      </c>
      <c r="S47" s="57">
        <v>1681</v>
      </c>
      <c r="T47" s="57">
        <v>1606</v>
      </c>
      <c r="U47" s="57">
        <v>1695</v>
      </c>
    </row>
    <row r="48" spans="1:21" ht="21.5" customHeight="1">
      <c r="A48" s="56" t="s">
        <v>46</v>
      </c>
      <c r="J48" s="57">
        <v>2057</v>
      </c>
      <c r="K48" s="57">
        <v>2156</v>
      </c>
      <c r="L48" s="57">
        <v>2042</v>
      </c>
      <c r="M48" s="29"/>
      <c r="N48" s="29"/>
      <c r="O48" s="29"/>
      <c r="P48" s="31"/>
      <c r="Q48" s="57">
        <v>624</v>
      </c>
      <c r="R48" s="57">
        <v>647</v>
      </c>
      <c r="S48" s="57">
        <v>521</v>
      </c>
      <c r="T48" s="57">
        <v>536</v>
      </c>
      <c r="U48" s="57">
        <v>656</v>
      </c>
    </row>
    <row r="49" spans="1:21" ht="21.5" customHeight="1">
      <c r="A49" s="56" t="s">
        <v>45</v>
      </c>
      <c r="J49" s="57">
        <v>578</v>
      </c>
      <c r="K49" s="57">
        <v>496</v>
      </c>
      <c r="L49" s="57">
        <v>426</v>
      </c>
      <c r="M49" s="29"/>
      <c r="N49" s="29"/>
      <c r="O49" s="29"/>
      <c r="P49" s="31"/>
      <c r="Q49" s="57">
        <v>119</v>
      </c>
      <c r="R49" s="57">
        <v>59</v>
      </c>
      <c r="S49" s="57">
        <v>57</v>
      </c>
      <c r="T49" s="57">
        <v>191</v>
      </c>
      <c r="U49" s="57">
        <v>91</v>
      </c>
    </row>
    <row r="50" spans="1:21" ht="21.5" customHeight="1">
      <c r="A50" s="56" t="s">
        <v>77</v>
      </c>
      <c r="J50" s="57">
        <v>-3717</v>
      </c>
      <c r="K50" s="57">
        <v>-5263</v>
      </c>
      <c r="L50" s="57">
        <v>-1816</v>
      </c>
      <c r="M50" s="29"/>
      <c r="N50" s="29"/>
      <c r="O50" s="29"/>
      <c r="P50" s="31"/>
      <c r="Q50" s="57">
        <v>-394</v>
      </c>
      <c r="R50" s="57">
        <v>-329</v>
      </c>
      <c r="S50" s="57">
        <v>-271</v>
      </c>
      <c r="T50" s="57">
        <v>-271</v>
      </c>
      <c r="U50" s="57">
        <v>-256</v>
      </c>
    </row>
    <row r="51" spans="1:21" ht="21.5" customHeight="1">
      <c r="A51" s="51" t="s">
        <v>343</v>
      </c>
      <c r="B51" s="52"/>
      <c r="C51" s="52"/>
      <c r="D51" s="52"/>
      <c r="E51" s="52"/>
      <c r="F51" s="52"/>
      <c r="G51" s="52"/>
      <c r="H51" s="52"/>
      <c r="I51" s="52"/>
      <c r="J51" s="53">
        <v>11311</v>
      </c>
      <c r="K51" s="53">
        <v>9992</v>
      </c>
      <c r="L51" s="53">
        <v>13762</v>
      </c>
      <c r="M51" s="32"/>
      <c r="N51" s="32"/>
      <c r="O51" s="32"/>
      <c r="P51" s="75"/>
      <c r="Q51" s="53">
        <v>3659</v>
      </c>
      <c r="R51" s="53">
        <v>4280</v>
      </c>
      <c r="S51" s="53">
        <v>3982</v>
      </c>
      <c r="T51" s="53">
        <v>4359</v>
      </c>
      <c r="U51" s="53">
        <v>4672</v>
      </c>
    </row>
    <row r="52" spans="1:21" ht="21.5" customHeight="1">
      <c r="A52" s="63" t="s">
        <v>344</v>
      </c>
      <c r="B52" s="64"/>
      <c r="C52" s="64"/>
      <c r="D52" s="64"/>
      <c r="E52" s="64"/>
      <c r="F52" s="64"/>
      <c r="G52" s="64"/>
      <c r="H52" s="64"/>
      <c r="I52" s="64"/>
      <c r="J52" s="65">
        <f>J45+J46+J47+J48+J49+J50-J51</f>
        <v>0</v>
      </c>
      <c r="K52" s="65">
        <f>K45+K46+K47+K48+K49+K50-K51</f>
        <v>0</v>
      </c>
      <c r="L52" s="65">
        <f>L45+L46+L47+L48+L49+L50-L51</f>
        <v>0</v>
      </c>
      <c r="M52" s="29"/>
      <c r="N52" s="29"/>
      <c r="O52" s="29"/>
      <c r="P52" s="76"/>
      <c r="Q52" s="76"/>
      <c r="R52" s="76"/>
      <c r="S52" s="76"/>
      <c r="T52" s="76"/>
      <c r="U52" s="76"/>
    </row>
    <row r="53" spans="1:21" ht="10" customHeight="1">
      <c r="M53" s="29"/>
      <c r="N53" s="29"/>
      <c r="O53" s="29"/>
    </row>
    <row r="54" spans="1:21" ht="21.5" customHeight="1">
      <c r="A54" s="61" t="s">
        <v>274</v>
      </c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29"/>
      <c r="N54" s="29"/>
      <c r="O54" s="29"/>
      <c r="P54" s="62"/>
      <c r="Q54" s="62"/>
      <c r="R54" s="62"/>
      <c r="S54" s="62"/>
      <c r="T54" s="62"/>
      <c r="U54" s="62"/>
    </row>
    <row r="55" spans="1:21" ht="21.5" customHeight="1">
      <c r="A55" s="56" t="s">
        <v>42</v>
      </c>
      <c r="J55" s="57">
        <v>187</v>
      </c>
      <c r="K55" s="57">
        <v>181</v>
      </c>
      <c r="L55" s="57">
        <v>173</v>
      </c>
      <c r="M55" s="29"/>
      <c r="N55" s="29"/>
      <c r="O55" s="29"/>
      <c r="P55" s="31"/>
      <c r="Q55" s="57">
        <v>44</v>
      </c>
      <c r="R55" s="57">
        <v>55</v>
      </c>
      <c r="S55" s="57">
        <v>40</v>
      </c>
      <c r="T55" s="57">
        <v>48</v>
      </c>
      <c r="U55" s="57">
        <v>51</v>
      </c>
    </row>
    <row r="56" spans="1:21" ht="21.5" customHeight="1">
      <c r="A56" s="56" t="s">
        <v>43</v>
      </c>
      <c r="J56" s="57">
        <v>48</v>
      </c>
      <c r="K56" s="57">
        <v>29</v>
      </c>
      <c r="L56" s="57">
        <v>32</v>
      </c>
      <c r="M56" s="29"/>
      <c r="N56" s="29"/>
      <c r="O56" s="29"/>
      <c r="P56" s="31"/>
      <c r="Q56" s="57">
        <v>7</v>
      </c>
      <c r="R56" s="57">
        <v>8</v>
      </c>
      <c r="S56" s="57">
        <v>8</v>
      </c>
      <c r="T56" s="57">
        <v>8</v>
      </c>
      <c r="U56" s="57">
        <v>9</v>
      </c>
    </row>
    <row r="57" spans="1:21" ht="21.5" customHeight="1">
      <c r="A57" s="56" t="s">
        <v>44</v>
      </c>
      <c r="J57" s="57">
        <v>310</v>
      </c>
      <c r="K57" s="57">
        <v>325</v>
      </c>
      <c r="L57" s="57">
        <v>326</v>
      </c>
      <c r="M57" s="29"/>
      <c r="N57" s="29"/>
      <c r="O57" s="29"/>
      <c r="P57" s="31"/>
      <c r="Q57" s="57">
        <v>81</v>
      </c>
      <c r="R57" s="57">
        <v>81</v>
      </c>
      <c r="S57" s="57">
        <v>83</v>
      </c>
      <c r="T57" s="57">
        <v>99</v>
      </c>
      <c r="U57" s="57">
        <v>92</v>
      </c>
    </row>
    <row r="58" spans="1:21" ht="21.5" customHeight="1">
      <c r="A58" s="56" t="s">
        <v>46</v>
      </c>
      <c r="J58" s="57">
        <v>50</v>
      </c>
      <c r="K58" s="57">
        <v>45</v>
      </c>
      <c r="L58" s="57">
        <v>47</v>
      </c>
      <c r="M58" s="29"/>
      <c r="N58" s="29"/>
      <c r="O58" s="29"/>
      <c r="P58" s="31"/>
      <c r="Q58" s="57">
        <v>12</v>
      </c>
      <c r="R58" s="57">
        <v>10</v>
      </c>
      <c r="S58" s="57">
        <v>12</v>
      </c>
      <c r="T58" s="57">
        <v>11</v>
      </c>
      <c r="U58" s="57">
        <v>12</v>
      </c>
    </row>
    <row r="59" spans="1:21" ht="21.5" customHeight="1">
      <c r="A59" s="56" t="s">
        <v>45</v>
      </c>
      <c r="J59" s="57">
        <v>389</v>
      </c>
      <c r="K59" s="57">
        <v>319</v>
      </c>
      <c r="L59" s="57">
        <v>313</v>
      </c>
      <c r="M59" s="29"/>
      <c r="N59" s="29"/>
      <c r="O59" s="29"/>
      <c r="P59" s="31"/>
      <c r="Q59" s="57">
        <v>76</v>
      </c>
      <c r="R59" s="57">
        <v>76</v>
      </c>
      <c r="S59" s="57">
        <v>78</v>
      </c>
      <c r="T59" s="57">
        <v>83</v>
      </c>
      <c r="U59" s="57">
        <v>86</v>
      </c>
    </row>
    <row r="60" spans="1:21" ht="21.5" customHeight="1">
      <c r="A60" s="56" t="s">
        <v>77</v>
      </c>
      <c r="J60" s="57">
        <v>144</v>
      </c>
      <c r="K60" s="57">
        <v>176</v>
      </c>
      <c r="L60" s="57">
        <v>159</v>
      </c>
      <c r="M60" s="29"/>
      <c r="N60" s="29"/>
      <c r="O60" s="29"/>
      <c r="P60" s="31"/>
      <c r="Q60" s="57">
        <v>47</v>
      </c>
      <c r="R60" s="57">
        <v>49</v>
      </c>
      <c r="S60" s="57">
        <v>47</v>
      </c>
      <c r="T60" s="57">
        <v>15</v>
      </c>
      <c r="U60" s="57">
        <v>16</v>
      </c>
    </row>
    <row r="61" spans="1:21" ht="21.5" customHeight="1">
      <c r="A61" s="51" t="s">
        <v>343</v>
      </c>
      <c r="B61" s="52"/>
      <c r="C61" s="52"/>
      <c r="D61" s="52"/>
      <c r="E61" s="52"/>
      <c r="F61" s="52"/>
      <c r="G61" s="52"/>
      <c r="H61" s="52"/>
      <c r="I61" s="52"/>
      <c r="J61" s="53">
        <v>1128</v>
      </c>
      <c r="K61" s="53">
        <v>1075</v>
      </c>
      <c r="L61" s="53">
        <v>1050</v>
      </c>
      <c r="M61" s="32"/>
      <c r="N61" s="32"/>
      <c r="O61" s="32"/>
      <c r="P61" s="75"/>
      <c r="Q61" s="53">
        <v>267</v>
      </c>
      <c r="R61" s="53">
        <v>279</v>
      </c>
      <c r="S61" s="53">
        <v>268</v>
      </c>
      <c r="T61" s="53">
        <v>264</v>
      </c>
      <c r="U61" s="53">
        <v>266</v>
      </c>
    </row>
    <row r="62" spans="1:21" ht="21.5" customHeight="1">
      <c r="A62" s="63" t="s">
        <v>344</v>
      </c>
      <c r="B62" s="64"/>
      <c r="C62" s="64"/>
      <c r="D62" s="64"/>
      <c r="E62" s="64"/>
      <c r="F62" s="64"/>
      <c r="G62" s="64"/>
      <c r="H62" s="64"/>
      <c r="I62" s="64"/>
      <c r="J62" s="65">
        <f>J55+J56+J57+J58+J59+J60-J61</f>
        <v>0</v>
      </c>
      <c r="K62" s="65">
        <f>K55+K56+K57+K58+K59+K60-K61</f>
        <v>0</v>
      </c>
      <c r="L62" s="65">
        <f>L55+L56+L57+L58+L59+L60-L61</f>
        <v>0</v>
      </c>
      <c r="M62" s="29"/>
      <c r="N62" s="29"/>
      <c r="O62" s="29"/>
      <c r="P62" s="76"/>
      <c r="Q62" s="76"/>
      <c r="R62" s="76"/>
      <c r="S62" s="76"/>
      <c r="T62" s="76"/>
      <c r="U62" s="76"/>
    </row>
    <row r="63" spans="1:21" ht="10" customHeight="1">
      <c r="M63" s="29"/>
      <c r="N63" s="29"/>
      <c r="O63" s="29"/>
    </row>
    <row r="64" spans="1:21" ht="21.5" customHeight="1">
      <c r="A64" s="61" t="s">
        <v>349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29"/>
      <c r="N64" s="29"/>
      <c r="O64" s="29"/>
      <c r="P64" s="62"/>
      <c r="Q64" s="62"/>
      <c r="R64" s="62"/>
      <c r="S64" s="62"/>
      <c r="T64" s="62"/>
      <c r="U64" s="62"/>
    </row>
    <row r="65" spans="1:21" ht="21.5" customHeight="1">
      <c r="A65" s="56" t="s">
        <v>42</v>
      </c>
      <c r="J65" s="57">
        <v>235</v>
      </c>
      <c r="K65" s="57">
        <v>222</v>
      </c>
      <c r="L65" s="57">
        <v>237</v>
      </c>
      <c r="M65" s="29"/>
      <c r="N65" s="29"/>
      <c r="O65" s="29"/>
      <c r="P65" s="31"/>
      <c r="Q65" s="57">
        <v>41</v>
      </c>
      <c r="R65" s="57">
        <v>49</v>
      </c>
      <c r="S65" s="57">
        <v>66</v>
      </c>
      <c r="T65" s="57">
        <v>53</v>
      </c>
      <c r="U65" s="57">
        <v>47</v>
      </c>
    </row>
    <row r="66" spans="1:21" ht="21.5" customHeight="1">
      <c r="A66" s="56" t="s">
        <v>43</v>
      </c>
      <c r="J66" s="57">
        <v>1</v>
      </c>
      <c r="K66" s="57">
        <v>1</v>
      </c>
      <c r="L66" s="57">
        <v>2</v>
      </c>
      <c r="M66" s="29"/>
      <c r="N66" s="29"/>
      <c r="O66" s="29"/>
      <c r="P66" s="31"/>
      <c r="Q66" s="57">
        <v>0</v>
      </c>
      <c r="R66" s="57">
        <v>1</v>
      </c>
      <c r="S66" s="57">
        <v>0</v>
      </c>
      <c r="T66" s="57">
        <v>0</v>
      </c>
      <c r="U66" s="57">
        <v>0</v>
      </c>
    </row>
    <row r="67" spans="1:21" ht="21.5" customHeight="1">
      <c r="A67" s="56" t="s">
        <v>44</v>
      </c>
      <c r="J67" s="57">
        <v>412</v>
      </c>
      <c r="K67" s="57">
        <v>602</v>
      </c>
      <c r="L67" s="57">
        <v>669</v>
      </c>
      <c r="M67" s="29"/>
      <c r="N67" s="29"/>
      <c r="O67" s="29"/>
      <c r="P67" s="31"/>
      <c r="Q67" s="57">
        <v>115</v>
      </c>
      <c r="R67" s="57">
        <v>154</v>
      </c>
      <c r="S67" s="57">
        <v>176</v>
      </c>
      <c r="T67" s="57">
        <v>83</v>
      </c>
      <c r="U67" s="57">
        <v>179</v>
      </c>
    </row>
    <row r="68" spans="1:21" ht="21.5" customHeight="1">
      <c r="A68" s="56" t="s">
        <v>46</v>
      </c>
      <c r="J68" s="57">
        <v>23</v>
      </c>
      <c r="K68" s="57">
        <v>18</v>
      </c>
      <c r="L68" s="57">
        <v>72</v>
      </c>
      <c r="M68" s="29"/>
      <c r="N68" s="29"/>
      <c r="O68" s="29"/>
      <c r="P68" s="31"/>
      <c r="Q68" s="57">
        <v>1</v>
      </c>
      <c r="R68" s="57">
        <v>4</v>
      </c>
      <c r="S68" s="57">
        <v>12</v>
      </c>
      <c r="T68" s="57">
        <v>1</v>
      </c>
      <c r="U68" s="57">
        <v>0</v>
      </c>
    </row>
    <row r="69" spans="1:21" ht="21.5" customHeight="1">
      <c r="A69" s="56" t="s">
        <v>45</v>
      </c>
      <c r="J69" s="57">
        <v>843</v>
      </c>
      <c r="K69" s="57">
        <v>734</v>
      </c>
      <c r="L69" s="57">
        <v>547</v>
      </c>
      <c r="M69" s="29"/>
      <c r="N69" s="29"/>
      <c r="O69" s="29"/>
      <c r="P69" s="31"/>
      <c r="Q69" s="57">
        <v>105</v>
      </c>
      <c r="R69" s="57">
        <v>119</v>
      </c>
      <c r="S69" s="57">
        <v>105</v>
      </c>
      <c r="T69" s="57">
        <v>74</v>
      </c>
      <c r="U69" s="57">
        <v>91</v>
      </c>
    </row>
    <row r="70" spans="1:21" ht="21.5" customHeight="1">
      <c r="A70" s="56" t="s">
        <v>77</v>
      </c>
      <c r="J70" s="57">
        <v>338</v>
      </c>
      <c r="K70" s="57">
        <v>487</v>
      </c>
      <c r="L70" s="57">
        <v>585</v>
      </c>
      <c r="M70" s="29"/>
      <c r="N70" s="29"/>
      <c r="O70" s="29"/>
      <c r="P70" s="31"/>
      <c r="Q70" s="57">
        <v>47</v>
      </c>
      <c r="R70" s="57">
        <v>115</v>
      </c>
      <c r="S70" s="57">
        <v>120</v>
      </c>
      <c r="T70" s="57">
        <v>55</v>
      </c>
      <c r="U70" s="57">
        <v>101</v>
      </c>
    </row>
    <row r="71" spans="1:21" ht="21.5" customHeight="1">
      <c r="A71" s="51" t="s">
        <v>343</v>
      </c>
      <c r="B71" s="52"/>
      <c r="C71" s="52"/>
      <c r="D71" s="52"/>
      <c r="E71" s="52"/>
      <c r="F71" s="52"/>
      <c r="G71" s="52"/>
      <c r="H71" s="52"/>
      <c r="I71" s="52"/>
      <c r="J71" s="53">
        <v>1852</v>
      </c>
      <c r="K71" s="53">
        <v>2064</v>
      </c>
      <c r="L71" s="53">
        <v>2112</v>
      </c>
      <c r="M71" s="32"/>
      <c r="N71" s="32"/>
      <c r="O71" s="32"/>
      <c r="P71" s="75"/>
      <c r="Q71" s="53">
        <v>309</v>
      </c>
      <c r="R71" s="53">
        <v>442</v>
      </c>
      <c r="S71" s="53">
        <v>479</v>
      </c>
      <c r="T71" s="53">
        <v>266</v>
      </c>
      <c r="U71" s="53">
        <v>418</v>
      </c>
    </row>
    <row r="72" spans="1:21" ht="21.5" customHeight="1">
      <c r="A72" s="63" t="s">
        <v>344</v>
      </c>
      <c r="B72" s="64"/>
      <c r="C72" s="64"/>
      <c r="D72" s="64"/>
      <c r="E72" s="64"/>
      <c r="F72" s="64"/>
      <c r="G72" s="64"/>
      <c r="H72" s="64"/>
      <c r="I72" s="64"/>
      <c r="J72" s="65">
        <f>J65+J66+J67+J68+J69+J70-J71</f>
        <v>0</v>
      </c>
      <c r="K72" s="65">
        <f>K65+K66+K67+K68+K69+K70-K71</f>
        <v>0</v>
      </c>
      <c r="L72" s="65">
        <f>L65+L66+L67+L68+L69+L70-L71</f>
        <v>0</v>
      </c>
      <c r="M72" s="29"/>
      <c r="N72" s="29"/>
      <c r="O72" s="29"/>
      <c r="P72" s="76"/>
      <c r="Q72" s="76"/>
      <c r="R72" s="76"/>
      <c r="S72" s="76"/>
      <c r="T72" s="76"/>
      <c r="U72" s="76"/>
    </row>
    <row r="73" spans="1:21" ht="10" customHeight="1">
      <c r="M73" s="29"/>
      <c r="N73" s="29"/>
      <c r="O73" s="29"/>
    </row>
    <row r="74" spans="1:21" ht="37" customHeight="1">
      <c r="A74" s="78" t="s">
        <v>350</v>
      </c>
      <c r="B74" s="71" t="s">
        <v>351</v>
      </c>
      <c r="J74" s="79">
        <f>J19-'Income Statement'!J11</f>
        <v>0</v>
      </c>
      <c r="K74" s="79">
        <f>K19-'Income Statement'!K11</f>
        <v>0</v>
      </c>
      <c r="L74" s="79">
        <f>L19-'Income Statement'!L11</f>
        <v>0</v>
      </c>
      <c r="M74" s="29"/>
      <c r="N74" s="29"/>
      <c r="O74" s="29"/>
      <c r="P74" s="34"/>
      <c r="Q74" s="79">
        <f>Q19-'Income Statement'!Q11</f>
        <v>0</v>
      </c>
      <c r="R74" s="79">
        <f>R19-'Income Statement'!R11</f>
        <v>0</v>
      </c>
      <c r="S74" s="79">
        <f>S19-'Income Statement'!S11</f>
        <v>0</v>
      </c>
      <c r="T74" s="79">
        <f>T19-'Income Statement'!T11</f>
        <v>0</v>
      </c>
      <c r="U74" s="79">
        <f>U19-'Income Statement'!U11</f>
        <v>0</v>
      </c>
    </row>
    <row r="75" spans="1:21" ht="37" customHeight="1">
      <c r="A75" s="78" t="s">
        <v>352</v>
      </c>
      <c r="B75" s="71" t="s">
        <v>353</v>
      </c>
      <c r="J75" s="79">
        <f>J41-'Income Statement'!J11</f>
        <v>0</v>
      </c>
      <c r="K75" s="79">
        <f>K41-'Income Statement'!K11</f>
        <v>0</v>
      </c>
      <c r="L75" s="79">
        <f>L41-'Income Statement'!L11</f>
        <v>0</v>
      </c>
      <c r="M75" s="29"/>
      <c r="N75" s="29"/>
      <c r="O75" s="29"/>
      <c r="P75" s="34"/>
      <c r="Q75" s="79">
        <f>Q41-'Income Statement'!Q11</f>
        <v>0</v>
      </c>
      <c r="R75" s="79">
        <f>R41-'Income Statement'!R11</f>
        <v>0</v>
      </c>
      <c r="S75" s="79">
        <f>S41-'Income Statement'!S11</f>
        <v>0</v>
      </c>
      <c r="T75" s="79">
        <f>T41-'Income Statement'!T11</f>
        <v>0</v>
      </c>
      <c r="U75" s="79">
        <f>U41-'Income Statement'!U11</f>
        <v>0</v>
      </c>
    </row>
    <row r="76" spans="1:21" ht="37" customHeight="1">
      <c r="A76" s="63" t="s">
        <v>354</v>
      </c>
      <c r="B76" s="64"/>
      <c r="C76" s="64"/>
      <c r="D76" s="64"/>
      <c r="E76" s="64"/>
      <c r="F76" s="64"/>
      <c r="G76" s="64"/>
      <c r="H76" s="64"/>
      <c r="I76" s="64"/>
      <c r="J76" s="80">
        <f>J19-'Income Statement'!J11</f>
        <v>0</v>
      </c>
      <c r="K76" s="80">
        <f>K19-'Income Statement'!K11</f>
        <v>0</v>
      </c>
      <c r="L76" s="80">
        <f>L19-'Income Statement'!L11</f>
        <v>0</v>
      </c>
      <c r="M76" s="29"/>
      <c r="N76" s="29"/>
      <c r="O76" s="29"/>
      <c r="P76" s="76"/>
      <c r="Q76" s="65">
        <f>Q13+Q14+Q15+Q16+Q17+Q18-Q19</f>
        <v>0</v>
      </c>
      <c r="R76" s="65">
        <f>R13+R14+R15+R16+R17+R18-R19</f>
        <v>0</v>
      </c>
      <c r="S76" s="65">
        <f>S13+S14+S15+S16+S17+S18-S19</f>
        <v>0</v>
      </c>
      <c r="T76" s="65">
        <f>T13+T14+T15+T16+T17+T18-T19</f>
        <v>0</v>
      </c>
      <c r="U76" s="65">
        <f>U13+U14+U15+U16+U17+U18-U19</f>
        <v>0</v>
      </c>
    </row>
    <row r="77" spans="1:21" ht="21.5" customHeight="1">
      <c r="A77" s="63" t="s">
        <v>355</v>
      </c>
      <c r="B77" s="64"/>
      <c r="C77" s="64"/>
      <c r="D77" s="64"/>
      <c r="E77" s="64"/>
      <c r="F77" s="64"/>
      <c r="G77" s="64"/>
      <c r="H77" s="64"/>
      <c r="I77" s="64"/>
      <c r="J77" s="80">
        <f>J51-'Income Statement'!J18</f>
        <v>0</v>
      </c>
      <c r="K77" s="80">
        <f>K51-'Income Statement'!K18</f>
        <v>0</v>
      </c>
      <c r="L77" s="80">
        <f>L51-'Income Statement'!L18</f>
        <v>0</v>
      </c>
      <c r="M77" s="29"/>
      <c r="N77" s="29"/>
      <c r="O77" s="29"/>
      <c r="P77" s="76"/>
      <c r="Q77" s="65">
        <f>Q45+Q46+Q47+Q48+Q49+Q50-Q51</f>
        <v>0</v>
      </c>
      <c r="R77" s="65">
        <f>R45+R46+R47+R48+R49+R50-R51</f>
        <v>0</v>
      </c>
      <c r="S77" s="65">
        <f>S45+S46+S47+S48+S49+S50-S51</f>
        <v>0</v>
      </c>
      <c r="T77" s="65">
        <f>T45+T46+T47+T48+T49+T50-T51</f>
        <v>0</v>
      </c>
      <c r="U77" s="65">
        <f>U45+U46+U47+U48+U49+U50-U51</f>
        <v>0</v>
      </c>
    </row>
    <row r="78" spans="1:21" ht="21.5" customHeight="1">
      <c r="A78" s="63" t="s">
        <v>356</v>
      </c>
      <c r="B78" s="64"/>
      <c r="C78" s="64"/>
      <c r="D78" s="64"/>
      <c r="E78" s="64"/>
      <c r="F78" s="64"/>
      <c r="G78" s="64"/>
      <c r="H78" s="64"/>
      <c r="I78" s="64"/>
      <c r="J78" s="80">
        <f>J61-'Cash Flow'!J17</f>
        <v>0</v>
      </c>
      <c r="K78" s="80">
        <f>K61-'Cash Flow'!K17</f>
        <v>0</v>
      </c>
      <c r="L78" s="80">
        <f>L61-'Cash Flow'!L17</f>
        <v>0</v>
      </c>
      <c r="M78" s="29"/>
      <c r="N78" s="29"/>
      <c r="O78" s="29"/>
      <c r="P78" s="76"/>
      <c r="Q78" s="65">
        <f>Q55+Q56+Q57+Q58+Q59+Q60-Q61</f>
        <v>0</v>
      </c>
      <c r="R78" s="65">
        <f>R55+R56+R57+R58+R59+R60-R61</f>
        <v>0</v>
      </c>
      <c r="S78" s="65">
        <f>S55+S56+S57+S58+S59+S60-S61</f>
        <v>0</v>
      </c>
      <c r="T78" s="65">
        <f>T55+T56+T57+T58+T59+T60-T61</f>
        <v>0</v>
      </c>
      <c r="U78" s="65">
        <f>U55+U56+U57+U58+U59+U60-U61</f>
        <v>0</v>
      </c>
    </row>
    <row r="79" spans="1:21" ht="37" customHeight="1">
      <c r="A79" s="78" t="s">
        <v>357</v>
      </c>
      <c r="J79" s="79">
        <f>J71+'Cash Flow'!J32</f>
        <v>0</v>
      </c>
      <c r="K79" s="79">
        <f>K71+'Cash Flow'!K32</f>
        <v>0</v>
      </c>
      <c r="L79" s="79">
        <f>L71+'Cash Flow'!L32</f>
        <v>0</v>
      </c>
      <c r="M79" s="29"/>
      <c r="N79" s="29"/>
      <c r="O79" s="29"/>
      <c r="P79" s="34"/>
      <c r="Q79" s="79">
        <f>Q65+Q66+Q67+Q68+Q69+Q70-Q71</f>
        <v>0</v>
      </c>
      <c r="R79" s="79">
        <f>R65+R66+R67+R68+R69+R70-R71</f>
        <v>0</v>
      </c>
      <c r="S79" s="79">
        <f>S65+S66+S67+S68+S69+S70-S71</f>
        <v>0</v>
      </c>
      <c r="T79" s="79">
        <f>T65+T66+T67+T68+T69+T70-T71</f>
        <v>0</v>
      </c>
      <c r="U79" s="79">
        <f>U65+U66+U67+U68+U69+U70-U71</f>
        <v>0</v>
      </c>
    </row>
    <row r="80" spans="1:21" ht="21.5" customHeight="1">
      <c r="A80" s="56" t="s">
        <v>358</v>
      </c>
      <c r="J80" s="55">
        <f t="shared" ref="J80:L84" si="0">J45/J13</f>
        <v>0.42582742316784872</v>
      </c>
      <c r="K80" s="55">
        <f t="shared" si="0"/>
        <v>0.41399104884218718</v>
      </c>
      <c r="L80" s="55">
        <f t="shared" si="0"/>
        <v>0.3967506692513616</v>
      </c>
      <c r="M80" s="29"/>
      <c r="N80" s="29"/>
      <c r="O80" s="29"/>
      <c r="P80" s="30"/>
      <c r="Q80" s="55">
        <f t="shared" ref="Q80:U84" si="1">IFERROR(Q45/Q13,"")</f>
        <v>0.42926239419588874</v>
      </c>
      <c r="R80" s="55">
        <f t="shared" si="1"/>
        <v>0.44049202127659576</v>
      </c>
      <c r="S80" s="55">
        <f t="shared" si="1"/>
        <v>0.3892831795599716</v>
      </c>
      <c r="T80" s="55">
        <f t="shared" si="1"/>
        <v>0.44852155325970788</v>
      </c>
      <c r="U80" s="55">
        <f t="shared" si="1"/>
        <v>0.42403628117913833</v>
      </c>
    </row>
    <row r="81" spans="1:21" ht="37" customHeight="1">
      <c r="A81" s="56" t="s">
        <v>359</v>
      </c>
      <c r="J81" s="55">
        <f t="shared" si="0"/>
        <v>0.58896126157010631</v>
      </c>
      <c r="K81" s="55">
        <f t="shared" si="0"/>
        <v>0.58599907278627728</v>
      </c>
      <c r="L81" s="55">
        <f t="shared" si="0"/>
        <v>0.59105986416048018</v>
      </c>
      <c r="M81" s="29"/>
      <c r="N81" s="29"/>
      <c r="O81" s="29"/>
      <c r="P81" s="30"/>
      <c r="Q81" s="55">
        <f t="shared" si="1"/>
        <v>0.6120514556533514</v>
      </c>
      <c r="R81" s="55">
        <f t="shared" si="1"/>
        <v>0.60302457466918713</v>
      </c>
      <c r="S81" s="55">
        <f t="shared" si="1"/>
        <v>0.57061068702290074</v>
      </c>
      <c r="T81" s="55">
        <f t="shared" si="1"/>
        <v>0.61859356376638852</v>
      </c>
      <c r="U81" s="55">
        <f t="shared" si="1"/>
        <v>0.64002175095160418</v>
      </c>
    </row>
    <row r="82" spans="1:21" ht="37" customHeight="1">
      <c r="A82" s="56" t="s">
        <v>360</v>
      </c>
      <c r="J82" s="55">
        <f t="shared" si="0"/>
        <v>0.27315060418508696</v>
      </c>
      <c r="K82" s="55">
        <f t="shared" si="0"/>
        <v>0.24156945917285261</v>
      </c>
      <c r="L82" s="55">
        <f t="shared" si="0"/>
        <v>0.25895091679861076</v>
      </c>
      <c r="M82" s="29"/>
      <c r="N82" s="29"/>
      <c r="O82" s="29"/>
      <c r="P82" s="30"/>
      <c r="Q82" s="55">
        <f t="shared" si="1"/>
        <v>0.30763936682725396</v>
      </c>
      <c r="R82" s="55">
        <f t="shared" si="1"/>
        <v>0.32239459029435164</v>
      </c>
      <c r="S82" s="55">
        <f t="shared" si="1"/>
        <v>0.32025147647170887</v>
      </c>
      <c r="T82" s="55">
        <f t="shared" si="1"/>
        <v>0.32835820895522388</v>
      </c>
      <c r="U82" s="55">
        <f t="shared" si="1"/>
        <v>0.31359851988899168</v>
      </c>
    </row>
    <row r="83" spans="1:21" ht="37" customHeight="1">
      <c r="A83" s="56" t="s">
        <v>361</v>
      </c>
      <c r="J83" s="55">
        <f t="shared" si="0"/>
        <v>0.42756183745583037</v>
      </c>
      <c r="K83" s="55">
        <f t="shared" si="0"/>
        <v>0.42051882192315193</v>
      </c>
      <c r="L83" s="55">
        <f t="shared" si="0"/>
        <v>0.38325825825825827</v>
      </c>
      <c r="M83" s="29"/>
      <c r="N83" s="29"/>
      <c r="O83" s="29"/>
      <c r="P83" s="30"/>
      <c r="Q83" s="55">
        <f t="shared" si="1"/>
        <v>0.47094339622641507</v>
      </c>
      <c r="R83" s="55">
        <f t="shared" si="1"/>
        <v>0.44193989071038253</v>
      </c>
      <c r="S83" s="55">
        <f t="shared" si="1"/>
        <v>0.36230876216968011</v>
      </c>
      <c r="T83" s="55">
        <f t="shared" si="1"/>
        <v>0.37587657784011219</v>
      </c>
      <c r="U83" s="55">
        <f t="shared" si="1"/>
        <v>0.44115669132481505</v>
      </c>
    </row>
    <row r="84" spans="1:21" ht="37" customHeight="1">
      <c r="A84" s="56" t="s">
        <v>362</v>
      </c>
      <c r="B84" s="71" t="s">
        <v>363</v>
      </c>
      <c r="J84" s="55">
        <f t="shared" si="0"/>
        <v>7.3611818644931229E-2</v>
      </c>
      <c r="K84" s="55">
        <f t="shared" si="0"/>
        <v>7.9806918744971839E-2</v>
      </c>
      <c r="L84" s="55">
        <f t="shared" si="0"/>
        <v>7.4397485155431362E-2</v>
      </c>
      <c r="M84" s="29"/>
      <c r="N84" s="29"/>
      <c r="O84" s="29"/>
      <c r="P84" s="30"/>
      <c r="Q84" s="55">
        <f t="shared" si="1"/>
        <v>8.1451060917180018E-2</v>
      </c>
      <c r="R84" s="55">
        <f t="shared" si="1"/>
        <v>4.1873669268985093E-2</v>
      </c>
      <c r="S84" s="55">
        <f t="shared" si="1"/>
        <v>4.2410714285714288E-2</v>
      </c>
      <c r="T84" s="55">
        <f t="shared" si="1"/>
        <v>0.11660561660561661</v>
      </c>
      <c r="U84" s="55">
        <f t="shared" si="1"/>
        <v>5.9672131147540983E-2</v>
      </c>
    </row>
    <row r="85" spans="1:21" ht="10" customHeight="1">
      <c r="M85" s="29"/>
      <c r="N85" s="29"/>
      <c r="O85" s="29"/>
    </row>
    <row r="86" spans="1:21" ht="29" customHeight="1">
      <c r="A86" s="23" t="s">
        <v>364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</row>
    <row r="87" spans="1:21" ht="21.5" customHeight="1">
      <c r="A87" s="61" t="s">
        <v>342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29"/>
      <c r="N87" s="29"/>
      <c r="O87" s="29"/>
      <c r="P87" s="62"/>
      <c r="Q87" s="62"/>
      <c r="R87" s="62"/>
      <c r="S87" s="62"/>
      <c r="T87" s="62"/>
      <c r="U87" s="62"/>
    </row>
    <row r="88" spans="1:21" ht="21.5" customHeight="1">
      <c r="A88" s="56" t="s">
        <v>42</v>
      </c>
      <c r="D88" s="57">
        <v>6780</v>
      </c>
      <c r="E88" s="57">
        <v>6535</v>
      </c>
      <c r="F88" s="57">
        <v>6434</v>
      </c>
      <c r="G88" s="57">
        <v>5534</v>
      </c>
      <c r="H88" s="57">
        <v>6564</v>
      </c>
      <c r="I88" s="57">
        <v>6896</v>
      </c>
      <c r="J88" s="57">
        <v>7392</v>
      </c>
      <c r="K88" s="57">
        <v>7442</v>
      </c>
      <c r="M88" s="29"/>
      <c r="N88" s="29"/>
      <c r="O88" s="29"/>
      <c r="P88" s="67">
        <v>1847</v>
      </c>
    </row>
    <row r="89" spans="1:21" ht="21.5" customHeight="1">
      <c r="A89" s="56" t="s">
        <v>43</v>
      </c>
      <c r="D89" s="57">
        <v>3953</v>
      </c>
      <c r="E89" s="57">
        <v>3971</v>
      </c>
      <c r="F89" s="57">
        <v>4118</v>
      </c>
      <c r="G89" s="57">
        <v>3499</v>
      </c>
      <c r="H89" s="57">
        <v>4143</v>
      </c>
      <c r="I89" s="57">
        <v>4910</v>
      </c>
      <c r="J89" s="57">
        <v>5830</v>
      </c>
      <c r="K89" s="57">
        <v>6459</v>
      </c>
      <c r="M89" s="29"/>
      <c r="N89" s="29"/>
      <c r="O89" s="29"/>
      <c r="P89" s="67">
        <v>1639</v>
      </c>
    </row>
    <row r="90" spans="1:21" ht="21.5" customHeight="1">
      <c r="A90" s="56" t="s">
        <v>44</v>
      </c>
      <c r="D90" s="57">
        <v>8678</v>
      </c>
      <c r="E90" s="57">
        <v>11370</v>
      </c>
      <c r="F90" s="57">
        <v>11906</v>
      </c>
      <c r="G90" s="57">
        <v>11473</v>
      </c>
      <c r="H90" s="57">
        <v>13184</v>
      </c>
      <c r="I90" s="57">
        <v>15667</v>
      </c>
      <c r="J90" s="57">
        <v>16766</v>
      </c>
      <c r="K90" s="57">
        <v>18640</v>
      </c>
      <c r="M90" s="29"/>
      <c r="N90" s="29"/>
      <c r="O90" s="29"/>
      <c r="P90" s="67">
        <v>4983</v>
      </c>
    </row>
    <row r="91" spans="1:21" ht="21.5" customHeight="1">
      <c r="A91" s="56" t="s">
        <v>46</v>
      </c>
      <c r="D91" s="57">
        <v>4753</v>
      </c>
      <c r="E91" s="57">
        <v>4797</v>
      </c>
      <c r="F91" s="57">
        <v>4723</v>
      </c>
      <c r="G91" s="57">
        <v>4213</v>
      </c>
      <c r="H91" s="57">
        <v>4682</v>
      </c>
      <c r="I91" s="57">
        <v>4711</v>
      </c>
      <c r="J91" s="57">
        <v>4724</v>
      </c>
      <c r="K91" s="57">
        <v>5079</v>
      </c>
      <c r="M91" s="29"/>
      <c r="N91" s="29"/>
      <c r="O91" s="29"/>
      <c r="P91" s="67">
        <v>1272</v>
      </c>
    </row>
    <row r="92" spans="1:21" ht="21.5" customHeight="1">
      <c r="A92" s="56" t="s">
        <v>47</v>
      </c>
      <c r="D92" s="57">
        <v>712</v>
      </c>
      <c r="E92" s="57">
        <v>767</v>
      </c>
      <c r="F92" s="57">
        <v>2560</v>
      </c>
      <c r="G92" s="57">
        <v>1991</v>
      </c>
      <c r="H92" s="57">
        <v>2805</v>
      </c>
      <c r="I92" s="57">
        <v>2843</v>
      </c>
      <c r="J92" s="57">
        <v>3064</v>
      </c>
      <c r="K92" s="57">
        <v>3129</v>
      </c>
      <c r="M92" s="29"/>
      <c r="N92" s="29"/>
      <c r="O92" s="29"/>
      <c r="P92" s="67">
        <v>781</v>
      </c>
    </row>
    <row r="93" spans="1:21" ht="21.5" customHeight="1">
      <c r="A93" s="56" t="s">
        <v>45</v>
      </c>
      <c r="D93" s="57">
        <v>11223</v>
      </c>
      <c r="E93" s="57">
        <v>6768</v>
      </c>
      <c r="F93" s="57">
        <v>7431</v>
      </c>
      <c r="G93" s="57">
        <v>6258</v>
      </c>
      <c r="H93" s="57">
        <v>7194</v>
      </c>
      <c r="I93" s="57">
        <v>7883</v>
      </c>
      <c r="J93" s="57">
        <v>7852</v>
      </c>
      <c r="K93" s="57">
        <v>6215</v>
      </c>
      <c r="M93" s="29"/>
      <c r="N93" s="29"/>
      <c r="O93" s="29"/>
      <c r="P93" s="67">
        <v>1314</v>
      </c>
    </row>
    <row r="94" spans="1:21" ht="21.5" customHeight="1">
      <c r="A94" s="56" t="s">
        <v>77</v>
      </c>
      <c r="D94" s="57">
        <v>113</v>
      </c>
      <c r="E94" s="57">
        <v>92</v>
      </c>
      <c r="F94" s="57">
        <v>94</v>
      </c>
      <c r="G94" s="57">
        <v>46</v>
      </c>
      <c r="H94" s="57">
        <v>83</v>
      </c>
      <c r="I94" s="57">
        <v>94</v>
      </c>
      <c r="J94" s="57">
        <v>126</v>
      </c>
      <c r="K94" s="57">
        <v>97</v>
      </c>
      <c r="M94" s="29"/>
      <c r="N94" s="29"/>
      <c r="O94" s="29"/>
      <c r="P94" s="67">
        <v>18</v>
      </c>
    </row>
    <row r="95" spans="1:21" ht="21.5" customHeight="1">
      <c r="A95" s="51" t="s">
        <v>343</v>
      </c>
      <c r="B95" s="52"/>
      <c r="C95" s="52"/>
      <c r="D95" s="53">
        <v>36212</v>
      </c>
      <c r="E95" s="53">
        <v>34300</v>
      </c>
      <c r="F95" s="53">
        <v>37266</v>
      </c>
      <c r="G95" s="53">
        <v>33014</v>
      </c>
      <c r="H95" s="53">
        <v>38655</v>
      </c>
      <c r="I95" s="53">
        <v>43004</v>
      </c>
      <c r="J95" s="53">
        <v>45754</v>
      </c>
      <c r="K95" s="53">
        <v>47061</v>
      </c>
      <c r="L95" s="52"/>
      <c r="M95" s="32"/>
      <c r="N95" s="32"/>
      <c r="O95" s="32"/>
      <c r="P95" s="59">
        <v>11854</v>
      </c>
      <c r="Q95" s="52"/>
      <c r="R95" s="52"/>
      <c r="S95" s="52"/>
      <c r="T95" s="52"/>
      <c r="U95" s="52"/>
    </row>
    <row r="96" spans="1:21" ht="21.5" customHeight="1">
      <c r="A96" s="63" t="s">
        <v>344</v>
      </c>
      <c r="B96" s="64"/>
      <c r="C96" s="64"/>
      <c r="D96" s="65">
        <f t="shared" ref="D96:K96" si="2">D88+D89+D90+D91+D92+D93+D94-D95</f>
        <v>0</v>
      </c>
      <c r="E96" s="65">
        <f t="shared" si="2"/>
        <v>0</v>
      </c>
      <c r="F96" s="65">
        <f t="shared" si="2"/>
        <v>0</v>
      </c>
      <c r="G96" s="65">
        <f t="shared" si="2"/>
        <v>0</v>
      </c>
      <c r="H96" s="65">
        <f t="shared" si="2"/>
        <v>0</v>
      </c>
      <c r="I96" s="65">
        <f t="shared" si="2"/>
        <v>0</v>
      </c>
      <c r="J96" s="65">
        <f t="shared" si="2"/>
        <v>0</v>
      </c>
      <c r="K96" s="65">
        <f t="shared" si="2"/>
        <v>0</v>
      </c>
      <c r="L96" s="64"/>
      <c r="M96" s="29"/>
      <c r="N96" s="29"/>
      <c r="O96" s="29"/>
      <c r="P96" s="64"/>
      <c r="Q96" s="64"/>
      <c r="R96" s="64"/>
      <c r="S96" s="64"/>
      <c r="T96" s="64"/>
      <c r="U96" s="64"/>
    </row>
    <row r="97" spans="1:21" ht="10" customHeight="1">
      <c r="M97" s="29"/>
      <c r="N97" s="29"/>
      <c r="O97" s="29"/>
    </row>
    <row r="98" spans="1:21" ht="21.5" customHeight="1">
      <c r="A98" s="61" t="s">
        <v>345</v>
      </c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29"/>
      <c r="N98" s="29"/>
      <c r="O98" s="29"/>
      <c r="P98" s="62"/>
      <c r="Q98" s="62"/>
      <c r="R98" s="62"/>
      <c r="S98" s="62"/>
      <c r="T98" s="62"/>
      <c r="U98" s="62"/>
    </row>
    <row r="99" spans="1:21" ht="21.5" customHeight="1">
      <c r="A99" s="56" t="s">
        <v>42</v>
      </c>
      <c r="D99" s="57">
        <v>42</v>
      </c>
      <c r="E99" s="57">
        <v>564</v>
      </c>
      <c r="F99" s="57">
        <v>624</v>
      </c>
      <c r="G99" s="57">
        <v>523</v>
      </c>
      <c r="H99" s="57">
        <v>629</v>
      </c>
      <c r="I99" s="57">
        <v>627</v>
      </c>
      <c r="J99" s="57">
        <v>686</v>
      </c>
      <c r="K99" s="57">
        <v>680</v>
      </c>
      <c r="M99" s="29"/>
      <c r="N99" s="29"/>
      <c r="O99" s="29"/>
      <c r="P99" s="67">
        <v>172</v>
      </c>
    </row>
    <row r="100" spans="1:21" ht="21.5" customHeight="1">
      <c r="A100" s="56" t="s">
        <v>43</v>
      </c>
      <c r="D100" s="57">
        <v>73</v>
      </c>
      <c r="E100" s="57">
        <v>39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M100" s="29"/>
      <c r="N100" s="29"/>
      <c r="O100" s="29"/>
      <c r="P100" s="67">
        <v>0</v>
      </c>
    </row>
    <row r="101" spans="1:21" ht="21.5" customHeight="1">
      <c r="A101" s="56" t="s">
        <v>44</v>
      </c>
      <c r="D101" s="57">
        <v>1951</v>
      </c>
      <c r="E101" s="57">
        <v>260</v>
      </c>
      <c r="F101" s="57">
        <v>9</v>
      </c>
      <c r="G101" s="57">
        <v>4</v>
      </c>
      <c r="H101" s="57">
        <v>6</v>
      </c>
      <c r="I101" s="57">
        <v>7</v>
      </c>
      <c r="J101" s="57">
        <v>8</v>
      </c>
      <c r="K101" s="57">
        <v>9</v>
      </c>
      <c r="M101" s="29"/>
      <c r="N101" s="29"/>
      <c r="O101" s="29"/>
      <c r="P101" s="67">
        <v>1</v>
      </c>
    </row>
    <row r="102" spans="1:21" ht="21.5" customHeight="1">
      <c r="A102" s="56" t="s">
        <v>46</v>
      </c>
      <c r="D102" s="57">
        <v>409</v>
      </c>
      <c r="E102" s="57">
        <v>388</v>
      </c>
      <c r="F102" s="57">
        <v>604</v>
      </c>
      <c r="G102" s="57">
        <v>509</v>
      </c>
      <c r="H102" s="57">
        <v>609</v>
      </c>
      <c r="I102" s="57">
        <v>734</v>
      </c>
      <c r="J102" s="57">
        <v>731</v>
      </c>
      <c r="K102" s="57">
        <v>467</v>
      </c>
      <c r="M102" s="29"/>
      <c r="N102" s="29"/>
      <c r="O102" s="29"/>
      <c r="P102" s="67">
        <v>77</v>
      </c>
    </row>
    <row r="103" spans="1:21" ht="21.5" customHeight="1">
      <c r="A103" s="56" t="s">
        <v>47</v>
      </c>
      <c r="D103" s="57">
        <v>3</v>
      </c>
      <c r="E103" s="57">
        <v>3</v>
      </c>
      <c r="F103" s="57">
        <v>2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M103" s="29"/>
      <c r="N103" s="29"/>
      <c r="O103" s="29"/>
      <c r="P103" s="67">
        <v>0</v>
      </c>
    </row>
    <row r="104" spans="1:21" ht="21.5" customHeight="1">
      <c r="A104" s="56" t="s">
        <v>45</v>
      </c>
      <c r="D104" s="57">
        <v>83</v>
      </c>
      <c r="E104" s="57">
        <v>19</v>
      </c>
      <c r="F104" s="57">
        <v>9</v>
      </c>
      <c r="G104" s="57">
        <v>7</v>
      </c>
      <c r="H104" s="57">
        <v>9</v>
      </c>
      <c r="I104" s="57">
        <v>8</v>
      </c>
      <c r="J104" s="57">
        <v>8</v>
      </c>
      <c r="K104" s="57">
        <v>8</v>
      </c>
      <c r="M104" s="29"/>
      <c r="N104" s="29"/>
      <c r="O104" s="29"/>
      <c r="P104" s="67">
        <v>2</v>
      </c>
    </row>
    <row r="105" spans="1:21" ht="21.5" customHeight="1">
      <c r="A105" s="56" t="s">
        <v>77</v>
      </c>
      <c r="D105" s="57">
        <v>0</v>
      </c>
      <c r="E105" s="57">
        <v>0</v>
      </c>
      <c r="F105" s="57">
        <v>0</v>
      </c>
      <c r="G105" s="57">
        <v>0</v>
      </c>
      <c r="H105" s="57">
        <v>2</v>
      </c>
      <c r="I105" s="57">
        <v>0</v>
      </c>
      <c r="J105" s="57">
        <v>0</v>
      </c>
      <c r="K105" s="57">
        <v>0</v>
      </c>
      <c r="M105" s="29"/>
      <c r="N105" s="29"/>
      <c r="O105" s="29"/>
      <c r="P105" s="67">
        <v>0</v>
      </c>
    </row>
    <row r="106" spans="1:21" ht="21.5" customHeight="1">
      <c r="A106" s="56" t="s">
        <v>346</v>
      </c>
      <c r="D106" s="57">
        <v>-2561</v>
      </c>
      <c r="E106" s="57">
        <v>-1273</v>
      </c>
      <c r="F106" s="57">
        <v>-1248</v>
      </c>
      <c r="G106" s="57">
        <v>-1043</v>
      </c>
      <c r="H106" s="57">
        <v>-1255</v>
      </c>
      <c r="I106" s="57">
        <v>-1376</v>
      </c>
      <c r="J106" s="57">
        <v>-1433</v>
      </c>
      <c r="K106" s="57">
        <v>-1164</v>
      </c>
      <c r="M106" s="29"/>
      <c r="N106" s="29"/>
      <c r="O106" s="29"/>
      <c r="P106" s="67">
        <v>-252</v>
      </c>
    </row>
    <row r="107" spans="1:21" ht="21.5" customHeight="1">
      <c r="A107" s="51" t="s">
        <v>343</v>
      </c>
      <c r="B107" s="52"/>
      <c r="C107" s="52"/>
      <c r="D107" s="53">
        <v>0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2"/>
      <c r="M107" s="32"/>
      <c r="N107" s="32"/>
      <c r="O107" s="32"/>
      <c r="P107" s="81">
        <f>P99+P100+P101+P102+P103+P104+P105+P106</f>
        <v>0</v>
      </c>
      <c r="Q107" s="52"/>
      <c r="R107" s="52"/>
      <c r="S107" s="52"/>
      <c r="T107" s="52"/>
      <c r="U107" s="52"/>
    </row>
    <row r="108" spans="1:21" ht="21.5" customHeight="1">
      <c r="A108" s="63" t="s">
        <v>344</v>
      </c>
      <c r="B108" s="64"/>
      <c r="C108" s="64"/>
      <c r="D108" s="65">
        <f t="shared" ref="D108:K108" si="3">D99+D100+D101+D102+D103+D104+D105+D106-D107</f>
        <v>0</v>
      </c>
      <c r="E108" s="65">
        <f t="shared" si="3"/>
        <v>0</v>
      </c>
      <c r="F108" s="65">
        <f t="shared" si="3"/>
        <v>0</v>
      </c>
      <c r="G108" s="65">
        <f t="shared" si="3"/>
        <v>0</v>
      </c>
      <c r="H108" s="65">
        <f t="shared" si="3"/>
        <v>0</v>
      </c>
      <c r="I108" s="65">
        <f t="shared" si="3"/>
        <v>0</v>
      </c>
      <c r="J108" s="65">
        <f t="shared" si="3"/>
        <v>0</v>
      </c>
      <c r="K108" s="65">
        <f t="shared" si="3"/>
        <v>0</v>
      </c>
      <c r="L108" s="64"/>
      <c r="M108" s="29"/>
      <c r="N108" s="29"/>
      <c r="O108" s="29"/>
      <c r="P108" s="64"/>
      <c r="Q108" s="64"/>
      <c r="R108" s="64"/>
      <c r="S108" s="64"/>
      <c r="T108" s="64"/>
      <c r="U108" s="64"/>
    </row>
    <row r="109" spans="1:21" ht="10" customHeight="1">
      <c r="M109" s="29"/>
      <c r="N109" s="29"/>
      <c r="O109" s="29"/>
    </row>
    <row r="110" spans="1:21" ht="21.5" customHeight="1">
      <c r="A110" s="61" t="s">
        <v>347</v>
      </c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29"/>
      <c r="N110" s="29"/>
      <c r="O110" s="29"/>
      <c r="P110" s="62"/>
      <c r="Q110" s="62"/>
      <c r="R110" s="62"/>
      <c r="S110" s="62"/>
      <c r="T110" s="62"/>
      <c r="U110" s="62"/>
    </row>
    <row r="111" spans="1:21" ht="21.5" customHeight="1">
      <c r="A111" s="56" t="s">
        <v>42</v>
      </c>
      <c r="D111" s="57">
        <v>6822</v>
      </c>
      <c r="E111" s="57">
        <v>7099</v>
      </c>
      <c r="F111" s="57">
        <v>7058</v>
      </c>
      <c r="G111" s="57">
        <v>6057</v>
      </c>
      <c r="H111" s="57">
        <v>7193</v>
      </c>
      <c r="I111" s="57">
        <v>7523</v>
      </c>
      <c r="J111" s="57">
        <v>8078</v>
      </c>
      <c r="K111" s="57">
        <v>8122</v>
      </c>
      <c r="M111" s="29"/>
      <c r="N111" s="29"/>
      <c r="O111" s="29"/>
      <c r="P111" s="67">
        <v>2019</v>
      </c>
    </row>
    <row r="112" spans="1:21" ht="21.5" customHeight="1">
      <c r="A112" s="56" t="s">
        <v>43</v>
      </c>
      <c r="D112" s="57">
        <v>4026</v>
      </c>
      <c r="E112" s="57">
        <v>4010</v>
      </c>
      <c r="F112" s="57">
        <v>4118</v>
      </c>
      <c r="G112" s="57">
        <v>3499</v>
      </c>
      <c r="H112" s="57">
        <v>4143</v>
      </c>
      <c r="I112" s="57">
        <v>4910</v>
      </c>
      <c r="J112" s="57">
        <v>5830</v>
      </c>
      <c r="K112" s="57">
        <v>6459</v>
      </c>
      <c r="M112" s="29"/>
      <c r="N112" s="29"/>
      <c r="O112" s="29"/>
      <c r="P112" s="67">
        <v>1639</v>
      </c>
    </row>
    <row r="113" spans="1:21" ht="21.5" customHeight="1">
      <c r="A113" s="56" t="s">
        <v>44</v>
      </c>
      <c r="D113" s="57">
        <v>10629</v>
      </c>
      <c r="E113" s="57">
        <v>11630</v>
      </c>
      <c r="F113" s="57">
        <v>11915</v>
      </c>
      <c r="G113" s="57">
        <v>11477</v>
      </c>
      <c r="H113" s="57">
        <v>13190</v>
      </c>
      <c r="I113" s="57">
        <v>15674</v>
      </c>
      <c r="J113" s="57">
        <v>16774</v>
      </c>
      <c r="K113" s="57">
        <v>18649</v>
      </c>
      <c r="M113" s="29"/>
      <c r="N113" s="29"/>
      <c r="O113" s="29"/>
      <c r="P113" s="67">
        <v>4984</v>
      </c>
    </row>
    <row r="114" spans="1:21" ht="21.5" customHeight="1">
      <c r="A114" s="56" t="s">
        <v>46</v>
      </c>
      <c r="D114" s="57">
        <v>5162</v>
      </c>
      <c r="E114" s="57">
        <v>5185</v>
      </c>
      <c r="F114" s="57">
        <v>5327</v>
      </c>
      <c r="G114" s="57">
        <v>4722</v>
      </c>
      <c r="H114" s="57">
        <v>5291</v>
      </c>
      <c r="I114" s="57">
        <v>5445</v>
      </c>
      <c r="J114" s="57">
        <v>5455</v>
      </c>
      <c r="K114" s="57">
        <v>5546</v>
      </c>
      <c r="M114" s="29"/>
      <c r="N114" s="29"/>
      <c r="O114" s="29"/>
      <c r="P114" s="67">
        <v>1349</v>
      </c>
    </row>
    <row r="115" spans="1:21" ht="21.5" customHeight="1">
      <c r="A115" s="56" t="s">
        <v>47</v>
      </c>
      <c r="D115" s="57">
        <v>715</v>
      </c>
      <c r="E115" s="57">
        <v>770</v>
      </c>
      <c r="F115" s="57">
        <v>2562</v>
      </c>
      <c r="G115" s="57">
        <v>1991</v>
      </c>
      <c r="H115" s="57">
        <v>2805</v>
      </c>
      <c r="I115" s="57">
        <v>2843</v>
      </c>
      <c r="J115" s="57">
        <v>3064</v>
      </c>
      <c r="K115" s="57">
        <v>3129</v>
      </c>
      <c r="M115" s="29"/>
      <c r="N115" s="29"/>
      <c r="O115" s="29"/>
      <c r="P115" s="67">
        <v>781</v>
      </c>
    </row>
    <row r="116" spans="1:21" ht="21.5" customHeight="1">
      <c r="A116" s="56" t="s">
        <v>45</v>
      </c>
      <c r="D116" s="57">
        <v>11306</v>
      </c>
      <c r="E116" s="57">
        <v>6787</v>
      </c>
      <c r="F116" s="57">
        <v>7440</v>
      </c>
      <c r="G116" s="57">
        <v>6265</v>
      </c>
      <c r="H116" s="57">
        <v>7203</v>
      </c>
      <c r="I116" s="57">
        <v>7891</v>
      </c>
      <c r="J116" s="57">
        <v>7860</v>
      </c>
      <c r="K116" s="57">
        <v>6223</v>
      </c>
      <c r="M116" s="29"/>
      <c r="N116" s="29"/>
      <c r="O116" s="29"/>
      <c r="P116" s="67">
        <v>1316</v>
      </c>
    </row>
    <row r="117" spans="1:21" ht="21.5" customHeight="1">
      <c r="A117" s="56" t="s">
        <v>77</v>
      </c>
      <c r="D117" s="57">
        <v>113</v>
      </c>
      <c r="E117" s="57">
        <v>92</v>
      </c>
      <c r="F117" s="57">
        <v>94</v>
      </c>
      <c r="G117" s="57">
        <v>46</v>
      </c>
      <c r="H117" s="57">
        <v>85</v>
      </c>
      <c r="I117" s="57">
        <v>94</v>
      </c>
      <c r="J117" s="57">
        <v>126</v>
      </c>
      <c r="K117" s="57">
        <v>97</v>
      </c>
      <c r="M117" s="29"/>
      <c r="N117" s="29"/>
      <c r="O117" s="29"/>
      <c r="P117" s="67">
        <v>18</v>
      </c>
    </row>
    <row r="118" spans="1:21" ht="21.5" customHeight="1">
      <c r="A118" s="56" t="s">
        <v>346</v>
      </c>
      <c r="D118" s="57">
        <v>-2561</v>
      </c>
      <c r="E118" s="57">
        <v>-1273</v>
      </c>
      <c r="F118" s="57">
        <v>-1248</v>
      </c>
      <c r="G118" s="57">
        <v>-1043</v>
      </c>
      <c r="H118" s="57">
        <v>-1255</v>
      </c>
      <c r="I118" s="57">
        <v>-1376</v>
      </c>
      <c r="J118" s="57">
        <v>-1433</v>
      </c>
      <c r="K118" s="57">
        <v>-1164</v>
      </c>
      <c r="M118" s="29"/>
      <c r="N118" s="29"/>
      <c r="O118" s="29"/>
      <c r="P118" s="67">
        <v>-252</v>
      </c>
    </row>
    <row r="119" spans="1:21" ht="21.5" customHeight="1">
      <c r="A119" s="51" t="s">
        <v>343</v>
      </c>
      <c r="B119" s="52"/>
      <c r="C119" s="52"/>
      <c r="D119" s="53">
        <v>36212</v>
      </c>
      <c r="E119" s="53">
        <v>34300</v>
      </c>
      <c r="F119" s="53">
        <v>37266</v>
      </c>
      <c r="G119" s="53">
        <v>33014</v>
      </c>
      <c r="H119" s="53">
        <v>38655</v>
      </c>
      <c r="I119" s="53">
        <v>43004</v>
      </c>
      <c r="J119" s="53">
        <v>45754</v>
      </c>
      <c r="K119" s="53">
        <v>47061</v>
      </c>
      <c r="L119" s="52"/>
      <c r="M119" s="32"/>
      <c r="N119" s="32"/>
      <c r="O119" s="32"/>
      <c r="P119" s="82">
        <f>'Income Statement'!P11</f>
        <v>11854</v>
      </c>
      <c r="Q119" s="52"/>
      <c r="R119" s="52"/>
      <c r="S119" s="52"/>
      <c r="T119" s="52"/>
      <c r="U119" s="52"/>
    </row>
    <row r="120" spans="1:21" ht="21.5" customHeight="1">
      <c r="A120" s="63" t="s">
        <v>344</v>
      </c>
      <c r="B120" s="64"/>
      <c r="C120" s="64"/>
      <c r="D120" s="65">
        <f t="shared" ref="D120:K120" si="4">D111+D112+D113+D114+D115+D116+D117+D118-D119</f>
        <v>0</v>
      </c>
      <c r="E120" s="65">
        <f t="shared" si="4"/>
        <v>0</v>
      </c>
      <c r="F120" s="65">
        <f t="shared" si="4"/>
        <v>0</v>
      </c>
      <c r="G120" s="65">
        <f t="shared" si="4"/>
        <v>0</v>
      </c>
      <c r="H120" s="65">
        <f t="shared" si="4"/>
        <v>0</v>
      </c>
      <c r="I120" s="65">
        <f t="shared" si="4"/>
        <v>0</v>
      </c>
      <c r="J120" s="65">
        <f t="shared" si="4"/>
        <v>0</v>
      </c>
      <c r="K120" s="65">
        <f t="shared" si="4"/>
        <v>0</v>
      </c>
      <c r="L120" s="64"/>
      <c r="M120" s="29"/>
      <c r="N120" s="29"/>
      <c r="O120" s="29"/>
      <c r="P120" s="64"/>
      <c r="Q120" s="64"/>
      <c r="R120" s="64"/>
      <c r="S120" s="64"/>
      <c r="T120" s="64"/>
      <c r="U120" s="64"/>
    </row>
    <row r="121" spans="1:21" ht="10" customHeight="1">
      <c r="M121" s="29"/>
      <c r="N121" s="29"/>
      <c r="O121" s="29"/>
    </row>
    <row r="122" spans="1:21" ht="21.5" customHeight="1">
      <c r="A122" s="61" t="s">
        <v>348</v>
      </c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29"/>
      <c r="N122" s="29"/>
      <c r="O122" s="29"/>
      <c r="P122" s="62"/>
      <c r="Q122" s="62"/>
      <c r="R122" s="62"/>
      <c r="S122" s="62"/>
      <c r="T122" s="62"/>
      <c r="U122" s="62"/>
    </row>
    <row r="123" spans="1:21" ht="21.5" customHeight="1">
      <c r="A123" s="56" t="s">
        <v>42</v>
      </c>
      <c r="D123" s="57">
        <v>3585</v>
      </c>
      <c r="E123" s="57">
        <v>3693</v>
      </c>
      <c r="F123" s="57">
        <v>3551</v>
      </c>
      <c r="G123" s="57">
        <v>3313</v>
      </c>
      <c r="H123" s="57">
        <v>3735</v>
      </c>
      <c r="I123" s="57">
        <v>3958</v>
      </c>
      <c r="J123" s="57">
        <v>4202</v>
      </c>
      <c r="K123" s="57">
        <v>4125</v>
      </c>
      <c r="M123" s="29"/>
      <c r="N123" s="29"/>
      <c r="O123" s="29"/>
      <c r="P123" s="67">
        <v>977</v>
      </c>
    </row>
    <row r="124" spans="1:21" ht="21.5" customHeight="1">
      <c r="A124" s="56" t="s">
        <v>43</v>
      </c>
      <c r="D124" s="57">
        <v>2215</v>
      </c>
      <c r="E124" s="57">
        <v>2318</v>
      </c>
      <c r="F124" s="57">
        <v>2375</v>
      </c>
      <c r="G124" s="57">
        <v>2116</v>
      </c>
      <c r="H124" s="57">
        <v>2534</v>
      </c>
      <c r="I124" s="57">
        <v>2870</v>
      </c>
      <c r="J124" s="57">
        <v>3432</v>
      </c>
      <c r="K124" s="57">
        <v>3780</v>
      </c>
      <c r="M124" s="29"/>
      <c r="N124" s="29"/>
      <c r="O124" s="29"/>
      <c r="P124" s="67">
        <v>933</v>
      </c>
    </row>
    <row r="125" spans="1:21" ht="21.5" customHeight="1">
      <c r="A125" s="56" t="s">
        <v>44</v>
      </c>
      <c r="D125" s="57">
        <v>2472</v>
      </c>
      <c r="E125" s="57">
        <v>2318</v>
      </c>
      <c r="F125" s="57">
        <v>2594</v>
      </c>
      <c r="G125" s="57">
        <v>2471</v>
      </c>
      <c r="H125" s="57">
        <v>3331</v>
      </c>
      <c r="I125" s="57">
        <v>3742</v>
      </c>
      <c r="J125" s="57">
        <v>4435</v>
      </c>
      <c r="K125" s="57">
        <v>4336</v>
      </c>
      <c r="M125" s="29"/>
      <c r="N125" s="29"/>
      <c r="O125" s="29"/>
      <c r="P125" s="67">
        <v>1405</v>
      </c>
    </row>
    <row r="126" spans="1:21" ht="21.5" customHeight="1">
      <c r="A126" s="56" t="s">
        <v>46</v>
      </c>
      <c r="D126" s="57">
        <v>2136</v>
      </c>
      <c r="E126" s="57">
        <v>2271</v>
      </c>
      <c r="F126" s="57">
        <v>2282</v>
      </c>
      <c r="G126" s="57">
        <v>2133</v>
      </c>
      <c r="H126" s="57">
        <v>2325</v>
      </c>
      <c r="I126" s="57">
        <v>2303</v>
      </c>
      <c r="J126" s="57">
        <v>2040</v>
      </c>
      <c r="K126" s="57">
        <v>2148</v>
      </c>
      <c r="M126" s="29"/>
      <c r="N126" s="29"/>
      <c r="O126" s="29"/>
      <c r="P126" s="67">
        <v>459</v>
      </c>
    </row>
    <row r="127" spans="1:21" ht="21.5" customHeight="1">
      <c r="A127" s="56" t="s">
        <v>47</v>
      </c>
      <c r="D127" s="57">
        <v>159</v>
      </c>
      <c r="E127" s="57">
        <v>152</v>
      </c>
      <c r="F127" s="57">
        <v>334</v>
      </c>
      <c r="G127" s="57">
        <v>-123</v>
      </c>
      <c r="H127" s="57">
        <v>293</v>
      </c>
      <c r="I127" s="57">
        <v>185</v>
      </c>
      <c r="J127" s="57">
        <v>329</v>
      </c>
      <c r="K127" s="57">
        <v>359</v>
      </c>
      <c r="M127" s="29"/>
      <c r="N127" s="29"/>
      <c r="O127" s="29"/>
      <c r="P127" s="67">
        <v>77</v>
      </c>
    </row>
    <row r="128" spans="1:21" ht="21.5" customHeight="1">
      <c r="A128" s="56" t="s">
        <v>45</v>
      </c>
      <c r="D128" s="57">
        <v>-806</v>
      </c>
      <c r="E128" s="57">
        <v>-197</v>
      </c>
      <c r="F128" s="57">
        <v>358</v>
      </c>
      <c r="G128" s="57">
        <v>308</v>
      </c>
      <c r="H128" s="57">
        <v>473</v>
      </c>
      <c r="I128" s="57">
        <v>487</v>
      </c>
      <c r="J128" s="57">
        <v>578</v>
      </c>
      <c r="K128" s="57">
        <v>496</v>
      </c>
      <c r="M128" s="29"/>
      <c r="N128" s="29"/>
      <c r="O128" s="29"/>
      <c r="P128" s="67">
        <v>43</v>
      </c>
    </row>
    <row r="129" spans="1:21" ht="21.5" customHeight="1">
      <c r="A129" s="56" t="s">
        <v>77</v>
      </c>
      <c r="D129" s="57">
        <v>-2006</v>
      </c>
      <c r="E129" s="57">
        <v>-1403</v>
      </c>
      <c r="F129" s="57">
        <v>-1408</v>
      </c>
      <c r="G129" s="57">
        <v>-1221</v>
      </c>
      <c r="H129" s="57">
        <v>-2383</v>
      </c>
      <c r="I129" s="57">
        <v>-2636</v>
      </c>
      <c r="J129" s="57">
        <v>-3705</v>
      </c>
      <c r="K129" s="57">
        <v>-5252</v>
      </c>
      <c r="M129" s="29"/>
      <c r="N129" s="29"/>
      <c r="O129" s="29"/>
      <c r="P129" s="67">
        <v>-1384</v>
      </c>
    </row>
    <row r="130" spans="1:21" ht="21.5" customHeight="1">
      <c r="A130" s="51" t="s">
        <v>343</v>
      </c>
      <c r="B130" s="52"/>
      <c r="C130" s="52"/>
      <c r="D130" s="53">
        <v>7755</v>
      </c>
      <c r="E130" s="53">
        <v>9152</v>
      </c>
      <c r="F130" s="53">
        <v>10086</v>
      </c>
      <c r="G130" s="53">
        <v>8997</v>
      </c>
      <c r="H130" s="53">
        <v>10308</v>
      </c>
      <c r="I130" s="53">
        <v>10909</v>
      </c>
      <c r="J130" s="53">
        <v>11311</v>
      </c>
      <c r="K130" s="53">
        <v>9992</v>
      </c>
      <c r="L130" s="52"/>
      <c r="M130" s="32"/>
      <c r="N130" s="32"/>
      <c r="O130" s="32"/>
      <c r="P130" s="59">
        <v>2510</v>
      </c>
      <c r="Q130" s="52"/>
      <c r="R130" s="52"/>
      <c r="S130" s="52"/>
      <c r="T130" s="52"/>
      <c r="U130" s="52"/>
    </row>
    <row r="131" spans="1:21" ht="21.5" customHeight="1">
      <c r="A131" s="63" t="s">
        <v>344</v>
      </c>
      <c r="B131" s="64"/>
      <c r="C131" s="64"/>
      <c r="D131" s="65">
        <f t="shared" ref="D131:K131" si="5">D123+D124+D125+D126+D127+D128+D129-D130</f>
        <v>0</v>
      </c>
      <c r="E131" s="65">
        <f t="shared" si="5"/>
        <v>0</v>
      </c>
      <c r="F131" s="65">
        <f t="shared" si="5"/>
        <v>0</v>
      </c>
      <c r="G131" s="65">
        <f t="shared" si="5"/>
        <v>0</v>
      </c>
      <c r="H131" s="65">
        <f t="shared" si="5"/>
        <v>0</v>
      </c>
      <c r="I131" s="65">
        <f t="shared" si="5"/>
        <v>0</v>
      </c>
      <c r="J131" s="65">
        <f t="shared" si="5"/>
        <v>0</v>
      </c>
      <c r="K131" s="65">
        <f t="shared" si="5"/>
        <v>0</v>
      </c>
      <c r="L131" s="64"/>
      <c r="M131" s="29"/>
      <c r="N131" s="29"/>
      <c r="O131" s="29"/>
      <c r="P131" s="64"/>
      <c r="Q131" s="64"/>
      <c r="R131" s="64"/>
      <c r="S131" s="64"/>
      <c r="T131" s="64"/>
      <c r="U131" s="64"/>
    </row>
    <row r="132" spans="1:21" ht="10" customHeight="1">
      <c r="M132" s="29"/>
      <c r="N132" s="29"/>
      <c r="O132" s="29"/>
    </row>
    <row r="133" spans="1:21" ht="21.5" customHeight="1">
      <c r="A133" s="61" t="s">
        <v>274</v>
      </c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29"/>
      <c r="N133" s="29"/>
      <c r="O133" s="29"/>
      <c r="P133" s="62"/>
      <c r="Q133" s="62"/>
      <c r="R133" s="62"/>
      <c r="S133" s="62"/>
      <c r="T133" s="62"/>
      <c r="U133" s="62"/>
    </row>
    <row r="134" spans="1:21" ht="21.5" customHeight="1">
      <c r="A134" s="56" t="s">
        <v>42</v>
      </c>
      <c r="D134" s="57">
        <v>86</v>
      </c>
      <c r="E134" s="57">
        <v>77</v>
      </c>
      <c r="F134" s="57">
        <v>86</v>
      </c>
      <c r="G134" s="57">
        <v>86</v>
      </c>
      <c r="H134" s="57">
        <v>76</v>
      </c>
      <c r="I134" s="57">
        <v>63</v>
      </c>
      <c r="J134" s="57">
        <v>59</v>
      </c>
      <c r="K134" s="57">
        <v>57</v>
      </c>
      <c r="M134" s="29"/>
      <c r="N134" s="29"/>
      <c r="O134" s="29"/>
    </row>
    <row r="135" spans="1:21" ht="21.5" customHeight="1">
      <c r="A135" s="56" t="s">
        <v>43</v>
      </c>
      <c r="D135" s="57">
        <v>37</v>
      </c>
      <c r="E135" s="57">
        <v>30</v>
      </c>
      <c r="F135" s="57">
        <v>35</v>
      </c>
      <c r="G135" s="57">
        <v>45</v>
      </c>
      <c r="H135" s="57">
        <v>39</v>
      </c>
      <c r="I135" s="57">
        <v>39</v>
      </c>
      <c r="J135" s="57">
        <v>48</v>
      </c>
      <c r="K135" s="57">
        <v>29</v>
      </c>
      <c r="M135" s="29"/>
      <c r="N135" s="29"/>
      <c r="O135" s="29"/>
    </row>
    <row r="136" spans="1:21" ht="21.5" customHeight="1">
      <c r="A136" s="56" t="s">
        <v>44</v>
      </c>
      <c r="D136" s="57">
        <v>411</v>
      </c>
      <c r="E136" s="57">
        <v>422</v>
      </c>
      <c r="F136" s="57">
        <v>439</v>
      </c>
      <c r="G136" s="57">
        <v>439</v>
      </c>
      <c r="H136" s="57">
        <v>388</v>
      </c>
      <c r="I136" s="57">
        <v>330</v>
      </c>
      <c r="J136" s="57">
        <v>310</v>
      </c>
      <c r="K136" s="57">
        <v>325</v>
      </c>
      <c r="M136" s="29"/>
      <c r="N136" s="29"/>
      <c r="O136" s="29"/>
    </row>
    <row r="137" spans="1:21" ht="21.5" customHeight="1">
      <c r="A137" s="56" t="s">
        <v>46</v>
      </c>
      <c r="D137" s="57">
        <v>65</v>
      </c>
      <c r="E137" s="57">
        <v>58</v>
      </c>
      <c r="F137" s="57">
        <v>31</v>
      </c>
      <c r="G137" s="57">
        <v>47</v>
      </c>
      <c r="H137" s="57">
        <v>49</v>
      </c>
      <c r="I137" s="57">
        <v>58</v>
      </c>
      <c r="J137" s="57">
        <v>50</v>
      </c>
      <c r="K137" s="57">
        <v>45</v>
      </c>
      <c r="M137" s="29"/>
      <c r="N137" s="29"/>
      <c r="O137" s="29"/>
    </row>
    <row r="138" spans="1:21" ht="21.5" customHeight="1">
      <c r="A138" s="56" t="s">
        <v>47</v>
      </c>
      <c r="D138" s="57">
        <v>5</v>
      </c>
      <c r="E138" s="57">
        <v>8</v>
      </c>
      <c r="F138" s="57">
        <v>117</v>
      </c>
      <c r="G138" s="57">
        <v>122</v>
      </c>
      <c r="H138" s="57">
        <v>135</v>
      </c>
      <c r="I138" s="57">
        <v>140</v>
      </c>
      <c r="J138" s="57">
        <v>128</v>
      </c>
      <c r="K138" s="57">
        <v>124</v>
      </c>
      <c r="M138" s="29"/>
      <c r="N138" s="29"/>
      <c r="O138" s="29"/>
    </row>
    <row r="139" spans="1:21" ht="21.5" customHeight="1">
      <c r="A139" s="56" t="s">
        <v>45</v>
      </c>
      <c r="D139" s="57">
        <v>454</v>
      </c>
      <c r="E139" s="57">
        <v>239</v>
      </c>
      <c r="F139" s="57">
        <v>446</v>
      </c>
      <c r="G139" s="57">
        <v>551</v>
      </c>
      <c r="H139" s="57">
        <v>529</v>
      </c>
      <c r="I139" s="57">
        <v>435</v>
      </c>
      <c r="J139" s="57">
        <v>389</v>
      </c>
      <c r="K139" s="57">
        <v>319</v>
      </c>
      <c r="M139" s="29"/>
      <c r="N139" s="29"/>
      <c r="O139" s="29"/>
    </row>
    <row r="140" spans="1:21" ht="21.5" customHeight="1">
      <c r="A140" s="56" t="s">
        <v>77</v>
      </c>
      <c r="D140" s="57">
        <v>202</v>
      </c>
      <c r="E140" s="57">
        <v>252</v>
      </c>
      <c r="F140" s="57">
        <v>211</v>
      </c>
      <c r="G140" s="57">
        <v>246</v>
      </c>
      <c r="H140" s="57">
        <v>236</v>
      </c>
      <c r="I140" s="57">
        <v>195</v>
      </c>
      <c r="J140" s="57">
        <v>144</v>
      </c>
      <c r="K140" s="57">
        <v>176</v>
      </c>
      <c r="M140" s="29"/>
      <c r="N140" s="29"/>
      <c r="O140" s="29"/>
    </row>
    <row r="141" spans="1:21" ht="21.5" customHeight="1">
      <c r="A141" s="51" t="s">
        <v>343</v>
      </c>
      <c r="B141" s="52"/>
      <c r="C141" s="52"/>
      <c r="D141" s="53">
        <v>1260</v>
      </c>
      <c r="E141" s="53">
        <v>1086</v>
      </c>
      <c r="F141" s="53">
        <v>1365</v>
      </c>
      <c r="G141" s="53">
        <v>1536</v>
      </c>
      <c r="H141" s="53">
        <v>1452</v>
      </c>
      <c r="I141" s="53">
        <v>1260</v>
      </c>
      <c r="J141" s="53">
        <v>1128</v>
      </c>
      <c r="K141" s="53">
        <v>1075</v>
      </c>
      <c r="L141" s="52"/>
      <c r="M141" s="32"/>
      <c r="N141" s="32"/>
      <c r="O141" s="32"/>
      <c r="P141" s="52"/>
      <c r="Q141" s="52"/>
      <c r="R141" s="52"/>
      <c r="S141" s="52"/>
      <c r="T141" s="52"/>
      <c r="U141" s="52"/>
    </row>
    <row r="142" spans="1:21" ht="21.5" customHeight="1">
      <c r="A142" s="63" t="s">
        <v>344</v>
      </c>
      <c r="B142" s="64"/>
      <c r="C142" s="64"/>
      <c r="D142" s="65">
        <f t="shared" ref="D142:K142" si="6">D134+D135+D136+D137+D138+D139+D140-D141</f>
        <v>0</v>
      </c>
      <c r="E142" s="65">
        <f t="shared" si="6"/>
        <v>0</v>
      </c>
      <c r="F142" s="65">
        <f t="shared" si="6"/>
        <v>0</v>
      </c>
      <c r="G142" s="65">
        <f t="shared" si="6"/>
        <v>0</v>
      </c>
      <c r="H142" s="65">
        <f t="shared" si="6"/>
        <v>0</v>
      </c>
      <c r="I142" s="65">
        <f t="shared" si="6"/>
        <v>0</v>
      </c>
      <c r="J142" s="65">
        <f t="shared" si="6"/>
        <v>0</v>
      </c>
      <c r="K142" s="65">
        <f t="shared" si="6"/>
        <v>0</v>
      </c>
      <c r="L142" s="64"/>
      <c r="M142" s="29"/>
      <c r="N142" s="29"/>
      <c r="O142" s="29"/>
      <c r="P142" s="64"/>
      <c r="Q142" s="64"/>
      <c r="R142" s="64"/>
      <c r="S142" s="64"/>
      <c r="T142" s="64"/>
      <c r="U142" s="64"/>
    </row>
    <row r="143" spans="1:21" ht="10" customHeight="1">
      <c r="M143" s="29"/>
      <c r="N143" s="29"/>
      <c r="O143" s="29"/>
    </row>
    <row r="144" spans="1:21" ht="21.5" customHeight="1">
      <c r="A144" s="61" t="s">
        <v>349</v>
      </c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29"/>
      <c r="N144" s="29"/>
      <c r="O144" s="29"/>
      <c r="P144" s="62"/>
      <c r="Q144" s="62"/>
      <c r="R144" s="62"/>
      <c r="S144" s="62"/>
      <c r="T144" s="62"/>
      <c r="U144" s="62"/>
    </row>
    <row r="145" spans="1:21" ht="21.5" customHeight="1">
      <c r="A145" s="56" t="s">
        <v>42</v>
      </c>
      <c r="D145" s="57">
        <v>77</v>
      </c>
      <c r="E145" s="57">
        <v>66</v>
      </c>
      <c r="F145" s="57">
        <v>108</v>
      </c>
      <c r="G145" s="57">
        <v>27</v>
      </c>
      <c r="H145" s="57">
        <v>35</v>
      </c>
      <c r="I145" s="57">
        <v>50</v>
      </c>
      <c r="J145" s="57">
        <v>43</v>
      </c>
      <c r="K145" s="57">
        <v>18</v>
      </c>
      <c r="M145" s="29"/>
      <c r="N145" s="29"/>
      <c r="O145" s="29"/>
    </row>
    <row r="146" spans="1:21" ht="21.5" customHeight="1">
      <c r="A146" s="56" t="s">
        <v>43</v>
      </c>
      <c r="D146" s="57">
        <v>55</v>
      </c>
      <c r="E146" s="57">
        <v>90</v>
      </c>
      <c r="F146" s="57">
        <v>140</v>
      </c>
      <c r="G146" s="57">
        <v>6</v>
      </c>
      <c r="H146" s="57">
        <v>2</v>
      </c>
      <c r="I146" s="57">
        <v>4</v>
      </c>
      <c r="J146" s="57">
        <v>1</v>
      </c>
      <c r="K146" s="57">
        <v>1</v>
      </c>
      <c r="M146" s="29"/>
      <c r="N146" s="29"/>
      <c r="O146" s="29"/>
    </row>
    <row r="147" spans="1:21" ht="21.5" customHeight="1">
      <c r="A147" s="56" t="s">
        <v>44</v>
      </c>
      <c r="D147" s="57">
        <v>541</v>
      </c>
      <c r="E147" s="57">
        <v>429</v>
      </c>
      <c r="F147" s="57">
        <v>392</v>
      </c>
      <c r="G147" s="57">
        <v>182</v>
      </c>
      <c r="H147" s="57">
        <v>228</v>
      </c>
      <c r="I147" s="57">
        <v>280</v>
      </c>
      <c r="J147" s="57">
        <v>412</v>
      </c>
      <c r="K147" s="57">
        <v>602</v>
      </c>
      <c r="M147" s="29"/>
      <c r="N147" s="29"/>
      <c r="O147" s="29"/>
    </row>
    <row r="148" spans="1:21" ht="21.5" customHeight="1">
      <c r="A148" s="56" t="s">
        <v>46</v>
      </c>
      <c r="D148" s="57">
        <v>50</v>
      </c>
      <c r="E148" s="57">
        <v>31</v>
      </c>
      <c r="F148" s="57">
        <v>47</v>
      </c>
      <c r="G148" s="57">
        <v>20</v>
      </c>
      <c r="H148" s="57">
        <v>65</v>
      </c>
      <c r="I148" s="57">
        <v>22</v>
      </c>
      <c r="J148" s="57">
        <v>23</v>
      </c>
      <c r="K148" s="57">
        <v>18</v>
      </c>
      <c r="M148" s="29"/>
      <c r="N148" s="29"/>
      <c r="O148" s="29"/>
    </row>
    <row r="149" spans="1:21" ht="21.5" customHeight="1">
      <c r="A149" s="56" t="s">
        <v>47</v>
      </c>
      <c r="D149" s="57">
        <v>4</v>
      </c>
      <c r="E149" s="57">
        <v>11</v>
      </c>
      <c r="F149" s="57">
        <v>209</v>
      </c>
      <c r="G149" s="57">
        <v>261</v>
      </c>
      <c r="H149" s="57">
        <v>285</v>
      </c>
      <c r="I149" s="57">
        <v>179</v>
      </c>
      <c r="J149" s="57">
        <v>192</v>
      </c>
      <c r="K149" s="57">
        <v>204</v>
      </c>
      <c r="M149" s="29"/>
      <c r="N149" s="29"/>
      <c r="O149" s="29"/>
    </row>
    <row r="150" spans="1:21" ht="21.5" customHeight="1">
      <c r="A150" s="56" t="s">
        <v>45</v>
      </c>
      <c r="D150" s="57">
        <v>737</v>
      </c>
      <c r="E150" s="57">
        <v>517</v>
      </c>
      <c r="F150" s="57">
        <v>836</v>
      </c>
      <c r="G150" s="57">
        <v>474</v>
      </c>
      <c r="H150" s="57">
        <v>560</v>
      </c>
      <c r="I150" s="57">
        <v>697</v>
      </c>
      <c r="J150" s="57">
        <v>843</v>
      </c>
      <c r="K150" s="57">
        <v>734</v>
      </c>
      <c r="M150" s="29"/>
      <c r="N150" s="29"/>
      <c r="O150" s="29"/>
    </row>
    <row r="151" spans="1:21" ht="21.5" customHeight="1">
      <c r="A151" s="56" t="s">
        <v>77</v>
      </c>
      <c r="D151" s="57">
        <v>286</v>
      </c>
      <c r="E151" s="57">
        <v>404</v>
      </c>
      <c r="F151" s="57">
        <v>322</v>
      </c>
      <c r="G151" s="57">
        <v>207</v>
      </c>
      <c r="H151" s="57">
        <v>192</v>
      </c>
      <c r="I151" s="57">
        <v>252</v>
      </c>
      <c r="J151" s="57">
        <v>338</v>
      </c>
      <c r="K151" s="57">
        <v>487</v>
      </c>
      <c r="M151" s="29"/>
      <c r="N151" s="29"/>
      <c r="O151" s="29"/>
    </row>
    <row r="152" spans="1:21" ht="21.5" customHeight="1">
      <c r="A152" s="51" t="s">
        <v>343</v>
      </c>
      <c r="B152" s="52"/>
      <c r="C152" s="52"/>
      <c r="D152" s="53">
        <v>1750</v>
      </c>
      <c r="E152" s="53">
        <v>1548</v>
      </c>
      <c r="F152" s="53">
        <v>2054</v>
      </c>
      <c r="G152" s="53">
        <v>1177</v>
      </c>
      <c r="H152" s="53">
        <v>1367</v>
      </c>
      <c r="I152" s="53">
        <v>1484</v>
      </c>
      <c r="J152" s="53">
        <v>1852</v>
      </c>
      <c r="K152" s="53">
        <v>2064</v>
      </c>
      <c r="L152" s="52"/>
      <c r="M152" s="32"/>
      <c r="N152" s="32"/>
      <c r="O152" s="32"/>
      <c r="P152" s="52"/>
      <c r="Q152" s="52"/>
      <c r="R152" s="52"/>
      <c r="S152" s="52"/>
      <c r="T152" s="52"/>
      <c r="U152" s="52"/>
    </row>
    <row r="153" spans="1:21" ht="21.5" customHeight="1">
      <c r="A153" s="63" t="s">
        <v>344</v>
      </c>
      <c r="B153" s="64"/>
      <c r="C153" s="64"/>
      <c r="D153" s="65">
        <f t="shared" ref="D153:K153" si="7">D145+D146+D147+D148+D149+D150+D151-D152</f>
        <v>0</v>
      </c>
      <c r="E153" s="65">
        <f t="shared" si="7"/>
        <v>0</v>
      </c>
      <c r="F153" s="65">
        <f t="shared" si="7"/>
        <v>0</v>
      </c>
      <c r="G153" s="65">
        <f t="shared" si="7"/>
        <v>0</v>
      </c>
      <c r="H153" s="65">
        <f t="shared" si="7"/>
        <v>0</v>
      </c>
      <c r="I153" s="65">
        <f t="shared" si="7"/>
        <v>0</v>
      </c>
      <c r="J153" s="65">
        <f t="shared" si="7"/>
        <v>0</v>
      </c>
      <c r="K153" s="65">
        <f t="shared" si="7"/>
        <v>0</v>
      </c>
      <c r="L153" s="64"/>
      <c r="M153" s="29"/>
      <c r="N153" s="29"/>
      <c r="O153" s="29"/>
      <c r="P153" s="64"/>
      <c r="Q153" s="64"/>
      <c r="R153" s="64"/>
      <c r="S153" s="64"/>
      <c r="T153" s="64"/>
      <c r="U153" s="64"/>
    </row>
    <row r="154" spans="1:21" ht="10" customHeight="1">
      <c r="M154" s="29"/>
      <c r="N154" s="29"/>
      <c r="O154" s="29"/>
    </row>
    <row r="155" spans="1:21" ht="37" customHeight="1">
      <c r="A155" s="78" t="s">
        <v>350</v>
      </c>
      <c r="B155" s="71" t="s">
        <v>351</v>
      </c>
      <c r="D155" s="79">
        <f>D95-'Income Statement'!D11</f>
        <v>0</v>
      </c>
      <c r="E155" s="79">
        <f>E95-'Income Statement'!E11</f>
        <v>0</v>
      </c>
      <c r="F155" s="79">
        <f>F95-'Income Statement'!F11</f>
        <v>0</v>
      </c>
      <c r="G155" s="79">
        <f>G95-'Income Statement'!G11</f>
        <v>0</v>
      </c>
      <c r="H155" s="79">
        <f>H95-'Income Statement'!H11</f>
        <v>0</v>
      </c>
      <c r="I155" s="79">
        <f>I95-'Income Statement'!I11</f>
        <v>0</v>
      </c>
      <c r="J155" s="79">
        <f>J95-'Income Statement'!J11</f>
        <v>0</v>
      </c>
      <c r="K155" s="79">
        <f>K95-'Income Statement'!K11</f>
        <v>0</v>
      </c>
      <c r="M155" s="29"/>
      <c r="N155" s="29"/>
      <c r="O155" s="29"/>
      <c r="P155" s="83">
        <f>P95-'Income Statement'!P11</f>
        <v>0</v>
      </c>
    </row>
    <row r="156" spans="1:21" ht="37" customHeight="1">
      <c r="A156" s="78" t="s">
        <v>352</v>
      </c>
      <c r="B156" s="71" t="s">
        <v>353</v>
      </c>
      <c r="D156" s="79">
        <f>D119-'Income Statement'!D11</f>
        <v>0</v>
      </c>
      <c r="E156" s="79">
        <f>E119-'Income Statement'!E11</f>
        <v>0</v>
      </c>
      <c r="F156" s="79">
        <f>F119-'Income Statement'!F11</f>
        <v>0</v>
      </c>
      <c r="G156" s="79">
        <f>G119-'Income Statement'!G11</f>
        <v>0</v>
      </c>
      <c r="H156" s="79">
        <f>H119-'Income Statement'!H11</f>
        <v>0</v>
      </c>
      <c r="I156" s="79">
        <f>I119-'Income Statement'!I11</f>
        <v>0</v>
      </c>
      <c r="J156" s="79">
        <f>J119-'Income Statement'!J11</f>
        <v>0</v>
      </c>
      <c r="K156" s="79">
        <f>K119-'Income Statement'!K11</f>
        <v>0</v>
      </c>
      <c r="M156" s="29"/>
      <c r="N156" s="29"/>
      <c r="O156" s="29"/>
      <c r="P156" s="83">
        <f>P119-'Income Statement'!P11</f>
        <v>0</v>
      </c>
    </row>
    <row r="157" spans="1:21" ht="37" customHeight="1">
      <c r="A157" s="63" t="s">
        <v>354</v>
      </c>
      <c r="B157" s="64"/>
      <c r="C157" s="64"/>
      <c r="D157" s="80">
        <f>D95-'Income Statement'!D11</f>
        <v>0</v>
      </c>
      <c r="E157" s="80">
        <f>E95-'Income Statement'!E11</f>
        <v>0</v>
      </c>
      <c r="F157" s="80">
        <f>F95-'Income Statement'!F11</f>
        <v>0</v>
      </c>
      <c r="G157" s="80">
        <f>G95-'Income Statement'!G11</f>
        <v>0</v>
      </c>
      <c r="H157" s="80">
        <f>H95-'Income Statement'!H11</f>
        <v>0</v>
      </c>
      <c r="I157" s="80">
        <f>I95-'Income Statement'!I11</f>
        <v>0</v>
      </c>
      <c r="J157" s="80">
        <f>J95-'Income Statement'!J11</f>
        <v>0</v>
      </c>
      <c r="K157" s="80">
        <f>K95-'Income Statement'!K11</f>
        <v>0</v>
      </c>
      <c r="L157" s="64"/>
      <c r="M157" s="29"/>
      <c r="N157" s="29"/>
      <c r="O157" s="29"/>
      <c r="P157" s="84">
        <f>P88+P89+P90+P91+P92+P93+P94-P95</f>
        <v>0</v>
      </c>
      <c r="Q157" s="64"/>
      <c r="R157" s="64"/>
      <c r="S157" s="64"/>
      <c r="T157" s="64"/>
      <c r="U157" s="64"/>
    </row>
    <row r="158" spans="1:21" ht="21.5" customHeight="1">
      <c r="A158" s="63" t="s">
        <v>355</v>
      </c>
      <c r="B158" s="64"/>
      <c r="C158" s="64"/>
      <c r="D158" s="80">
        <f>D130-'Income Statement'!D18</f>
        <v>0</v>
      </c>
      <c r="E158" s="80">
        <f>E130-'Income Statement'!E18</f>
        <v>0</v>
      </c>
      <c r="F158" s="80">
        <f>F130-'Income Statement'!F18</f>
        <v>0</v>
      </c>
      <c r="G158" s="80">
        <f>G130-'Income Statement'!G18</f>
        <v>0</v>
      </c>
      <c r="H158" s="80">
        <f>H130-'Income Statement'!H18</f>
        <v>0</v>
      </c>
      <c r="I158" s="80">
        <f>I130-'Income Statement'!I18</f>
        <v>0</v>
      </c>
      <c r="J158" s="80">
        <f>J130-'Income Statement'!J18</f>
        <v>0</v>
      </c>
      <c r="K158" s="80">
        <f>K130-'Income Statement'!K18</f>
        <v>0</v>
      </c>
      <c r="L158" s="64"/>
      <c r="M158" s="29"/>
      <c r="N158" s="29"/>
      <c r="O158" s="29"/>
      <c r="P158" s="84">
        <f>P123+P124+P125+P126+P127+P128+P129-P130</f>
        <v>0</v>
      </c>
      <c r="Q158" s="64"/>
      <c r="R158" s="64"/>
      <c r="S158" s="64"/>
      <c r="T158" s="64"/>
      <c r="U158" s="64"/>
    </row>
    <row r="159" spans="1:21" ht="21.5" customHeight="1">
      <c r="A159" s="63" t="s">
        <v>356</v>
      </c>
      <c r="B159" s="64"/>
      <c r="C159" s="64"/>
      <c r="D159" s="80">
        <f>D141-'Cash Flow'!D17</f>
        <v>0</v>
      </c>
      <c r="E159" s="80">
        <f>E141-'Cash Flow'!E17</f>
        <v>0</v>
      </c>
      <c r="F159" s="80">
        <f>F141-'Cash Flow'!F17</f>
        <v>0</v>
      </c>
      <c r="G159" s="80">
        <f>G141-'Cash Flow'!G17</f>
        <v>0</v>
      </c>
      <c r="H159" s="80">
        <f>H141-'Cash Flow'!H17</f>
        <v>0</v>
      </c>
      <c r="I159" s="80">
        <f>I141-'Cash Flow'!I17</f>
        <v>0</v>
      </c>
      <c r="J159" s="80">
        <f>J141-'Cash Flow'!J17</f>
        <v>0</v>
      </c>
      <c r="K159" s="80">
        <f>K141-'Cash Flow'!K17</f>
        <v>0</v>
      </c>
      <c r="L159" s="64"/>
      <c r="M159" s="29"/>
      <c r="N159" s="29"/>
      <c r="O159" s="29"/>
      <c r="P159" s="64"/>
      <c r="Q159" s="64"/>
      <c r="R159" s="64"/>
      <c r="S159" s="64"/>
      <c r="T159" s="64"/>
      <c r="U159" s="64"/>
    </row>
    <row r="160" spans="1:21" ht="37" customHeight="1">
      <c r="A160" s="78" t="s">
        <v>357</v>
      </c>
      <c r="D160" s="79">
        <f>D152+'Cash Flow'!D32</f>
        <v>0</v>
      </c>
      <c r="E160" s="79">
        <f>E152+'Cash Flow'!E32</f>
        <v>0</v>
      </c>
      <c r="F160" s="79">
        <f>F152+'Cash Flow'!F32</f>
        <v>0</v>
      </c>
      <c r="G160" s="79">
        <f>G152+'Cash Flow'!G32</f>
        <v>0</v>
      </c>
      <c r="H160" s="79">
        <f>H152+'Cash Flow'!H32</f>
        <v>0</v>
      </c>
      <c r="I160" s="79">
        <f>I152+'Cash Flow'!I32</f>
        <v>0</v>
      </c>
      <c r="J160" s="79">
        <f>J152+'Cash Flow'!J32</f>
        <v>0</v>
      </c>
      <c r="K160" s="79">
        <f>K152+'Cash Flow'!K32</f>
        <v>0</v>
      </c>
      <c r="M160" s="29"/>
      <c r="N160" s="29"/>
      <c r="O160" s="29"/>
    </row>
    <row r="161" spans="1:21" ht="21.5" customHeight="1">
      <c r="A161" s="56" t="s">
        <v>358</v>
      </c>
      <c r="D161" s="55">
        <f t="shared" ref="D161:K166" si="8">D123/D88</f>
        <v>0.52876106194690264</v>
      </c>
      <c r="E161" s="55">
        <f t="shared" si="8"/>
        <v>0.56511094108645754</v>
      </c>
      <c r="F161" s="55">
        <f t="shared" si="8"/>
        <v>0.55191171899285052</v>
      </c>
      <c r="G161" s="55">
        <f t="shared" si="8"/>
        <v>0.59866281170943259</v>
      </c>
      <c r="H161" s="55">
        <f t="shared" si="8"/>
        <v>0.56901279707495434</v>
      </c>
      <c r="I161" s="55">
        <f t="shared" si="8"/>
        <v>0.5739559164733179</v>
      </c>
      <c r="J161" s="55">
        <f t="shared" si="8"/>
        <v>0.56845238095238093</v>
      </c>
      <c r="K161" s="55">
        <f t="shared" si="8"/>
        <v>0.5542864821284601</v>
      </c>
      <c r="M161" s="29"/>
      <c r="N161" s="29"/>
      <c r="O161" s="29"/>
      <c r="P161" s="85">
        <f t="shared" ref="P161:P166" si="9">IFERROR(P123/P88,"")</f>
        <v>0.52896589063345967</v>
      </c>
    </row>
    <row r="162" spans="1:21" ht="37" customHeight="1">
      <c r="A162" s="56" t="s">
        <v>359</v>
      </c>
      <c r="D162" s="55">
        <f t="shared" si="8"/>
        <v>0.56033392360232737</v>
      </c>
      <c r="E162" s="55">
        <f t="shared" si="8"/>
        <v>0.58373205741626799</v>
      </c>
      <c r="F162" s="55">
        <f t="shared" si="8"/>
        <v>0.57673627974745023</v>
      </c>
      <c r="G162" s="55">
        <f t="shared" si="8"/>
        <v>0.60474421263218059</v>
      </c>
      <c r="H162" s="55">
        <f t="shared" si="8"/>
        <v>0.61163408158339372</v>
      </c>
      <c r="I162" s="55">
        <f t="shared" si="8"/>
        <v>0.58452138492871686</v>
      </c>
      <c r="J162" s="55">
        <f t="shared" si="8"/>
        <v>0.58867924528301885</v>
      </c>
      <c r="K162" s="55">
        <f t="shared" si="8"/>
        <v>0.58522991175104511</v>
      </c>
      <c r="M162" s="29"/>
      <c r="N162" s="29"/>
      <c r="O162" s="29"/>
      <c r="P162" s="85">
        <f t="shared" si="9"/>
        <v>0.5692495424039048</v>
      </c>
    </row>
    <row r="163" spans="1:21" ht="37" customHeight="1">
      <c r="A163" s="56" t="s">
        <v>360</v>
      </c>
      <c r="D163" s="55">
        <f t="shared" si="8"/>
        <v>0.28485826227241301</v>
      </c>
      <c r="E163" s="55">
        <f t="shared" si="8"/>
        <v>0.2038698328935796</v>
      </c>
      <c r="F163" s="55">
        <f t="shared" si="8"/>
        <v>0.21787334117251805</v>
      </c>
      <c r="G163" s="55">
        <f t="shared" si="8"/>
        <v>0.2153752287980476</v>
      </c>
      <c r="H163" s="55">
        <f t="shared" si="8"/>
        <v>0.25265473300970875</v>
      </c>
      <c r="I163" s="55">
        <f t="shared" si="8"/>
        <v>0.23884598200038298</v>
      </c>
      <c r="J163" s="55">
        <f t="shared" si="8"/>
        <v>0.2645234402958368</v>
      </c>
      <c r="K163" s="55">
        <f t="shared" si="8"/>
        <v>0.23261802575107296</v>
      </c>
      <c r="M163" s="29"/>
      <c r="N163" s="29"/>
      <c r="O163" s="29"/>
      <c r="P163" s="85">
        <f t="shared" si="9"/>
        <v>0.28195865944210313</v>
      </c>
    </row>
    <row r="164" spans="1:21" ht="37" customHeight="1">
      <c r="A164" s="56" t="s">
        <v>361</v>
      </c>
      <c r="D164" s="55">
        <f t="shared" si="8"/>
        <v>0.44940037870818428</v>
      </c>
      <c r="E164" s="55">
        <f t="shared" si="8"/>
        <v>0.47342088805503441</v>
      </c>
      <c r="F164" s="55">
        <f t="shared" si="8"/>
        <v>0.48316747829769213</v>
      </c>
      <c r="G164" s="55">
        <f t="shared" si="8"/>
        <v>0.50629005459292664</v>
      </c>
      <c r="H164" s="55">
        <f t="shared" si="8"/>
        <v>0.49658265698419479</v>
      </c>
      <c r="I164" s="55">
        <f t="shared" si="8"/>
        <v>0.48885586924219909</v>
      </c>
      <c r="J164" s="55">
        <f t="shared" si="8"/>
        <v>0.43183742591024554</v>
      </c>
      <c r="K164" s="55">
        <f t="shared" si="8"/>
        <v>0.42291789722386297</v>
      </c>
      <c r="M164" s="29"/>
      <c r="N164" s="29"/>
      <c r="O164" s="29"/>
      <c r="P164" s="85">
        <f t="shared" si="9"/>
        <v>0.36084905660377359</v>
      </c>
    </row>
    <row r="165" spans="1:21" ht="37" customHeight="1">
      <c r="A165" s="56" t="s">
        <v>365</v>
      </c>
      <c r="D165" s="55">
        <f t="shared" si="8"/>
        <v>0.22331460674157302</v>
      </c>
      <c r="E165" s="55">
        <f t="shared" si="8"/>
        <v>0.19817470664928291</v>
      </c>
      <c r="F165" s="55">
        <f t="shared" si="8"/>
        <v>0.13046874999999999</v>
      </c>
      <c r="G165" s="55">
        <f t="shared" si="8"/>
        <v>-6.1778001004520341E-2</v>
      </c>
      <c r="H165" s="55">
        <f t="shared" si="8"/>
        <v>0.10445632798573976</v>
      </c>
      <c r="I165" s="55">
        <f t="shared" si="8"/>
        <v>6.507210692930003E-2</v>
      </c>
      <c r="J165" s="55">
        <f t="shared" si="8"/>
        <v>0.10737597911227154</v>
      </c>
      <c r="K165" s="55">
        <f t="shared" si="8"/>
        <v>0.11473314157877916</v>
      </c>
      <c r="M165" s="29"/>
      <c r="N165" s="29"/>
      <c r="O165" s="29"/>
      <c r="P165" s="85">
        <f t="shared" si="9"/>
        <v>9.8591549295774641E-2</v>
      </c>
    </row>
    <row r="166" spans="1:21" ht="37" customHeight="1">
      <c r="A166" s="56" t="s">
        <v>362</v>
      </c>
      <c r="B166" s="71" t="s">
        <v>363</v>
      </c>
      <c r="D166" s="55">
        <f t="shared" si="8"/>
        <v>-7.1816804775906615E-2</v>
      </c>
      <c r="E166" s="55">
        <f t="shared" si="8"/>
        <v>-2.9107565011820331E-2</v>
      </c>
      <c r="F166" s="55">
        <f t="shared" si="8"/>
        <v>4.8176557663840665E-2</v>
      </c>
      <c r="G166" s="55">
        <f t="shared" si="8"/>
        <v>4.9217002237136466E-2</v>
      </c>
      <c r="H166" s="55">
        <f t="shared" si="8"/>
        <v>6.5749235474006115E-2</v>
      </c>
      <c r="I166" s="55">
        <f t="shared" si="8"/>
        <v>6.1778510719269313E-2</v>
      </c>
      <c r="J166" s="55">
        <f t="shared" si="8"/>
        <v>7.3611818644931229E-2</v>
      </c>
      <c r="K166" s="55">
        <f t="shared" si="8"/>
        <v>7.9806918744971839E-2</v>
      </c>
      <c r="M166" s="29"/>
      <c r="N166" s="29"/>
      <c r="O166" s="29"/>
      <c r="P166" s="85">
        <f t="shared" si="9"/>
        <v>3.2724505327245051E-2</v>
      </c>
    </row>
    <row r="167" spans="1:21" ht="10" customHeight="1">
      <c r="M167" s="29"/>
      <c r="N167" s="29"/>
      <c r="O167" s="29"/>
    </row>
    <row r="168" spans="1:21" ht="29" customHeight="1">
      <c r="A168" s="23" t="s">
        <v>366</v>
      </c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</row>
    <row r="169" spans="1:21" ht="21.5" customHeight="1">
      <c r="A169" s="61" t="s">
        <v>342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29"/>
      <c r="N169" s="29"/>
      <c r="O169" s="29"/>
      <c r="P169" s="62"/>
      <c r="Q169" s="62"/>
      <c r="R169" s="62"/>
      <c r="S169" s="62"/>
      <c r="T169" s="62"/>
      <c r="U169" s="62"/>
    </row>
    <row r="170" spans="1:21" ht="21.5" customHeight="1">
      <c r="A170" s="56" t="s">
        <v>42</v>
      </c>
      <c r="C170" s="57">
        <v>7014</v>
      </c>
      <c r="D170" s="57">
        <v>7332</v>
      </c>
      <c r="E170" s="57">
        <v>7138</v>
      </c>
      <c r="M170" s="29"/>
      <c r="N170" s="29"/>
      <c r="O170" s="29"/>
    </row>
    <row r="171" spans="1:21" ht="21.5" customHeight="1">
      <c r="A171" s="56" t="s">
        <v>43</v>
      </c>
      <c r="C171" s="57">
        <v>3746</v>
      </c>
      <c r="D171" s="57">
        <v>3956</v>
      </c>
      <c r="E171" s="57">
        <v>3975</v>
      </c>
      <c r="M171" s="29"/>
      <c r="N171" s="29"/>
      <c r="O171" s="29"/>
    </row>
    <row r="172" spans="1:21" ht="21.5" customHeight="1">
      <c r="A172" s="56" t="s">
        <v>44</v>
      </c>
      <c r="C172" s="57">
        <v>6587</v>
      </c>
      <c r="D172" s="57">
        <v>8796</v>
      </c>
      <c r="E172" s="57">
        <v>11505</v>
      </c>
      <c r="M172" s="29"/>
      <c r="N172" s="29"/>
      <c r="O172" s="29"/>
    </row>
    <row r="173" spans="1:21" ht="21.5" customHeight="1">
      <c r="A173" s="56" t="s">
        <v>46</v>
      </c>
      <c r="C173" s="57">
        <v>4788</v>
      </c>
      <c r="D173" s="57">
        <v>4767</v>
      </c>
      <c r="E173" s="57">
        <v>4809</v>
      </c>
      <c r="M173" s="29"/>
      <c r="N173" s="29"/>
      <c r="O173" s="29"/>
    </row>
    <row r="174" spans="1:21" ht="21.5" customHeight="1">
      <c r="A174" s="56" t="s">
        <v>45</v>
      </c>
      <c r="C174" s="57">
        <v>19601</v>
      </c>
      <c r="D174" s="57">
        <v>10379</v>
      </c>
      <c r="E174" s="57">
        <v>3760</v>
      </c>
      <c r="M174" s="29"/>
      <c r="N174" s="29"/>
      <c r="O174" s="29"/>
    </row>
    <row r="175" spans="1:21" ht="21.5" customHeight="1">
      <c r="A175" s="56" t="s">
        <v>77</v>
      </c>
      <c r="C175" s="57">
        <v>127</v>
      </c>
      <c r="D175" s="57">
        <v>138</v>
      </c>
      <c r="E175" s="57">
        <v>105</v>
      </c>
      <c r="M175" s="29"/>
      <c r="N175" s="29"/>
      <c r="O175" s="29"/>
    </row>
    <row r="176" spans="1:21" ht="21.5" customHeight="1">
      <c r="A176" s="51" t="s">
        <v>343</v>
      </c>
      <c r="B176" s="52"/>
      <c r="C176" s="53">
        <v>41863</v>
      </c>
      <c r="D176" s="53">
        <v>35368</v>
      </c>
      <c r="E176" s="53">
        <v>31292</v>
      </c>
      <c r="F176" s="52"/>
      <c r="G176" s="52"/>
      <c r="H176" s="52"/>
      <c r="I176" s="52"/>
      <c r="J176" s="52"/>
      <c r="K176" s="52"/>
      <c r="L176" s="52"/>
      <c r="M176" s="32"/>
      <c r="N176" s="32"/>
      <c r="O176" s="32"/>
      <c r="P176" s="52"/>
      <c r="Q176" s="52"/>
      <c r="R176" s="52"/>
      <c r="S176" s="52"/>
      <c r="T176" s="52"/>
      <c r="U176" s="52"/>
    </row>
    <row r="177" spans="1:21" ht="21.5" customHeight="1">
      <c r="A177" s="63" t="s">
        <v>344</v>
      </c>
      <c r="B177" s="64"/>
      <c r="C177" s="65">
        <f>C170+C171+C172+C173+C174+C175-C176</f>
        <v>0</v>
      </c>
      <c r="D177" s="65">
        <f>D170+D171+D172+D173+D174+D175-D176</f>
        <v>0</v>
      </c>
      <c r="E177" s="65">
        <f>E170+E171+E172+E173+E174+E175-E176</f>
        <v>0</v>
      </c>
      <c r="F177" s="64"/>
      <c r="G177" s="64"/>
      <c r="H177" s="64"/>
      <c r="I177" s="64"/>
      <c r="J177" s="64"/>
      <c r="K177" s="64"/>
      <c r="L177" s="64"/>
      <c r="M177" s="29"/>
      <c r="N177" s="29"/>
      <c r="O177" s="29"/>
      <c r="P177" s="64"/>
      <c r="Q177" s="64"/>
      <c r="R177" s="64"/>
      <c r="S177" s="64"/>
      <c r="T177" s="64"/>
      <c r="U177" s="64"/>
    </row>
    <row r="178" spans="1:21" ht="10" customHeight="1">
      <c r="M178" s="29"/>
      <c r="N178" s="29"/>
      <c r="O178" s="29"/>
    </row>
    <row r="179" spans="1:21" ht="21.5" customHeight="1">
      <c r="A179" s="61" t="s">
        <v>345</v>
      </c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29"/>
      <c r="N179" s="29"/>
      <c r="O179" s="29"/>
      <c r="P179" s="62"/>
      <c r="Q179" s="62"/>
      <c r="R179" s="62"/>
      <c r="S179" s="62"/>
      <c r="T179" s="62"/>
      <c r="U179" s="62"/>
    </row>
    <row r="180" spans="1:21" ht="21.5" customHeight="1">
      <c r="A180" s="56" t="s">
        <v>42</v>
      </c>
      <c r="C180" s="57">
        <v>264</v>
      </c>
      <c r="D180" s="57">
        <v>42</v>
      </c>
      <c r="E180" s="57">
        <v>564</v>
      </c>
      <c r="M180" s="29"/>
      <c r="N180" s="29"/>
      <c r="O180" s="29"/>
    </row>
    <row r="181" spans="1:21" ht="21.5" customHeight="1">
      <c r="A181" s="56" t="s">
        <v>43</v>
      </c>
      <c r="C181" s="57">
        <v>73</v>
      </c>
      <c r="D181" s="57">
        <v>73</v>
      </c>
      <c r="E181" s="57">
        <v>39</v>
      </c>
      <c r="M181" s="29"/>
      <c r="N181" s="29"/>
      <c r="O181" s="29"/>
    </row>
    <row r="182" spans="1:21" ht="21.5" customHeight="1">
      <c r="A182" s="56" t="s">
        <v>44</v>
      </c>
      <c r="C182" s="57">
        <v>3738</v>
      </c>
      <c r="D182" s="57">
        <v>1954</v>
      </c>
      <c r="E182" s="57">
        <v>263</v>
      </c>
      <c r="M182" s="29"/>
      <c r="N182" s="29"/>
      <c r="O182" s="29"/>
    </row>
    <row r="183" spans="1:21" ht="21.5" customHeight="1">
      <c r="A183" s="56" t="s">
        <v>46</v>
      </c>
      <c r="C183" s="57">
        <v>506</v>
      </c>
      <c r="D183" s="57">
        <v>409</v>
      </c>
      <c r="E183" s="57">
        <v>388</v>
      </c>
      <c r="M183" s="29"/>
      <c r="N183" s="29"/>
      <c r="O183" s="29"/>
    </row>
    <row r="184" spans="1:21" ht="21.5" customHeight="1">
      <c r="A184" s="56" t="s">
        <v>45</v>
      </c>
      <c r="C184" s="57">
        <v>134</v>
      </c>
      <c r="D184" s="57">
        <v>81</v>
      </c>
      <c r="E184" s="57">
        <v>11</v>
      </c>
      <c r="M184" s="29"/>
      <c r="N184" s="29"/>
      <c r="O184" s="29"/>
    </row>
    <row r="185" spans="1:21" ht="21.5" customHeight="1">
      <c r="A185" s="56" t="s">
        <v>77</v>
      </c>
      <c r="C185" s="57">
        <v>5</v>
      </c>
      <c r="D185" s="57">
        <v>0</v>
      </c>
      <c r="E185" s="57">
        <v>0</v>
      </c>
      <c r="M185" s="29"/>
      <c r="N185" s="29"/>
      <c r="O185" s="29"/>
    </row>
    <row r="186" spans="1:21" ht="21.5" customHeight="1">
      <c r="A186" s="56" t="s">
        <v>346</v>
      </c>
      <c r="C186" s="57">
        <v>-4720</v>
      </c>
      <c r="D186" s="57">
        <v>-2517</v>
      </c>
      <c r="E186" s="57">
        <v>-701</v>
      </c>
      <c r="M186" s="29"/>
      <c r="N186" s="29"/>
      <c r="O186" s="29"/>
    </row>
    <row r="187" spans="1:21" ht="21.5" customHeight="1">
      <c r="A187" s="51" t="s">
        <v>343</v>
      </c>
      <c r="B187" s="52"/>
      <c r="C187" s="53">
        <v>0</v>
      </c>
      <c r="D187" s="53">
        <v>42</v>
      </c>
      <c r="E187" s="53">
        <v>564</v>
      </c>
      <c r="F187" s="52"/>
      <c r="G187" s="52"/>
      <c r="H187" s="52"/>
      <c r="I187" s="52"/>
      <c r="J187" s="52"/>
      <c r="K187" s="52"/>
      <c r="L187" s="52"/>
      <c r="M187" s="32"/>
      <c r="N187" s="32"/>
      <c r="O187" s="32"/>
      <c r="P187" s="52"/>
      <c r="Q187" s="52"/>
      <c r="R187" s="52"/>
      <c r="S187" s="52"/>
      <c r="T187" s="52"/>
      <c r="U187" s="52"/>
    </row>
    <row r="188" spans="1:21" ht="21.5" customHeight="1">
      <c r="A188" s="63" t="s">
        <v>344</v>
      </c>
      <c r="B188" s="64"/>
      <c r="C188" s="65">
        <f>C180+C181+C182+C183+C184+C185+C186-C187</f>
        <v>0</v>
      </c>
      <c r="D188" s="65">
        <f>D180+D181+D182+D183+D184+D185+D186-D187</f>
        <v>0</v>
      </c>
      <c r="E188" s="65">
        <f>E180+E181+E182+E183+E184+E185+E186-E187</f>
        <v>0</v>
      </c>
      <c r="F188" s="64"/>
      <c r="G188" s="64"/>
      <c r="H188" s="64"/>
      <c r="I188" s="64"/>
      <c r="J188" s="64"/>
      <c r="K188" s="64"/>
      <c r="L188" s="64"/>
      <c r="M188" s="29"/>
      <c r="N188" s="29"/>
      <c r="O188" s="29"/>
      <c r="P188" s="64"/>
      <c r="Q188" s="64"/>
      <c r="R188" s="64"/>
      <c r="S188" s="64"/>
      <c r="T188" s="64"/>
      <c r="U188" s="64"/>
    </row>
    <row r="189" spans="1:21" ht="10" customHeight="1">
      <c r="M189" s="29"/>
      <c r="N189" s="29"/>
      <c r="O189" s="29"/>
    </row>
    <row r="190" spans="1:21" ht="21.5" customHeight="1">
      <c r="A190" s="61" t="s">
        <v>347</v>
      </c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29"/>
      <c r="N190" s="29"/>
      <c r="O190" s="29"/>
      <c r="P190" s="62"/>
      <c r="Q190" s="62"/>
      <c r="R190" s="62"/>
      <c r="S190" s="62"/>
      <c r="T190" s="62"/>
      <c r="U190" s="62"/>
    </row>
    <row r="191" spans="1:21" ht="21.5" customHeight="1">
      <c r="A191" s="56" t="s">
        <v>42</v>
      </c>
      <c r="C191" s="57">
        <v>7278</v>
      </c>
      <c r="D191" s="57">
        <v>7374</v>
      </c>
      <c r="E191" s="57">
        <v>7702</v>
      </c>
      <c r="M191" s="29"/>
      <c r="N191" s="29"/>
      <c r="O191" s="29"/>
    </row>
    <row r="192" spans="1:21" ht="21.5" customHeight="1">
      <c r="A192" s="56" t="s">
        <v>43</v>
      </c>
      <c r="C192" s="57">
        <v>3819</v>
      </c>
      <c r="D192" s="57">
        <v>4029</v>
      </c>
      <c r="E192" s="57">
        <v>4014</v>
      </c>
      <c r="M192" s="29"/>
      <c r="N192" s="29"/>
      <c r="O192" s="29"/>
    </row>
    <row r="193" spans="1:21" ht="21.5" customHeight="1">
      <c r="A193" s="56" t="s">
        <v>44</v>
      </c>
      <c r="C193" s="57">
        <v>10325</v>
      </c>
      <c r="D193" s="57">
        <v>10750</v>
      </c>
      <c r="E193" s="57">
        <v>11768</v>
      </c>
      <c r="M193" s="29"/>
      <c r="N193" s="29"/>
      <c r="O193" s="29"/>
    </row>
    <row r="194" spans="1:21" ht="21.5" customHeight="1">
      <c r="A194" s="56" t="s">
        <v>46</v>
      </c>
      <c r="C194" s="57">
        <v>5294</v>
      </c>
      <c r="D194" s="57">
        <v>5176</v>
      </c>
      <c r="E194" s="57">
        <v>5197</v>
      </c>
      <c r="M194" s="29"/>
      <c r="N194" s="29"/>
      <c r="O194" s="29"/>
    </row>
    <row r="195" spans="1:21" ht="21.5" customHeight="1">
      <c r="A195" s="56" t="s">
        <v>45</v>
      </c>
      <c r="C195" s="57">
        <v>19735</v>
      </c>
      <c r="D195" s="57">
        <v>10460</v>
      </c>
      <c r="E195" s="57">
        <v>3771</v>
      </c>
      <c r="M195" s="29"/>
      <c r="N195" s="29"/>
      <c r="O195" s="29"/>
    </row>
    <row r="196" spans="1:21" ht="21.5" customHeight="1">
      <c r="A196" s="56" t="s">
        <v>77</v>
      </c>
      <c r="C196" s="57">
        <v>132</v>
      </c>
      <c r="D196" s="57">
        <v>138</v>
      </c>
      <c r="E196" s="57">
        <v>105</v>
      </c>
      <c r="M196" s="29"/>
      <c r="N196" s="29"/>
      <c r="O196" s="29"/>
    </row>
    <row r="197" spans="1:21" ht="21.5" customHeight="1">
      <c r="A197" s="56" t="s">
        <v>346</v>
      </c>
      <c r="C197" s="57">
        <v>-4720</v>
      </c>
      <c r="D197" s="57">
        <v>-2517</v>
      </c>
      <c r="E197" s="57">
        <v>-701</v>
      </c>
      <c r="M197" s="29"/>
      <c r="N197" s="29"/>
      <c r="O197" s="29"/>
    </row>
    <row r="198" spans="1:21" ht="21.5" customHeight="1">
      <c r="A198" s="51" t="s">
        <v>343</v>
      </c>
      <c r="B198" s="52"/>
      <c r="C198" s="53">
        <v>41863</v>
      </c>
      <c r="D198" s="53">
        <v>35410</v>
      </c>
      <c r="E198" s="53">
        <v>31856</v>
      </c>
      <c r="F198" s="52"/>
      <c r="G198" s="52"/>
      <c r="H198" s="52"/>
      <c r="I198" s="52"/>
      <c r="J198" s="52"/>
      <c r="K198" s="52"/>
      <c r="L198" s="52"/>
      <c r="M198" s="32"/>
      <c r="N198" s="32"/>
      <c r="O198" s="32"/>
      <c r="P198" s="52"/>
      <c r="Q198" s="52"/>
      <c r="R198" s="52"/>
      <c r="S198" s="52"/>
      <c r="T198" s="52"/>
      <c r="U198" s="52"/>
    </row>
    <row r="199" spans="1:21" ht="21.5" customHeight="1">
      <c r="A199" s="63" t="s">
        <v>344</v>
      </c>
      <c r="B199" s="64"/>
      <c r="C199" s="65">
        <f>C191+C192+C193+C194+C195+C196+C197-C198</f>
        <v>0</v>
      </c>
      <c r="D199" s="65">
        <f>D191+D192+D193+D194+D195+D196+D197-D198</f>
        <v>0</v>
      </c>
      <c r="E199" s="65">
        <f>E191+E192+E193+E194+E195+E196+E197-E198</f>
        <v>0</v>
      </c>
      <c r="F199" s="64"/>
      <c r="G199" s="64"/>
      <c r="H199" s="64"/>
      <c r="I199" s="64"/>
      <c r="J199" s="64"/>
      <c r="K199" s="64"/>
      <c r="L199" s="64"/>
      <c r="M199" s="29"/>
      <c r="N199" s="29"/>
      <c r="O199" s="29"/>
      <c r="P199" s="64"/>
      <c r="Q199" s="64"/>
      <c r="R199" s="64"/>
      <c r="S199" s="64"/>
      <c r="T199" s="64"/>
      <c r="U199" s="64"/>
    </row>
    <row r="200" spans="1:21" ht="10" customHeight="1">
      <c r="M200" s="29"/>
      <c r="N200" s="29"/>
      <c r="O200" s="29"/>
    </row>
    <row r="201" spans="1:21" ht="21.5" customHeight="1">
      <c r="A201" s="61" t="s">
        <v>348</v>
      </c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29"/>
      <c r="N201" s="29"/>
      <c r="O201" s="29"/>
      <c r="P201" s="62"/>
      <c r="Q201" s="62"/>
      <c r="R201" s="62"/>
      <c r="S201" s="62"/>
      <c r="T201" s="62"/>
      <c r="U201" s="62"/>
    </row>
    <row r="202" spans="1:21" ht="21.5" customHeight="1">
      <c r="A202" s="56" t="s">
        <v>42</v>
      </c>
      <c r="C202" s="57">
        <v>3668</v>
      </c>
      <c r="D202" s="57">
        <v>3625</v>
      </c>
      <c r="E202" s="57">
        <v>3714</v>
      </c>
      <c r="M202" s="29"/>
      <c r="N202" s="29"/>
      <c r="O202" s="29"/>
    </row>
    <row r="203" spans="1:21" ht="21.5" customHeight="1">
      <c r="A203" s="56" t="s">
        <v>43</v>
      </c>
      <c r="C203" s="57">
        <v>1953</v>
      </c>
      <c r="D203" s="57">
        <v>2218</v>
      </c>
      <c r="E203" s="57">
        <v>2321</v>
      </c>
      <c r="M203" s="29"/>
      <c r="N203" s="29"/>
      <c r="O203" s="29"/>
    </row>
    <row r="204" spans="1:21" ht="21.5" customHeight="1">
      <c r="A204" s="56" t="s">
        <v>44</v>
      </c>
      <c r="C204" s="57">
        <v>2614</v>
      </c>
      <c r="D204" s="57">
        <v>2591</v>
      </c>
      <c r="E204" s="57">
        <v>2453</v>
      </c>
      <c r="M204" s="29"/>
      <c r="N204" s="29"/>
      <c r="O204" s="29"/>
    </row>
    <row r="205" spans="1:21" ht="21.5" customHeight="1">
      <c r="A205" s="56" t="s">
        <v>46</v>
      </c>
      <c r="C205" s="57">
        <v>2210</v>
      </c>
      <c r="D205" s="57">
        <v>2147</v>
      </c>
      <c r="E205" s="57">
        <v>2278</v>
      </c>
      <c r="M205" s="29"/>
      <c r="N205" s="29"/>
      <c r="O205" s="29"/>
    </row>
    <row r="206" spans="1:21" ht="21.5" customHeight="1">
      <c r="A206" s="56" t="s">
        <v>45</v>
      </c>
      <c r="C206" s="57">
        <v>1</v>
      </c>
      <c r="D206" s="57">
        <v>-962</v>
      </c>
      <c r="E206" s="57">
        <v>-649</v>
      </c>
      <c r="M206" s="29"/>
      <c r="N206" s="29"/>
      <c r="O206" s="29"/>
    </row>
    <row r="207" spans="1:21" ht="21.5" customHeight="1">
      <c r="A207" s="56" t="s">
        <v>77</v>
      </c>
      <c r="C207" s="57">
        <v>-1789</v>
      </c>
      <c r="D207" s="57">
        <v>-2020</v>
      </c>
      <c r="E207" s="57">
        <v>-1417</v>
      </c>
      <c r="M207" s="29"/>
      <c r="N207" s="29"/>
      <c r="O207" s="29"/>
    </row>
    <row r="208" spans="1:21" ht="21.5" customHeight="1">
      <c r="A208" s="51" t="s">
        <v>343</v>
      </c>
      <c r="B208" s="52"/>
      <c r="C208" s="53">
        <v>8657</v>
      </c>
      <c r="D208" s="53">
        <v>7599</v>
      </c>
      <c r="E208" s="53">
        <v>8700</v>
      </c>
      <c r="F208" s="52"/>
      <c r="G208" s="52"/>
      <c r="H208" s="52"/>
      <c r="I208" s="52"/>
      <c r="J208" s="52"/>
      <c r="K208" s="52"/>
      <c r="L208" s="52"/>
      <c r="M208" s="32"/>
      <c r="N208" s="32"/>
      <c r="O208" s="32"/>
      <c r="P208" s="52"/>
      <c r="Q208" s="52"/>
      <c r="R208" s="52"/>
      <c r="S208" s="52"/>
      <c r="T208" s="52"/>
      <c r="U208" s="52"/>
    </row>
    <row r="209" spans="1:21" ht="21.5" customHeight="1">
      <c r="A209" s="63" t="s">
        <v>344</v>
      </c>
      <c r="B209" s="64"/>
      <c r="C209" s="65">
        <f>C202+C203+C204+C205+C206+C207-C208</f>
        <v>0</v>
      </c>
      <c r="D209" s="65">
        <f>D202+D203+D204+D205+D206+D207-D208</f>
        <v>0</v>
      </c>
      <c r="E209" s="65">
        <f>E202+E203+E204+E205+E206+E207-E208</f>
        <v>0</v>
      </c>
      <c r="F209" s="64"/>
      <c r="G209" s="64"/>
      <c r="H209" s="64"/>
      <c r="I209" s="64"/>
      <c r="J209" s="64"/>
      <c r="K209" s="64"/>
      <c r="L209" s="64"/>
      <c r="M209" s="29"/>
      <c r="N209" s="29"/>
      <c r="O209" s="29"/>
      <c r="P209" s="64"/>
      <c r="Q209" s="64"/>
      <c r="R209" s="64"/>
      <c r="S209" s="64"/>
      <c r="T209" s="64"/>
      <c r="U209" s="64"/>
    </row>
    <row r="210" spans="1:21" ht="10" customHeight="1">
      <c r="M210" s="29"/>
      <c r="N210" s="29"/>
      <c r="O210" s="29"/>
    </row>
    <row r="211" spans="1:21" ht="21.5" customHeight="1">
      <c r="A211" s="61" t="s">
        <v>274</v>
      </c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29"/>
      <c r="N211" s="29"/>
      <c r="O211" s="29"/>
      <c r="P211" s="62"/>
      <c r="Q211" s="62"/>
      <c r="R211" s="62"/>
      <c r="S211" s="62"/>
      <c r="T211" s="62"/>
      <c r="U211" s="62"/>
    </row>
    <row r="212" spans="1:21" ht="21.5" customHeight="1">
      <c r="A212" s="56" t="s">
        <v>42</v>
      </c>
      <c r="C212" s="57">
        <v>93</v>
      </c>
      <c r="D212" s="57">
        <v>91</v>
      </c>
      <c r="E212" s="57">
        <v>85</v>
      </c>
      <c r="M212" s="29"/>
      <c r="N212" s="29"/>
      <c r="O212" s="29"/>
    </row>
    <row r="213" spans="1:21" ht="21.5" customHeight="1">
      <c r="A213" s="56" t="s">
        <v>43</v>
      </c>
      <c r="C213" s="57">
        <v>35</v>
      </c>
      <c r="D213" s="57">
        <v>37</v>
      </c>
      <c r="E213" s="57">
        <v>30</v>
      </c>
      <c r="M213" s="29"/>
      <c r="N213" s="29"/>
      <c r="O213" s="29"/>
    </row>
    <row r="214" spans="1:21" ht="21.5" customHeight="1">
      <c r="A214" s="56" t="s">
        <v>44</v>
      </c>
      <c r="C214" s="57">
        <v>426</v>
      </c>
      <c r="D214" s="57">
        <v>411</v>
      </c>
      <c r="E214" s="57">
        <v>422</v>
      </c>
      <c r="M214" s="29"/>
      <c r="N214" s="29"/>
      <c r="O214" s="29"/>
    </row>
    <row r="215" spans="1:21" ht="21.5" customHeight="1">
      <c r="A215" s="56" t="s">
        <v>46</v>
      </c>
      <c r="C215" s="57">
        <v>80</v>
      </c>
      <c r="D215" s="57">
        <v>65</v>
      </c>
      <c r="E215" s="57">
        <v>58</v>
      </c>
      <c r="M215" s="29"/>
      <c r="N215" s="29"/>
      <c r="O215" s="29"/>
    </row>
    <row r="216" spans="1:21" ht="21.5" customHeight="1">
      <c r="A216" s="56" t="s">
        <v>45</v>
      </c>
      <c r="C216" s="57">
        <v>1013</v>
      </c>
      <c r="D216" s="57">
        <v>454</v>
      </c>
      <c r="E216" s="57">
        <v>239</v>
      </c>
      <c r="M216" s="29"/>
      <c r="N216" s="29"/>
      <c r="O216" s="29"/>
    </row>
    <row r="217" spans="1:21" ht="21.5" customHeight="1">
      <c r="A217" s="56" t="s">
        <v>77</v>
      </c>
      <c r="C217" s="57">
        <v>140</v>
      </c>
      <c r="D217" s="57">
        <v>202</v>
      </c>
      <c r="E217" s="57">
        <v>252</v>
      </c>
      <c r="M217" s="29"/>
      <c r="N217" s="29"/>
      <c r="O217" s="29"/>
    </row>
    <row r="218" spans="1:21" ht="21.5" customHeight="1">
      <c r="A218" s="51" t="s">
        <v>343</v>
      </c>
      <c r="B218" s="52"/>
      <c r="C218" s="53">
        <v>1787</v>
      </c>
      <c r="D218" s="53">
        <v>1260</v>
      </c>
      <c r="E218" s="53">
        <v>1086</v>
      </c>
      <c r="F218" s="52"/>
      <c r="G218" s="52"/>
      <c r="H218" s="52"/>
      <c r="I218" s="52"/>
      <c r="J218" s="52"/>
      <c r="K218" s="52"/>
      <c r="L218" s="52"/>
      <c r="M218" s="32"/>
      <c r="N218" s="32"/>
      <c r="O218" s="32"/>
      <c r="P218" s="52"/>
      <c r="Q218" s="52"/>
      <c r="R218" s="52"/>
      <c r="S218" s="52"/>
      <c r="T218" s="52"/>
      <c r="U218" s="52"/>
    </row>
    <row r="219" spans="1:21" ht="21.5" customHeight="1">
      <c r="A219" s="63" t="s">
        <v>344</v>
      </c>
      <c r="B219" s="64"/>
      <c r="C219" s="65">
        <f>C212+C213+C214+C215+C216+C217-C218</f>
        <v>0</v>
      </c>
      <c r="D219" s="65">
        <f>D212+D213+D214+D215+D216+D217-D218</f>
        <v>0</v>
      </c>
      <c r="E219" s="65">
        <f>E212+E213+E214+E215+E216+E217-E218</f>
        <v>0</v>
      </c>
      <c r="F219" s="64"/>
      <c r="G219" s="64"/>
      <c r="H219" s="64"/>
      <c r="I219" s="64"/>
      <c r="J219" s="64"/>
      <c r="K219" s="64"/>
      <c r="L219" s="64"/>
      <c r="M219" s="29"/>
      <c r="N219" s="29"/>
      <c r="O219" s="29"/>
      <c r="P219" s="64"/>
      <c r="Q219" s="64"/>
      <c r="R219" s="64"/>
      <c r="S219" s="64"/>
      <c r="T219" s="64"/>
      <c r="U219" s="64"/>
    </row>
    <row r="220" spans="1:21" ht="10" customHeight="1">
      <c r="M220" s="29"/>
      <c r="N220" s="29"/>
      <c r="O220" s="29"/>
    </row>
    <row r="221" spans="1:21" ht="21.5" customHeight="1">
      <c r="A221" s="61" t="s">
        <v>349</v>
      </c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29"/>
      <c r="N221" s="29"/>
      <c r="O221" s="29"/>
      <c r="P221" s="62"/>
      <c r="Q221" s="62"/>
      <c r="R221" s="62"/>
      <c r="S221" s="62"/>
      <c r="T221" s="62"/>
      <c r="U221" s="62"/>
    </row>
    <row r="222" spans="1:21" ht="21.5" customHeight="1">
      <c r="A222" s="56" t="s">
        <v>42</v>
      </c>
      <c r="C222" s="57">
        <v>62</v>
      </c>
      <c r="D222" s="57">
        <v>81</v>
      </c>
      <c r="E222" s="57">
        <v>77</v>
      </c>
      <c r="M222" s="29"/>
      <c r="N222" s="29"/>
      <c r="O222" s="29"/>
    </row>
    <row r="223" spans="1:21" ht="21.5" customHeight="1">
      <c r="A223" s="56" t="s">
        <v>43</v>
      </c>
      <c r="C223" s="57">
        <v>45</v>
      </c>
      <c r="D223" s="57">
        <v>55</v>
      </c>
      <c r="E223" s="57">
        <v>90</v>
      </c>
      <c r="M223" s="29"/>
      <c r="N223" s="29"/>
      <c r="O223" s="29"/>
    </row>
    <row r="224" spans="1:21" ht="21.5" customHeight="1">
      <c r="A224" s="56" t="s">
        <v>44</v>
      </c>
      <c r="C224" s="57">
        <v>438</v>
      </c>
      <c r="D224" s="57">
        <v>541</v>
      </c>
      <c r="E224" s="57">
        <v>429</v>
      </c>
      <c r="M224" s="29"/>
      <c r="N224" s="29"/>
      <c r="O224" s="29"/>
    </row>
    <row r="225" spans="1:21" ht="21.5" customHeight="1">
      <c r="A225" s="56" t="s">
        <v>46</v>
      </c>
      <c r="C225" s="57">
        <v>107</v>
      </c>
      <c r="D225" s="57">
        <v>50</v>
      </c>
      <c r="E225" s="57">
        <v>31</v>
      </c>
      <c r="M225" s="29"/>
      <c r="N225" s="29"/>
      <c r="O225" s="29"/>
    </row>
    <row r="226" spans="1:21" ht="21.5" customHeight="1">
      <c r="A226" s="56" t="s">
        <v>45</v>
      </c>
      <c r="C226" s="57">
        <v>1329</v>
      </c>
      <c r="D226" s="57">
        <v>662</v>
      </c>
      <c r="E226" s="57">
        <v>316</v>
      </c>
      <c r="M226" s="29"/>
      <c r="N226" s="29"/>
      <c r="O226" s="29"/>
    </row>
    <row r="227" spans="1:21" ht="21.5" customHeight="1">
      <c r="A227" s="56" t="s">
        <v>77</v>
      </c>
      <c r="C227" s="57">
        <v>281</v>
      </c>
      <c r="D227" s="57">
        <v>286</v>
      </c>
      <c r="E227" s="57">
        <v>404</v>
      </c>
      <c r="M227" s="29"/>
      <c r="N227" s="29"/>
      <c r="O227" s="29"/>
    </row>
    <row r="228" spans="1:21" ht="21.5" customHeight="1">
      <c r="A228" s="51" t="s">
        <v>343</v>
      </c>
      <c r="B228" s="52"/>
      <c r="C228" s="53">
        <v>2262</v>
      </c>
      <c r="D228" s="53">
        <v>1675</v>
      </c>
      <c r="E228" s="53">
        <v>1347</v>
      </c>
      <c r="F228" s="52"/>
      <c r="G228" s="52"/>
      <c r="H228" s="52"/>
      <c r="I228" s="52"/>
      <c r="J228" s="52"/>
      <c r="K228" s="52"/>
      <c r="L228" s="52"/>
      <c r="M228" s="32"/>
      <c r="N228" s="32"/>
      <c r="O228" s="32"/>
      <c r="P228" s="52"/>
      <c r="Q228" s="52"/>
      <c r="R228" s="52"/>
      <c r="S228" s="52"/>
      <c r="T228" s="52"/>
      <c r="U228" s="52"/>
    </row>
    <row r="229" spans="1:21" ht="21.5" customHeight="1">
      <c r="A229" s="63" t="s">
        <v>344</v>
      </c>
      <c r="B229" s="64"/>
      <c r="C229" s="65">
        <f>C222+C223+C224+C225+C226+C227-C228</f>
        <v>0</v>
      </c>
      <c r="D229" s="65">
        <f>D222+D223+D224+D225+D226+D227-D228</f>
        <v>0</v>
      </c>
      <c r="E229" s="65">
        <f>E222+E223+E224+E225+E226+E227-E228</f>
        <v>0</v>
      </c>
      <c r="F229" s="64"/>
      <c r="G229" s="64"/>
      <c r="H229" s="64"/>
      <c r="I229" s="64"/>
      <c r="J229" s="64"/>
      <c r="K229" s="64"/>
      <c r="L229" s="64"/>
      <c r="M229" s="29"/>
      <c r="N229" s="29"/>
      <c r="O229" s="29"/>
      <c r="P229" s="64"/>
      <c r="Q229" s="64"/>
      <c r="R229" s="64"/>
      <c r="S229" s="64"/>
      <c r="T229" s="64"/>
      <c r="U229" s="64"/>
    </row>
    <row r="230" spans="1:21" ht="10" customHeight="1">
      <c r="M230" s="29"/>
      <c r="N230" s="29"/>
      <c r="O230" s="29"/>
    </row>
    <row r="231" spans="1:21" ht="37" customHeight="1">
      <c r="A231" s="78" t="s">
        <v>350</v>
      </c>
      <c r="B231" s="71" t="s">
        <v>351</v>
      </c>
      <c r="C231" s="79">
        <f>C176-'Income Statement'!C11</f>
        <v>0</v>
      </c>
      <c r="D231" s="79">
        <f>D176-'Income Statement'!D11</f>
        <v>-844</v>
      </c>
      <c r="E231" s="79">
        <f>E176-'Income Statement'!E11</f>
        <v>-3008</v>
      </c>
      <c r="M231" s="29"/>
      <c r="N231" s="29"/>
      <c r="O231" s="29"/>
    </row>
    <row r="232" spans="1:21" ht="37" customHeight="1">
      <c r="A232" s="78" t="s">
        <v>352</v>
      </c>
      <c r="B232" s="71" t="s">
        <v>353</v>
      </c>
      <c r="C232" s="79">
        <f>C198-'Income Statement'!C11</f>
        <v>0</v>
      </c>
      <c r="D232" s="79">
        <f>D198-'Income Statement'!D11</f>
        <v>-802</v>
      </c>
      <c r="E232" s="79">
        <f>E198-'Income Statement'!E11</f>
        <v>-2444</v>
      </c>
      <c r="M232" s="29"/>
      <c r="N232" s="29"/>
      <c r="O232" s="29"/>
    </row>
    <row r="233" spans="1:21" ht="37" customHeight="1">
      <c r="A233" s="63" t="s">
        <v>354</v>
      </c>
      <c r="B233" s="64"/>
      <c r="C233" s="80">
        <f>C176-'Income Statement'!C11</f>
        <v>0</v>
      </c>
      <c r="D233" s="64"/>
      <c r="E233" s="64"/>
      <c r="F233" s="64"/>
      <c r="G233" s="64"/>
      <c r="H233" s="64"/>
      <c r="I233" s="64"/>
      <c r="J233" s="64"/>
      <c r="K233" s="64"/>
      <c r="L233" s="64"/>
      <c r="M233" s="29"/>
      <c r="N233" s="29"/>
      <c r="O233" s="29"/>
      <c r="P233" s="64"/>
      <c r="Q233" s="64"/>
      <c r="R233" s="64"/>
      <c r="S233" s="64"/>
      <c r="T233" s="64"/>
      <c r="U233" s="64"/>
    </row>
    <row r="234" spans="1:21" ht="21.5" customHeight="1">
      <c r="A234" s="63" t="s">
        <v>355</v>
      </c>
      <c r="B234" s="64"/>
      <c r="C234" s="80">
        <f>C208-'Income Statement'!C18</f>
        <v>0</v>
      </c>
      <c r="D234" s="64"/>
      <c r="E234" s="64"/>
      <c r="F234" s="64"/>
      <c r="G234" s="64"/>
      <c r="H234" s="64"/>
      <c r="I234" s="64"/>
      <c r="J234" s="64"/>
      <c r="K234" s="64"/>
      <c r="L234" s="64"/>
      <c r="M234" s="29"/>
      <c r="N234" s="29"/>
      <c r="O234" s="29"/>
      <c r="P234" s="64"/>
      <c r="Q234" s="64"/>
      <c r="R234" s="64"/>
      <c r="S234" s="64"/>
      <c r="T234" s="64"/>
      <c r="U234" s="64"/>
    </row>
    <row r="235" spans="1:21" ht="21.5" customHeight="1">
      <c r="A235" s="63" t="s">
        <v>356</v>
      </c>
      <c r="B235" s="64"/>
      <c r="C235" s="80">
        <f>C218-'Cash Flow'!C17</f>
        <v>0</v>
      </c>
      <c r="D235" s="64"/>
      <c r="E235" s="64"/>
      <c r="F235" s="64"/>
      <c r="G235" s="64"/>
      <c r="H235" s="64"/>
      <c r="I235" s="64"/>
      <c r="J235" s="64"/>
      <c r="K235" s="64"/>
      <c r="L235" s="64"/>
      <c r="M235" s="29"/>
      <c r="N235" s="29"/>
      <c r="O235" s="29"/>
      <c r="P235" s="64"/>
      <c r="Q235" s="64"/>
      <c r="R235" s="64"/>
      <c r="S235" s="64"/>
      <c r="T235" s="64"/>
      <c r="U235" s="64"/>
    </row>
    <row r="236" spans="1:21" ht="37" customHeight="1">
      <c r="A236" s="78" t="s">
        <v>357</v>
      </c>
      <c r="C236" s="79">
        <f>C228+'Cash Flow'!C32</f>
        <v>0</v>
      </c>
      <c r="M236" s="29"/>
      <c r="N236" s="29"/>
      <c r="O236" s="29"/>
    </row>
    <row r="237" spans="1:21" ht="21.5" customHeight="1">
      <c r="A237" s="78" t="s">
        <v>367</v>
      </c>
      <c r="D237" s="79">
        <f>D176-'Income Statement'!D11</f>
        <v>-844</v>
      </c>
      <c r="E237" s="79">
        <f>E176-'Income Statement'!E11</f>
        <v>-3008</v>
      </c>
      <c r="M237" s="29"/>
      <c r="N237" s="29"/>
      <c r="O237" s="29"/>
    </row>
    <row r="238" spans="1:21" ht="37" customHeight="1">
      <c r="A238" s="78" t="s">
        <v>368</v>
      </c>
      <c r="D238" s="79">
        <f>D208-'Income Statement'!D18</f>
        <v>-156</v>
      </c>
      <c r="E238" s="79">
        <f>E208-'Income Statement'!E18</f>
        <v>-452</v>
      </c>
      <c r="M238" s="29"/>
      <c r="N238" s="29"/>
      <c r="O238" s="29"/>
    </row>
    <row r="239" spans="1:21" ht="21.5" customHeight="1">
      <c r="A239" s="56" t="s">
        <v>358</v>
      </c>
      <c r="C239" s="55">
        <f t="shared" ref="C239:E243" si="10">C202/C170</f>
        <v>0.52295409181636732</v>
      </c>
      <c r="D239" s="55">
        <f t="shared" si="10"/>
        <v>0.49440807419530824</v>
      </c>
      <c r="E239" s="55">
        <f t="shared" si="10"/>
        <v>0.52031381339310734</v>
      </c>
      <c r="M239" s="29"/>
      <c r="N239" s="29"/>
      <c r="O239" s="29"/>
    </row>
    <row r="240" spans="1:21" ht="37" customHeight="1">
      <c r="A240" s="56" t="s">
        <v>359</v>
      </c>
      <c r="C240" s="55">
        <f t="shared" si="10"/>
        <v>0.52135611318739994</v>
      </c>
      <c r="D240" s="55">
        <f t="shared" si="10"/>
        <v>0.56066734074823055</v>
      </c>
      <c r="E240" s="55">
        <f t="shared" si="10"/>
        <v>0.58389937106918244</v>
      </c>
      <c r="M240" s="29"/>
      <c r="N240" s="29"/>
      <c r="O240" s="29"/>
    </row>
    <row r="241" spans="1:15" ht="37" customHeight="1">
      <c r="A241" s="56" t="s">
        <v>360</v>
      </c>
      <c r="C241" s="55">
        <f t="shared" si="10"/>
        <v>0.39684226506755732</v>
      </c>
      <c r="D241" s="55">
        <f t="shared" si="10"/>
        <v>0.29456571168713053</v>
      </c>
      <c r="E241" s="55">
        <f t="shared" si="10"/>
        <v>0.21321164710995219</v>
      </c>
      <c r="M241" s="29"/>
      <c r="N241" s="29"/>
      <c r="O241" s="29"/>
    </row>
    <row r="242" spans="1:15" ht="37" customHeight="1">
      <c r="A242" s="56" t="s">
        <v>361</v>
      </c>
      <c r="C242" s="55">
        <f t="shared" si="10"/>
        <v>0.46157059314954052</v>
      </c>
      <c r="D242" s="55">
        <f t="shared" si="10"/>
        <v>0.45038808474931824</v>
      </c>
      <c r="E242" s="55">
        <f t="shared" si="10"/>
        <v>0.47369515491786235</v>
      </c>
      <c r="M242" s="29"/>
      <c r="N242" s="29"/>
      <c r="O242" s="29"/>
    </row>
    <row r="243" spans="1:15" ht="37" customHeight="1">
      <c r="A243" s="56" t="s">
        <v>362</v>
      </c>
      <c r="B243" s="71" t="s">
        <v>363</v>
      </c>
      <c r="C243" s="55">
        <f t="shared" si="10"/>
        <v>5.1017805214019691E-5</v>
      </c>
      <c r="D243" s="55">
        <f t="shared" si="10"/>
        <v>-9.268715675883997E-2</v>
      </c>
      <c r="E243" s="55">
        <f t="shared" si="10"/>
        <v>-0.17260638297872341</v>
      </c>
      <c r="M243" s="29"/>
      <c r="N243" s="29"/>
      <c r="O243" s="29"/>
    </row>
    <row r="244" spans="1:15" ht="10" customHeight="1">
      <c r="M244" s="29"/>
      <c r="N244" s="29"/>
      <c r="O244" s="29"/>
    </row>
  </sheetData>
  <mergeCells count="9">
    <mergeCell ref="A1:U1"/>
    <mergeCell ref="A9:U9"/>
    <mergeCell ref="A8:U8"/>
    <mergeCell ref="A168:U168"/>
    <mergeCell ref="A6:U6"/>
    <mergeCell ref="A2:U2"/>
    <mergeCell ref="A86:U86"/>
    <mergeCell ref="A7:U7"/>
    <mergeCell ref="A11:U11"/>
  </mergeCells>
  <phoneticPr fontId="9" type="noConversion"/>
  <conditionalFormatting sqref="C20:U20">
    <cfRule type="cellIs" dxfId="29" priority="1" operator="notBetween">
      <formula>-0.5</formula>
      <formula>0.5</formula>
    </cfRule>
  </conditionalFormatting>
  <conditionalFormatting sqref="C31:U31">
    <cfRule type="cellIs" dxfId="28" priority="2" operator="notBetween">
      <formula>-0.5</formula>
      <formula>0.5</formula>
    </cfRule>
  </conditionalFormatting>
  <conditionalFormatting sqref="C42:U42">
    <cfRule type="cellIs" dxfId="27" priority="3" operator="notBetween">
      <formula>-0.5</formula>
      <formula>0.5</formula>
    </cfRule>
  </conditionalFormatting>
  <conditionalFormatting sqref="C52:U52">
    <cfRule type="cellIs" dxfId="26" priority="4" operator="notBetween">
      <formula>-0.5</formula>
      <formula>0.5</formula>
    </cfRule>
  </conditionalFormatting>
  <conditionalFormatting sqref="C62:U62">
    <cfRule type="cellIs" dxfId="25" priority="5" operator="notBetween">
      <formula>-0.5</formula>
      <formula>0.5</formula>
    </cfRule>
  </conditionalFormatting>
  <conditionalFormatting sqref="C72:U72">
    <cfRule type="cellIs" dxfId="24" priority="6" operator="notBetween">
      <formula>-0.5</formula>
      <formula>0.5</formula>
    </cfRule>
  </conditionalFormatting>
  <conditionalFormatting sqref="C76:U78">
    <cfRule type="cellIs" dxfId="23" priority="7" operator="notBetween">
      <formula>-0.5</formula>
      <formula>0.5</formula>
    </cfRule>
  </conditionalFormatting>
  <conditionalFormatting sqref="C96:U96">
    <cfRule type="cellIs" dxfId="22" priority="10" operator="notBetween">
      <formula>-0.5</formula>
      <formula>0.5</formula>
    </cfRule>
  </conditionalFormatting>
  <conditionalFormatting sqref="C108:U108">
    <cfRule type="cellIs" dxfId="21" priority="11" operator="notBetween">
      <formula>-0.5</formula>
      <formula>0.5</formula>
    </cfRule>
  </conditionalFormatting>
  <conditionalFormatting sqref="C120:U120">
    <cfRule type="cellIs" dxfId="20" priority="12" operator="notBetween">
      <formula>-0.5</formula>
      <formula>0.5</formula>
    </cfRule>
  </conditionalFormatting>
  <conditionalFormatting sqref="C131:U131">
    <cfRule type="cellIs" dxfId="19" priority="13" operator="notBetween">
      <formula>-0.5</formula>
      <formula>0.5</formula>
    </cfRule>
  </conditionalFormatting>
  <conditionalFormatting sqref="C142:U142">
    <cfRule type="cellIs" dxfId="18" priority="14" operator="notBetween">
      <formula>-0.5</formula>
      <formula>0.5</formula>
    </cfRule>
  </conditionalFormatting>
  <conditionalFormatting sqref="C153:U153">
    <cfRule type="cellIs" dxfId="17" priority="15" operator="notBetween">
      <formula>-0.5</formula>
      <formula>0.5</formula>
    </cfRule>
  </conditionalFormatting>
  <conditionalFormatting sqref="C157:U159">
    <cfRule type="cellIs" dxfId="16" priority="16" operator="notBetween">
      <formula>-0.5</formula>
      <formula>0.5</formula>
    </cfRule>
  </conditionalFormatting>
  <conditionalFormatting sqref="C177:U177">
    <cfRule type="cellIs" dxfId="15" priority="19" operator="notBetween">
      <formula>-0.5</formula>
      <formula>0.5</formula>
    </cfRule>
  </conditionalFormatting>
  <conditionalFormatting sqref="C188:U188">
    <cfRule type="cellIs" dxfId="14" priority="20" operator="notBetween">
      <formula>-0.5</formula>
      <formula>0.5</formula>
    </cfRule>
  </conditionalFormatting>
  <conditionalFormatting sqref="C199:U199">
    <cfRule type="cellIs" dxfId="13" priority="21" operator="notBetween">
      <formula>-0.5</formula>
      <formula>0.5</formula>
    </cfRule>
  </conditionalFormatting>
  <conditionalFormatting sqref="C209:U209">
    <cfRule type="cellIs" dxfId="12" priority="22" operator="notBetween">
      <formula>-0.5</formula>
      <formula>0.5</formula>
    </cfRule>
  </conditionalFormatting>
  <conditionalFormatting sqref="C219:U219">
    <cfRule type="cellIs" dxfId="11" priority="23" operator="notBetween">
      <formula>-0.5</formula>
      <formula>0.5</formula>
    </cfRule>
  </conditionalFormatting>
  <conditionalFormatting sqref="C229:U229">
    <cfRule type="cellIs" dxfId="10" priority="24" operator="notBetween">
      <formula>-0.5</formula>
      <formula>0.5</formula>
    </cfRule>
  </conditionalFormatting>
  <conditionalFormatting sqref="C233:U235">
    <cfRule type="cellIs" dxfId="9" priority="25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07D79"/>
    <pageSetUpPr fitToPage="1"/>
  </sheetPr>
  <dimension ref="A1:U26"/>
  <sheetViews>
    <sheetView showGridLines="0" zoomScale="95" zoomScaleNormal="95" workbookViewId="0">
      <pane xSplit="2" ySplit="5" topLeftCell="C6" activePane="bottomRight" state="frozen"/>
      <selection pane="topRight" activeCell="C3" sqref="C3"/>
      <selection pane="bottomLeft" activeCell="A6" sqref="A6"/>
      <selection pane="bottomRight" activeCell="A6" sqref="A6:U6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22" t="s">
        <v>369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21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25" customHeight="1"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  <c r="K3" s="46" t="s">
        <v>10</v>
      </c>
      <c r="L3" s="46" t="s">
        <v>11</v>
      </c>
      <c r="M3" s="47" t="s">
        <v>12</v>
      </c>
      <c r="N3" s="47" t="s">
        <v>12</v>
      </c>
      <c r="O3" s="47" t="s">
        <v>12</v>
      </c>
      <c r="P3" s="48" t="s">
        <v>13</v>
      </c>
      <c r="Q3" s="48" t="s">
        <v>14</v>
      </c>
      <c r="R3" s="48" t="s">
        <v>15</v>
      </c>
      <c r="S3" s="48" t="s">
        <v>16</v>
      </c>
      <c r="T3" s="48" t="s">
        <v>17</v>
      </c>
      <c r="U3" s="48" t="s">
        <v>18</v>
      </c>
    </row>
    <row r="4" spans="1:21" ht="18" customHeight="1">
      <c r="C4" s="49" t="s">
        <v>19</v>
      </c>
      <c r="D4" s="49" t="s">
        <v>20</v>
      </c>
      <c r="E4" s="49" t="s">
        <v>21</v>
      </c>
      <c r="F4" s="49" t="s">
        <v>22</v>
      </c>
      <c r="G4" s="49" t="s">
        <v>23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28</v>
      </c>
      <c r="M4" s="50"/>
      <c r="N4" s="50"/>
      <c r="O4" s="50"/>
      <c r="P4" s="49" t="s">
        <v>29</v>
      </c>
      <c r="Q4" s="49" t="s">
        <v>30</v>
      </c>
      <c r="R4" s="49" t="s">
        <v>31</v>
      </c>
      <c r="S4" s="49" t="s">
        <v>32</v>
      </c>
      <c r="T4" s="49" t="s">
        <v>33</v>
      </c>
      <c r="U4" s="49" t="s">
        <v>34</v>
      </c>
    </row>
    <row r="5" spans="1:21" ht="10" customHeight="1">
      <c r="M5" s="29"/>
      <c r="N5" s="29"/>
      <c r="O5" s="29"/>
    </row>
    <row r="6" spans="1:21" ht="22" customHeight="1">
      <c r="A6" s="21" t="s">
        <v>35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22" customHeight="1">
      <c r="A7" s="21" t="str">
        <f>HYPERLINK("#'Geography'!A10","1. NET OPERATING REVENUES BY GEOGRAPHY (Note: Operating Segments — Geographic and Customer Data)")</f>
        <v>1. NET OPERATING REVENUES BY GEOGRAPHY (Note: Operating Segments — Geographic and Customer Data)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1:21" ht="22" customHeight="1">
      <c r="A8" s="21" t="str">
        <f>HYPERLINK("#'Geography'!A20","2. PROPERTY, PLANT AND EQUIPMENT — NET BY GEOGRAPHY")</f>
        <v>2. PROPERTY, PLANT AND EQUIPMENT — NET BY GEOGRAPHY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10" customHeight="1">
      <c r="M9" s="29"/>
      <c r="N9" s="29"/>
      <c r="O9" s="29"/>
    </row>
    <row r="10" spans="1:21" ht="29" customHeight="1">
      <c r="A10" s="23" t="s">
        <v>370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spans="1:21" ht="21.5" customHeight="1">
      <c r="A11" s="56" t="s">
        <v>68</v>
      </c>
      <c r="C11" s="57">
        <v>19899</v>
      </c>
      <c r="D11" s="57">
        <v>14727</v>
      </c>
      <c r="E11" s="57">
        <v>11344</v>
      </c>
      <c r="F11" s="57">
        <v>11715</v>
      </c>
      <c r="G11" s="57">
        <v>11281</v>
      </c>
      <c r="H11" s="57">
        <v>13010</v>
      </c>
      <c r="I11" s="57">
        <v>15413</v>
      </c>
      <c r="J11" s="57">
        <v>16550</v>
      </c>
      <c r="K11" s="57">
        <v>18362</v>
      </c>
      <c r="L11" s="57">
        <v>19127</v>
      </c>
      <c r="M11" s="29"/>
      <c r="N11" s="29"/>
      <c r="O11" s="29"/>
      <c r="P11" s="57">
        <v>4903</v>
      </c>
      <c r="Q11" s="57">
        <v>4253</v>
      </c>
      <c r="R11" s="57">
        <v>4935</v>
      </c>
      <c r="S11" s="57">
        <v>5118</v>
      </c>
      <c r="T11" s="57">
        <v>4745</v>
      </c>
      <c r="U11" s="57">
        <v>5260</v>
      </c>
    </row>
    <row r="12" spans="1:21" ht="21.5" customHeight="1">
      <c r="A12" s="56" t="s">
        <v>69</v>
      </c>
      <c r="C12" s="57">
        <v>21964</v>
      </c>
      <c r="D12" s="57">
        <v>21485</v>
      </c>
      <c r="E12" s="57">
        <v>22956</v>
      </c>
      <c r="F12" s="57">
        <v>25551</v>
      </c>
      <c r="G12" s="57">
        <v>21733</v>
      </c>
      <c r="H12" s="57">
        <v>25645</v>
      </c>
      <c r="I12" s="57">
        <v>27591</v>
      </c>
      <c r="J12" s="57">
        <v>29204</v>
      </c>
      <c r="K12" s="57">
        <v>28699</v>
      </c>
      <c r="L12" s="57">
        <v>28814</v>
      </c>
      <c r="M12" s="29"/>
      <c r="N12" s="29"/>
      <c r="O12" s="29"/>
      <c r="P12" s="57">
        <v>6951</v>
      </c>
      <c r="Q12" s="57">
        <v>6876</v>
      </c>
      <c r="R12" s="57">
        <v>7600</v>
      </c>
      <c r="S12" s="57">
        <v>7337</v>
      </c>
      <c r="T12" s="57">
        <v>7727</v>
      </c>
      <c r="U12" s="57">
        <v>8120</v>
      </c>
    </row>
    <row r="13" spans="1:21" ht="21.5" customHeight="1">
      <c r="A13" s="51" t="s">
        <v>371</v>
      </c>
      <c r="B13" s="52"/>
      <c r="C13" s="53">
        <v>41863</v>
      </c>
      <c r="D13" s="53">
        <v>36212</v>
      </c>
      <c r="E13" s="53">
        <v>34300</v>
      </c>
      <c r="F13" s="53">
        <v>37266</v>
      </c>
      <c r="G13" s="53">
        <v>33014</v>
      </c>
      <c r="H13" s="53">
        <v>38655</v>
      </c>
      <c r="I13" s="53">
        <v>43004</v>
      </c>
      <c r="J13" s="53">
        <v>45754</v>
      </c>
      <c r="K13" s="53">
        <v>47061</v>
      </c>
      <c r="L13" s="53">
        <v>47941</v>
      </c>
      <c r="M13" s="32"/>
      <c r="N13" s="32"/>
      <c r="O13" s="32"/>
      <c r="P13" s="53">
        <v>11854</v>
      </c>
      <c r="Q13" s="53">
        <v>11129</v>
      </c>
      <c r="R13" s="53">
        <v>12535</v>
      </c>
      <c r="S13" s="53">
        <v>12455</v>
      </c>
      <c r="T13" s="53">
        <v>12472</v>
      </c>
      <c r="U13" s="53">
        <v>13380</v>
      </c>
    </row>
    <row r="14" spans="1:21" ht="21.5" customHeight="1">
      <c r="A14" s="54" t="s">
        <v>372</v>
      </c>
      <c r="C14" s="55">
        <f t="shared" ref="C14:L14" si="0">C11/C13</f>
        <v>0.47533621575137952</v>
      </c>
      <c r="D14" s="55">
        <f t="shared" si="0"/>
        <v>0.40668839058875511</v>
      </c>
      <c r="E14" s="55">
        <f t="shared" si="0"/>
        <v>0.33072886297376092</v>
      </c>
      <c r="F14" s="55">
        <f t="shared" si="0"/>
        <v>0.3143616164868781</v>
      </c>
      <c r="G14" s="55">
        <f t="shared" si="0"/>
        <v>0.34170351971890711</v>
      </c>
      <c r="H14" s="55">
        <f t="shared" si="0"/>
        <v>0.33656706764972188</v>
      </c>
      <c r="I14" s="55">
        <f t="shared" si="0"/>
        <v>0.35840852013766161</v>
      </c>
      <c r="J14" s="55">
        <f t="shared" si="0"/>
        <v>0.36171700834899678</v>
      </c>
      <c r="K14" s="55">
        <f t="shared" si="0"/>
        <v>0.39017445443148252</v>
      </c>
      <c r="L14" s="55">
        <f t="shared" si="0"/>
        <v>0.39896956675914147</v>
      </c>
      <c r="M14" s="29"/>
      <c r="N14" s="29"/>
      <c r="O14" s="29"/>
      <c r="P14" s="55">
        <f t="shared" ref="P14:U14" si="1">IFERROR(P11/P13,"")</f>
        <v>0.41361565716213938</v>
      </c>
      <c r="Q14" s="55">
        <f t="shared" si="1"/>
        <v>0.38215473088327795</v>
      </c>
      <c r="R14" s="55">
        <f t="shared" si="1"/>
        <v>0.39369764658954925</v>
      </c>
      <c r="S14" s="55">
        <f t="shared" si="1"/>
        <v>0.41091930951425132</v>
      </c>
      <c r="T14" s="55">
        <f t="shared" si="1"/>
        <v>0.38045221295702375</v>
      </c>
      <c r="U14" s="55">
        <f t="shared" si="1"/>
        <v>0.39312406576980569</v>
      </c>
    </row>
    <row r="15" spans="1:21" ht="21.5" customHeight="1">
      <c r="A15" s="54" t="s">
        <v>373</v>
      </c>
      <c r="D15" s="55">
        <f t="shared" ref="D15:L15" si="2">IF(N(C12)=0,"",D12/C12-1)</f>
        <v>-2.1808413767983925E-2</v>
      </c>
      <c r="E15" s="55">
        <f t="shared" si="2"/>
        <v>6.8466371887363264E-2</v>
      </c>
      <c r="F15" s="55">
        <f t="shared" si="2"/>
        <v>0.11304234187140616</v>
      </c>
      <c r="G15" s="55">
        <f t="shared" si="2"/>
        <v>-0.14942663692223401</v>
      </c>
      <c r="H15" s="55">
        <f t="shared" si="2"/>
        <v>0.18000276077853949</v>
      </c>
      <c r="I15" s="55">
        <f t="shared" si="2"/>
        <v>7.5882238253070833E-2</v>
      </c>
      <c r="J15" s="55">
        <f t="shared" si="2"/>
        <v>5.8461092385198032E-2</v>
      </c>
      <c r="K15" s="55">
        <f t="shared" si="2"/>
        <v>-1.7292151760032848E-2</v>
      </c>
      <c r="L15" s="55">
        <f t="shared" si="2"/>
        <v>4.0071082616119913E-3</v>
      </c>
      <c r="M15" s="29"/>
      <c r="N15" s="29"/>
      <c r="O15" s="29"/>
      <c r="P15" s="30"/>
      <c r="Q15" s="30"/>
      <c r="R15" s="30"/>
      <c r="S15" s="55">
        <f>IFERROR(S12/P12-1,"")</f>
        <v>5.5531578190188391E-2</v>
      </c>
      <c r="T15" s="55">
        <f>IFERROR(T12/Q12-1,"")</f>
        <v>0.12376381617219323</v>
      </c>
      <c r="U15" s="55">
        <f>IFERROR(U12/R12-1,"")</f>
        <v>6.8421052631578938E-2</v>
      </c>
    </row>
    <row r="16" spans="1:21" ht="21.5" customHeight="1">
      <c r="A16" s="54" t="s">
        <v>374</v>
      </c>
      <c r="D16" s="55">
        <f t="shared" ref="D16:L16" si="3">IF(N(C11)=0,"",D11/C11-1)</f>
        <v>-0.25991255842002114</v>
      </c>
      <c r="E16" s="55">
        <f t="shared" si="3"/>
        <v>-0.22971413050858969</v>
      </c>
      <c r="F16" s="55">
        <f t="shared" si="3"/>
        <v>3.2704513399153701E-2</v>
      </c>
      <c r="G16" s="55">
        <f t="shared" si="3"/>
        <v>-3.7046521553563805E-2</v>
      </c>
      <c r="H16" s="55">
        <f t="shared" si="3"/>
        <v>0.15326655438347658</v>
      </c>
      <c r="I16" s="55">
        <f t="shared" si="3"/>
        <v>0.1847040737893928</v>
      </c>
      <c r="J16" s="55">
        <f t="shared" si="3"/>
        <v>7.3768896386167571E-2</v>
      </c>
      <c r="K16" s="55">
        <f t="shared" si="3"/>
        <v>0.10948640483383687</v>
      </c>
      <c r="L16" s="55">
        <f t="shared" si="3"/>
        <v>4.1662128308463053E-2</v>
      </c>
      <c r="M16" s="29"/>
      <c r="N16" s="29"/>
      <c r="O16" s="29"/>
      <c r="P16" s="30"/>
      <c r="Q16" s="30"/>
      <c r="R16" s="30"/>
      <c r="S16" s="55">
        <f>IFERROR(S11/P11-1,"")</f>
        <v>4.3850703650825995E-2</v>
      </c>
      <c r="T16" s="55">
        <f>IFERROR(T11/Q11-1,"")</f>
        <v>0.11568304726075707</v>
      </c>
      <c r="U16" s="55">
        <f>IFERROR(U11/R11-1,"")</f>
        <v>6.5856129685917031E-2</v>
      </c>
    </row>
    <row r="17" spans="1:21" ht="21.5" customHeight="1">
      <c r="A17" s="63" t="s">
        <v>375</v>
      </c>
      <c r="B17" s="64"/>
      <c r="C17" s="65">
        <f t="shared" ref="C17:L17" si="4">C11+C12-C13</f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0</v>
      </c>
      <c r="J17" s="65">
        <f t="shared" si="4"/>
        <v>0</v>
      </c>
      <c r="K17" s="65">
        <f t="shared" si="4"/>
        <v>0</v>
      </c>
      <c r="L17" s="65">
        <f t="shared" si="4"/>
        <v>0</v>
      </c>
      <c r="M17" s="29"/>
      <c r="N17" s="29"/>
      <c r="O17" s="29"/>
      <c r="P17" s="65">
        <f t="shared" ref="P17:U17" si="5">P11+P12-P13</f>
        <v>0</v>
      </c>
      <c r="Q17" s="65">
        <f t="shared" si="5"/>
        <v>0</v>
      </c>
      <c r="R17" s="65">
        <f t="shared" si="5"/>
        <v>0</v>
      </c>
      <c r="S17" s="65">
        <f t="shared" si="5"/>
        <v>0</v>
      </c>
      <c r="T17" s="65">
        <f t="shared" si="5"/>
        <v>0</v>
      </c>
      <c r="U17" s="65">
        <f t="shared" si="5"/>
        <v>0</v>
      </c>
    </row>
    <row r="18" spans="1:21" ht="21.5" customHeight="1">
      <c r="A18" s="63" t="s">
        <v>376</v>
      </c>
      <c r="B18" s="64"/>
      <c r="C18" s="80">
        <f>C13-'Income Statement'!C11</f>
        <v>0</v>
      </c>
      <c r="D18" s="80">
        <f>D13-'Income Statement'!D11</f>
        <v>0</v>
      </c>
      <c r="E18" s="80">
        <f>E13-'Income Statement'!E11</f>
        <v>0</v>
      </c>
      <c r="F18" s="80">
        <f>F13-'Income Statement'!F11</f>
        <v>0</v>
      </c>
      <c r="G18" s="80">
        <f>G13-'Income Statement'!G11</f>
        <v>0</v>
      </c>
      <c r="H18" s="80">
        <f>H13-'Income Statement'!H11</f>
        <v>0</v>
      </c>
      <c r="I18" s="80">
        <f>I13-'Income Statement'!I11</f>
        <v>0</v>
      </c>
      <c r="J18" s="80">
        <f>J13-'Income Statement'!J11</f>
        <v>0</v>
      </c>
      <c r="K18" s="80">
        <f>K13-'Income Statement'!K11</f>
        <v>0</v>
      </c>
      <c r="L18" s="80">
        <f>L13-'Income Statement'!L11</f>
        <v>0</v>
      </c>
      <c r="M18" s="29"/>
      <c r="N18" s="29"/>
      <c r="O18" s="29"/>
      <c r="P18" s="80">
        <f>P13-'Income Statement'!P11</f>
        <v>0</v>
      </c>
      <c r="Q18" s="80">
        <f>Q13-'Income Statement'!Q11</f>
        <v>0</v>
      </c>
      <c r="R18" s="80">
        <f>R13-'Income Statement'!R11</f>
        <v>0</v>
      </c>
      <c r="S18" s="80">
        <f>S13-'Income Statement'!S11</f>
        <v>0</v>
      </c>
      <c r="T18" s="80">
        <f>T13-'Income Statement'!T11</f>
        <v>0</v>
      </c>
      <c r="U18" s="80">
        <f>U13-'Income Statement'!U11</f>
        <v>0</v>
      </c>
    </row>
    <row r="19" spans="1:21" ht="10" customHeight="1">
      <c r="M19" s="29"/>
      <c r="N19" s="29"/>
      <c r="O19" s="29"/>
    </row>
    <row r="20" spans="1:21" ht="29" customHeight="1">
      <c r="A20" s="23" t="s">
        <v>377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 spans="1:21" ht="21.5" customHeight="1">
      <c r="A21" s="56" t="s">
        <v>68</v>
      </c>
      <c r="C21" s="57">
        <v>6784</v>
      </c>
      <c r="D21" s="57">
        <v>4163</v>
      </c>
      <c r="E21" s="57">
        <v>4154</v>
      </c>
      <c r="F21" s="57">
        <v>4062</v>
      </c>
      <c r="G21" s="57">
        <v>3988</v>
      </c>
      <c r="H21" s="57">
        <v>3420</v>
      </c>
      <c r="I21" s="57">
        <v>3494</v>
      </c>
      <c r="J21" s="57">
        <v>3682</v>
      </c>
      <c r="K21" s="57">
        <v>4364</v>
      </c>
      <c r="L21" s="57">
        <v>4825</v>
      </c>
      <c r="M21" s="29"/>
      <c r="N21" s="29"/>
      <c r="O21" s="29"/>
      <c r="P21" s="31"/>
      <c r="Q21" s="31"/>
      <c r="R21" s="31"/>
      <c r="S21" s="31"/>
      <c r="T21" s="31"/>
      <c r="U21" s="31"/>
    </row>
    <row r="22" spans="1:21" ht="21.5" customHeight="1">
      <c r="A22" s="56" t="s">
        <v>69</v>
      </c>
      <c r="C22" s="57">
        <v>3851</v>
      </c>
      <c r="D22" s="57">
        <v>4040</v>
      </c>
      <c r="E22" s="57">
        <v>5444</v>
      </c>
      <c r="F22" s="57">
        <v>6776</v>
      </c>
      <c r="G22" s="57">
        <v>6789</v>
      </c>
      <c r="H22" s="57">
        <v>6500</v>
      </c>
      <c r="I22" s="57">
        <v>6347</v>
      </c>
      <c r="J22" s="57">
        <v>5554</v>
      </c>
      <c r="K22" s="57">
        <v>5939</v>
      </c>
      <c r="L22" s="57">
        <v>4788</v>
      </c>
      <c r="M22" s="29"/>
      <c r="N22" s="29"/>
      <c r="O22" s="29"/>
      <c r="P22" s="31"/>
      <c r="Q22" s="31"/>
      <c r="R22" s="31"/>
      <c r="S22" s="31"/>
      <c r="T22" s="31"/>
      <c r="U22" s="31"/>
    </row>
    <row r="23" spans="1:21" ht="21.5" customHeight="1">
      <c r="A23" s="51" t="s">
        <v>378</v>
      </c>
      <c r="B23" s="52"/>
      <c r="C23" s="53">
        <v>10635</v>
      </c>
      <c r="D23" s="53">
        <v>8203</v>
      </c>
      <c r="E23" s="53">
        <v>9598</v>
      </c>
      <c r="F23" s="53">
        <v>10838</v>
      </c>
      <c r="G23" s="53">
        <v>10777</v>
      </c>
      <c r="H23" s="53">
        <v>9920</v>
      </c>
      <c r="I23" s="53">
        <v>9841</v>
      </c>
      <c r="J23" s="53">
        <v>9236</v>
      </c>
      <c r="K23" s="53">
        <v>10303</v>
      </c>
      <c r="L23" s="53">
        <v>9613</v>
      </c>
      <c r="M23" s="32"/>
      <c r="N23" s="32"/>
      <c r="O23" s="32"/>
      <c r="P23" s="75"/>
      <c r="Q23" s="75"/>
      <c r="R23" s="75"/>
      <c r="S23" s="75"/>
      <c r="T23" s="75"/>
      <c r="U23" s="75"/>
    </row>
    <row r="24" spans="1:21" ht="21.5" customHeight="1">
      <c r="A24" s="63" t="s">
        <v>375</v>
      </c>
      <c r="B24" s="64"/>
      <c r="C24" s="65">
        <f t="shared" ref="C24:L24" si="6">C21+C22-C23</f>
        <v>0</v>
      </c>
      <c r="D24" s="65">
        <f t="shared" si="6"/>
        <v>0</v>
      </c>
      <c r="E24" s="65">
        <f t="shared" si="6"/>
        <v>0</v>
      </c>
      <c r="F24" s="65">
        <f t="shared" si="6"/>
        <v>0</v>
      </c>
      <c r="G24" s="65">
        <f t="shared" si="6"/>
        <v>0</v>
      </c>
      <c r="H24" s="65">
        <f t="shared" si="6"/>
        <v>0</v>
      </c>
      <c r="I24" s="65">
        <f t="shared" si="6"/>
        <v>0</v>
      </c>
      <c r="J24" s="65">
        <f t="shared" si="6"/>
        <v>0</v>
      </c>
      <c r="K24" s="65">
        <f t="shared" si="6"/>
        <v>0</v>
      </c>
      <c r="L24" s="65">
        <f t="shared" si="6"/>
        <v>0</v>
      </c>
      <c r="M24" s="29"/>
      <c r="N24" s="29"/>
      <c r="O24" s="29"/>
      <c r="P24" s="76"/>
      <c r="Q24" s="76"/>
      <c r="R24" s="76"/>
      <c r="S24" s="76"/>
      <c r="T24" s="76"/>
      <c r="U24" s="76"/>
    </row>
    <row r="25" spans="1:21" ht="37" customHeight="1">
      <c r="A25" s="63" t="s">
        <v>379</v>
      </c>
      <c r="B25" s="64"/>
      <c r="C25" s="80">
        <f>C23-'Balance Sheet'!C27</f>
        <v>0</v>
      </c>
      <c r="D25" s="80">
        <f>D23-'Balance Sheet'!D27</f>
        <v>0</v>
      </c>
      <c r="E25" s="80">
        <f>E23-'Balance Sheet'!E27</f>
        <v>0</v>
      </c>
      <c r="F25" s="80">
        <f>F23-'Balance Sheet'!F27</f>
        <v>0</v>
      </c>
      <c r="G25" s="80">
        <f>G23-'Balance Sheet'!G27</f>
        <v>0</v>
      </c>
      <c r="H25" s="80">
        <f>H23-'Balance Sheet'!H27</f>
        <v>0</v>
      </c>
      <c r="I25" s="80">
        <f>I23-'Balance Sheet'!I27</f>
        <v>0</v>
      </c>
      <c r="J25" s="80">
        <f>J23-'Balance Sheet'!J27</f>
        <v>0</v>
      </c>
      <c r="K25" s="80">
        <f>K23-'Balance Sheet'!K27</f>
        <v>0</v>
      </c>
      <c r="L25" s="80">
        <f>L23-'Balance Sheet'!L27</f>
        <v>0</v>
      </c>
      <c r="M25" s="29"/>
      <c r="N25" s="29"/>
      <c r="O25" s="29"/>
      <c r="P25" s="76"/>
      <c r="Q25" s="76"/>
      <c r="R25" s="76"/>
      <c r="S25" s="76"/>
      <c r="T25" s="76"/>
      <c r="U25" s="76"/>
    </row>
    <row r="26" spans="1:21" ht="10" customHeight="1">
      <c r="M26" s="29"/>
      <c r="N26" s="29"/>
      <c r="O26" s="29"/>
    </row>
  </sheetData>
  <mergeCells count="7">
    <mergeCell ref="A20:U20"/>
    <mergeCell ref="A2:U2"/>
    <mergeCell ref="A7:U7"/>
    <mergeCell ref="A10:U10"/>
    <mergeCell ref="A1:U1"/>
    <mergeCell ref="A8:U8"/>
    <mergeCell ref="A6:U6"/>
  </mergeCells>
  <phoneticPr fontId="9" type="noConversion"/>
  <conditionalFormatting sqref="C17:U18">
    <cfRule type="cellIs" dxfId="8" priority="1" operator="notBetween">
      <formula>-0.5</formula>
      <formula>0.5</formula>
    </cfRule>
  </conditionalFormatting>
  <conditionalFormatting sqref="C24:U25">
    <cfRule type="cellIs" dxfId="7" priority="3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3824F"/>
    <pageSetUpPr fitToPage="1"/>
  </sheetPr>
  <dimension ref="A1:U124"/>
  <sheetViews>
    <sheetView showGridLines="0" zoomScale="95" zoomScaleNormal="95" workbookViewId="0">
      <pane xSplit="2" ySplit="5" topLeftCell="C89" activePane="bottomRight" state="frozen"/>
      <selection pane="topRight" activeCell="C3" sqref="C3"/>
      <selection pane="bottomLeft" activeCell="A6" sqref="A6"/>
      <selection pane="bottomRight" activeCell="L89" sqref="L89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  <col min="22" max="22" width="8.83203125" customWidth="1"/>
  </cols>
  <sheetData>
    <row r="1" spans="1:21" ht="36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21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25" customHeight="1"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  <c r="K3" s="46" t="s">
        <v>10</v>
      </c>
      <c r="L3" s="46" t="s">
        <v>11</v>
      </c>
      <c r="M3" s="47" t="s">
        <v>12</v>
      </c>
      <c r="N3" s="47" t="s">
        <v>12</v>
      </c>
      <c r="O3" s="47" t="s">
        <v>12</v>
      </c>
      <c r="P3" s="48" t="s">
        <v>13</v>
      </c>
      <c r="Q3" s="48" t="s">
        <v>14</v>
      </c>
      <c r="R3" s="48" t="s">
        <v>15</v>
      </c>
      <c r="S3" s="48" t="s">
        <v>16</v>
      </c>
      <c r="T3" s="48" t="s">
        <v>17</v>
      </c>
      <c r="U3" s="48" t="s">
        <v>18</v>
      </c>
    </row>
    <row r="4" spans="1:21" ht="18" customHeight="1">
      <c r="C4" s="49" t="s">
        <v>19</v>
      </c>
      <c r="D4" s="49" t="s">
        <v>20</v>
      </c>
      <c r="E4" s="49" t="s">
        <v>21</v>
      </c>
      <c r="F4" s="49" t="s">
        <v>22</v>
      </c>
      <c r="G4" s="49" t="s">
        <v>23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28</v>
      </c>
      <c r="M4" s="50"/>
      <c r="N4" s="50"/>
      <c r="O4" s="50"/>
      <c r="P4" s="49" t="s">
        <v>29</v>
      </c>
      <c r="Q4" s="49" t="s">
        <v>30</v>
      </c>
      <c r="R4" s="49" t="s">
        <v>31</v>
      </c>
      <c r="S4" s="49" t="s">
        <v>32</v>
      </c>
      <c r="T4" s="49" t="s">
        <v>33</v>
      </c>
      <c r="U4" s="49" t="s">
        <v>34</v>
      </c>
    </row>
    <row r="5" spans="1:21" ht="10" customHeight="1">
      <c r="M5" s="29"/>
      <c r="N5" s="29"/>
      <c r="O5" s="29"/>
    </row>
    <row r="6" spans="1:21" ht="22" customHeight="1">
      <c r="A6" s="21" t="s">
        <v>35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22" customHeight="1">
      <c r="A7" s="21" t="str">
        <f>HYPERLINK("#'Operating Metrics'!A13","1. BEVERAGE VOLUME — SYSTEM UNIT CASE VOLUME (Company disclosure, not from the financial statements)")</f>
        <v>1. BEVERAGE VOLUME — SYSTEM UNIT CASE VOLUME (Company disclosure, not from the financial statements)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1:21" ht="22" customHeight="1">
      <c r="A8" s="21" t="str">
        <f>HYPERLINK("#'Operating Metrics'!A33","2. NET OPERATING REVENUE FACTORS — VOLUME / PRICE-MIX / FX / ACQUISITIONS &amp; DIVESTITURES (% impact, as reported)")</f>
        <v>2. NET OPERATING REVENUE FACTORS — VOLUME / PRICE-MIX / FX / ACQUISITIONS &amp; DIVESTITURES (% impact, as reported)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22" customHeight="1">
      <c r="A9" s="21" t="str">
        <f>HYPERLINK("#'Operating Metrics'!A87","3. NET OPERATING REVENUES BY LINE OF BUSINESS — CONCENTRATE VS FINISHED PRODUCT OPERATIONS (Note 3)")</f>
        <v>3. NET OPERATING REVENUES BY LINE OF BUSINESS — CONCENTRATE VS FINISHED PRODUCT OPERATIONS (Note 3)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</row>
    <row r="10" spans="1:21" ht="22" customHeight="1">
      <c r="A10" s="21" t="str">
        <f>HYPERLINK("#'Operating Metrics'!A108","4. REVENUE MIX — OPERATING SEGMENT % OF COMPANY NET OPERATING REVENUES (as reported; Global Ventures exists FY2019-FY2024 only)")</f>
        <v>4. REVENUE MIX — OPERATING SEGMENT % OF COMPANY NET OPERATING REVENUES (as reported; Global Ventures exists FY2019-FY2024 only)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21" ht="22" customHeight="1">
      <c r="A11" s="21" t="str">
        <f>HYPERLINK("#'Operating Metrics'!A118","5. CUSTOMER CONCENTRATION")</f>
        <v>5. CUSTOMER CONCENTRATION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 ht="10" customHeight="1">
      <c r="M12" s="29"/>
      <c r="N12" s="29"/>
      <c r="O12" s="29"/>
    </row>
    <row r="13" spans="1:21" ht="29" customHeight="1">
      <c r="A13" s="20" t="s">
        <v>1044</v>
      </c>
      <c r="B13" s="20"/>
      <c r="C13" s="20"/>
      <c r="D13" s="20"/>
      <c r="E13" s="20"/>
      <c r="F13" s="20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</row>
    <row r="14" spans="1:21" ht="21.5" customHeight="1">
      <c r="A14" s="51" t="s">
        <v>36</v>
      </c>
      <c r="B14" s="58" t="s">
        <v>37</v>
      </c>
      <c r="C14" s="90">
        <v>29.3</v>
      </c>
      <c r="D14" s="90">
        <v>29.2</v>
      </c>
      <c r="E14" s="90">
        <v>29.6</v>
      </c>
      <c r="F14" s="90">
        <v>30.3</v>
      </c>
      <c r="G14" s="90">
        <v>29</v>
      </c>
      <c r="H14" s="90">
        <v>31.3</v>
      </c>
      <c r="I14" s="90">
        <v>32.700000000000003</v>
      </c>
      <c r="J14" s="90">
        <v>33.299999999999997</v>
      </c>
      <c r="K14" s="90">
        <v>33.700000000000003</v>
      </c>
      <c r="L14" s="90">
        <v>33.799999999999997</v>
      </c>
      <c r="M14" s="29"/>
      <c r="N14" s="29"/>
      <c r="O14" s="29"/>
      <c r="P14" s="91"/>
      <c r="Q14" s="91"/>
      <c r="R14" s="91"/>
      <c r="S14" s="91"/>
      <c r="T14" s="91"/>
      <c r="U14" s="91"/>
    </row>
    <row r="15" spans="1:21" ht="21.5" customHeight="1">
      <c r="A15" s="54" t="s">
        <v>38</v>
      </c>
      <c r="B15" s="88" t="s">
        <v>39</v>
      </c>
      <c r="D15" s="55">
        <f t="shared" ref="D15:L15" si="0">IF(N(C14)=0,"",D14/C14-1)</f>
        <v>-3.4129692832765013E-3</v>
      </c>
      <c r="E15" s="55">
        <f t="shared" si="0"/>
        <v>1.3698630136986356E-2</v>
      </c>
      <c r="F15" s="55">
        <f t="shared" si="0"/>
        <v>2.3648648648648685E-2</v>
      </c>
      <c r="G15" s="55">
        <f t="shared" si="0"/>
        <v>-4.2904290429042979E-2</v>
      </c>
      <c r="H15" s="55">
        <f t="shared" si="0"/>
        <v>7.9310344827586254E-2</v>
      </c>
      <c r="I15" s="55">
        <f t="shared" si="0"/>
        <v>4.4728434504792469E-2</v>
      </c>
      <c r="J15" s="55">
        <f t="shared" si="0"/>
        <v>1.8348623853210899E-2</v>
      </c>
      <c r="K15" s="55">
        <f t="shared" si="0"/>
        <v>1.2012012012012185E-2</v>
      </c>
      <c r="L15" s="55">
        <f t="shared" si="0"/>
        <v>2.9673590504448732E-3</v>
      </c>
      <c r="M15" s="29"/>
      <c r="N15" s="29"/>
      <c r="O15" s="29"/>
      <c r="P15" s="30"/>
      <c r="Q15" s="30"/>
      <c r="R15" s="30"/>
      <c r="S15" s="30"/>
      <c r="T15" s="30"/>
      <c r="U15" s="30"/>
    </row>
    <row r="16" spans="1:21" ht="10" customHeight="1">
      <c r="M16" s="29"/>
      <c r="N16" s="29"/>
      <c r="O16" s="29"/>
    </row>
    <row r="17" spans="1:21" ht="21.5" customHeight="1">
      <c r="A17" s="61" t="s">
        <v>40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29"/>
      <c r="N17" s="29"/>
      <c r="O17" s="29"/>
      <c r="P17" s="62"/>
      <c r="Q17" s="62"/>
      <c r="R17" s="62"/>
      <c r="S17" s="62"/>
      <c r="T17" s="62"/>
      <c r="U17" s="62"/>
    </row>
    <row r="18" spans="1:21" ht="21.5" customHeight="1">
      <c r="A18" s="56" t="s">
        <v>41</v>
      </c>
      <c r="C18" s="92">
        <v>0.01</v>
      </c>
      <c r="D18" s="92">
        <v>0</v>
      </c>
      <c r="E18" s="92">
        <v>0.02</v>
      </c>
      <c r="F18" s="92">
        <v>0.02</v>
      </c>
      <c r="G18" s="92">
        <v>-0.06</v>
      </c>
      <c r="H18" s="92">
        <v>0.08</v>
      </c>
      <c r="I18" s="92">
        <v>0.05</v>
      </c>
      <c r="J18" s="92">
        <v>0.02</v>
      </c>
      <c r="K18" s="92">
        <v>0.01</v>
      </c>
      <c r="L18" s="92">
        <v>0</v>
      </c>
      <c r="M18" s="29"/>
      <c r="N18" s="29"/>
      <c r="O18" s="29"/>
      <c r="P18" s="92">
        <v>-0.01</v>
      </c>
      <c r="Q18" s="92">
        <v>0.02</v>
      </c>
      <c r="R18" s="92">
        <v>-0.01</v>
      </c>
      <c r="S18" s="92">
        <v>0.01</v>
      </c>
      <c r="T18" s="92">
        <v>0.03</v>
      </c>
      <c r="U18" s="92">
        <v>0.05</v>
      </c>
    </row>
    <row r="19" spans="1:21" ht="21.5" customHeight="1">
      <c r="A19" s="56" t="s">
        <v>42</v>
      </c>
      <c r="C19" s="92">
        <v>0.01</v>
      </c>
      <c r="D19" s="92">
        <v>0.01</v>
      </c>
      <c r="E19" s="92">
        <v>0.02</v>
      </c>
      <c r="F19" s="92">
        <v>0.02</v>
      </c>
      <c r="G19" s="92">
        <v>-0.06</v>
      </c>
      <c r="H19" s="92">
        <v>0.09</v>
      </c>
      <c r="I19" s="92">
        <v>0.03</v>
      </c>
      <c r="J19" s="92">
        <v>-0.02</v>
      </c>
      <c r="K19" s="92">
        <v>0</v>
      </c>
      <c r="L19" s="92">
        <v>0.03</v>
      </c>
      <c r="M19" s="29"/>
      <c r="N19" s="29"/>
      <c r="O19" s="29"/>
      <c r="P19" s="92">
        <v>-0.02</v>
      </c>
      <c r="Q19" s="92">
        <v>0.03</v>
      </c>
      <c r="R19" s="92">
        <v>0.03</v>
      </c>
      <c r="S19" s="92">
        <v>0.04</v>
      </c>
      <c r="T19" s="92">
        <v>0.02</v>
      </c>
      <c r="U19" s="92">
        <v>0.04</v>
      </c>
    </row>
    <row r="20" spans="1:21" ht="21.5" customHeight="1">
      <c r="A20" s="56" t="s">
        <v>43</v>
      </c>
      <c r="C20" s="92">
        <v>-0.01</v>
      </c>
      <c r="D20" s="92">
        <v>-0.02</v>
      </c>
      <c r="E20" s="92">
        <v>0</v>
      </c>
      <c r="F20" s="92">
        <v>0.01</v>
      </c>
      <c r="G20" s="92">
        <v>-0.02</v>
      </c>
      <c r="H20" s="92">
        <v>0.06</v>
      </c>
      <c r="I20" s="92">
        <v>0.06</v>
      </c>
      <c r="J20" s="92">
        <v>0.05</v>
      </c>
      <c r="K20" s="92">
        <v>0.03</v>
      </c>
      <c r="L20" s="92">
        <v>0</v>
      </c>
      <c r="M20" s="29"/>
      <c r="N20" s="29"/>
      <c r="O20" s="29"/>
      <c r="P20" s="92">
        <v>0</v>
      </c>
      <c r="Q20" s="92">
        <v>0</v>
      </c>
      <c r="R20" s="92">
        <v>-0.02</v>
      </c>
      <c r="S20" s="92">
        <v>0</v>
      </c>
      <c r="T20" s="92">
        <v>0.01</v>
      </c>
      <c r="U20" s="92">
        <v>0.03</v>
      </c>
    </row>
    <row r="21" spans="1:21" ht="21.5" customHeight="1">
      <c r="A21" s="56" t="s">
        <v>44</v>
      </c>
      <c r="C21" s="92">
        <v>0.01</v>
      </c>
      <c r="D21" s="92">
        <v>0</v>
      </c>
      <c r="E21" s="92">
        <v>0</v>
      </c>
      <c r="F21" s="92">
        <v>0</v>
      </c>
      <c r="G21" s="92">
        <v>-7.0000000000000007E-2</v>
      </c>
      <c r="H21" s="92">
        <v>0.05</v>
      </c>
      <c r="I21" s="92">
        <v>0.02</v>
      </c>
      <c r="J21" s="92">
        <v>-0.01</v>
      </c>
      <c r="K21" s="92">
        <v>0</v>
      </c>
      <c r="L21" s="92">
        <v>-0.01</v>
      </c>
      <c r="M21" s="29"/>
      <c r="N21" s="29"/>
      <c r="O21" s="29"/>
      <c r="P21" s="92">
        <v>0</v>
      </c>
      <c r="Q21" s="92">
        <v>-0.03</v>
      </c>
      <c r="R21" s="92">
        <v>-0.01</v>
      </c>
      <c r="S21" s="92">
        <v>0</v>
      </c>
      <c r="T21" s="92">
        <v>0.04</v>
      </c>
      <c r="U21" s="92">
        <v>0.03</v>
      </c>
    </row>
    <row r="22" spans="1:21" ht="21.5" customHeight="1">
      <c r="A22" s="56" t="s">
        <v>45</v>
      </c>
      <c r="C22" s="92">
        <v>-0.16</v>
      </c>
      <c r="D22" s="92">
        <v>-0.41</v>
      </c>
      <c r="E22" s="92">
        <v>-0.15</v>
      </c>
      <c r="F22" s="92">
        <v>0.24</v>
      </c>
      <c r="G22" s="92">
        <v>-0.15</v>
      </c>
      <c r="H22" s="92">
        <v>0.11</v>
      </c>
      <c r="I22" s="92">
        <v>0.12</v>
      </c>
      <c r="J22" s="92">
        <v>-0.01</v>
      </c>
      <c r="K22" s="92">
        <v>-0.23</v>
      </c>
      <c r="L22" s="92">
        <v>-0.08</v>
      </c>
      <c r="M22" s="29"/>
      <c r="N22" s="29"/>
      <c r="O22" s="29"/>
      <c r="P22" s="92">
        <v>-0.31</v>
      </c>
      <c r="Q22" s="92">
        <v>-0.17</v>
      </c>
      <c r="R22" s="92">
        <v>-0.05</v>
      </c>
      <c r="S22" s="92">
        <v>0.02</v>
      </c>
      <c r="T22" s="92">
        <v>0.01</v>
      </c>
      <c r="U22" s="92">
        <v>0.05</v>
      </c>
    </row>
    <row r="23" spans="1:21" ht="21.5" customHeight="1">
      <c r="A23" s="56" t="s">
        <v>46</v>
      </c>
      <c r="C23" s="92">
        <v>0.02</v>
      </c>
      <c r="D23" s="92">
        <v>0.01</v>
      </c>
      <c r="E23" s="92">
        <v>0.04</v>
      </c>
      <c r="F23" s="92">
        <v>0.05</v>
      </c>
      <c r="G23" s="92">
        <v>-0.09</v>
      </c>
      <c r="H23" s="92">
        <v>0.1</v>
      </c>
      <c r="I23" s="92">
        <v>0.06</v>
      </c>
      <c r="J23" s="92">
        <v>0.03</v>
      </c>
      <c r="K23" s="92">
        <v>0.01</v>
      </c>
      <c r="L23" s="92">
        <v>0</v>
      </c>
      <c r="M23" s="29"/>
      <c r="N23" s="29"/>
      <c r="O23" s="29"/>
      <c r="P23" s="92">
        <v>-0.02</v>
      </c>
      <c r="Q23" s="92">
        <v>0.06</v>
      </c>
      <c r="R23" s="92">
        <v>-0.03</v>
      </c>
      <c r="S23" s="92">
        <v>-0.01</v>
      </c>
      <c r="T23" s="92">
        <v>0.05</v>
      </c>
      <c r="U23" s="92">
        <v>0.08</v>
      </c>
    </row>
    <row r="24" spans="1:21" ht="21.5" customHeight="1">
      <c r="A24" s="56" t="s">
        <v>47</v>
      </c>
      <c r="B24" s="88" t="s">
        <v>48</v>
      </c>
      <c r="C24" s="119"/>
      <c r="D24" s="119"/>
      <c r="E24" s="92">
        <v>0.08</v>
      </c>
      <c r="F24" s="92">
        <v>7.0000000000000007E-2</v>
      </c>
      <c r="G24" s="92">
        <v>-0.13</v>
      </c>
      <c r="H24" s="92">
        <v>0.17</v>
      </c>
      <c r="I24" s="92">
        <v>0.13</v>
      </c>
      <c r="J24" s="92">
        <v>0.04</v>
      </c>
      <c r="K24" s="92">
        <v>0.02</v>
      </c>
      <c r="L24" s="119"/>
      <c r="M24" s="29"/>
      <c r="N24" s="29"/>
      <c r="O24" s="29"/>
      <c r="P24" s="92">
        <v>0.01</v>
      </c>
    </row>
    <row r="25" spans="1:21" ht="10" customHeight="1">
      <c r="M25" s="29"/>
      <c r="N25" s="29"/>
      <c r="O25" s="29"/>
    </row>
    <row r="26" spans="1:21" ht="21.5" customHeight="1">
      <c r="A26" s="61" t="s">
        <v>49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29"/>
      <c r="N26" s="29"/>
      <c r="O26" s="29"/>
      <c r="P26" s="62"/>
      <c r="Q26" s="62"/>
      <c r="R26" s="62"/>
      <c r="S26" s="62"/>
      <c r="T26" s="62"/>
      <c r="U26" s="62"/>
    </row>
    <row r="27" spans="1:21" ht="21.5" customHeight="1">
      <c r="A27" s="56" t="s">
        <v>41</v>
      </c>
      <c r="C27" s="92">
        <v>0</v>
      </c>
      <c r="D27" s="92">
        <v>0</v>
      </c>
      <c r="E27" s="92">
        <v>0.03</v>
      </c>
      <c r="F27" s="92">
        <v>0.02</v>
      </c>
      <c r="G27" s="92">
        <v>-7.0000000000000007E-2</v>
      </c>
      <c r="H27" s="92">
        <v>0.09</v>
      </c>
      <c r="I27" s="92">
        <v>0.05</v>
      </c>
      <c r="J27" s="92">
        <v>0.02</v>
      </c>
      <c r="K27" s="92">
        <v>0.01</v>
      </c>
      <c r="L27" s="92">
        <v>0.01</v>
      </c>
      <c r="M27" s="29"/>
      <c r="N27" s="29"/>
      <c r="O27" s="29"/>
      <c r="P27" s="92">
        <v>-0.01</v>
      </c>
      <c r="Q27" s="92">
        <v>0.01</v>
      </c>
      <c r="R27" s="92">
        <v>-0.01</v>
      </c>
      <c r="S27" s="92">
        <v>0</v>
      </c>
      <c r="T27" s="92">
        <v>0.08</v>
      </c>
      <c r="U27" s="92">
        <v>0.04</v>
      </c>
    </row>
    <row r="28" spans="1:21" ht="21.5" customHeight="1">
      <c r="A28" s="56" t="s">
        <v>42</v>
      </c>
      <c r="C28" s="92">
        <v>0</v>
      </c>
      <c r="D28" s="92">
        <v>0.01</v>
      </c>
      <c r="E28" s="92">
        <v>0.06</v>
      </c>
      <c r="F28" s="92">
        <v>0.01</v>
      </c>
      <c r="G28" s="92">
        <v>-0.08</v>
      </c>
      <c r="H28" s="92">
        <v>0.12</v>
      </c>
      <c r="I28" s="92">
        <v>0.02</v>
      </c>
      <c r="J28" s="92">
        <v>0</v>
      </c>
      <c r="K28" s="92">
        <v>-0.01</v>
      </c>
      <c r="L28" s="92">
        <v>0.03</v>
      </c>
      <c r="M28" s="29"/>
      <c r="N28" s="29"/>
      <c r="O28" s="29"/>
      <c r="P28" s="92">
        <v>-7.0000000000000007E-2</v>
      </c>
      <c r="Q28" s="92">
        <v>0.01</v>
      </c>
      <c r="R28" s="92">
        <v>0.02</v>
      </c>
      <c r="S28" s="92">
        <v>0.03</v>
      </c>
      <c r="T28" s="92">
        <v>0.05</v>
      </c>
      <c r="U28" s="92">
        <v>0.01</v>
      </c>
    </row>
    <row r="29" spans="1:21" ht="21.5" customHeight="1">
      <c r="A29" s="56" t="s">
        <v>43</v>
      </c>
      <c r="C29" s="92">
        <v>-0.01</v>
      </c>
      <c r="D29" s="92">
        <v>-0.03</v>
      </c>
      <c r="E29" s="92">
        <v>0.01</v>
      </c>
      <c r="F29" s="92">
        <v>0.01</v>
      </c>
      <c r="G29" s="92">
        <v>-0.02</v>
      </c>
      <c r="H29" s="92">
        <v>0.06</v>
      </c>
      <c r="I29" s="92">
        <v>7.0000000000000007E-2</v>
      </c>
      <c r="J29" s="92">
        <v>0.06</v>
      </c>
      <c r="K29" s="92">
        <v>0.03</v>
      </c>
      <c r="L29" s="92">
        <v>-0.01</v>
      </c>
      <c r="M29" s="29"/>
      <c r="N29" s="29"/>
      <c r="O29" s="29"/>
      <c r="P29" s="92">
        <v>0.02</v>
      </c>
      <c r="Q29" s="92">
        <v>-0.03</v>
      </c>
      <c r="R29" s="92">
        <v>-0.01</v>
      </c>
      <c r="S29" s="92">
        <v>-0.03</v>
      </c>
      <c r="T29" s="92">
        <v>7.0000000000000007E-2</v>
      </c>
      <c r="U29" s="92">
        <v>0.01</v>
      </c>
    </row>
    <row r="30" spans="1:21" ht="21.5" customHeight="1">
      <c r="A30" s="56" t="s">
        <v>45</v>
      </c>
      <c r="B30" s="88" t="s">
        <v>50</v>
      </c>
      <c r="C30" s="93" t="s">
        <v>51</v>
      </c>
      <c r="D30" s="93" t="s">
        <v>51</v>
      </c>
      <c r="E30" s="93" t="s">
        <v>51</v>
      </c>
      <c r="F30" s="93" t="s">
        <v>51</v>
      </c>
      <c r="G30" s="93" t="s">
        <v>51</v>
      </c>
      <c r="H30" s="93" t="s">
        <v>51</v>
      </c>
      <c r="I30" s="93" t="s">
        <v>51</v>
      </c>
      <c r="J30" s="93" t="s">
        <v>51</v>
      </c>
      <c r="K30" s="93" t="s">
        <v>51</v>
      </c>
      <c r="L30" s="93" t="s">
        <v>51</v>
      </c>
      <c r="M30" s="29"/>
      <c r="N30" s="29"/>
      <c r="O30" s="29"/>
      <c r="P30" s="93" t="s">
        <v>51</v>
      </c>
      <c r="Q30" s="93" t="s">
        <v>51</v>
      </c>
      <c r="R30" s="93" t="s">
        <v>51</v>
      </c>
      <c r="S30" s="93" t="s">
        <v>51</v>
      </c>
      <c r="T30" s="93" t="s">
        <v>51</v>
      </c>
      <c r="U30" s="93" t="s">
        <v>51</v>
      </c>
    </row>
    <row r="31" spans="1:21" ht="21.5" customHeight="1">
      <c r="A31" s="56" t="s">
        <v>44</v>
      </c>
      <c r="C31" s="92">
        <v>0.02</v>
      </c>
      <c r="D31" s="92">
        <v>0.02</v>
      </c>
      <c r="E31" s="92">
        <v>-0.02</v>
      </c>
      <c r="F31" s="92">
        <v>-0.01</v>
      </c>
      <c r="G31" s="92">
        <v>-7.0000000000000007E-2</v>
      </c>
      <c r="H31" s="92">
        <v>7.0000000000000007E-2</v>
      </c>
      <c r="I31" s="92">
        <v>0.01</v>
      </c>
      <c r="J31" s="92">
        <v>-0.01</v>
      </c>
      <c r="K31" s="92">
        <v>0.01</v>
      </c>
      <c r="L31" s="92">
        <v>-0.01</v>
      </c>
      <c r="M31" s="29"/>
      <c r="N31" s="29"/>
      <c r="O31" s="29"/>
      <c r="P31" s="92">
        <v>0.01</v>
      </c>
      <c r="Q31" s="92">
        <v>-0.04</v>
      </c>
      <c r="R31" s="92">
        <v>0</v>
      </c>
      <c r="S31" s="92">
        <v>-0.02</v>
      </c>
      <c r="T31" s="92">
        <v>0.11</v>
      </c>
      <c r="U31" s="92">
        <v>0.03</v>
      </c>
    </row>
    <row r="32" spans="1:21" ht="21.5" customHeight="1">
      <c r="A32" s="56" t="s">
        <v>46</v>
      </c>
      <c r="C32" s="92">
        <v>0.03</v>
      </c>
      <c r="D32" s="92">
        <v>0.04</v>
      </c>
      <c r="E32" s="92">
        <v>0.04</v>
      </c>
      <c r="F32" s="92">
        <v>0.04</v>
      </c>
      <c r="G32" s="92">
        <v>-0.09</v>
      </c>
      <c r="H32" s="92">
        <v>0.11</v>
      </c>
      <c r="I32" s="92">
        <v>0.08</v>
      </c>
      <c r="J32" s="92">
        <v>0</v>
      </c>
      <c r="K32" s="92">
        <v>0.03</v>
      </c>
      <c r="L32" s="92">
        <v>0</v>
      </c>
      <c r="M32" s="29"/>
      <c r="N32" s="29"/>
      <c r="O32" s="29"/>
      <c r="P32" s="92">
        <v>-0.03</v>
      </c>
      <c r="Q32" s="92">
        <v>0.02</v>
      </c>
      <c r="R32" s="92">
        <v>-0.05</v>
      </c>
      <c r="S32" s="92">
        <v>-0.01</v>
      </c>
      <c r="T32" s="92">
        <v>0.1</v>
      </c>
      <c r="U32" s="92">
        <v>0.1</v>
      </c>
    </row>
    <row r="33" spans="1:21" ht="29" customHeight="1">
      <c r="A33" s="23" t="s">
        <v>52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 spans="1:21" ht="21.5" customHeight="1">
      <c r="A34" s="61" t="s">
        <v>53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29"/>
      <c r="N34" s="29"/>
      <c r="O34" s="29"/>
      <c r="P34" s="62"/>
      <c r="Q34" s="62"/>
      <c r="R34" s="62"/>
      <c r="S34" s="62"/>
      <c r="T34" s="62"/>
      <c r="U34" s="62"/>
    </row>
    <row r="35" spans="1:21" ht="21.5" customHeight="1">
      <c r="A35" s="56" t="s">
        <v>54</v>
      </c>
      <c r="F35" s="92">
        <v>0.01</v>
      </c>
      <c r="G35" s="92">
        <v>-7.0000000000000007E-2</v>
      </c>
      <c r="H35" s="92">
        <v>0.09</v>
      </c>
      <c r="I35" s="92">
        <v>0.05</v>
      </c>
      <c r="J35" s="92">
        <v>0.02</v>
      </c>
      <c r="K35" s="92">
        <v>0.02</v>
      </c>
      <c r="L35" s="92">
        <v>0.01</v>
      </c>
      <c r="M35" s="29"/>
      <c r="N35" s="29"/>
      <c r="O35" s="29"/>
      <c r="P35" s="92">
        <v>-0.02</v>
      </c>
      <c r="Q35" s="92">
        <v>0.01</v>
      </c>
      <c r="R35" s="92">
        <v>-0.01</v>
      </c>
      <c r="S35" s="92">
        <v>0</v>
      </c>
      <c r="T35" s="92">
        <v>0.08</v>
      </c>
      <c r="U35" s="92">
        <v>0.04</v>
      </c>
    </row>
    <row r="36" spans="1:21" ht="21.5" customHeight="1">
      <c r="A36" s="56" t="s">
        <v>46</v>
      </c>
      <c r="F36" s="92">
        <v>0.05</v>
      </c>
      <c r="G36" s="92">
        <v>-0.1</v>
      </c>
      <c r="H36" s="92">
        <v>0.11</v>
      </c>
      <c r="I36" s="92">
        <v>0.08</v>
      </c>
      <c r="J36" s="92">
        <v>0</v>
      </c>
      <c r="K36" s="92">
        <v>0.02</v>
      </c>
      <c r="L36" s="92">
        <v>0.01</v>
      </c>
      <c r="M36" s="29"/>
      <c r="N36" s="29"/>
      <c r="O36" s="29"/>
      <c r="P36" s="92">
        <v>-0.04</v>
      </c>
      <c r="Q36" s="92">
        <v>0.08</v>
      </c>
      <c r="R36" s="92">
        <v>-0.05</v>
      </c>
      <c r="S36" s="92">
        <v>-0.01</v>
      </c>
      <c r="T36" s="92">
        <v>0.1</v>
      </c>
      <c r="U36" s="92">
        <v>0.11</v>
      </c>
    </row>
    <row r="37" spans="1:21" ht="21.5" customHeight="1">
      <c r="A37" s="56" t="s">
        <v>45</v>
      </c>
      <c r="F37" s="92">
        <v>0.06</v>
      </c>
      <c r="G37" s="92">
        <v>-0.13</v>
      </c>
      <c r="H37" s="92">
        <v>0.11</v>
      </c>
      <c r="I37" s="92">
        <v>0.12</v>
      </c>
      <c r="J37" s="92">
        <v>0.06</v>
      </c>
      <c r="K37" s="92">
        <v>0.05</v>
      </c>
      <c r="L37" s="92">
        <v>0</v>
      </c>
      <c r="M37" s="29"/>
      <c r="N37" s="29"/>
      <c r="O37" s="29"/>
      <c r="P37" s="92">
        <v>-0.01</v>
      </c>
      <c r="Q37" s="92">
        <v>-0.01</v>
      </c>
      <c r="R37" s="92">
        <v>-0.02</v>
      </c>
      <c r="S37" s="92">
        <v>0.05</v>
      </c>
      <c r="T37" s="92">
        <v>0.11</v>
      </c>
      <c r="U37" s="92">
        <v>0.08</v>
      </c>
    </row>
    <row r="38" spans="1:21" ht="21.5" customHeight="1">
      <c r="A38" s="56" t="s">
        <v>42</v>
      </c>
      <c r="F38" s="92">
        <v>0.01</v>
      </c>
      <c r="G38" s="92">
        <v>-0.08</v>
      </c>
      <c r="H38" s="92">
        <v>0.12</v>
      </c>
      <c r="I38" s="92">
        <v>0.02</v>
      </c>
      <c r="J38" s="92">
        <v>0</v>
      </c>
      <c r="K38" s="92">
        <v>-0.01</v>
      </c>
      <c r="L38" s="92">
        <v>0.04</v>
      </c>
      <c r="M38" s="29"/>
      <c r="N38" s="29"/>
      <c r="O38" s="29"/>
      <c r="P38" s="92">
        <v>-7.0000000000000007E-2</v>
      </c>
      <c r="Q38" s="92">
        <v>0.01</v>
      </c>
      <c r="R38" s="92">
        <v>0.02</v>
      </c>
      <c r="S38" s="92">
        <v>0.03</v>
      </c>
      <c r="T38" s="92">
        <v>0.05</v>
      </c>
      <c r="U38" s="92">
        <v>0.01</v>
      </c>
    </row>
    <row r="39" spans="1:21" ht="21.5" customHeight="1">
      <c r="A39" s="56" t="s">
        <v>47</v>
      </c>
      <c r="F39" s="92">
        <v>0.08</v>
      </c>
      <c r="G39" s="92">
        <v>-0.13</v>
      </c>
      <c r="H39" s="92">
        <v>0.2</v>
      </c>
      <c r="I39" s="92">
        <v>0.13</v>
      </c>
      <c r="J39" s="92">
        <v>0.05</v>
      </c>
      <c r="K39" s="92">
        <v>0.04</v>
      </c>
      <c r="M39" s="29"/>
      <c r="N39" s="29"/>
      <c r="O39" s="29"/>
      <c r="P39" s="92">
        <v>0.01</v>
      </c>
    </row>
    <row r="40" spans="1:21" ht="21.5" customHeight="1">
      <c r="A40" s="56" t="s">
        <v>43</v>
      </c>
      <c r="F40" s="92">
        <v>0.01</v>
      </c>
      <c r="G40" s="92">
        <v>-0.02</v>
      </c>
      <c r="H40" s="92">
        <v>0.06</v>
      </c>
      <c r="I40" s="92">
        <v>7.0000000000000007E-2</v>
      </c>
      <c r="J40" s="92">
        <v>0.06</v>
      </c>
      <c r="K40" s="92">
        <v>0.03</v>
      </c>
      <c r="L40" s="92">
        <v>-0.01</v>
      </c>
      <c r="M40" s="29"/>
      <c r="N40" s="29"/>
      <c r="O40" s="29"/>
      <c r="P40" s="92">
        <v>0.02</v>
      </c>
      <c r="Q40" s="92">
        <v>-0.03</v>
      </c>
      <c r="R40" s="92">
        <v>-0.01</v>
      </c>
      <c r="S40" s="92">
        <v>-0.03</v>
      </c>
      <c r="T40" s="92">
        <v>7.0000000000000007E-2</v>
      </c>
      <c r="U40" s="92">
        <v>0.01</v>
      </c>
    </row>
    <row r="41" spans="1:21" ht="21.5" customHeight="1">
      <c r="A41" s="56" t="s">
        <v>44</v>
      </c>
      <c r="F41" s="92">
        <v>0</v>
      </c>
      <c r="G41" s="92">
        <v>-7.0000000000000007E-2</v>
      </c>
      <c r="H41" s="92">
        <v>7.0000000000000007E-2</v>
      </c>
      <c r="I41" s="92">
        <v>0.01</v>
      </c>
      <c r="J41" s="92">
        <v>-0.01</v>
      </c>
      <c r="K41" s="92">
        <v>0.01</v>
      </c>
      <c r="L41" s="92">
        <v>-0.01</v>
      </c>
      <c r="M41" s="29"/>
      <c r="N41" s="29"/>
      <c r="O41" s="29"/>
      <c r="P41" s="92">
        <v>0.01</v>
      </c>
      <c r="Q41" s="92">
        <v>-0.04</v>
      </c>
      <c r="R41" s="92">
        <v>0</v>
      </c>
      <c r="S41" s="92">
        <v>-0.02</v>
      </c>
      <c r="T41" s="92">
        <v>0.11</v>
      </c>
      <c r="U41" s="92">
        <v>0.03</v>
      </c>
    </row>
    <row r="42" spans="1:21" ht="10" customHeight="1">
      <c r="M42" s="29"/>
      <c r="N42" s="29"/>
      <c r="O42" s="29"/>
    </row>
    <row r="43" spans="1:21" ht="21.5" customHeight="1">
      <c r="A43" s="61" t="s">
        <v>55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29"/>
      <c r="N43" s="29"/>
      <c r="O43" s="29"/>
      <c r="P43" s="62"/>
      <c r="Q43" s="62"/>
      <c r="R43" s="62"/>
      <c r="S43" s="62"/>
      <c r="T43" s="62"/>
      <c r="U43" s="62"/>
    </row>
    <row r="44" spans="1:21" ht="21.5" customHeight="1">
      <c r="A44" s="56" t="s">
        <v>54</v>
      </c>
      <c r="F44" s="92">
        <v>0.05</v>
      </c>
      <c r="G44" s="92">
        <v>-0.02</v>
      </c>
      <c r="H44" s="92">
        <v>0.06</v>
      </c>
      <c r="I44" s="92">
        <v>0.11</v>
      </c>
      <c r="J44" s="92">
        <v>0.1</v>
      </c>
      <c r="K44" s="92">
        <v>0.11</v>
      </c>
      <c r="L44" s="92">
        <v>0.04</v>
      </c>
      <c r="M44" s="29"/>
      <c r="N44" s="29"/>
      <c r="O44" s="29"/>
      <c r="P44" s="92">
        <v>0.1</v>
      </c>
      <c r="Q44" s="92">
        <v>0.05</v>
      </c>
      <c r="R44" s="92">
        <v>0.06</v>
      </c>
      <c r="S44" s="92">
        <v>0.06</v>
      </c>
      <c r="T44" s="92">
        <v>0.02</v>
      </c>
      <c r="U44" s="92">
        <v>0.02</v>
      </c>
    </row>
    <row r="45" spans="1:21" ht="21.5" customHeight="1">
      <c r="A45" s="56" t="s">
        <v>46</v>
      </c>
      <c r="F45" s="92">
        <v>0</v>
      </c>
      <c r="G45" s="92">
        <v>-0.02</v>
      </c>
      <c r="H45" s="92">
        <v>-0.02</v>
      </c>
      <c r="I45" s="92">
        <v>0.03</v>
      </c>
      <c r="J45" s="92">
        <v>0.05</v>
      </c>
      <c r="K45" s="92">
        <v>0.02</v>
      </c>
      <c r="L45" s="92">
        <v>0.04</v>
      </c>
      <c r="M45" s="29"/>
      <c r="N45" s="29"/>
      <c r="O45" s="29"/>
      <c r="P45" s="92">
        <v>7.0000000000000007E-2</v>
      </c>
      <c r="Q45" s="92">
        <v>-0.01</v>
      </c>
      <c r="R45" s="92">
        <v>0.1</v>
      </c>
      <c r="S45" s="92">
        <v>0.08</v>
      </c>
      <c r="T45" s="92">
        <v>-0.06</v>
      </c>
      <c r="U45" s="92">
        <v>-0.09</v>
      </c>
    </row>
    <row r="46" spans="1:21" ht="21.5" customHeight="1">
      <c r="A46" s="56" t="s">
        <v>45</v>
      </c>
      <c r="F46" s="92">
        <v>0.03</v>
      </c>
      <c r="G46" s="92">
        <v>0.02</v>
      </c>
      <c r="H46" s="92">
        <v>0.02</v>
      </c>
      <c r="I46" s="92">
        <v>7.0000000000000007E-2</v>
      </c>
      <c r="J46" s="92">
        <v>0.08</v>
      </c>
      <c r="K46" s="92">
        <v>0.05</v>
      </c>
      <c r="L46" s="92">
        <v>0.02</v>
      </c>
      <c r="M46" s="29"/>
      <c r="N46" s="29"/>
      <c r="O46" s="29"/>
      <c r="P46" s="92">
        <v>0.04</v>
      </c>
      <c r="Q46" s="92">
        <v>0.03</v>
      </c>
      <c r="R46" s="92">
        <v>0</v>
      </c>
      <c r="S46" s="92">
        <v>0.01</v>
      </c>
      <c r="T46" s="92">
        <v>-0.01</v>
      </c>
      <c r="U46" s="92">
        <v>0.02</v>
      </c>
    </row>
    <row r="47" spans="1:21" ht="21.5" customHeight="1">
      <c r="A47" s="56" t="s">
        <v>42</v>
      </c>
      <c r="F47" s="92">
        <v>0.04</v>
      </c>
      <c r="G47" s="92">
        <v>-0.05</v>
      </c>
      <c r="H47" s="92">
        <v>0.06</v>
      </c>
      <c r="I47" s="92">
        <v>0.16</v>
      </c>
      <c r="J47" s="92">
        <v>0.19</v>
      </c>
      <c r="K47" s="92">
        <v>0.17</v>
      </c>
      <c r="L47" s="92">
        <v>0.02</v>
      </c>
      <c r="M47" s="29"/>
      <c r="N47" s="29"/>
      <c r="O47" s="29"/>
      <c r="P47" s="92">
        <v>0.09</v>
      </c>
      <c r="Q47" s="92">
        <v>0.06</v>
      </c>
      <c r="R47" s="92">
        <v>0.03</v>
      </c>
      <c r="S47" s="92">
        <v>0.04</v>
      </c>
      <c r="T47" s="92">
        <v>0.05</v>
      </c>
      <c r="U47" s="92">
        <v>0.01</v>
      </c>
    </row>
    <row r="48" spans="1:21" ht="21.5" customHeight="1">
      <c r="A48" s="56" t="s">
        <v>47</v>
      </c>
      <c r="F48" s="92">
        <v>-0.01</v>
      </c>
      <c r="G48" s="92">
        <v>-0.09</v>
      </c>
      <c r="H48" s="92">
        <v>0.13</v>
      </c>
      <c r="I48" s="92">
        <v>0</v>
      </c>
      <c r="J48" s="92">
        <v>0.02</v>
      </c>
      <c r="K48" s="92">
        <v>-0.03</v>
      </c>
      <c r="M48" s="29"/>
      <c r="N48" s="29"/>
      <c r="O48" s="29"/>
      <c r="P48" s="92">
        <v>-0.03</v>
      </c>
    </row>
    <row r="49" spans="1:21" ht="21.5" customHeight="1">
      <c r="A49" s="56" t="s">
        <v>43</v>
      </c>
      <c r="F49" s="92">
        <v>0.13</v>
      </c>
      <c r="G49" s="92">
        <v>0.02</v>
      </c>
      <c r="H49" s="92">
        <v>0.12</v>
      </c>
      <c r="I49" s="92">
        <v>0.17</v>
      </c>
      <c r="J49" s="92">
        <v>0.16</v>
      </c>
      <c r="K49" s="92">
        <v>0.21</v>
      </c>
      <c r="L49" s="92">
        <v>0.11</v>
      </c>
      <c r="M49" s="29"/>
      <c r="N49" s="29"/>
      <c r="O49" s="29"/>
      <c r="P49" s="92">
        <v>0.21</v>
      </c>
      <c r="Q49" s="92">
        <v>0.16</v>
      </c>
      <c r="R49" s="92">
        <v>0.15</v>
      </c>
      <c r="S49" s="92">
        <v>7.0000000000000007E-2</v>
      </c>
      <c r="T49" s="92">
        <v>0.01</v>
      </c>
      <c r="U49" s="92">
        <v>0.03</v>
      </c>
    </row>
    <row r="50" spans="1:21" ht="21.5" customHeight="1">
      <c r="A50" s="56" t="s">
        <v>44</v>
      </c>
      <c r="F50" s="92">
        <v>0.03</v>
      </c>
      <c r="G50" s="92">
        <v>0.02</v>
      </c>
      <c r="H50" s="92">
        <v>7.0000000000000007E-2</v>
      </c>
      <c r="I50" s="92">
        <v>0.12</v>
      </c>
      <c r="J50" s="92">
        <v>0.08</v>
      </c>
      <c r="K50" s="92">
        <v>0.1</v>
      </c>
      <c r="L50" s="92">
        <v>0.05</v>
      </c>
      <c r="M50" s="29"/>
      <c r="N50" s="29"/>
      <c r="O50" s="29"/>
      <c r="P50" s="92">
        <v>0.11</v>
      </c>
      <c r="Q50" s="92">
        <v>0.08</v>
      </c>
      <c r="R50" s="92">
        <v>0.03</v>
      </c>
      <c r="S50" s="92">
        <v>0.06</v>
      </c>
      <c r="T50" s="92">
        <v>0.01</v>
      </c>
      <c r="U50" s="92">
        <v>0.04</v>
      </c>
    </row>
    <row r="51" spans="1:21" ht="10" customHeight="1">
      <c r="M51" s="29"/>
      <c r="N51" s="29"/>
      <c r="O51" s="29"/>
    </row>
    <row r="52" spans="1:21" ht="21.5" customHeight="1">
      <c r="A52" s="61" t="s">
        <v>56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29"/>
      <c r="N52" s="29"/>
      <c r="O52" s="29"/>
      <c r="P52" s="62"/>
      <c r="Q52" s="62"/>
      <c r="R52" s="62"/>
      <c r="S52" s="62"/>
      <c r="T52" s="62"/>
      <c r="U52" s="62"/>
    </row>
    <row r="53" spans="1:21" ht="21.5" customHeight="1">
      <c r="A53" s="56" t="s">
        <v>54</v>
      </c>
      <c r="F53" s="92">
        <v>-0.04</v>
      </c>
      <c r="G53" s="92">
        <v>-0.02</v>
      </c>
      <c r="H53" s="92">
        <v>0.01</v>
      </c>
      <c r="I53" s="92">
        <v>-7.0000000000000007E-2</v>
      </c>
      <c r="J53" s="92">
        <v>-0.04</v>
      </c>
      <c r="K53" s="92">
        <v>-0.05</v>
      </c>
      <c r="L53" s="92">
        <v>-0.02</v>
      </c>
      <c r="M53" s="29"/>
      <c r="N53" s="29"/>
      <c r="O53" s="29"/>
      <c r="P53" s="92">
        <v>-0.05</v>
      </c>
      <c r="Q53" s="92">
        <v>-0.05</v>
      </c>
      <c r="R53" s="92">
        <v>-0.03</v>
      </c>
      <c r="S53" s="92">
        <v>0</v>
      </c>
      <c r="T53" s="92">
        <v>0.03</v>
      </c>
      <c r="U53" s="92">
        <v>0.02</v>
      </c>
    </row>
    <row r="54" spans="1:21" ht="21.5" customHeight="1">
      <c r="A54" s="56" t="s">
        <v>46</v>
      </c>
      <c r="F54" s="92">
        <v>-0.01</v>
      </c>
      <c r="G54" s="92">
        <v>0</v>
      </c>
      <c r="H54" s="92">
        <v>0.03</v>
      </c>
      <c r="I54" s="92">
        <v>-0.09</v>
      </c>
      <c r="J54" s="92">
        <v>-0.05</v>
      </c>
      <c r="K54" s="92">
        <v>-0.03</v>
      </c>
      <c r="L54" s="92">
        <v>-0.03</v>
      </c>
      <c r="M54" s="29"/>
      <c r="N54" s="29"/>
      <c r="O54" s="29"/>
      <c r="P54" s="92">
        <v>-7.0000000000000007E-2</v>
      </c>
      <c r="Q54" s="92">
        <v>-0.06</v>
      </c>
      <c r="R54" s="92">
        <v>-0.02</v>
      </c>
      <c r="S54" s="92">
        <v>0.04</v>
      </c>
      <c r="T54" s="92">
        <v>0.02</v>
      </c>
      <c r="U54" s="92">
        <v>-0.01</v>
      </c>
    </row>
    <row r="55" spans="1:21" ht="21.5" customHeight="1">
      <c r="A55" s="56" t="s">
        <v>45</v>
      </c>
      <c r="F55" s="92">
        <v>-0.05</v>
      </c>
      <c r="G55" s="92">
        <v>-0.04</v>
      </c>
      <c r="H55" s="92">
        <v>0.02</v>
      </c>
      <c r="I55" s="92">
        <v>-0.09</v>
      </c>
      <c r="J55" s="92">
        <v>-7.0000000000000007E-2</v>
      </c>
      <c r="K55" s="92">
        <v>-0.02</v>
      </c>
      <c r="L55" s="92">
        <v>-0.02</v>
      </c>
      <c r="M55" s="29"/>
      <c r="N55" s="29"/>
      <c r="O55" s="29"/>
      <c r="P55" s="92">
        <v>-0.01</v>
      </c>
      <c r="Q55" s="92">
        <v>-0.03</v>
      </c>
      <c r="R55" s="92">
        <v>-0.04</v>
      </c>
      <c r="S55" s="92">
        <v>-0.02</v>
      </c>
      <c r="T55" s="92">
        <v>0.04</v>
      </c>
      <c r="U55" s="92">
        <v>0</v>
      </c>
    </row>
    <row r="56" spans="1:21" ht="21.5" customHeight="1">
      <c r="A56" s="56" t="s">
        <v>42</v>
      </c>
      <c r="F56" s="92">
        <v>-0.09</v>
      </c>
      <c r="G56" s="92">
        <v>-0.02</v>
      </c>
      <c r="H56" s="92">
        <v>0.01</v>
      </c>
      <c r="I56" s="92">
        <v>-0.14000000000000001</v>
      </c>
      <c r="J56" s="92">
        <v>-0.12</v>
      </c>
      <c r="K56" s="92">
        <v>-0.16</v>
      </c>
      <c r="L56" s="92">
        <v>0</v>
      </c>
      <c r="M56" s="29"/>
      <c r="N56" s="29"/>
      <c r="O56" s="29"/>
      <c r="P56" s="92">
        <v>-0.1</v>
      </c>
      <c r="Q56" s="92">
        <v>-0.06</v>
      </c>
      <c r="R56" s="92">
        <v>0.01</v>
      </c>
      <c r="S56" s="92">
        <v>0.03</v>
      </c>
      <c r="T56" s="92">
        <v>0.06</v>
      </c>
      <c r="U56" s="92">
        <v>0.02</v>
      </c>
    </row>
    <row r="57" spans="1:21" ht="21.5" customHeight="1">
      <c r="A57" s="56" t="s">
        <v>47</v>
      </c>
      <c r="F57" s="92">
        <v>-0.16</v>
      </c>
      <c r="G57" s="92">
        <v>0.01</v>
      </c>
      <c r="H57" s="92">
        <v>7.0000000000000007E-2</v>
      </c>
      <c r="I57" s="92">
        <v>-0.11</v>
      </c>
      <c r="J57" s="92">
        <v>0</v>
      </c>
      <c r="K57" s="92">
        <v>0.02</v>
      </c>
      <c r="M57" s="29"/>
      <c r="N57" s="29"/>
      <c r="O57" s="29"/>
      <c r="P57" s="92">
        <v>0.02</v>
      </c>
    </row>
    <row r="58" spans="1:21" ht="21.5" customHeight="1">
      <c r="A58" s="56" t="s">
        <v>43</v>
      </c>
      <c r="F58" s="92">
        <v>-0.1</v>
      </c>
      <c r="G58" s="92">
        <v>-0.14000000000000001</v>
      </c>
      <c r="H58" s="92">
        <v>0</v>
      </c>
      <c r="I58" s="92">
        <v>-0.05</v>
      </c>
      <c r="J58" s="92">
        <v>-0.03</v>
      </c>
      <c r="K58" s="92">
        <v>-0.14000000000000001</v>
      </c>
      <c r="L58" s="92">
        <v>-0.12</v>
      </c>
      <c r="M58" s="29"/>
      <c r="N58" s="29"/>
      <c r="O58" s="29"/>
      <c r="P58" s="92">
        <v>-0.2</v>
      </c>
      <c r="Q58" s="92">
        <v>-0.16</v>
      </c>
      <c r="R58" s="92">
        <v>-0.17</v>
      </c>
      <c r="S58" s="92">
        <v>-0.08</v>
      </c>
      <c r="T58" s="92">
        <v>0.05</v>
      </c>
      <c r="U58" s="92">
        <v>0.11</v>
      </c>
    </row>
    <row r="59" spans="1:21" ht="21.5" customHeight="1">
      <c r="A59" s="56" t="s">
        <v>44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29"/>
      <c r="N59" s="29"/>
      <c r="O59" s="29"/>
      <c r="P59" s="92">
        <v>0</v>
      </c>
      <c r="Q59" s="92">
        <v>0</v>
      </c>
      <c r="R59" s="92">
        <v>0</v>
      </c>
      <c r="S59" s="92">
        <v>0</v>
      </c>
      <c r="T59" s="92">
        <v>0</v>
      </c>
      <c r="U59" s="92">
        <v>0</v>
      </c>
    </row>
    <row r="60" spans="1:21" ht="10" customHeight="1">
      <c r="M60" s="29"/>
      <c r="N60" s="29"/>
      <c r="O60" s="29"/>
    </row>
    <row r="61" spans="1:21" ht="21.5" customHeight="1">
      <c r="A61" s="61" t="s">
        <v>57</v>
      </c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29"/>
      <c r="N61" s="29"/>
      <c r="O61" s="29"/>
      <c r="P61" s="62"/>
      <c r="Q61" s="62"/>
      <c r="R61" s="62"/>
      <c r="S61" s="62"/>
      <c r="T61" s="62"/>
      <c r="U61" s="62"/>
    </row>
    <row r="62" spans="1:21" ht="21.5" customHeight="1">
      <c r="A62" s="56" t="s">
        <v>54</v>
      </c>
      <c r="F62" s="92">
        <v>7.0000000000000007E-2</v>
      </c>
      <c r="G62" s="92">
        <v>0</v>
      </c>
      <c r="H62" s="92">
        <v>0</v>
      </c>
      <c r="I62" s="92">
        <v>0.02</v>
      </c>
      <c r="J62" s="92">
        <v>-0.01</v>
      </c>
      <c r="K62" s="92">
        <v>-0.04</v>
      </c>
      <c r="L62" s="92">
        <v>-0.01</v>
      </c>
      <c r="M62" s="29"/>
      <c r="N62" s="29"/>
      <c r="O62" s="29"/>
      <c r="P62" s="92">
        <v>-0.04</v>
      </c>
      <c r="Q62" s="92">
        <v>-0.03</v>
      </c>
      <c r="R62" s="92">
        <v>0</v>
      </c>
      <c r="S62" s="92">
        <v>0</v>
      </c>
      <c r="T62" s="92">
        <v>-0.01</v>
      </c>
      <c r="U62" s="92">
        <v>-0.01</v>
      </c>
    </row>
    <row r="63" spans="1:21" ht="21.5" customHeight="1">
      <c r="A63" s="56" t="s">
        <v>46</v>
      </c>
      <c r="F63" s="92">
        <v>-0.01</v>
      </c>
      <c r="G63" s="92">
        <v>0</v>
      </c>
      <c r="H63" s="92">
        <v>0</v>
      </c>
      <c r="I63" s="92">
        <v>0</v>
      </c>
      <c r="J63" s="92">
        <v>0.01</v>
      </c>
      <c r="K63" s="92">
        <v>0</v>
      </c>
      <c r="L63" s="92">
        <v>-0.01</v>
      </c>
      <c r="M63" s="29"/>
      <c r="N63" s="29"/>
      <c r="O63" s="29"/>
      <c r="P63" s="92">
        <v>0</v>
      </c>
      <c r="Q63" s="92">
        <v>-0.05</v>
      </c>
      <c r="R63" s="92">
        <v>0</v>
      </c>
      <c r="S63" s="92">
        <v>0</v>
      </c>
      <c r="T63" s="92">
        <v>0</v>
      </c>
      <c r="U63" s="92">
        <v>0</v>
      </c>
    </row>
    <row r="64" spans="1:21" ht="21.5" customHeight="1">
      <c r="A64" s="56" t="s">
        <v>45</v>
      </c>
      <c r="F64" s="92">
        <v>0.05</v>
      </c>
      <c r="G64" s="92">
        <v>-0.02</v>
      </c>
      <c r="H64" s="92">
        <v>0</v>
      </c>
      <c r="I64" s="92">
        <v>0</v>
      </c>
      <c r="J64" s="92">
        <v>-0.08</v>
      </c>
      <c r="K64" s="92">
        <v>-0.28000000000000003</v>
      </c>
      <c r="L64" s="92">
        <v>-7.0000000000000007E-2</v>
      </c>
      <c r="M64" s="29"/>
      <c r="N64" s="29"/>
      <c r="O64" s="29"/>
      <c r="P64" s="92">
        <v>-0.32</v>
      </c>
      <c r="Q64" s="92">
        <v>-0.18</v>
      </c>
      <c r="R64" s="92">
        <v>-0.03</v>
      </c>
      <c r="S64" s="92">
        <v>-0.02</v>
      </c>
      <c r="T64" s="92">
        <v>-0.02</v>
      </c>
      <c r="U64" s="92">
        <v>-0.02</v>
      </c>
    </row>
    <row r="65" spans="1:21" ht="21.5" customHeight="1">
      <c r="A65" s="56" t="s">
        <v>42</v>
      </c>
      <c r="F65" s="92">
        <v>0.03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-0.01</v>
      </c>
      <c r="M65" s="29"/>
      <c r="N65" s="29"/>
      <c r="O65" s="29"/>
      <c r="P65" s="92">
        <v>0</v>
      </c>
      <c r="Q65" s="92">
        <v>0</v>
      </c>
      <c r="R65" s="92">
        <v>0</v>
      </c>
      <c r="S65" s="92">
        <v>0</v>
      </c>
      <c r="T65" s="92">
        <v>-0.03</v>
      </c>
      <c r="U65" s="92">
        <v>-0.03</v>
      </c>
    </row>
    <row r="66" spans="1:21" ht="21.5" customHeight="1">
      <c r="A66" s="56" t="s">
        <v>47</v>
      </c>
      <c r="F66" s="92">
        <v>2.42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M66" s="29"/>
      <c r="N66" s="29"/>
      <c r="O66" s="29"/>
      <c r="P66" s="92">
        <v>0</v>
      </c>
    </row>
    <row r="67" spans="1:21" ht="21.5" customHeight="1">
      <c r="A67" s="56" t="s">
        <v>43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29"/>
      <c r="N67" s="29"/>
      <c r="O67" s="29"/>
      <c r="P67" s="92">
        <v>0</v>
      </c>
      <c r="Q67" s="92">
        <v>0</v>
      </c>
      <c r="R67" s="92">
        <v>0</v>
      </c>
      <c r="S67" s="92">
        <v>0</v>
      </c>
      <c r="T67" s="92">
        <v>0</v>
      </c>
      <c r="U67" s="92">
        <v>0</v>
      </c>
    </row>
    <row r="68" spans="1:21" ht="21.5" customHeight="1">
      <c r="A68" s="56" t="s">
        <v>44</v>
      </c>
      <c r="F68" s="92">
        <v>0</v>
      </c>
      <c r="G68" s="92">
        <v>0.02</v>
      </c>
      <c r="H68" s="92">
        <v>0</v>
      </c>
      <c r="I68" s="92">
        <v>0.06</v>
      </c>
      <c r="J68" s="92">
        <v>0</v>
      </c>
      <c r="K68" s="92">
        <v>0</v>
      </c>
      <c r="L68" s="92">
        <v>0</v>
      </c>
      <c r="M68" s="29"/>
      <c r="N68" s="29"/>
      <c r="O68" s="29"/>
      <c r="P68" s="92">
        <v>0</v>
      </c>
      <c r="Q68" s="92">
        <v>0</v>
      </c>
      <c r="R68" s="92">
        <v>0</v>
      </c>
      <c r="S68" s="92">
        <v>0</v>
      </c>
      <c r="T68" s="92">
        <v>0</v>
      </c>
      <c r="U68" s="92">
        <v>0</v>
      </c>
    </row>
    <row r="69" spans="1:21" ht="10" customHeight="1">
      <c r="M69" s="29"/>
      <c r="N69" s="29"/>
      <c r="O69" s="29"/>
    </row>
    <row r="70" spans="1:21" ht="21.5" customHeight="1">
      <c r="A70" s="61" t="s">
        <v>58</v>
      </c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29"/>
      <c r="N70" s="29"/>
      <c r="O70" s="29"/>
      <c r="P70" s="62"/>
      <c r="Q70" s="62"/>
      <c r="R70" s="62"/>
      <c r="S70" s="62"/>
      <c r="T70" s="62"/>
      <c r="U70" s="62"/>
    </row>
    <row r="71" spans="1:21" ht="21.5" customHeight="1">
      <c r="A71" s="56" t="s">
        <v>54</v>
      </c>
      <c r="F71" s="92">
        <v>0.09</v>
      </c>
      <c r="G71" s="92">
        <v>-0.11</v>
      </c>
      <c r="H71" s="92">
        <v>0.17</v>
      </c>
      <c r="I71" s="92">
        <v>0.11</v>
      </c>
      <c r="J71" s="92">
        <v>0.06</v>
      </c>
      <c r="K71" s="92">
        <v>0.03</v>
      </c>
      <c r="L71" s="92">
        <v>0.02</v>
      </c>
      <c r="M71" s="29"/>
      <c r="N71" s="29"/>
      <c r="O71" s="29"/>
      <c r="P71" s="92">
        <v>-0.01</v>
      </c>
      <c r="Q71" s="92">
        <v>-0.02</v>
      </c>
      <c r="R71" s="92">
        <v>0.01</v>
      </c>
      <c r="S71" s="92">
        <v>0.05</v>
      </c>
      <c r="T71" s="92">
        <v>0.12</v>
      </c>
      <c r="U71" s="92">
        <v>7.0000000000000007E-2</v>
      </c>
    </row>
    <row r="72" spans="1:21" ht="21.5" customHeight="1">
      <c r="A72" s="56" t="s">
        <v>46</v>
      </c>
      <c r="F72" s="67">
        <v>0.03</v>
      </c>
      <c r="G72" s="92">
        <v>-0.11</v>
      </c>
      <c r="H72" s="92">
        <v>0.12</v>
      </c>
      <c r="I72" s="92">
        <v>0.03</v>
      </c>
      <c r="J72" s="92">
        <v>0</v>
      </c>
      <c r="K72" s="92">
        <v>0.02</v>
      </c>
      <c r="L72" s="92">
        <v>0.01</v>
      </c>
      <c r="M72" s="29"/>
      <c r="N72" s="29"/>
      <c r="O72" s="29"/>
      <c r="P72" s="92">
        <v>-0.04</v>
      </c>
      <c r="Q72" s="92">
        <v>-0.04</v>
      </c>
      <c r="R72" s="92">
        <v>0.03</v>
      </c>
      <c r="S72" s="92">
        <v>0.11</v>
      </c>
      <c r="T72" s="92">
        <v>0.06</v>
      </c>
      <c r="U72" s="92">
        <v>0.01</v>
      </c>
    </row>
    <row r="73" spans="1:21" ht="21.5" customHeight="1">
      <c r="A73" s="56" t="s">
        <v>45</v>
      </c>
      <c r="F73" s="67">
        <v>0.1</v>
      </c>
      <c r="G73" s="92">
        <v>-0.16</v>
      </c>
      <c r="H73" s="92">
        <v>0.15</v>
      </c>
      <c r="I73" s="92">
        <v>0.1</v>
      </c>
      <c r="J73" s="92">
        <v>0</v>
      </c>
      <c r="K73" s="92">
        <v>-0.21</v>
      </c>
      <c r="L73" s="92">
        <v>-0.08</v>
      </c>
      <c r="M73" s="29"/>
      <c r="N73" s="29"/>
      <c r="O73" s="29"/>
      <c r="P73" s="92">
        <v>-0.28999999999999998</v>
      </c>
      <c r="Q73" s="92">
        <v>-0.2</v>
      </c>
      <c r="R73" s="92">
        <v>-0.08</v>
      </c>
      <c r="S73" s="92">
        <v>0.02</v>
      </c>
      <c r="T73" s="92">
        <v>0.12</v>
      </c>
      <c r="U73" s="92">
        <v>0.08</v>
      </c>
    </row>
    <row r="74" spans="1:21" ht="21.5" customHeight="1">
      <c r="A74" s="56" t="s">
        <v>42</v>
      </c>
      <c r="F74" s="92">
        <v>-0.01</v>
      </c>
      <c r="G74" s="92">
        <v>-0.14000000000000001</v>
      </c>
      <c r="H74" s="92">
        <v>0.19</v>
      </c>
      <c r="I74" s="92">
        <v>0.05</v>
      </c>
      <c r="J74" s="92">
        <v>7.0000000000000007E-2</v>
      </c>
      <c r="K74" s="92">
        <v>0.01</v>
      </c>
      <c r="L74" s="92">
        <v>0.05</v>
      </c>
      <c r="M74" s="29"/>
      <c r="N74" s="29"/>
      <c r="O74" s="29"/>
      <c r="P74" s="92">
        <v>-7.0000000000000007E-2</v>
      </c>
      <c r="Q74" s="92">
        <v>0.01</v>
      </c>
      <c r="R74" s="92">
        <v>0.05</v>
      </c>
      <c r="S74" s="92">
        <v>0.1</v>
      </c>
      <c r="T74" s="92">
        <v>0.13</v>
      </c>
      <c r="U74" s="92">
        <v>0.02</v>
      </c>
    </row>
    <row r="75" spans="1:21" ht="21.5" customHeight="1">
      <c r="A75" s="56" t="s">
        <v>47</v>
      </c>
      <c r="F75" s="92">
        <v>2.33</v>
      </c>
      <c r="G75" s="92">
        <v>-0.22</v>
      </c>
      <c r="H75" s="92">
        <v>0.41</v>
      </c>
      <c r="I75" s="92">
        <v>0.01</v>
      </c>
      <c r="J75" s="92">
        <v>0.08</v>
      </c>
      <c r="K75" s="92">
        <v>0.02</v>
      </c>
      <c r="M75" s="29"/>
      <c r="N75" s="29"/>
      <c r="O75" s="29"/>
      <c r="P75" s="92">
        <v>0</v>
      </c>
    </row>
    <row r="76" spans="1:21" ht="21.5" customHeight="1">
      <c r="A76" s="56" t="s">
        <v>43</v>
      </c>
      <c r="F76" s="92">
        <v>0.03</v>
      </c>
      <c r="G76" s="92">
        <v>-0.15</v>
      </c>
      <c r="H76" s="92">
        <v>0.18</v>
      </c>
      <c r="I76" s="92">
        <v>0.19</v>
      </c>
      <c r="J76" s="92">
        <v>0.19</v>
      </c>
      <c r="K76" s="92">
        <v>0.11</v>
      </c>
      <c r="L76" s="92">
        <v>-0.02</v>
      </c>
      <c r="M76" s="29"/>
      <c r="N76" s="29"/>
      <c r="O76" s="29"/>
      <c r="P76" s="92">
        <v>0.04</v>
      </c>
      <c r="Q76" s="92">
        <v>-0.03</v>
      </c>
      <c r="R76" s="92">
        <v>-0.04</v>
      </c>
      <c r="S76" s="92">
        <v>-0.04</v>
      </c>
      <c r="T76" s="92">
        <v>0.14000000000000001</v>
      </c>
      <c r="U76" s="92">
        <v>0.16</v>
      </c>
    </row>
    <row r="77" spans="1:21" ht="21.5" customHeight="1">
      <c r="A77" s="56" t="s">
        <v>44</v>
      </c>
      <c r="F77" s="92">
        <v>0.02</v>
      </c>
      <c r="G77" s="92">
        <v>-0.04</v>
      </c>
      <c r="H77" s="92">
        <v>0.15</v>
      </c>
      <c r="I77" s="92">
        <v>0.19</v>
      </c>
      <c r="J77" s="92">
        <v>7.0000000000000007E-2</v>
      </c>
      <c r="K77" s="92">
        <v>0.11</v>
      </c>
      <c r="L77" s="92">
        <v>0.04</v>
      </c>
      <c r="M77" s="29"/>
      <c r="N77" s="29"/>
      <c r="O77" s="29"/>
      <c r="P77" s="92">
        <v>0.12</v>
      </c>
      <c r="Q77" s="92">
        <v>0.03</v>
      </c>
      <c r="R77" s="92">
        <v>0.03</v>
      </c>
      <c r="S77" s="92">
        <v>0.04</v>
      </c>
      <c r="T77" s="92">
        <v>0.12</v>
      </c>
      <c r="U77" s="92">
        <v>7.0000000000000007E-2</v>
      </c>
    </row>
    <row r="78" spans="1:21" ht="10" customHeight="1">
      <c r="M78" s="29"/>
      <c r="N78" s="29"/>
      <c r="O78" s="29"/>
    </row>
    <row r="79" spans="1:21" ht="21.5" customHeight="1">
      <c r="A79" s="63" t="s">
        <v>59</v>
      </c>
      <c r="B79" s="64"/>
      <c r="C79" s="64"/>
      <c r="D79" s="64"/>
      <c r="E79" s="64"/>
      <c r="F79" s="94">
        <f t="shared" ref="F79:L85" si="1">F35+F44+F53+F62-F71</f>
        <v>0</v>
      </c>
      <c r="G79" s="94">
        <f t="shared" si="1"/>
        <v>0</v>
      </c>
      <c r="H79" s="94">
        <f t="shared" si="1"/>
        <v>-1.0000000000000009E-2</v>
      </c>
      <c r="I79" s="94">
        <f t="shared" si="1"/>
        <v>0</v>
      </c>
      <c r="J79" s="94">
        <f t="shared" si="1"/>
        <v>1.0000000000000023E-2</v>
      </c>
      <c r="K79" s="94">
        <f t="shared" si="1"/>
        <v>1.0000000000000002E-2</v>
      </c>
      <c r="L79" s="94">
        <f t="shared" si="1"/>
        <v>0</v>
      </c>
      <c r="M79" s="29"/>
      <c r="N79" s="29"/>
      <c r="O79" s="29"/>
      <c r="P79" s="94">
        <f t="shared" ref="P79:U85" si="2">P35+P44+P53+P62-P71</f>
        <v>0</v>
      </c>
      <c r="Q79" s="94">
        <f t="shared" si="2"/>
        <v>0</v>
      </c>
      <c r="R79" s="94">
        <f t="shared" si="2"/>
        <v>9.9999999999999967E-3</v>
      </c>
      <c r="S79" s="94">
        <f t="shared" si="2"/>
        <v>9.999999999999995E-3</v>
      </c>
      <c r="T79" s="94">
        <f t="shared" si="2"/>
        <v>0</v>
      </c>
      <c r="U79" s="94">
        <f t="shared" si="2"/>
        <v>0</v>
      </c>
    </row>
    <row r="80" spans="1:21" ht="21.5" customHeight="1">
      <c r="A80" s="63" t="s">
        <v>60</v>
      </c>
      <c r="B80" s="64"/>
      <c r="C80" s="64"/>
      <c r="D80" s="64"/>
      <c r="E80" s="64"/>
      <c r="F80" s="94">
        <f t="shared" si="1"/>
        <v>0</v>
      </c>
      <c r="G80" s="94">
        <f t="shared" si="1"/>
        <v>-1.0000000000000009E-2</v>
      </c>
      <c r="H80" s="94">
        <f t="shared" si="1"/>
        <v>0</v>
      </c>
      <c r="I80" s="94">
        <f t="shared" si="1"/>
        <v>-9.999999999999995E-3</v>
      </c>
      <c r="J80" s="94">
        <f t="shared" si="1"/>
        <v>0.01</v>
      </c>
      <c r="K80" s="94">
        <f t="shared" si="1"/>
        <v>-9.9999999999999985E-3</v>
      </c>
      <c r="L80" s="94">
        <f t="shared" si="1"/>
        <v>0</v>
      </c>
      <c r="M80" s="29"/>
      <c r="N80" s="29"/>
      <c r="O80" s="29"/>
      <c r="P80" s="94">
        <f t="shared" si="2"/>
        <v>0</v>
      </c>
      <c r="Q80" s="94">
        <f t="shared" si="2"/>
        <v>0</v>
      </c>
      <c r="R80" s="94">
        <f t="shared" si="2"/>
        <v>0</v>
      </c>
      <c r="S80" s="94">
        <f t="shared" si="2"/>
        <v>0</v>
      </c>
      <c r="T80" s="94">
        <f t="shared" si="2"/>
        <v>0</v>
      </c>
      <c r="U80" s="94">
        <f t="shared" si="2"/>
        <v>0</v>
      </c>
    </row>
    <row r="81" spans="1:21" ht="37" customHeight="1">
      <c r="A81" s="63" t="s">
        <v>61</v>
      </c>
      <c r="B81" s="64"/>
      <c r="C81" s="64"/>
      <c r="D81" s="64"/>
      <c r="E81" s="64"/>
      <c r="F81" s="94">
        <f t="shared" si="1"/>
        <v>-1.0000000000000009E-2</v>
      </c>
      <c r="G81" s="94">
        <f t="shared" si="1"/>
        <v>-9.9999999999999811E-3</v>
      </c>
      <c r="H81" s="94">
        <f t="shared" si="1"/>
        <v>0</v>
      </c>
      <c r="I81" s="94">
        <f t="shared" si="1"/>
        <v>0</v>
      </c>
      <c r="J81" s="94">
        <f t="shared" si="1"/>
        <v>-9.999999999999995E-3</v>
      </c>
      <c r="K81" s="94">
        <f t="shared" si="1"/>
        <v>9.9999999999999811E-3</v>
      </c>
      <c r="L81" s="94">
        <f t="shared" si="1"/>
        <v>9.999999999999995E-3</v>
      </c>
      <c r="M81" s="29"/>
      <c r="N81" s="29"/>
      <c r="O81" s="29"/>
      <c r="P81" s="94">
        <f t="shared" si="2"/>
        <v>-1.0000000000000009E-2</v>
      </c>
      <c r="Q81" s="94">
        <f t="shared" si="2"/>
        <v>1.0000000000000009E-2</v>
      </c>
      <c r="R81" s="94">
        <f t="shared" si="2"/>
        <v>-9.999999999999995E-3</v>
      </c>
      <c r="S81" s="94">
        <f t="shared" si="2"/>
        <v>0</v>
      </c>
      <c r="T81" s="94">
        <f t="shared" si="2"/>
        <v>0</v>
      </c>
      <c r="U81" s="94">
        <f t="shared" si="2"/>
        <v>0</v>
      </c>
    </row>
    <row r="82" spans="1:21" ht="21.5" customHeight="1">
      <c r="A82" s="63" t="s">
        <v>62</v>
      </c>
      <c r="B82" s="64"/>
      <c r="C82" s="64"/>
      <c r="D82" s="64"/>
      <c r="E82" s="64"/>
      <c r="F82" s="94">
        <f t="shared" si="1"/>
        <v>0</v>
      </c>
      <c r="G82" s="94">
        <f t="shared" si="1"/>
        <v>-9.9999999999999811E-3</v>
      </c>
      <c r="H82" s="94">
        <f t="shared" si="1"/>
        <v>0</v>
      </c>
      <c r="I82" s="94">
        <f t="shared" si="1"/>
        <v>-1.0000000000000023E-2</v>
      </c>
      <c r="J82" s="94">
        <f t="shared" si="1"/>
        <v>0</v>
      </c>
      <c r="K82" s="94">
        <f t="shared" si="1"/>
        <v>-0.01</v>
      </c>
      <c r="L82" s="94">
        <f t="shared" si="1"/>
        <v>0</v>
      </c>
      <c r="M82" s="29"/>
      <c r="N82" s="29"/>
      <c r="O82" s="29"/>
      <c r="P82" s="94">
        <f t="shared" si="2"/>
        <v>-1.0000000000000009E-2</v>
      </c>
      <c r="Q82" s="94">
        <f t="shared" si="2"/>
        <v>0</v>
      </c>
      <c r="R82" s="94">
        <f t="shared" si="2"/>
        <v>1.0000000000000002E-2</v>
      </c>
      <c r="S82" s="94">
        <f t="shared" si="2"/>
        <v>0</v>
      </c>
      <c r="T82" s="94">
        <f t="shared" si="2"/>
        <v>0</v>
      </c>
      <c r="U82" s="94">
        <f t="shared" si="2"/>
        <v>-9.9999999999999985E-3</v>
      </c>
    </row>
    <row r="83" spans="1:21" ht="21.5" customHeight="1">
      <c r="A83" s="63" t="s">
        <v>63</v>
      </c>
      <c r="B83" s="64"/>
      <c r="C83" s="64"/>
      <c r="D83" s="64"/>
      <c r="E83" s="64"/>
      <c r="F83" s="94">
        <f t="shared" si="1"/>
        <v>0</v>
      </c>
      <c r="G83" s="94">
        <f t="shared" si="1"/>
        <v>1.0000000000000009E-2</v>
      </c>
      <c r="H83" s="94">
        <f t="shared" si="1"/>
        <v>-9.9999999999999534E-3</v>
      </c>
      <c r="I83" s="94">
        <f t="shared" si="1"/>
        <v>1.0000000000000004E-2</v>
      </c>
      <c r="J83" s="94">
        <f t="shared" si="1"/>
        <v>-9.999999999999995E-3</v>
      </c>
      <c r="K83" s="94">
        <f t="shared" si="1"/>
        <v>1.0000000000000002E-2</v>
      </c>
      <c r="L83" s="94">
        <f t="shared" si="1"/>
        <v>0</v>
      </c>
      <c r="M83" s="29"/>
      <c r="N83" s="29"/>
      <c r="O83" s="29"/>
      <c r="P83" s="94">
        <f t="shared" si="2"/>
        <v>3.4694469519536142E-18</v>
      </c>
      <c r="Q83" s="94">
        <f t="shared" si="2"/>
        <v>0</v>
      </c>
      <c r="R83" s="94">
        <f t="shared" si="2"/>
        <v>0</v>
      </c>
      <c r="S83" s="94">
        <f t="shared" si="2"/>
        <v>0</v>
      </c>
      <c r="T83" s="94">
        <f t="shared" si="2"/>
        <v>0</v>
      </c>
      <c r="U83" s="94">
        <f t="shared" si="2"/>
        <v>0</v>
      </c>
    </row>
    <row r="84" spans="1:21" ht="21.5" customHeight="1">
      <c r="A84" s="63" t="s">
        <v>64</v>
      </c>
      <c r="B84" s="64"/>
      <c r="C84" s="64"/>
      <c r="D84" s="64"/>
      <c r="E84" s="64"/>
      <c r="F84" s="94">
        <f t="shared" si="1"/>
        <v>1.0000000000000009E-2</v>
      </c>
      <c r="G84" s="94">
        <f t="shared" si="1"/>
        <v>9.9999999999999811E-3</v>
      </c>
      <c r="H84" s="94">
        <f t="shared" si="1"/>
        <v>0</v>
      </c>
      <c r="I84" s="94">
        <f t="shared" si="1"/>
        <v>0</v>
      </c>
      <c r="J84" s="94">
        <f t="shared" si="1"/>
        <v>0</v>
      </c>
      <c r="K84" s="94">
        <f t="shared" si="1"/>
        <v>-1.0000000000000023E-2</v>
      </c>
      <c r="L84" s="94">
        <f t="shared" si="1"/>
        <v>0</v>
      </c>
      <c r="M84" s="29"/>
      <c r="N84" s="29"/>
      <c r="O84" s="29"/>
      <c r="P84" s="94">
        <f t="shared" si="2"/>
        <v>-1.000000000000003E-2</v>
      </c>
      <c r="Q84" s="94">
        <f t="shared" si="2"/>
        <v>0</v>
      </c>
      <c r="R84" s="94">
        <f t="shared" si="2"/>
        <v>9.9999999999999742E-3</v>
      </c>
      <c r="S84" s="94">
        <f t="shared" si="2"/>
        <v>0</v>
      </c>
      <c r="T84" s="94">
        <f t="shared" si="2"/>
        <v>-1.0000000000000009E-2</v>
      </c>
      <c r="U84" s="94">
        <f t="shared" si="2"/>
        <v>-1.0000000000000009E-2</v>
      </c>
    </row>
    <row r="85" spans="1:21" ht="21.5" customHeight="1">
      <c r="A85" s="63" t="s">
        <v>65</v>
      </c>
      <c r="B85" s="64"/>
      <c r="C85" s="64"/>
      <c r="D85" s="64"/>
      <c r="E85" s="64"/>
      <c r="F85" s="94">
        <f t="shared" si="1"/>
        <v>9.9999999999999985E-3</v>
      </c>
      <c r="G85" s="94">
        <f t="shared" si="1"/>
        <v>9.9999999999999985E-3</v>
      </c>
      <c r="H85" s="94">
        <f t="shared" si="1"/>
        <v>-9.9999999999999811E-3</v>
      </c>
      <c r="I85" s="94">
        <f t="shared" si="1"/>
        <v>0</v>
      </c>
      <c r="J85" s="94">
        <f t="shared" si="1"/>
        <v>0</v>
      </c>
      <c r="K85" s="94">
        <f t="shared" si="1"/>
        <v>0</v>
      </c>
      <c r="L85" s="94">
        <f t="shared" si="1"/>
        <v>0</v>
      </c>
      <c r="M85" s="29"/>
      <c r="N85" s="29"/>
      <c r="O85" s="29"/>
      <c r="P85" s="94">
        <f t="shared" si="2"/>
        <v>0</v>
      </c>
      <c r="Q85" s="94">
        <f t="shared" si="2"/>
        <v>1.0000000000000002E-2</v>
      </c>
      <c r="R85" s="94">
        <f t="shared" si="2"/>
        <v>0</v>
      </c>
      <c r="S85" s="94">
        <f t="shared" si="2"/>
        <v>0</v>
      </c>
      <c r="T85" s="94">
        <f t="shared" si="2"/>
        <v>0</v>
      </c>
      <c r="U85" s="94">
        <f t="shared" si="2"/>
        <v>0</v>
      </c>
    </row>
    <row r="86" spans="1:21" ht="10" customHeight="1">
      <c r="M86" s="29"/>
      <c r="N86" s="29"/>
      <c r="O86" s="29"/>
    </row>
    <row r="87" spans="1:21" ht="29" customHeight="1">
      <c r="A87" s="23" t="s">
        <v>1045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</row>
    <row r="88" spans="1:21" ht="21.5" customHeight="1">
      <c r="A88" s="61" t="s">
        <v>66</v>
      </c>
      <c r="B88" s="70" t="s">
        <v>67</v>
      </c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29"/>
      <c r="N88" s="29"/>
      <c r="O88" s="29"/>
      <c r="P88" s="62"/>
      <c r="Q88" s="62"/>
      <c r="R88" s="62"/>
      <c r="S88" s="62"/>
      <c r="T88" s="62"/>
      <c r="U88" s="62"/>
    </row>
    <row r="89" spans="1:21" ht="21.5" customHeight="1">
      <c r="A89" s="56" t="s">
        <v>68</v>
      </c>
      <c r="B89" s="71" t="s">
        <v>67</v>
      </c>
      <c r="E89" s="57">
        <v>4571</v>
      </c>
      <c r="F89" s="57">
        <v>5252</v>
      </c>
      <c r="G89" s="57">
        <v>5443</v>
      </c>
      <c r="H89" s="57">
        <v>6551</v>
      </c>
      <c r="I89" s="57">
        <v>7702</v>
      </c>
      <c r="J89" s="57">
        <v>8780</v>
      </c>
      <c r="K89" s="57">
        <v>8813</v>
      </c>
      <c r="L89" s="57">
        <v>8956</v>
      </c>
      <c r="M89" s="29"/>
      <c r="N89" s="29"/>
      <c r="O89" s="29"/>
      <c r="P89" s="57">
        <v>2283</v>
      </c>
      <c r="Q89" s="57">
        <v>1927</v>
      </c>
      <c r="R89" s="57">
        <v>2268</v>
      </c>
      <c r="S89" s="57">
        <v>2375</v>
      </c>
      <c r="T89" s="57">
        <v>2188</v>
      </c>
      <c r="U89" s="57">
        <v>2426</v>
      </c>
    </row>
    <row r="90" spans="1:21" ht="21.5" customHeight="1">
      <c r="A90" s="56" t="s">
        <v>69</v>
      </c>
      <c r="B90" s="71" t="s">
        <v>67</v>
      </c>
      <c r="E90" s="57">
        <v>15323</v>
      </c>
      <c r="F90" s="57">
        <v>15247</v>
      </c>
      <c r="G90" s="57">
        <v>13139</v>
      </c>
      <c r="H90" s="57">
        <v>15248</v>
      </c>
      <c r="I90" s="57">
        <v>16369</v>
      </c>
      <c r="J90" s="57">
        <v>17759</v>
      </c>
      <c r="K90" s="57">
        <v>18912</v>
      </c>
      <c r="L90" s="57">
        <v>19506</v>
      </c>
      <c r="M90" s="29"/>
      <c r="N90" s="29"/>
      <c r="O90" s="29"/>
      <c r="P90" s="57">
        <v>4775</v>
      </c>
      <c r="Q90" s="57">
        <v>5256</v>
      </c>
      <c r="R90" s="57">
        <v>6021</v>
      </c>
      <c r="S90" s="57">
        <v>5823</v>
      </c>
      <c r="T90" s="57">
        <v>5197</v>
      </c>
      <c r="U90" s="57">
        <v>5720</v>
      </c>
    </row>
    <row r="91" spans="1:21" ht="21.5" customHeight="1">
      <c r="A91" s="51" t="s">
        <v>70</v>
      </c>
      <c r="B91" s="58" t="s">
        <v>67</v>
      </c>
      <c r="C91" s="52"/>
      <c r="D91" s="52"/>
      <c r="E91" s="53">
        <v>19894</v>
      </c>
      <c r="F91" s="53">
        <v>20499</v>
      </c>
      <c r="G91" s="53">
        <v>18582</v>
      </c>
      <c r="H91" s="53">
        <v>21799</v>
      </c>
      <c r="I91" s="53">
        <v>24071</v>
      </c>
      <c r="J91" s="53">
        <v>26539</v>
      </c>
      <c r="K91" s="53">
        <v>27725</v>
      </c>
      <c r="L91" s="53">
        <v>28462</v>
      </c>
      <c r="M91" s="32"/>
      <c r="N91" s="32"/>
      <c r="O91" s="32"/>
      <c r="P91" s="53">
        <v>7058</v>
      </c>
      <c r="Q91" s="53">
        <v>7183</v>
      </c>
      <c r="R91" s="53">
        <v>8289</v>
      </c>
      <c r="S91" s="53">
        <v>8198</v>
      </c>
      <c r="T91" s="53">
        <v>7385</v>
      </c>
      <c r="U91" s="53">
        <v>8146</v>
      </c>
    </row>
    <row r="92" spans="1:21" ht="37" customHeight="1">
      <c r="A92" s="63" t="s">
        <v>71</v>
      </c>
      <c r="B92" s="95" t="s">
        <v>67</v>
      </c>
      <c r="C92" s="64"/>
      <c r="D92" s="64"/>
      <c r="E92" s="65">
        <f t="shared" ref="E92:L92" si="3">E89+E90-E91</f>
        <v>0</v>
      </c>
      <c r="F92" s="65">
        <f t="shared" si="3"/>
        <v>0</v>
      </c>
      <c r="G92" s="65">
        <f t="shared" si="3"/>
        <v>0</v>
      </c>
      <c r="H92" s="65">
        <f t="shared" si="3"/>
        <v>0</v>
      </c>
      <c r="I92" s="65">
        <f t="shared" si="3"/>
        <v>0</v>
      </c>
      <c r="J92" s="65">
        <f t="shared" si="3"/>
        <v>0</v>
      </c>
      <c r="K92" s="65">
        <f t="shared" si="3"/>
        <v>0</v>
      </c>
      <c r="L92" s="65">
        <f t="shared" si="3"/>
        <v>0</v>
      </c>
      <c r="M92" s="29"/>
      <c r="N92" s="29"/>
      <c r="O92" s="29"/>
      <c r="P92" s="65">
        <f t="shared" ref="P92:U92" si="4">P89+P90-P91</f>
        <v>0</v>
      </c>
      <c r="Q92" s="65">
        <f t="shared" si="4"/>
        <v>0</v>
      </c>
      <c r="R92" s="65">
        <f t="shared" si="4"/>
        <v>0</v>
      </c>
      <c r="S92" s="65">
        <f t="shared" si="4"/>
        <v>0</v>
      </c>
      <c r="T92" s="65">
        <f t="shared" si="4"/>
        <v>0</v>
      </c>
      <c r="U92" s="65">
        <f t="shared" si="4"/>
        <v>0</v>
      </c>
    </row>
    <row r="93" spans="1:21" ht="10" customHeight="1">
      <c r="M93" s="29"/>
      <c r="N93" s="29"/>
      <c r="O93" s="29"/>
    </row>
    <row r="94" spans="1:21" ht="21.5" customHeight="1">
      <c r="A94" s="61" t="s">
        <v>72</v>
      </c>
      <c r="B94" s="70" t="s">
        <v>67</v>
      </c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29"/>
      <c r="N94" s="29"/>
      <c r="O94" s="29"/>
      <c r="P94" s="62"/>
      <c r="Q94" s="62"/>
      <c r="R94" s="62"/>
      <c r="S94" s="62"/>
      <c r="T94" s="62"/>
      <c r="U94" s="62"/>
    </row>
    <row r="95" spans="1:21" ht="21.5" customHeight="1">
      <c r="A95" s="56" t="s">
        <v>68</v>
      </c>
      <c r="B95" s="71" t="s">
        <v>67</v>
      </c>
      <c r="E95" s="57">
        <v>6773</v>
      </c>
      <c r="F95" s="57">
        <v>6463</v>
      </c>
      <c r="G95" s="57">
        <v>5838</v>
      </c>
      <c r="H95" s="57">
        <v>6459</v>
      </c>
      <c r="I95" s="57">
        <v>7711</v>
      </c>
      <c r="J95" s="57">
        <v>7770</v>
      </c>
      <c r="K95" s="57">
        <v>9549</v>
      </c>
      <c r="L95" s="57">
        <v>10171</v>
      </c>
      <c r="M95" s="29"/>
      <c r="N95" s="29"/>
      <c r="O95" s="29"/>
      <c r="P95" s="57">
        <v>2620</v>
      </c>
      <c r="Q95" s="57">
        <v>2326</v>
      </c>
      <c r="R95" s="57">
        <v>2667</v>
      </c>
      <c r="S95" s="57">
        <v>2743</v>
      </c>
      <c r="T95" s="57">
        <v>2557</v>
      </c>
      <c r="U95" s="57">
        <v>2834</v>
      </c>
    </row>
    <row r="96" spans="1:21" ht="21.5" customHeight="1">
      <c r="A96" s="56" t="s">
        <v>69</v>
      </c>
      <c r="B96" s="71" t="s">
        <v>67</v>
      </c>
      <c r="E96" s="57">
        <v>7633</v>
      </c>
      <c r="F96" s="57">
        <v>10304</v>
      </c>
      <c r="G96" s="57">
        <v>8594</v>
      </c>
      <c r="H96" s="57">
        <v>10397</v>
      </c>
      <c r="I96" s="57">
        <v>11222</v>
      </c>
      <c r="J96" s="57">
        <v>11445</v>
      </c>
      <c r="K96" s="57">
        <v>9787</v>
      </c>
      <c r="L96" s="57">
        <v>9308</v>
      </c>
      <c r="M96" s="29"/>
      <c r="N96" s="29"/>
      <c r="O96" s="29"/>
      <c r="P96" s="57">
        <v>2176</v>
      </c>
      <c r="Q96" s="57">
        <v>1620</v>
      </c>
      <c r="R96" s="57">
        <v>1579</v>
      </c>
      <c r="S96" s="57">
        <v>1514</v>
      </c>
      <c r="T96" s="57">
        <v>2530</v>
      </c>
      <c r="U96" s="57">
        <v>2400</v>
      </c>
    </row>
    <row r="97" spans="1:21" ht="21.5" customHeight="1">
      <c r="A97" s="51" t="s">
        <v>70</v>
      </c>
      <c r="B97" s="58" t="s">
        <v>67</v>
      </c>
      <c r="C97" s="52"/>
      <c r="D97" s="52"/>
      <c r="E97" s="53">
        <v>14406</v>
      </c>
      <c r="F97" s="53">
        <v>16767</v>
      </c>
      <c r="G97" s="53">
        <v>14432</v>
      </c>
      <c r="H97" s="53">
        <v>16856</v>
      </c>
      <c r="I97" s="53">
        <v>18933</v>
      </c>
      <c r="J97" s="53">
        <v>19215</v>
      </c>
      <c r="K97" s="53">
        <v>19336</v>
      </c>
      <c r="L97" s="53">
        <v>19479</v>
      </c>
      <c r="M97" s="32"/>
      <c r="N97" s="32"/>
      <c r="O97" s="32"/>
      <c r="P97" s="53">
        <v>4796</v>
      </c>
      <c r="Q97" s="53">
        <v>3946</v>
      </c>
      <c r="R97" s="53">
        <v>4246</v>
      </c>
      <c r="S97" s="53">
        <v>4257</v>
      </c>
      <c r="T97" s="53">
        <v>5087</v>
      </c>
      <c r="U97" s="53">
        <v>5234</v>
      </c>
    </row>
    <row r="98" spans="1:21" ht="37" customHeight="1">
      <c r="A98" s="63" t="s">
        <v>73</v>
      </c>
      <c r="B98" s="95" t="s">
        <v>67</v>
      </c>
      <c r="C98" s="64"/>
      <c r="D98" s="64"/>
      <c r="E98" s="65">
        <f t="shared" ref="E98:L98" si="5">E95+E96-E97</f>
        <v>0</v>
      </c>
      <c r="F98" s="65">
        <f t="shared" si="5"/>
        <v>0</v>
      </c>
      <c r="G98" s="65">
        <f t="shared" si="5"/>
        <v>0</v>
      </c>
      <c r="H98" s="65">
        <f t="shared" si="5"/>
        <v>0</v>
      </c>
      <c r="I98" s="65">
        <f t="shared" si="5"/>
        <v>0</v>
      </c>
      <c r="J98" s="65">
        <f t="shared" si="5"/>
        <v>0</v>
      </c>
      <c r="K98" s="65">
        <f t="shared" si="5"/>
        <v>0</v>
      </c>
      <c r="L98" s="65">
        <f t="shared" si="5"/>
        <v>0</v>
      </c>
      <c r="M98" s="29"/>
      <c r="N98" s="29"/>
      <c r="O98" s="29"/>
      <c r="P98" s="65">
        <f t="shared" ref="P98:U98" si="6">P95+P96-P97</f>
        <v>0</v>
      </c>
      <c r="Q98" s="65">
        <f t="shared" si="6"/>
        <v>0</v>
      </c>
      <c r="R98" s="65">
        <f t="shared" si="6"/>
        <v>0</v>
      </c>
      <c r="S98" s="65">
        <f t="shared" si="6"/>
        <v>0</v>
      </c>
      <c r="T98" s="65">
        <f t="shared" si="6"/>
        <v>0</v>
      </c>
      <c r="U98" s="65">
        <f t="shared" si="6"/>
        <v>0</v>
      </c>
    </row>
    <row r="99" spans="1:21" ht="10" customHeight="1">
      <c r="M99" s="29"/>
      <c r="N99" s="29"/>
      <c r="O99" s="29"/>
    </row>
    <row r="100" spans="1:21" ht="21.5" customHeight="1">
      <c r="A100" s="61" t="s">
        <v>70</v>
      </c>
      <c r="B100" s="70" t="s">
        <v>67</v>
      </c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29"/>
      <c r="N100" s="29"/>
      <c r="O100" s="29"/>
      <c r="P100" s="62"/>
      <c r="Q100" s="62"/>
      <c r="R100" s="62"/>
      <c r="S100" s="62"/>
      <c r="T100" s="62"/>
      <c r="U100" s="62"/>
    </row>
    <row r="101" spans="1:21" ht="21.5" customHeight="1">
      <c r="A101" s="56" t="s">
        <v>68</v>
      </c>
      <c r="B101" s="71" t="s">
        <v>67</v>
      </c>
      <c r="E101" s="57">
        <v>11344</v>
      </c>
      <c r="F101" s="57">
        <v>11715</v>
      </c>
      <c r="G101" s="57">
        <v>11281</v>
      </c>
      <c r="H101" s="57">
        <v>13010</v>
      </c>
      <c r="I101" s="57">
        <v>15413</v>
      </c>
      <c r="J101" s="57">
        <v>16550</v>
      </c>
      <c r="K101" s="57">
        <v>18362</v>
      </c>
      <c r="L101" s="57">
        <v>19127</v>
      </c>
      <c r="M101" s="29"/>
      <c r="N101" s="29"/>
      <c r="O101" s="29"/>
      <c r="P101" s="57">
        <v>4903</v>
      </c>
      <c r="Q101" s="57">
        <v>4253</v>
      </c>
      <c r="R101" s="57">
        <v>4935</v>
      </c>
      <c r="S101" s="57">
        <v>5118</v>
      </c>
      <c r="T101" s="57">
        <v>4745</v>
      </c>
      <c r="U101" s="57">
        <v>5260</v>
      </c>
    </row>
    <row r="102" spans="1:21" ht="21.5" customHeight="1">
      <c r="A102" s="56" t="s">
        <v>69</v>
      </c>
      <c r="B102" s="71" t="s">
        <v>67</v>
      </c>
      <c r="E102" s="57">
        <v>22956</v>
      </c>
      <c r="F102" s="57">
        <v>25551</v>
      </c>
      <c r="G102" s="57">
        <v>21733</v>
      </c>
      <c r="H102" s="57">
        <v>25645</v>
      </c>
      <c r="I102" s="57">
        <v>27591</v>
      </c>
      <c r="J102" s="57">
        <v>29204</v>
      </c>
      <c r="K102" s="57">
        <v>28699</v>
      </c>
      <c r="L102" s="57">
        <v>28814</v>
      </c>
      <c r="M102" s="29"/>
      <c r="N102" s="29"/>
      <c r="O102" s="29"/>
      <c r="P102" s="57">
        <v>6951</v>
      </c>
      <c r="Q102" s="57">
        <v>6876</v>
      </c>
      <c r="R102" s="57">
        <v>7600</v>
      </c>
      <c r="S102" s="57">
        <v>7337</v>
      </c>
      <c r="T102" s="57">
        <v>7727</v>
      </c>
      <c r="U102" s="57">
        <v>8120</v>
      </c>
    </row>
    <row r="103" spans="1:21" ht="21.5" customHeight="1">
      <c r="A103" s="51" t="s">
        <v>70</v>
      </c>
      <c r="B103" s="58" t="s">
        <v>67</v>
      </c>
      <c r="C103" s="52"/>
      <c r="D103" s="52"/>
      <c r="E103" s="53">
        <v>34300</v>
      </c>
      <c r="F103" s="53">
        <v>37266</v>
      </c>
      <c r="G103" s="53">
        <v>33014</v>
      </c>
      <c r="H103" s="53">
        <v>38655</v>
      </c>
      <c r="I103" s="53">
        <v>43004</v>
      </c>
      <c r="J103" s="53">
        <v>45754</v>
      </c>
      <c r="K103" s="53">
        <v>47061</v>
      </c>
      <c r="L103" s="53">
        <v>47941</v>
      </c>
      <c r="M103" s="32"/>
      <c r="N103" s="32"/>
      <c r="O103" s="32"/>
      <c r="P103" s="53">
        <v>11854</v>
      </c>
      <c r="Q103" s="53">
        <v>11129</v>
      </c>
      <c r="R103" s="53">
        <v>12535</v>
      </c>
      <c r="S103" s="53">
        <v>12455</v>
      </c>
      <c r="T103" s="53">
        <v>12472</v>
      </c>
      <c r="U103" s="53">
        <v>13380</v>
      </c>
    </row>
    <row r="104" spans="1:21" ht="21.5" customHeight="1">
      <c r="A104" s="63" t="s">
        <v>74</v>
      </c>
      <c r="B104" s="95" t="s">
        <v>67</v>
      </c>
      <c r="C104" s="64"/>
      <c r="D104" s="64"/>
      <c r="E104" s="65">
        <f t="shared" ref="E104:L104" si="7">E101+E102-E103</f>
        <v>0</v>
      </c>
      <c r="F104" s="65">
        <f t="shared" si="7"/>
        <v>0</v>
      </c>
      <c r="G104" s="65">
        <f t="shared" si="7"/>
        <v>0</v>
      </c>
      <c r="H104" s="65">
        <f t="shared" si="7"/>
        <v>0</v>
      </c>
      <c r="I104" s="65">
        <f t="shared" si="7"/>
        <v>0</v>
      </c>
      <c r="J104" s="65">
        <f t="shared" si="7"/>
        <v>0</v>
      </c>
      <c r="K104" s="65">
        <f t="shared" si="7"/>
        <v>0</v>
      </c>
      <c r="L104" s="65">
        <f t="shared" si="7"/>
        <v>0</v>
      </c>
      <c r="M104" s="29"/>
      <c r="N104" s="29"/>
      <c r="O104" s="29"/>
      <c r="P104" s="65">
        <f t="shared" ref="P104:U104" si="8">P101+P102-P103</f>
        <v>0</v>
      </c>
      <c r="Q104" s="65">
        <f t="shared" si="8"/>
        <v>0</v>
      </c>
      <c r="R104" s="65">
        <f t="shared" si="8"/>
        <v>0</v>
      </c>
      <c r="S104" s="65">
        <f t="shared" si="8"/>
        <v>0</v>
      </c>
      <c r="T104" s="65">
        <f t="shared" si="8"/>
        <v>0</v>
      </c>
      <c r="U104" s="65">
        <f t="shared" si="8"/>
        <v>0</v>
      </c>
    </row>
    <row r="105" spans="1:21" ht="10" customHeight="1">
      <c r="M105" s="29"/>
      <c r="N105" s="29"/>
      <c r="O105" s="29"/>
    </row>
    <row r="106" spans="1:21" ht="37" customHeight="1">
      <c r="A106" s="63" t="s">
        <v>75</v>
      </c>
      <c r="B106" s="95" t="s">
        <v>67</v>
      </c>
      <c r="C106" s="64"/>
      <c r="D106" s="64"/>
      <c r="E106" s="80">
        <f>E103-'Income Statement'!E11</f>
        <v>0</v>
      </c>
      <c r="F106" s="80">
        <f>F103-'Income Statement'!F11</f>
        <v>0</v>
      </c>
      <c r="G106" s="80">
        <f>G103-'Income Statement'!G11</f>
        <v>0</v>
      </c>
      <c r="H106" s="80">
        <f>H103-'Income Statement'!H11</f>
        <v>0</v>
      </c>
      <c r="I106" s="80">
        <f>I103-'Income Statement'!I11</f>
        <v>0</v>
      </c>
      <c r="J106" s="80">
        <f>J103-'Income Statement'!J11</f>
        <v>0</v>
      </c>
      <c r="K106" s="80">
        <f>K103-'Income Statement'!K11</f>
        <v>0</v>
      </c>
      <c r="L106" s="80">
        <f>L103-'Income Statement'!L11</f>
        <v>0</v>
      </c>
      <c r="M106" s="29"/>
      <c r="N106" s="29"/>
      <c r="O106" s="29"/>
      <c r="P106" s="80">
        <f>P103-'Income Statement'!P11</f>
        <v>0</v>
      </c>
      <c r="Q106" s="80">
        <f>Q103-'Income Statement'!Q11</f>
        <v>0</v>
      </c>
      <c r="R106" s="80">
        <f>R103-'Income Statement'!R11</f>
        <v>0</v>
      </c>
      <c r="S106" s="80">
        <f>S103-'Income Statement'!S11</f>
        <v>0</v>
      </c>
      <c r="T106" s="80">
        <f>T103-'Income Statement'!T11</f>
        <v>0</v>
      </c>
      <c r="U106" s="80">
        <f>U103-'Income Statement'!U11</f>
        <v>0</v>
      </c>
    </row>
    <row r="107" spans="1:21" ht="10" customHeight="1">
      <c r="M107" s="29"/>
      <c r="N107" s="29"/>
      <c r="O107" s="29"/>
    </row>
    <row r="108" spans="1:21" ht="29" customHeight="1">
      <c r="A108" s="23" t="s">
        <v>76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</row>
    <row r="109" spans="1:21" ht="21.5" customHeight="1">
      <c r="A109" s="56" t="s">
        <v>42</v>
      </c>
      <c r="E109" s="92">
        <v>0.191</v>
      </c>
      <c r="F109" s="92">
        <v>0.17299999999999999</v>
      </c>
      <c r="G109" s="92">
        <v>0.16800000000000001</v>
      </c>
      <c r="H109" s="92">
        <v>0.17</v>
      </c>
      <c r="I109" s="92">
        <v>0.16</v>
      </c>
      <c r="J109" s="92">
        <v>0.16200000000000001</v>
      </c>
      <c r="K109" s="92">
        <v>0.218</v>
      </c>
      <c r="L109" s="92">
        <v>0.22600000000000001</v>
      </c>
      <c r="M109" s="29"/>
      <c r="N109" s="29"/>
      <c r="O109" s="29"/>
      <c r="P109" s="73">
        <f>IFERROR(Segments!P88/Segments!P95,"")</f>
        <v>0.15581238400539901</v>
      </c>
      <c r="Q109" s="73">
        <f>IFERROR(Segments!Q13/Segments!Q19,"")</f>
        <v>0.22293108095965494</v>
      </c>
      <c r="R109" s="73">
        <f>IFERROR(Segments!R13/Segments!R19,"")</f>
        <v>0.2399680893498205</v>
      </c>
      <c r="S109" s="73">
        <f>IFERROR(Segments!S13/Segments!S19,"")</f>
        <v>0.22625451625853071</v>
      </c>
      <c r="T109" s="73">
        <f>IFERROR(Segments!T13/Segments!T19,"")</f>
        <v>0.22506414368184735</v>
      </c>
      <c r="U109" s="73">
        <f>IFERROR(Segments!U13/Segments!U19,"")</f>
        <v>0.23071748878923767</v>
      </c>
    </row>
    <row r="110" spans="1:21" ht="21.5" customHeight="1">
      <c r="A110" s="56" t="s">
        <v>43</v>
      </c>
      <c r="E110" s="92">
        <v>0.11600000000000001</v>
      </c>
      <c r="F110" s="92">
        <v>0.11</v>
      </c>
      <c r="G110" s="92">
        <v>0.106</v>
      </c>
      <c r="H110" s="92">
        <v>0.107</v>
      </c>
      <c r="I110" s="92">
        <v>0.114</v>
      </c>
      <c r="J110" s="92">
        <v>0.127</v>
      </c>
      <c r="K110" s="92">
        <v>0.13800000000000001</v>
      </c>
      <c r="L110" s="92">
        <v>0.13200000000000001</v>
      </c>
      <c r="M110" s="29"/>
      <c r="N110" s="29"/>
      <c r="O110" s="29"/>
      <c r="P110" s="73">
        <f>IFERROR(Segments!P89/Segments!P95,"")</f>
        <v>0.13826556436645859</v>
      </c>
      <c r="Q110" s="73">
        <f>IFERROR(Segments!Q14/Segments!Q19,"")</f>
        <v>0.13271632671399047</v>
      </c>
      <c r="R110" s="73">
        <f>IFERROR(Segments!R14/Segments!R19,"")</f>
        <v>0.12660550458715597</v>
      </c>
      <c r="S110" s="73">
        <f>IFERROR(Segments!S14/Segments!S19,"")</f>
        <v>0.12621437173825772</v>
      </c>
      <c r="T110" s="73">
        <f>IFERROR(Segments!T14/Segments!T19,"")</f>
        <v>0.13454137267479152</v>
      </c>
      <c r="U110" s="73">
        <f>IFERROR(Segments!U14/Segments!U19,"")</f>
        <v>0.1374439461883408</v>
      </c>
    </row>
    <row r="111" spans="1:21" ht="21.5" customHeight="1">
      <c r="A111" s="56" t="s">
        <v>44</v>
      </c>
      <c r="E111" s="92">
        <v>0.33100000000000002</v>
      </c>
      <c r="F111" s="92">
        <v>0.31900000000000001</v>
      </c>
      <c r="G111" s="92">
        <v>0.34699999999999998</v>
      </c>
      <c r="H111" s="92">
        <v>0.34100000000000003</v>
      </c>
      <c r="I111" s="92">
        <v>0.36499999999999999</v>
      </c>
      <c r="J111" s="92">
        <v>0.36599999999999999</v>
      </c>
      <c r="K111" s="92">
        <v>0.40100000000000002</v>
      </c>
      <c r="L111" s="92">
        <v>0.40799999999999997</v>
      </c>
      <c r="M111" s="29"/>
      <c r="N111" s="29"/>
      <c r="O111" s="29"/>
      <c r="P111" s="73">
        <f>IFERROR(Segments!P90/Segments!P95,"")</f>
        <v>0.4203644339463472</v>
      </c>
      <c r="Q111" s="73">
        <f>IFERROR(Segments!Q15/Segments!Q19,"")</f>
        <v>0.3916793961721628</v>
      </c>
      <c r="R111" s="73">
        <f>IFERROR(Segments!R15/Segments!R19,"")</f>
        <v>0.40111687275628238</v>
      </c>
      <c r="S111" s="73">
        <f>IFERROR(Segments!S15/Segments!S19,"")</f>
        <v>0.42143717382577278</v>
      </c>
      <c r="T111" s="73">
        <f>IFERROR(Segments!T15/Segments!T19,"")</f>
        <v>0.39215843489416291</v>
      </c>
      <c r="U111" s="73">
        <f>IFERROR(Segments!U15/Segments!U19,"")</f>
        <v>0.40396113602391631</v>
      </c>
    </row>
    <row r="112" spans="1:21" ht="21.5" customHeight="1">
      <c r="A112" s="56" t="s">
        <v>46</v>
      </c>
      <c r="E112" s="92">
        <v>0.14000000000000001</v>
      </c>
      <c r="F112" s="92">
        <v>0.127</v>
      </c>
      <c r="G112" s="92">
        <v>0.128</v>
      </c>
      <c r="H112" s="92">
        <v>0.121</v>
      </c>
      <c r="I112" s="92">
        <v>0.11</v>
      </c>
      <c r="J112" s="92">
        <v>0.10299999999999999</v>
      </c>
      <c r="K112" s="92">
        <v>0.109</v>
      </c>
      <c r="L112" s="92">
        <v>0.111</v>
      </c>
      <c r="M112" s="29"/>
      <c r="N112" s="29"/>
      <c r="O112" s="29"/>
      <c r="P112" s="73">
        <f>IFERROR(Segments!P91/Segments!P95,"")</f>
        <v>0.10730555086890502</v>
      </c>
      <c r="Q112" s="73">
        <f>IFERROR(Segments!Q16/Segments!Q19,"")</f>
        <v>0.11905831611106119</v>
      </c>
      <c r="R112" s="73">
        <f>IFERROR(Segments!R16/Segments!R19,"")</f>
        <v>0.1167929796569605</v>
      </c>
      <c r="S112" s="73">
        <f>IFERROR(Segments!S16/Segments!S19,"")</f>
        <v>0.11545564030509835</v>
      </c>
      <c r="T112" s="73">
        <f>IFERROR(Segments!T16/Segments!T19,"")</f>
        <v>0.11433611289288005</v>
      </c>
      <c r="U112" s="73">
        <f>IFERROR(Segments!U16/Segments!U19,"")</f>
        <v>0.11113602391629297</v>
      </c>
    </row>
    <row r="113" spans="1:21" ht="21.5" customHeight="1">
      <c r="A113" s="56" t="s">
        <v>47</v>
      </c>
      <c r="E113" s="92">
        <v>2.1999999999999999E-2</v>
      </c>
      <c r="F113" s="92">
        <v>6.9000000000000006E-2</v>
      </c>
      <c r="G113" s="92">
        <v>0.06</v>
      </c>
      <c r="H113" s="92">
        <v>7.2999999999999995E-2</v>
      </c>
      <c r="I113" s="92">
        <v>6.6000000000000003E-2</v>
      </c>
      <c r="J113" s="92">
        <v>6.7000000000000004E-2</v>
      </c>
      <c r="K113" s="92">
        <v>6.7000000000000004E-2</v>
      </c>
      <c r="M113" s="29"/>
      <c r="N113" s="29"/>
      <c r="O113" s="29"/>
      <c r="P113" s="96">
        <f>IFERROR(Segments!P92/Segments!P95,"")</f>
        <v>6.5884933355829262E-2</v>
      </c>
    </row>
    <row r="114" spans="1:21" ht="21.5" customHeight="1">
      <c r="A114" s="56" t="s">
        <v>45</v>
      </c>
      <c r="E114" s="92">
        <v>0.19700000000000001</v>
      </c>
      <c r="F114" s="92">
        <v>0.19900000000000001</v>
      </c>
      <c r="G114" s="92">
        <v>0.19</v>
      </c>
      <c r="H114" s="92">
        <v>0.186</v>
      </c>
      <c r="I114" s="92">
        <v>0.183</v>
      </c>
      <c r="J114" s="92">
        <v>0.17199999999999999</v>
      </c>
      <c r="K114" s="92">
        <v>0.13200000000000001</v>
      </c>
      <c r="L114" s="92">
        <v>0.12</v>
      </c>
      <c r="M114" s="29"/>
      <c r="N114" s="29"/>
      <c r="O114" s="29"/>
      <c r="P114" s="73">
        <f>IFERROR(Segments!P93/Segments!P95,"")</f>
        <v>0.11084865868061414</v>
      </c>
      <c r="Q114" s="73">
        <f>IFERROR(Segments!Q17/Segments!Q19,"")</f>
        <v>0.13127864138736633</v>
      </c>
      <c r="R114" s="73">
        <f>IFERROR(Segments!R17/Segments!R19,"")</f>
        <v>0.11240526525727962</v>
      </c>
      <c r="S114" s="73">
        <f>IFERROR(Segments!S17/Segments!S19,"")</f>
        <v>0.10790847049377759</v>
      </c>
      <c r="T114" s="73">
        <f>IFERROR(Segments!T17/Segments!T19,"")</f>
        <v>0.13133418858242463</v>
      </c>
      <c r="U114" s="73">
        <f>IFERROR(Segments!U17/Segments!U19,"")</f>
        <v>0.11397608370702542</v>
      </c>
    </row>
    <row r="115" spans="1:21" ht="21.5" customHeight="1">
      <c r="A115" s="56" t="s">
        <v>77</v>
      </c>
      <c r="E115" s="92">
        <v>3.0000000000000001E-3</v>
      </c>
      <c r="F115" s="92">
        <v>3.0000000000000001E-3</v>
      </c>
      <c r="G115" s="92">
        <v>1E-3</v>
      </c>
      <c r="H115" s="92">
        <v>2E-3</v>
      </c>
      <c r="I115" s="92">
        <v>2E-3</v>
      </c>
      <c r="J115" s="92">
        <v>3.0000000000000001E-3</v>
      </c>
      <c r="K115" s="92">
        <v>2E-3</v>
      </c>
      <c r="L115" s="92">
        <v>3.0000000000000001E-3</v>
      </c>
      <c r="M115" s="29"/>
      <c r="N115" s="29"/>
      <c r="O115" s="29"/>
      <c r="P115" s="73">
        <f>IFERROR(Segments!P94/Segments!P95,"")</f>
        <v>1.518474776446769E-3</v>
      </c>
      <c r="Q115" s="73">
        <f>IFERROR(Segments!Q18/Segments!Q19,"")</f>
        <v>2.3362386557642194E-3</v>
      </c>
      <c r="R115" s="73">
        <f>IFERROR(Segments!R18/Segments!R19,"")</f>
        <v>3.1112883925009972E-3</v>
      </c>
      <c r="S115" s="73">
        <f>IFERROR(Segments!S18/Segments!S19,"")</f>
        <v>2.7298273785628263E-3</v>
      </c>
      <c r="T115" s="73">
        <f>IFERROR(Segments!T18/Segments!T19,"")</f>
        <v>2.5657472738935213E-3</v>
      </c>
      <c r="U115" s="73">
        <f>IFERROR(Segments!U18/Segments!U19,"")</f>
        <v>2.7653213751868458E-3</v>
      </c>
    </row>
    <row r="116" spans="1:21" ht="21.5" customHeight="1">
      <c r="A116" s="51" t="s">
        <v>70</v>
      </c>
      <c r="B116" s="52"/>
      <c r="C116" s="52"/>
      <c r="D116" s="52"/>
      <c r="E116" s="97">
        <v>1</v>
      </c>
      <c r="F116" s="97">
        <v>1</v>
      </c>
      <c r="G116" s="97">
        <v>1</v>
      </c>
      <c r="H116" s="97">
        <v>1</v>
      </c>
      <c r="I116" s="97">
        <v>1</v>
      </c>
      <c r="J116" s="97">
        <v>1</v>
      </c>
      <c r="K116" s="97">
        <v>1</v>
      </c>
      <c r="L116" s="97">
        <v>1</v>
      </c>
      <c r="M116" s="32"/>
      <c r="N116" s="32"/>
      <c r="O116" s="32"/>
      <c r="P116" s="98">
        <f>IFERROR(Segments!P95/Segments!P95,"")</f>
        <v>1</v>
      </c>
      <c r="Q116" s="98">
        <f>IFERROR(Segments!Q19/Segments!Q19,"")</f>
        <v>1</v>
      </c>
      <c r="R116" s="98">
        <f>IFERROR(Segments!R19/Segments!R19,"")</f>
        <v>1</v>
      </c>
      <c r="S116" s="98">
        <f>IFERROR(Segments!S19/Segments!S19,"")</f>
        <v>1</v>
      </c>
      <c r="T116" s="98">
        <f>IFERROR(Segments!T19/Segments!T19,"")</f>
        <v>1</v>
      </c>
      <c r="U116" s="98">
        <f>IFERROR(Segments!U19/Segments!U19,"")</f>
        <v>1</v>
      </c>
    </row>
    <row r="117" spans="1:21" ht="10" customHeight="1">
      <c r="M117" s="29"/>
      <c r="N117" s="29"/>
      <c r="O117" s="29"/>
    </row>
    <row r="118" spans="1:21" ht="29" customHeight="1">
      <c r="A118" s="23" t="s">
        <v>78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</row>
    <row r="119" spans="1:21" ht="21.5" customHeight="1">
      <c r="A119" s="56" t="s">
        <v>79</v>
      </c>
      <c r="B119" s="71" t="s">
        <v>80</v>
      </c>
      <c r="L119" s="92">
        <f>0.1</f>
        <v>0.1</v>
      </c>
      <c r="M119" s="29"/>
      <c r="N119" s="29"/>
      <c r="O119" s="29"/>
      <c r="P119" s="30"/>
      <c r="Q119" s="30"/>
      <c r="R119" s="30"/>
      <c r="S119" s="30"/>
      <c r="T119" s="30"/>
      <c r="U119" s="30"/>
    </row>
    <row r="120" spans="1:21" ht="10" customHeight="1">
      <c r="M120" s="29"/>
      <c r="N120" s="29"/>
      <c r="O120" s="29"/>
    </row>
    <row r="121" spans="1:21" ht="10" customHeight="1"/>
    <row r="122" spans="1:21" ht="22" customHeight="1">
      <c r="A122" s="17" t="str">
        <f>HYPERLINK("#'Operating Metrics'!A123","Supplement: Global Ventures concentrate sales growth")</f>
        <v>Supplement: Global Ventures concentrate sales growth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</row>
    <row r="123" spans="1:21" ht="37" customHeight="1">
      <c r="A123" s="28" t="s">
        <v>81</v>
      </c>
      <c r="B123" s="28" t="s">
        <v>82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</row>
    <row r="124" spans="1:21" ht="21.5" customHeight="1">
      <c r="A124" s="99" t="s">
        <v>47</v>
      </c>
      <c r="E124" s="92">
        <v>7.0000000000000007E-2</v>
      </c>
      <c r="F124" s="92">
        <v>0.08</v>
      </c>
      <c r="G124" s="92">
        <v>-0.13</v>
      </c>
      <c r="H124" s="92">
        <v>0.2</v>
      </c>
      <c r="I124" s="92">
        <v>0.13</v>
      </c>
      <c r="J124" s="92">
        <v>0.05</v>
      </c>
      <c r="K124" s="92">
        <v>0.04</v>
      </c>
      <c r="P124" s="92">
        <v>0.01</v>
      </c>
    </row>
  </sheetData>
  <mergeCells count="14">
    <mergeCell ref="A1:U1"/>
    <mergeCell ref="A9:U9"/>
    <mergeCell ref="A8:U8"/>
    <mergeCell ref="A6:U6"/>
    <mergeCell ref="A87:U87"/>
    <mergeCell ref="A122:U122"/>
    <mergeCell ref="A2:U2"/>
    <mergeCell ref="A7:U7"/>
    <mergeCell ref="A33:U33"/>
    <mergeCell ref="A11:U11"/>
    <mergeCell ref="A108:U108"/>
    <mergeCell ref="A10:U10"/>
    <mergeCell ref="A118:U118"/>
    <mergeCell ref="A13:F13"/>
  </mergeCells>
  <phoneticPr fontId="9" type="noConversion"/>
  <conditionalFormatting sqref="C79:U85">
    <cfRule type="cellIs" dxfId="6" priority="1" operator="notBetween">
      <formula>-0.5</formula>
      <formula>0.5</formula>
    </cfRule>
  </conditionalFormatting>
  <conditionalFormatting sqref="C92:U92">
    <cfRule type="cellIs" dxfId="5" priority="8" operator="notBetween">
      <formula>-0.5</formula>
      <formula>0.5</formula>
    </cfRule>
  </conditionalFormatting>
  <conditionalFormatting sqref="C98:U98">
    <cfRule type="cellIs" dxfId="4" priority="9" operator="notBetween">
      <formula>-0.5</formula>
      <formula>0.5</formula>
    </cfRule>
  </conditionalFormatting>
  <conditionalFormatting sqref="C104:U104">
    <cfRule type="cellIs" dxfId="3" priority="10" operator="notBetween">
      <formula>-0.5</formula>
      <formula>0.5</formula>
    </cfRule>
  </conditionalFormatting>
  <conditionalFormatting sqref="C106:U106">
    <cfRule type="cellIs" dxfId="2" priority="11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48235"/>
  </sheetPr>
  <dimension ref="A1:L10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O21" sqref="O21"/>
    </sheetView>
  </sheetViews>
  <sheetFormatPr baseColWidth="10" defaultColWidth="8.83203125" defaultRowHeight="14"/>
  <cols>
    <col min="1" max="1" width="53" customWidth="1"/>
    <col min="2" max="2" width="2.5" customWidth="1"/>
    <col min="3" max="12" width="12" customWidth="1"/>
  </cols>
  <sheetData>
    <row r="1" spans="1:12" ht="34" customHeight="1">
      <c r="A1" s="14" t="s">
        <v>902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9" customHeight="1">
      <c r="A2" s="18" t="s">
        <v>903</v>
      </c>
      <c r="B2" s="18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25" customHeight="1">
      <c r="A3" s="120"/>
      <c r="B3" s="120"/>
      <c r="C3" s="121" t="s">
        <v>2</v>
      </c>
      <c r="D3" s="121" t="s">
        <v>3</v>
      </c>
      <c r="E3" s="121" t="s">
        <v>4</v>
      </c>
      <c r="F3" s="121" t="s">
        <v>5</v>
      </c>
      <c r="G3" s="121" t="s">
        <v>6</v>
      </c>
      <c r="H3" s="121" t="s">
        <v>7</v>
      </c>
      <c r="I3" s="121" t="s">
        <v>8</v>
      </c>
      <c r="J3" s="121" t="s">
        <v>9</v>
      </c>
      <c r="K3" s="121" t="s">
        <v>10</v>
      </c>
      <c r="L3" s="121" t="s">
        <v>11</v>
      </c>
    </row>
    <row r="4" spans="1:12" ht="29" customHeight="1">
      <c r="A4" s="18" t="s">
        <v>904</v>
      </c>
      <c r="B4" s="18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ht="22" customHeight="1">
      <c r="A5" s="122"/>
      <c r="B5" s="122"/>
      <c r="C5" s="123"/>
      <c r="D5" s="123"/>
      <c r="E5" s="123"/>
      <c r="F5" s="123"/>
      <c r="G5" s="123"/>
      <c r="H5" s="123"/>
      <c r="I5" s="123"/>
      <c r="J5" s="123"/>
      <c r="K5" s="123"/>
      <c r="L5" s="123"/>
    </row>
    <row r="6" spans="1:12" ht="27" customHeight="1">
      <c r="A6" s="16" t="s">
        <v>905</v>
      </c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22" customHeight="1">
      <c r="A7" s="124" t="s">
        <v>906</v>
      </c>
      <c r="B7" s="124"/>
      <c r="C7" s="125">
        <f>'Operating Metrics'!C14</f>
        <v>29.3</v>
      </c>
      <c r="D7" s="125">
        <f>'Operating Metrics'!D14</f>
        <v>29.2</v>
      </c>
      <c r="E7" s="125">
        <f>'Operating Metrics'!E14</f>
        <v>29.6</v>
      </c>
      <c r="F7" s="125">
        <f>'Operating Metrics'!F14</f>
        <v>30.3</v>
      </c>
      <c r="G7" s="125">
        <f>'Operating Metrics'!G14</f>
        <v>29</v>
      </c>
      <c r="H7" s="125">
        <f>'Operating Metrics'!H14</f>
        <v>31.3</v>
      </c>
      <c r="I7" s="125">
        <f>'Operating Metrics'!I14</f>
        <v>32.700000000000003</v>
      </c>
      <c r="J7" s="125">
        <f>'Operating Metrics'!J14</f>
        <v>33.299999999999997</v>
      </c>
      <c r="K7" s="125">
        <f>'Operating Metrics'!K14</f>
        <v>33.700000000000003</v>
      </c>
      <c r="L7" s="125">
        <f>'Operating Metrics'!L14</f>
        <v>33.799999999999997</v>
      </c>
    </row>
    <row r="8" spans="1:12" ht="22" customHeight="1">
      <c r="A8" s="126" t="s">
        <v>907</v>
      </c>
      <c r="B8" s="126"/>
      <c r="C8" s="127">
        <f t="shared" ref="C8:L8" si="0">C7*10</f>
        <v>293</v>
      </c>
      <c r="D8" s="127">
        <f t="shared" si="0"/>
        <v>292</v>
      </c>
      <c r="E8" s="127">
        <f t="shared" si="0"/>
        <v>296</v>
      </c>
      <c r="F8" s="127">
        <f t="shared" si="0"/>
        <v>303</v>
      </c>
      <c r="G8" s="127">
        <f t="shared" si="0"/>
        <v>290</v>
      </c>
      <c r="H8" s="127">
        <f t="shared" si="0"/>
        <v>313</v>
      </c>
      <c r="I8" s="127">
        <f t="shared" si="0"/>
        <v>327</v>
      </c>
      <c r="J8" s="127">
        <f t="shared" si="0"/>
        <v>333</v>
      </c>
      <c r="K8" s="127">
        <f t="shared" si="0"/>
        <v>337</v>
      </c>
      <c r="L8" s="127">
        <f t="shared" si="0"/>
        <v>338</v>
      </c>
    </row>
    <row r="9" spans="1:12" ht="22" customHeight="1">
      <c r="A9" s="128" t="s">
        <v>908</v>
      </c>
      <c r="B9" s="128"/>
      <c r="C9" s="129">
        <f>'Operating Metrics'!C18</f>
        <v>0.01</v>
      </c>
      <c r="D9" s="129">
        <f>'Operating Metrics'!D18</f>
        <v>0</v>
      </c>
      <c r="E9" s="129">
        <f>'Operating Metrics'!E18</f>
        <v>0.02</v>
      </c>
      <c r="F9" s="129">
        <f>'Operating Metrics'!F18</f>
        <v>0.02</v>
      </c>
      <c r="G9" s="129">
        <f>'Operating Metrics'!G18</f>
        <v>-0.06</v>
      </c>
      <c r="H9" s="129">
        <f>'Operating Metrics'!H18</f>
        <v>0.08</v>
      </c>
      <c r="I9" s="129">
        <f>'Operating Metrics'!I18</f>
        <v>0.05</v>
      </c>
      <c r="J9" s="129">
        <f>'Operating Metrics'!J18</f>
        <v>0.02</v>
      </c>
      <c r="K9" s="129">
        <f>'Operating Metrics'!K18</f>
        <v>0.01</v>
      </c>
      <c r="L9" s="129">
        <f>'Operating Metrics'!L18</f>
        <v>0</v>
      </c>
    </row>
    <row r="10" spans="1:12" ht="22" customHeight="1">
      <c r="A10" s="128" t="s">
        <v>909</v>
      </c>
      <c r="B10" s="128"/>
      <c r="C10" s="129" t="str">
        <f>"n.a."</f>
        <v>n.a.</v>
      </c>
      <c r="D10" s="129">
        <f>'Operating Metrics'!D15</f>
        <v>-3.4129692832765013E-3</v>
      </c>
      <c r="E10" s="129">
        <f>'Operating Metrics'!E15</f>
        <v>1.3698630136986356E-2</v>
      </c>
      <c r="F10" s="129">
        <f>'Operating Metrics'!F15</f>
        <v>2.3648648648648685E-2</v>
      </c>
      <c r="G10" s="129">
        <f>'Operating Metrics'!G15</f>
        <v>-4.2904290429042979E-2</v>
      </c>
      <c r="H10" s="129">
        <f>'Operating Metrics'!H15</f>
        <v>7.9310344827586254E-2</v>
      </c>
      <c r="I10" s="129">
        <f>'Operating Metrics'!I15</f>
        <v>4.4728434504792469E-2</v>
      </c>
      <c r="J10" s="129">
        <f>'Operating Metrics'!J15</f>
        <v>1.8348623853210899E-2</v>
      </c>
      <c r="K10" s="129">
        <f>'Operating Metrics'!K15</f>
        <v>1.2012012012012185E-2</v>
      </c>
      <c r="L10" s="129">
        <f>'Operating Metrics'!L15</f>
        <v>2.9673590504448732E-3</v>
      </c>
    </row>
    <row r="11" spans="1:12" ht="22" customHeight="1">
      <c r="A11" s="122"/>
      <c r="B11" s="122"/>
      <c r="C11" s="123"/>
      <c r="D11" s="123"/>
      <c r="E11" s="123"/>
      <c r="F11" s="123"/>
      <c r="G11" s="123"/>
      <c r="H11" s="123"/>
      <c r="I11" s="123"/>
      <c r="J11" s="123"/>
      <c r="K11" s="123"/>
      <c r="L11" s="123"/>
    </row>
    <row r="12" spans="1:12" ht="22" customHeight="1">
      <c r="A12" s="128" t="s">
        <v>910</v>
      </c>
      <c r="B12" s="128"/>
      <c r="C12" s="130">
        <v>0.69</v>
      </c>
      <c r="D12" s="130">
        <v>0.69</v>
      </c>
      <c r="E12" s="130">
        <v>0.69</v>
      </c>
      <c r="F12" s="130">
        <v>0.69</v>
      </c>
      <c r="G12" s="130">
        <v>0.69</v>
      </c>
      <c r="H12" s="130">
        <v>0.69</v>
      </c>
      <c r="I12" s="130">
        <v>0.69</v>
      </c>
      <c r="J12" s="130">
        <v>0.69</v>
      </c>
      <c r="K12" s="130">
        <v>0.69</v>
      </c>
      <c r="L12" s="130">
        <v>0.69</v>
      </c>
    </row>
    <row r="13" spans="1:12" ht="22" customHeight="1">
      <c r="A13" s="128" t="s">
        <v>911</v>
      </c>
      <c r="B13" s="128"/>
      <c r="C13" s="130">
        <v>0.45</v>
      </c>
      <c r="D13" s="130">
        <v>0.45</v>
      </c>
      <c r="E13" s="130">
        <v>0.45</v>
      </c>
      <c r="F13" s="130">
        <v>0.45</v>
      </c>
      <c r="G13" s="130">
        <v>0.47</v>
      </c>
      <c r="H13" s="130">
        <v>0.47</v>
      </c>
      <c r="I13" s="130">
        <v>0.46</v>
      </c>
      <c r="J13" s="130">
        <v>0.47</v>
      </c>
      <c r="K13" s="130">
        <v>0.47</v>
      </c>
      <c r="L13" s="130">
        <v>0.47</v>
      </c>
    </row>
    <row r="14" spans="1:12" ht="22" customHeight="1">
      <c r="A14" s="128" t="s">
        <v>912</v>
      </c>
      <c r="B14" s="128"/>
      <c r="C14" s="130">
        <v>0.19</v>
      </c>
      <c r="D14" s="130">
        <v>0.19</v>
      </c>
      <c r="E14" s="130">
        <v>0.18</v>
      </c>
      <c r="F14" s="130">
        <v>0.18</v>
      </c>
      <c r="G14" s="130">
        <v>0.18</v>
      </c>
      <c r="H14" s="130">
        <v>0.17</v>
      </c>
      <c r="I14" s="130">
        <v>0.17</v>
      </c>
      <c r="J14" s="130">
        <v>0.16</v>
      </c>
      <c r="K14" s="130">
        <v>0.16</v>
      </c>
      <c r="L14" s="130">
        <v>0.16</v>
      </c>
    </row>
    <row r="15" spans="1:12" ht="22" customHeight="1">
      <c r="A15" s="128" t="s">
        <v>913</v>
      </c>
      <c r="B15" s="128"/>
      <c r="C15" s="131">
        <f t="shared" ref="C15:L15" si="1">1-C14</f>
        <v>0.81</v>
      </c>
      <c r="D15" s="131">
        <f t="shared" si="1"/>
        <v>0.81</v>
      </c>
      <c r="E15" s="131">
        <f t="shared" si="1"/>
        <v>0.82000000000000006</v>
      </c>
      <c r="F15" s="131">
        <f t="shared" si="1"/>
        <v>0.82000000000000006</v>
      </c>
      <c r="G15" s="131">
        <f t="shared" si="1"/>
        <v>0.82000000000000006</v>
      </c>
      <c r="H15" s="131">
        <f t="shared" si="1"/>
        <v>0.83</v>
      </c>
      <c r="I15" s="131">
        <f t="shared" si="1"/>
        <v>0.83</v>
      </c>
      <c r="J15" s="131">
        <f t="shared" si="1"/>
        <v>0.84</v>
      </c>
      <c r="K15" s="131">
        <f t="shared" si="1"/>
        <v>0.84</v>
      </c>
      <c r="L15" s="131">
        <f t="shared" si="1"/>
        <v>0.84</v>
      </c>
    </row>
    <row r="16" spans="1:12" ht="22" customHeight="1">
      <c r="A16" s="122" t="s">
        <v>914</v>
      </c>
      <c r="B16" s="122"/>
      <c r="C16" s="132" t="s">
        <v>915</v>
      </c>
      <c r="D16" s="132" t="s">
        <v>915</v>
      </c>
      <c r="E16" s="132" t="s">
        <v>915</v>
      </c>
      <c r="F16" s="132" t="s">
        <v>916</v>
      </c>
      <c r="G16" s="132" t="s">
        <v>917</v>
      </c>
      <c r="H16" s="132" t="s">
        <v>918</v>
      </c>
      <c r="I16" s="132" t="s">
        <v>919</v>
      </c>
      <c r="J16" s="132" t="s">
        <v>920</v>
      </c>
      <c r="K16" s="132" t="s">
        <v>921</v>
      </c>
      <c r="L16" s="132" t="s">
        <v>922</v>
      </c>
    </row>
    <row r="17" spans="1:12" ht="22" customHeight="1">
      <c r="A17" s="122" t="s">
        <v>923</v>
      </c>
      <c r="B17" s="122"/>
      <c r="C17" s="132" t="s">
        <v>924</v>
      </c>
      <c r="D17" s="132" t="s">
        <v>925</v>
      </c>
      <c r="E17" s="132" t="s">
        <v>915</v>
      </c>
      <c r="F17" s="132" t="s">
        <v>916</v>
      </c>
      <c r="G17" s="132" t="s">
        <v>917</v>
      </c>
      <c r="H17" s="132" t="s">
        <v>918</v>
      </c>
      <c r="I17" s="132" t="s">
        <v>919</v>
      </c>
      <c r="J17" s="132" t="s">
        <v>920</v>
      </c>
      <c r="K17" s="132" t="s">
        <v>921</v>
      </c>
      <c r="L17" s="132" t="s">
        <v>922</v>
      </c>
    </row>
    <row r="18" spans="1:12" ht="22" customHeight="1">
      <c r="A18" s="122"/>
      <c r="B18" s="122"/>
      <c r="C18" s="123"/>
      <c r="D18" s="123"/>
      <c r="E18" s="123"/>
      <c r="F18" s="123"/>
      <c r="G18" s="123"/>
      <c r="H18" s="123"/>
      <c r="I18" s="123"/>
      <c r="J18" s="123"/>
      <c r="K18" s="123"/>
      <c r="L18" s="123"/>
    </row>
    <row r="19" spans="1:12" ht="27" customHeight="1">
      <c r="A19" s="16" t="s">
        <v>926</v>
      </c>
      <c r="B19" s="16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22" customHeight="1">
      <c r="A20" s="133" t="s">
        <v>927</v>
      </c>
      <c r="B20" s="133"/>
      <c r="C20" s="134">
        <f t="shared" ref="C20:L20" si="2">C8*C12</f>
        <v>202.17</v>
      </c>
      <c r="D20" s="134">
        <f t="shared" si="2"/>
        <v>201.48</v>
      </c>
      <c r="E20" s="134">
        <f t="shared" si="2"/>
        <v>204.23999999999998</v>
      </c>
      <c r="F20" s="134">
        <f t="shared" si="2"/>
        <v>209.07</v>
      </c>
      <c r="G20" s="134">
        <f t="shared" si="2"/>
        <v>200.1</v>
      </c>
      <c r="H20" s="134">
        <f t="shared" si="2"/>
        <v>215.96999999999997</v>
      </c>
      <c r="I20" s="134">
        <f t="shared" si="2"/>
        <v>225.63</v>
      </c>
      <c r="J20" s="134">
        <f t="shared" si="2"/>
        <v>229.76999999999998</v>
      </c>
      <c r="K20" s="134">
        <f t="shared" si="2"/>
        <v>232.52999999999997</v>
      </c>
      <c r="L20" s="134">
        <f t="shared" si="2"/>
        <v>233.21999999999997</v>
      </c>
    </row>
    <row r="21" spans="1:12" ht="22" customHeight="1">
      <c r="A21" s="133" t="s">
        <v>928</v>
      </c>
      <c r="B21" s="133"/>
      <c r="C21" s="134">
        <f t="shared" ref="C21:L21" si="3">C8*C13</f>
        <v>131.85</v>
      </c>
      <c r="D21" s="134">
        <f t="shared" si="3"/>
        <v>131.4</v>
      </c>
      <c r="E21" s="134">
        <f t="shared" si="3"/>
        <v>133.20000000000002</v>
      </c>
      <c r="F21" s="134">
        <f t="shared" si="3"/>
        <v>136.35</v>
      </c>
      <c r="G21" s="134">
        <f t="shared" si="3"/>
        <v>136.29999999999998</v>
      </c>
      <c r="H21" s="134">
        <f t="shared" si="3"/>
        <v>147.10999999999999</v>
      </c>
      <c r="I21" s="134">
        <f t="shared" si="3"/>
        <v>150.42000000000002</v>
      </c>
      <c r="J21" s="134">
        <f t="shared" si="3"/>
        <v>156.51</v>
      </c>
      <c r="K21" s="134">
        <f t="shared" si="3"/>
        <v>158.38999999999999</v>
      </c>
      <c r="L21" s="134">
        <f t="shared" si="3"/>
        <v>158.85999999999999</v>
      </c>
    </row>
    <row r="22" spans="1:12" ht="22" customHeight="1">
      <c r="A22" s="133" t="s">
        <v>929</v>
      </c>
      <c r="B22" s="133"/>
      <c r="C22" s="134">
        <f t="shared" ref="C22:L22" si="4">C8-C20</f>
        <v>90.830000000000013</v>
      </c>
      <c r="D22" s="134">
        <f t="shared" si="4"/>
        <v>90.52000000000001</v>
      </c>
      <c r="E22" s="134">
        <f t="shared" si="4"/>
        <v>91.760000000000019</v>
      </c>
      <c r="F22" s="134">
        <f t="shared" si="4"/>
        <v>93.93</v>
      </c>
      <c r="G22" s="134">
        <f t="shared" si="4"/>
        <v>89.9</v>
      </c>
      <c r="H22" s="134">
        <f t="shared" si="4"/>
        <v>97.03000000000003</v>
      </c>
      <c r="I22" s="134">
        <f t="shared" si="4"/>
        <v>101.37</v>
      </c>
      <c r="J22" s="134">
        <f t="shared" si="4"/>
        <v>103.23000000000002</v>
      </c>
      <c r="K22" s="134">
        <f t="shared" si="4"/>
        <v>104.47000000000003</v>
      </c>
      <c r="L22" s="134">
        <f t="shared" si="4"/>
        <v>104.78000000000003</v>
      </c>
    </row>
    <row r="23" spans="1:12" ht="22" customHeight="1">
      <c r="A23" s="133" t="s">
        <v>930</v>
      </c>
      <c r="B23" s="133"/>
      <c r="C23" s="134">
        <f t="shared" ref="C23:L23" si="5">C20-C21</f>
        <v>70.319999999999993</v>
      </c>
      <c r="D23" s="134">
        <f t="shared" si="5"/>
        <v>70.079999999999984</v>
      </c>
      <c r="E23" s="134">
        <f t="shared" si="5"/>
        <v>71.039999999999964</v>
      </c>
      <c r="F23" s="134">
        <f t="shared" si="5"/>
        <v>72.72</v>
      </c>
      <c r="G23" s="134">
        <f t="shared" si="5"/>
        <v>63.800000000000011</v>
      </c>
      <c r="H23" s="134">
        <f t="shared" si="5"/>
        <v>68.859999999999985</v>
      </c>
      <c r="I23" s="134">
        <f t="shared" si="5"/>
        <v>75.20999999999998</v>
      </c>
      <c r="J23" s="134">
        <f t="shared" si="5"/>
        <v>73.259999999999991</v>
      </c>
      <c r="K23" s="134">
        <f t="shared" si="5"/>
        <v>74.139999999999986</v>
      </c>
      <c r="L23" s="134">
        <f t="shared" si="5"/>
        <v>74.359999999999985</v>
      </c>
    </row>
    <row r="24" spans="1:12" ht="22" customHeight="1">
      <c r="A24" s="133" t="s">
        <v>931</v>
      </c>
      <c r="B24" s="133"/>
      <c r="C24" s="134">
        <f t="shared" ref="C24:L24" si="6">C8*C14</f>
        <v>55.67</v>
      </c>
      <c r="D24" s="134">
        <f t="shared" si="6"/>
        <v>55.480000000000004</v>
      </c>
      <c r="E24" s="134">
        <f t="shared" si="6"/>
        <v>53.28</v>
      </c>
      <c r="F24" s="134">
        <f t="shared" si="6"/>
        <v>54.54</v>
      </c>
      <c r="G24" s="134">
        <f t="shared" si="6"/>
        <v>52.199999999999996</v>
      </c>
      <c r="H24" s="134">
        <f t="shared" si="6"/>
        <v>53.21</v>
      </c>
      <c r="I24" s="134">
        <f t="shared" si="6"/>
        <v>55.59</v>
      </c>
      <c r="J24" s="134">
        <f t="shared" si="6"/>
        <v>53.28</v>
      </c>
      <c r="K24" s="134">
        <f t="shared" si="6"/>
        <v>53.92</v>
      </c>
      <c r="L24" s="134">
        <f t="shared" si="6"/>
        <v>54.08</v>
      </c>
    </row>
    <row r="25" spans="1:12" ht="22" customHeight="1">
      <c r="A25" s="133" t="s">
        <v>932</v>
      </c>
      <c r="B25" s="133"/>
      <c r="C25" s="134">
        <f t="shared" ref="C25:L25" si="7">C8-C24</f>
        <v>237.32999999999998</v>
      </c>
      <c r="D25" s="134">
        <f t="shared" si="7"/>
        <v>236.51999999999998</v>
      </c>
      <c r="E25" s="134">
        <f t="shared" si="7"/>
        <v>242.72</v>
      </c>
      <c r="F25" s="134">
        <f t="shared" si="7"/>
        <v>248.46</v>
      </c>
      <c r="G25" s="134">
        <f t="shared" si="7"/>
        <v>237.8</v>
      </c>
      <c r="H25" s="134">
        <f t="shared" si="7"/>
        <v>259.79000000000002</v>
      </c>
      <c r="I25" s="134">
        <f t="shared" si="7"/>
        <v>271.40999999999997</v>
      </c>
      <c r="J25" s="134">
        <f t="shared" si="7"/>
        <v>279.72000000000003</v>
      </c>
      <c r="K25" s="134">
        <f t="shared" si="7"/>
        <v>283.08</v>
      </c>
      <c r="L25" s="134">
        <f t="shared" si="7"/>
        <v>283.92</v>
      </c>
    </row>
    <row r="26" spans="1:12" ht="29" customHeight="1">
      <c r="A26" s="18" t="s">
        <v>933</v>
      </c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ht="22" customHeight="1">
      <c r="A27" s="122"/>
      <c r="B27" s="122"/>
      <c r="C27" s="123"/>
      <c r="D27" s="123"/>
      <c r="E27" s="123"/>
      <c r="F27" s="123"/>
      <c r="G27" s="123"/>
      <c r="H27" s="123"/>
      <c r="I27" s="123"/>
      <c r="J27" s="123"/>
      <c r="K27" s="123"/>
      <c r="L27" s="123"/>
    </row>
    <row r="28" spans="1:12" ht="27" customHeight="1">
      <c r="A28" s="16" t="s">
        <v>934</v>
      </c>
      <c r="B28" s="16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22" customHeight="1">
      <c r="A29" s="128" t="s">
        <v>935</v>
      </c>
      <c r="B29" s="128"/>
      <c r="C29" s="130"/>
      <c r="D29" s="130">
        <v>-0.01</v>
      </c>
      <c r="E29" s="130">
        <v>0.02</v>
      </c>
      <c r="F29" s="130">
        <v>0.02</v>
      </c>
      <c r="G29" s="130">
        <v>-0.04</v>
      </c>
      <c r="H29" s="130"/>
      <c r="I29" s="130"/>
      <c r="J29" s="130"/>
      <c r="K29" s="130"/>
      <c r="L29" s="130"/>
    </row>
    <row r="30" spans="1:12" ht="22" customHeight="1">
      <c r="A30" s="128" t="s">
        <v>936</v>
      </c>
      <c r="B30" s="128"/>
      <c r="C30" s="130"/>
      <c r="D30" s="130">
        <v>0</v>
      </c>
      <c r="E30" s="130">
        <v>-0.01</v>
      </c>
      <c r="F30" s="130">
        <v>0</v>
      </c>
      <c r="G30" s="130">
        <v>-0.09</v>
      </c>
      <c r="H30" s="130"/>
      <c r="I30" s="130"/>
      <c r="J30" s="130"/>
      <c r="K30" s="130"/>
      <c r="L30" s="130"/>
    </row>
    <row r="31" spans="1:12" ht="22" customHeight="1">
      <c r="A31" s="128" t="s">
        <v>937</v>
      </c>
      <c r="B31" s="128"/>
      <c r="C31" s="130"/>
      <c r="D31" s="130">
        <v>0.01</v>
      </c>
      <c r="E31" s="130">
        <v>0.03</v>
      </c>
      <c r="F31" s="130">
        <v>0.03</v>
      </c>
      <c r="G31" s="130">
        <v>-0.11</v>
      </c>
      <c r="H31" s="130"/>
      <c r="I31" s="130"/>
      <c r="J31" s="130"/>
      <c r="K31" s="130"/>
      <c r="L31" s="130"/>
    </row>
    <row r="32" spans="1:12" ht="22" customHeight="1">
      <c r="A32" s="128" t="s">
        <v>938</v>
      </c>
      <c r="B32" s="128"/>
      <c r="C32" s="130"/>
      <c r="D32" s="130">
        <v>0.02</v>
      </c>
      <c r="E32" s="130">
        <v>0.01</v>
      </c>
      <c r="F32" s="130">
        <v>0.01</v>
      </c>
      <c r="G32" s="130">
        <v>-0.17</v>
      </c>
      <c r="H32" s="130"/>
      <c r="I32" s="130"/>
      <c r="J32" s="130"/>
      <c r="K32" s="130"/>
      <c r="L32" s="130"/>
    </row>
    <row r="33" spans="1:12" ht="22" customHeight="1">
      <c r="A33" s="128" t="s">
        <v>939</v>
      </c>
      <c r="B33" s="128"/>
      <c r="C33" s="130"/>
      <c r="D33" s="135" t="s">
        <v>940</v>
      </c>
      <c r="E33" s="135" t="s">
        <v>940</v>
      </c>
      <c r="F33" s="135" t="s">
        <v>940</v>
      </c>
      <c r="G33" s="130">
        <v>-0.01</v>
      </c>
      <c r="H33" s="130"/>
      <c r="I33" s="130"/>
      <c r="J33" s="130"/>
      <c r="K33" s="130"/>
      <c r="L33" s="130"/>
    </row>
    <row r="34" spans="1:12" ht="22" customHeight="1">
      <c r="A34" s="128" t="s">
        <v>941</v>
      </c>
      <c r="B34" s="128"/>
      <c r="C34" s="130"/>
      <c r="D34" s="135" t="s">
        <v>940</v>
      </c>
      <c r="E34" s="135" t="s">
        <v>942</v>
      </c>
      <c r="F34" s="135" t="s">
        <v>942</v>
      </c>
      <c r="G34" s="130">
        <v>0.04</v>
      </c>
      <c r="H34" s="130"/>
      <c r="I34" s="130"/>
      <c r="J34" s="130"/>
      <c r="K34" s="130"/>
      <c r="L34" s="130"/>
    </row>
    <row r="35" spans="1:12" ht="22" customHeight="1">
      <c r="A35" s="122" t="s">
        <v>943</v>
      </c>
      <c r="B35" s="122"/>
      <c r="C35" s="132"/>
      <c r="D35" s="132" t="s">
        <v>944</v>
      </c>
      <c r="E35" s="132" t="s">
        <v>945</v>
      </c>
      <c r="F35" s="132" t="s">
        <v>946</v>
      </c>
      <c r="G35" s="132" t="s">
        <v>947</v>
      </c>
      <c r="H35" s="132"/>
      <c r="I35" s="132"/>
      <c r="J35" s="132"/>
      <c r="K35" s="132"/>
      <c r="L35" s="132"/>
    </row>
    <row r="36" spans="1:12" ht="29" customHeight="1">
      <c r="A36" s="18" t="s">
        <v>948</v>
      </c>
      <c r="B36" s="18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ht="22" customHeight="1">
      <c r="A37" s="122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</row>
    <row r="38" spans="1:12" ht="27" customHeight="1">
      <c r="A38" s="16" t="s">
        <v>949</v>
      </c>
      <c r="B38" s="16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 ht="22" customHeight="1">
      <c r="A39" s="128" t="s">
        <v>935</v>
      </c>
      <c r="B39" s="128"/>
      <c r="C39" s="130"/>
      <c r="D39" s="130"/>
      <c r="E39" s="130"/>
      <c r="F39" s="130"/>
      <c r="G39" s="130"/>
      <c r="H39" s="130">
        <v>7.0000000000000007E-2</v>
      </c>
      <c r="I39" s="130">
        <v>0.04</v>
      </c>
      <c r="J39" s="130">
        <v>0.02</v>
      </c>
      <c r="K39" s="130">
        <v>0.02</v>
      </c>
      <c r="L39" s="130">
        <v>0</v>
      </c>
    </row>
    <row r="40" spans="1:12" ht="22" customHeight="1">
      <c r="A40" s="128" t="s">
        <v>939</v>
      </c>
      <c r="B40" s="128"/>
      <c r="C40" s="130"/>
      <c r="D40" s="130"/>
      <c r="E40" s="130"/>
      <c r="F40" s="130"/>
      <c r="G40" s="130"/>
      <c r="H40" s="130">
        <v>7.0000000000000007E-2</v>
      </c>
      <c r="I40" s="130">
        <v>0.04</v>
      </c>
      <c r="J40" s="130">
        <v>0.02</v>
      </c>
      <c r="K40" s="130">
        <v>0.02</v>
      </c>
      <c r="L40" s="130">
        <v>0</v>
      </c>
    </row>
    <row r="41" spans="1:12" ht="22" customHeight="1">
      <c r="A41" s="128" t="s">
        <v>941</v>
      </c>
      <c r="B41" s="128"/>
      <c r="C41" s="130"/>
      <c r="D41" s="130"/>
      <c r="E41" s="130"/>
      <c r="F41" s="130"/>
      <c r="G41" s="130"/>
      <c r="H41" s="135" t="s">
        <v>942</v>
      </c>
      <c r="I41" s="130">
        <v>0.11</v>
      </c>
      <c r="J41" s="130">
        <v>0.05</v>
      </c>
      <c r="K41" s="130">
        <v>0.09</v>
      </c>
      <c r="L41" s="130">
        <v>0.14000000000000001</v>
      </c>
    </row>
    <row r="42" spans="1:12" ht="22" customHeight="1">
      <c r="A42" s="128" t="s">
        <v>950</v>
      </c>
      <c r="B42" s="128"/>
      <c r="C42" s="130"/>
      <c r="D42" s="130"/>
      <c r="E42" s="130"/>
      <c r="F42" s="130"/>
      <c r="G42" s="130"/>
      <c r="H42" s="135" t="s">
        <v>940</v>
      </c>
      <c r="I42" s="135" t="s">
        <v>940</v>
      </c>
      <c r="J42" s="135" t="s">
        <v>940</v>
      </c>
      <c r="K42" s="135" t="s">
        <v>940</v>
      </c>
      <c r="L42" s="130">
        <v>0</v>
      </c>
    </row>
    <row r="43" spans="1:12" ht="22" customHeight="1">
      <c r="A43" s="128" t="s">
        <v>951</v>
      </c>
      <c r="B43" s="128"/>
      <c r="C43" s="130"/>
      <c r="D43" s="130"/>
      <c r="E43" s="130"/>
      <c r="F43" s="130"/>
      <c r="G43" s="130"/>
      <c r="H43" s="130">
        <v>0.09</v>
      </c>
      <c r="I43" s="130">
        <v>0.05</v>
      </c>
      <c r="J43" s="130">
        <v>0.01</v>
      </c>
      <c r="K43" s="130">
        <v>0.01</v>
      </c>
      <c r="L43" s="130">
        <v>-0.01</v>
      </c>
    </row>
    <row r="44" spans="1:12" ht="22" customHeight="1">
      <c r="A44" s="128" t="s">
        <v>952</v>
      </c>
      <c r="B44" s="128"/>
      <c r="C44" s="130"/>
      <c r="D44" s="130"/>
      <c r="E44" s="130"/>
      <c r="F44" s="130"/>
      <c r="G44" s="130"/>
      <c r="H44" s="130">
        <v>0.12</v>
      </c>
      <c r="I44" s="130">
        <v>0.03</v>
      </c>
      <c r="J44" s="130">
        <v>0.02</v>
      </c>
      <c r="K44" s="130">
        <v>0</v>
      </c>
      <c r="L44" s="130">
        <v>-0.03</v>
      </c>
    </row>
    <row r="45" spans="1:12" ht="22" customHeight="1">
      <c r="A45" s="128" t="s">
        <v>953</v>
      </c>
      <c r="B45" s="128"/>
      <c r="C45" s="130"/>
      <c r="D45" s="130"/>
      <c r="E45" s="130"/>
      <c r="F45" s="130"/>
      <c r="G45" s="130"/>
      <c r="H45" s="130">
        <v>7.0000000000000007E-2</v>
      </c>
      <c r="I45" s="130">
        <v>0.06</v>
      </c>
      <c r="J45" s="130">
        <v>0.01</v>
      </c>
      <c r="K45" s="130">
        <v>-0.01</v>
      </c>
      <c r="L45" s="130">
        <v>0.02</v>
      </c>
    </row>
    <row r="46" spans="1:12" ht="22" customHeight="1">
      <c r="A46" s="128" t="s">
        <v>954</v>
      </c>
      <c r="B46" s="128"/>
      <c r="C46" s="130"/>
      <c r="D46" s="130"/>
      <c r="E46" s="130"/>
      <c r="F46" s="130"/>
      <c r="G46" s="130"/>
      <c r="H46" s="130">
        <v>0.05</v>
      </c>
      <c r="I46" s="130">
        <v>0.05</v>
      </c>
      <c r="J46" s="130">
        <v>0.02</v>
      </c>
      <c r="K46" s="130">
        <v>-0.02</v>
      </c>
      <c r="L46" s="130">
        <v>0.02</v>
      </c>
    </row>
    <row r="47" spans="1:12" ht="22" customHeight="1">
      <c r="A47" s="128" t="s">
        <v>955</v>
      </c>
      <c r="B47" s="128"/>
      <c r="C47" s="130"/>
      <c r="D47" s="130"/>
      <c r="E47" s="130"/>
      <c r="F47" s="130"/>
      <c r="G47" s="130"/>
      <c r="H47" s="130">
        <v>0.13</v>
      </c>
      <c r="I47" s="130">
        <v>0.08</v>
      </c>
      <c r="J47" s="130">
        <v>0</v>
      </c>
      <c r="K47" s="130">
        <v>-0.01</v>
      </c>
      <c r="L47" s="130">
        <v>0.01</v>
      </c>
    </row>
    <row r="48" spans="1:12" ht="22" customHeight="1">
      <c r="A48" s="128" t="s">
        <v>956</v>
      </c>
      <c r="B48" s="128"/>
      <c r="C48" s="130"/>
      <c r="D48" s="130"/>
      <c r="E48" s="130"/>
      <c r="F48" s="130"/>
      <c r="G48" s="130"/>
      <c r="H48" s="130">
        <v>0.15</v>
      </c>
      <c r="I48" s="130">
        <v>0.13</v>
      </c>
      <c r="J48" s="130">
        <v>0.03</v>
      </c>
      <c r="K48" s="130">
        <v>-0.03</v>
      </c>
      <c r="L48" s="130">
        <v>0</v>
      </c>
    </row>
    <row r="49" spans="1:12" ht="22" customHeight="1">
      <c r="A49" s="128" t="s">
        <v>957</v>
      </c>
      <c r="B49" s="128"/>
      <c r="C49" s="130"/>
      <c r="D49" s="130"/>
      <c r="E49" s="130"/>
      <c r="F49" s="130"/>
      <c r="G49" s="130"/>
      <c r="H49" s="130">
        <v>0.06</v>
      </c>
      <c r="I49" s="130">
        <v>0.01</v>
      </c>
      <c r="J49" s="130">
        <v>-0.01</v>
      </c>
      <c r="K49" s="130">
        <v>0.04</v>
      </c>
      <c r="L49" s="130">
        <v>0.02</v>
      </c>
    </row>
    <row r="50" spans="1:12" ht="22" customHeight="1">
      <c r="A50" s="122" t="s">
        <v>943</v>
      </c>
      <c r="B50" s="122"/>
      <c r="C50" s="132"/>
      <c r="D50" s="132"/>
      <c r="E50" s="132"/>
      <c r="F50" s="132"/>
      <c r="G50" s="132"/>
      <c r="H50" s="132" t="s">
        <v>958</v>
      </c>
      <c r="I50" s="132" t="s">
        <v>959</v>
      </c>
      <c r="J50" s="132" t="s">
        <v>960</v>
      </c>
      <c r="K50" s="132" t="s">
        <v>961</v>
      </c>
      <c r="L50" s="132" t="s">
        <v>962</v>
      </c>
    </row>
    <row r="51" spans="1:12" ht="22" customHeight="1">
      <c r="A51" s="122"/>
      <c r="B51" s="122"/>
      <c r="C51" s="123"/>
      <c r="D51" s="123"/>
      <c r="E51" s="123"/>
      <c r="F51" s="123"/>
      <c r="G51" s="123"/>
      <c r="H51" s="123"/>
      <c r="I51" s="123"/>
      <c r="J51" s="123"/>
      <c r="K51" s="123"/>
      <c r="L51" s="123"/>
    </row>
    <row r="52" spans="1:12" ht="27" customHeight="1">
      <c r="A52" s="16" t="s">
        <v>963</v>
      </c>
      <c r="B52" s="16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spans="1:12" ht="25" customHeight="1">
      <c r="A53" s="124"/>
      <c r="B53" s="124"/>
      <c r="C53" s="136" t="s">
        <v>13</v>
      </c>
      <c r="D53" s="136" t="s">
        <v>964</v>
      </c>
      <c r="E53" s="136" t="s">
        <v>14</v>
      </c>
      <c r="F53" s="136" t="s">
        <v>15</v>
      </c>
      <c r="G53" s="136" t="s">
        <v>16</v>
      </c>
      <c r="H53" s="136" t="s">
        <v>965</v>
      </c>
      <c r="I53" s="136" t="s">
        <v>17</v>
      </c>
      <c r="J53" s="136" t="s">
        <v>18</v>
      </c>
      <c r="K53" s="123"/>
      <c r="L53" s="123"/>
    </row>
    <row r="54" spans="1:12" ht="22" customHeight="1">
      <c r="A54" s="122" t="s">
        <v>966</v>
      </c>
      <c r="B54" s="122"/>
      <c r="C54" s="137">
        <v>-0.01</v>
      </c>
      <c r="D54" s="137">
        <v>0.02</v>
      </c>
      <c r="E54" s="137">
        <v>0.02</v>
      </c>
      <c r="F54" s="137">
        <v>-0.01</v>
      </c>
      <c r="G54" s="137">
        <v>0.01</v>
      </c>
      <c r="H54" s="137">
        <v>0.01</v>
      </c>
      <c r="I54" s="137">
        <v>0.03</v>
      </c>
      <c r="J54" s="137">
        <v>0.05</v>
      </c>
      <c r="K54" s="123"/>
      <c r="L54" s="123"/>
    </row>
    <row r="55" spans="1:12" ht="22" customHeight="1">
      <c r="A55" s="122" t="s">
        <v>935</v>
      </c>
      <c r="B55" s="122"/>
      <c r="C55" s="137">
        <v>0</v>
      </c>
      <c r="D55" s="137">
        <v>0.02</v>
      </c>
      <c r="E55" s="137">
        <v>0.02</v>
      </c>
      <c r="F55" s="137">
        <v>-0.01</v>
      </c>
      <c r="G55" s="137">
        <v>0</v>
      </c>
      <c r="H55" s="137">
        <v>0</v>
      </c>
      <c r="I55" s="137">
        <v>0.02</v>
      </c>
      <c r="J55" s="137">
        <v>0.04</v>
      </c>
      <c r="K55" s="123"/>
      <c r="L55" s="123"/>
    </row>
    <row r="56" spans="1:12" ht="22" customHeight="1">
      <c r="A56" s="122" t="s">
        <v>939</v>
      </c>
      <c r="B56" s="122"/>
      <c r="C56" s="137">
        <v>0</v>
      </c>
      <c r="D56" s="137">
        <v>0.02</v>
      </c>
      <c r="E56" s="137">
        <v>0.01</v>
      </c>
      <c r="F56" s="137">
        <v>-0.01</v>
      </c>
      <c r="G56" s="137">
        <v>0.01</v>
      </c>
      <c r="H56" s="137">
        <v>0.01</v>
      </c>
      <c r="I56" s="137">
        <v>0.02</v>
      </c>
      <c r="J56" s="137">
        <v>0.05</v>
      </c>
      <c r="K56" s="123"/>
      <c r="L56" s="123"/>
    </row>
    <row r="57" spans="1:12" ht="22" customHeight="1">
      <c r="A57" s="122" t="s">
        <v>941</v>
      </c>
      <c r="B57" s="122"/>
      <c r="C57" s="137">
        <v>0.11</v>
      </c>
      <c r="D57" s="137">
        <v>0.13</v>
      </c>
      <c r="E57" s="137">
        <v>0.14000000000000001</v>
      </c>
      <c r="F57" s="137">
        <v>0.14000000000000001</v>
      </c>
      <c r="G57" s="137">
        <v>0.14000000000000001</v>
      </c>
      <c r="H57" s="137">
        <v>0.13</v>
      </c>
      <c r="I57" s="137">
        <v>0.13</v>
      </c>
      <c r="J57" s="137">
        <v>0.16</v>
      </c>
      <c r="K57" s="123"/>
      <c r="L57" s="123"/>
    </row>
    <row r="58" spans="1:12" ht="22" customHeight="1">
      <c r="A58" s="122" t="s">
        <v>950</v>
      </c>
      <c r="B58" s="122"/>
      <c r="C58" s="137" t="s">
        <v>940</v>
      </c>
      <c r="D58" s="137" t="s">
        <v>940</v>
      </c>
      <c r="E58" s="137" t="s">
        <v>940</v>
      </c>
      <c r="F58" s="137" t="s">
        <v>940</v>
      </c>
      <c r="G58" s="137">
        <v>0.02</v>
      </c>
      <c r="H58" s="137">
        <v>0.02</v>
      </c>
      <c r="I58" s="137">
        <v>0.06</v>
      </c>
      <c r="J58" s="137">
        <v>7.0000000000000007E-2</v>
      </c>
      <c r="K58" s="123"/>
      <c r="L58" s="123"/>
    </row>
    <row r="59" spans="1:12" ht="22" customHeight="1">
      <c r="A59" s="122" t="s">
        <v>951</v>
      </c>
      <c r="B59" s="122"/>
      <c r="C59" s="137">
        <v>-0.01</v>
      </c>
      <c r="D59" s="137">
        <v>0.02</v>
      </c>
      <c r="E59" s="137">
        <v>0.02</v>
      </c>
      <c r="F59" s="137">
        <v>-0.02</v>
      </c>
      <c r="G59" s="137">
        <v>-0.01</v>
      </c>
      <c r="H59" s="137">
        <v>-0.01</v>
      </c>
      <c r="I59" s="137">
        <v>0.03</v>
      </c>
      <c r="J59" s="137">
        <v>0.04</v>
      </c>
      <c r="K59" s="123"/>
      <c r="L59" s="123"/>
    </row>
    <row r="60" spans="1:12" ht="22" customHeight="1">
      <c r="A60" s="122" t="s">
        <v>952</v>
      </c>
      <c r="B60" s="122"/>
      <c r="C60" s="137">
        <v>-0.03</v>
      </c>
      <c r="D60" s="137">
        <v>-0.01</v>
      </c>
      <c r="E60" s="137">
        <v>0.01</v>
      </c>
      <c r="F60" s="137">
        <v>-0.04</v>
      </c>
      <c r="G60" s="137">
        <v>-0.03</v>
      </c>
      <c r="H60" s="137">
        <v>-0.03</v>
      </c>
      <c r="I60" s="137">
        <v>-0.01</v>
      </c>
      <c r="J60" s="137">
        <v>0.02</v>
      </c>
      <c r="K60" s="123"/>
      <c r="L60" s="123"/>
    </row>
    <row r="61" spans="1:12" ht="22" customHeight="1">
      <c r="A61" s="122" t="s">
        <v>953</v>
      </c>
      <c r="B61" s="122"/>
      <c r="C61" s="137">
        <v>-0.04</v>
      </c>
      <c r="D61" s="137">
        <v>0.02</v>
      </c>
      <c r="E61" s="137">
        <v>0.02</v>
      </c>
      <c r="F61" s="137">
        <v>0</v>
      </c>
      <c r="G61" s="137">
        <v>0.03</v>
      </c>
      <c r="H61" s="137">
        <v>0.03</v>
      </c>
      <c r="I61" s="137">
        <v>0.05</v>
      </c>
      <c r="J61" s="137">
        <v>0.06</v>
      </c>
      <c r="K61" s="123"/>
      <c r="L61" s="123"/>
    </row>
    <row r="62" spans="1:12" ht="22" customHeight="1">
      <c r="A62" s="122" t="s">
        <v>954</v>
      </c>
      <c r="B62" s="122"/>
      <c r="C62" s="137">
        <v>-0.06</v>
      </c>
      <c r="D62" s="137">
        <v>0.02</v>
      </c>
      <c r="E62" s="137">
        <v>0.03</v>
      </c>
      <c r="F62" s="137">
        <v>0</v>
      </c>
      <c r="G62" s="137">
        <v>0.03</v>
      </c>
      <c r="H62" s="137">
        <v>0.04</v>
      </c>
      <c r="I62" s="137">
        <v>0.05</v>
      </c>
      <c r="J62" s="137">
        <v>0.06</v>
      </c>
      <c r="K62" s="123"/>
      <c r="L62" s="123"/>
    </row>
    <row r="63" spans="1:12" ht="22" customHeight="1">
      <c r="A63" s="122" t="s">
        <v>955</v>
      </c>
      <c r="B63" s="122"/>
      <c r="C63" s="137">
        <v>-0.03</v>
      </c>
      <c r="D63" s="137">
        <v>-0.02</v>
      </c>
      <c r="E63" s="137">
        <v>-0.01</v>
      </c>
      <c r="F63" s="137">
        <v>-0.03</v>
      </c>
      <c r="G63" s="137">
        <v>0.03</v>
      </c>
      <c r="H63" s="137">
        <v>0.05</v>
      </c>
      <c r="I63" s="137">
        <v>0.03</v>
      </c>
      <c r="J63" s="137">
        <v>0.05</v>
      </c>
      <c r="K63" s="123"/>
      <c r="L63" s="123"/>
    </row>
    <row r="64" spans="1:12" ht="22" customHeight="1">
      <c r="A64" s="122" t="s">
        <v>956</v>
      </c>
      <c r="B64" s="122"/>
      <c r="C64" s="137">
        <v>-0.06</v>
      </c>
      <c r="D64" s="137">
        <v>-0.01</v>
      </c>
      <c r="E64" s="137">
        <v>-0.02</v>
      </c>
      <c r="F64" s="137">
        <v>0.01</v>
      </c>
      <c r="G64" s="137">
        <v>0.02</v>
      </c>
      <c r="H64" s="137">
        <v>0</v>
      </c>
      <c r="I64" s="137">
        <v>0</v>
      </c>
      <c r="J64" s="137">
        <v>-0.02</v>
      </c>
      <c r="K64" s="123"/>
      <c r="L64" s="123"/>
    </row>
    <row r="65" spans="1:12" ht="22" customHeight="1">
      <c r="A65" s="122" t="s">
        <v>957</v>
      </c>
      <c r="B65" s="122"/>
      <c r="C65" s="137">
        <v>7.0000000000000007E-2</v>
      </c>
      <c r="D65" s="137">
        <v>0.05</v>
      </c>
      <c r="E65" s="137">
        <v>0</v>
      </c>
      <c r="F65" s="137">
        <v>0</v>
      </c>
      <c r="G65" s="137">
        <v>0.02</v>
      </c>
      <c r="H65" s="137">
        <v>0.05</v>
      </c>
      <c r="I65" s="137">
        <v>0.08</v>
      </c>
      <c r="J65" s="137">
        <v>0.06</v>
      </c>
      <c r="K65" s="123"/>
      <c r="L65" s="123"/>
    </row>
    <row r="66" spans="1:12" ht="22" customHeight="1">
      <c r="A66" s="122" t="s">
        <v>967</v>
      </c>
      <c r="B66" s="122"/>
      <c r="C66" s="132" t="s">
        <v>968</v>
      </c>
      <c r="D66" s="132" t="s">
        <v>969</v>
      </c>
      <c r="E66" s="132" t="s">
        <v>970</v>
      </c>
      <c r="F66" s="132" t="s">
        <v>971</v>
      </c>
      <c r="G66" s="132" t="s">
        <v>972</v>
      </c>
      <c r="H66" s="132" t="s">
        <v>973</v>
      </c>
      <c r="I66" s="132" t="s">
        <v>974</v>
      </c>
      <c r="J66" s="132" t="s">
        <v>975</v>
      </c>
      <c r="K66" s="123"/>
      <c r="L66" s="123"/>
    </row>
    <row r="67" spans="1:12" ht="22" customHeight="1">
      <c r="A67" s="122"/>
      <c r="B67" s="122"/>
      <c r="C67" s="123"/>
      <c r="D67" s="123"/>
      <c r="E67" s="123"/>
      <c r="F67" s="123"/>
      <c r="G67" s="123"/>
      <c r="H67" s="123"/>
      <c r="I67" s="123"/>
      <c r="J67" s="123"/>
      <c r="K67" s="123"/>
      <c r="L67" s="123"/>
    </row>
    <row r="68" spans="1:12" ht="29" customHeight="1">
      <c r="A68" s="18" t="s">
        <v>976</v>
      </c>
      <c r="B68" s="18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 spans="1:12" ht="29" customHeight="1">
      <c r="A69" s="18" t="s">
        <v>977</v>
      </c>
      <c r="B69" s="18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spans="1:12" ht="22" customHeight="1">
      <c r="A70" s="122"/>
      <c r="B70" s="122"/>
      <c r="C70" s="123"/>
      <c r="D70" s="123"/>
      <c r="E70" s="123"/>
      <c r="F70" s="123"/>
      <c r="G70" s="123"/>
      <c r="H70" s="123"/>
      <c r="I70" s="123"/>
      <c r="J70" s="123"/>
      <c r="K70" s="123"/>
      <c r="L70" s="123"/>
    </row>
    <row r="71" spans="1:12" ht="27" customHeight="1">
      <c r="A71" s="16" t="s">
        <v>978</v>
      </c>
      <c r="B71" s="16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spans="1:12" ht="24" customHeight="1">
      <c r="A72" s="124" t="s">
        <v>979</v>
      </c>
      <c r="B72" s="124"/>
      <c r="C72" s="26" t="s">
        <v>980</v>
      </c>
      <c r="D72" s="26" t="s">
        <v>981</v>
      </c>
      <c r="E72" s="26" t="s">
        <v>982</v>
      </c>
      <c r="F72" s="16" t="s">
        <v>983</v>
      </c>
      <c r="G72" s="16"/>
      <c r="H72" s="16"/>
      <c r="I72" s="16"/>
      <c r="J72" s="16"/>
      <c r="K72" s="16"/>
      <c r="L72" s="16"/>
    </row>
    <row r="73" spans="1:12" ht="28" customHeight="1">
      <c r="A73" s="122" t="s">
        <v>984</v>
      </c>
      <c r="B73" s="122"/>
      <c r="C73" s="123" t="s">
        <v>15</v>
      </c>
      <c r="D73" s="123" t="s">
        <v>985</v>
      </c>
      <c r="E73" s="123" t="s">
        <v>942</v>
      </c>
      <c r="F73" s="20" t="s">
        <v>986</v>
      </c>
      <c r="G73" s="20"/>
      <c r="H73" s="20"/>
      <c r="I73" s="20"/>
      <c r="J73" s="20"/>
      <c r="K73" s="20"/>
      <c r="L73" s="20"/>
    </row>
    <row r="74" spans="1:12" ht="28" customHeight="1">
      <c r="A74" s="122" t="s">
        <v>987</v>
      </c>
      <c r="B74" s="122"/>
      <c r="C74" s="123" t="s">
        <v>16</v>
      </c>
      <c r="D74" s="123" t="s">
        <v>988</v>
      </c>
      <c r="E74" s="137">
        <v>0.13</v>
      </c>
      <c r="F74" s="20" t="s">
        <v>989</v>
      </c>
      <c r="G74" s="20"/>
      <c r="H74" s="20"/>
      <c r="I74" s="20"/>
      <c r="J74" s="20"/>
      <c r="K74" s="20"/>
      <c r="L74" s="20"/>
    </row>
    <row r="75" spans="1:12" ht="29" customHeight="1">
      <c r="A75" s="18" t="s">
        <v>990</v>
      </c>
      <c r="B75" s="18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 spans="1:12" ht="22" customHeight="1">
      <c r="A76" s="122"/>
      <c r="B76" s="122"/>
      <c r="C76" s="123"/>
      <c r="D76" s="123"/>
      <c r="E76" s="123"/>
      <c r="F76" s="123"/>
      <c r="G76" s="123"/>
      <c r="H76" s="123"/>
      <c r="I76" s="123"/>
      <c r="J76" s="123"/>
      <c r="K76" s="123"/>
      <c r="L76" s="123"/>
    </row>
    <row r="77" spans="1:12" ht="22" customHeight="1">
      <c r="A77" s="122"/>
      <c r="B77" s="122"/>
      <c r="C77" s="123"/>
      <c r="D77" s="123"/>
      <c r="E77" s="123"/>
      <c r="F77" s="123"/>
      <c r="G77" s="123"/>
      <c r="H77" s="123"/>
      <c r="I77" s="123"/>
      <c r="J77" s="123"/>
      <c r="K77" s="123"/>
      <c r="L77" s="123"/>
    </row>
    <row r="78" spans="1:12" ht="27" customHeight="1">
      <c r="A78" s="16" t="s">
        <v>991</v>
      </c>
      <c r="B78" s="16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spans="1:12" ht="22" customHeight="1">
      <c r="A79" s="122"/>
      <c r="B79" s="122"/>
      <c r="C79" s="123"/>
      <c r="D79" s="123"/>
      <c r="E79" s="123"/>
      <c r="F79" s="123"/>
      <c r="G79" s="123"/>
      <c r="H79" s="123"/>
      <c r="I79" s="123"/>
      <c r="J79" s="123"/>
      <c r="K79" s="123"/>
      <c r="L79" s="123"/>
    </row>
    <row r="80" spans="1:12" ht="36" customHeight="1">
      <c r="A80" s="122" t="s">
        <v>992</v>
      </c>
      <c r="B80" s="122"/>
      <c r="C80" s="19" t="s">
        <v>993</v>
      </c>
      <c r="D80" s="19"/>
      <c r="E80" s="19"/>
      <c r="F80" s="19"/>
      <c r="G80" s="19"/>
      <c r="H80" s="19"/>
      <c r="I80" s="19"/>
      <c r="J80" s="19"/>
      <c r="K80" s="19"/>
      <c r="L80" s="19"/>
    </row>
    <row r="81" spans="1:12" ht="36" customHeight="1">
      <c r="A81" s="122" t="s">
        <v>994</v>
      </c>
      <c r="B81" s="122"/>
      <c r="C81" s="19" t="s">
        <v>995</v>
      </c>
      <c r="D81" s="19"/>
      <c r="E81" s="19"/>
      <c r="F81" s="19"/>
      <c r="G81" s="19"/>
      <c r="H81" s="19"/>
      <c r="I81" s="19"/>
      <c r="J81" s="19"/>
      <c r="K81" s="19"/>
      <c r="L81" s="19"/>
    </row>
    <row r="82" spans="1:12" ht="36" customHeight="1">
      <c r="A82" s="122" t="s">
        <v>996</v>
      </c>
      <c r="B82" s="122"/>
      <c r="C82" s="19" t="s">
        <v>997</v>
      </c>
      <c r="D82" s="19"/>
      <c r="E82" s="19"/>
      <c r="F82" s="19"/>
      <c r="G82" s="19"/>
      <c r="H82" s="19"/>
      <c r="I82" s="19"/>
      <c r="J82" s="19"/>
      <c r="K82" s="19"/>
      <c r="L82" s="19"/>
    </row>
    <row r="83" spans="1:12" ht="36" customHeight="1">
      <c r="A83" s="122" t="s">
        <v>998</v>
      </c>
      <c r="B83" s="122"/>
      <c r="C83" s="19" t="s">
        <v>999</v>
      </c>
      <c r="D83" s="19"/>
      <c r="E83" s="19"/>
      <c r="F83" s="19"/>
      <c r="G83" s="19"/>
      <c r="H83" s="19"/>
      <c r="I83" s="19"/>
      <c r="J83" s="19"/>
      <c r="K83" s="19"/>
      <c r="L83" s="19"/>
    </row>
    <row r="84" spans="1:12" ht="36" customHeight="1">
      <c r="A84" s="122" t="s">
        <v>1000</v>
      </c>
      <c r="B84" s="122"/>
      <c r="C84" s="19" t="s">
        <v>1001</v>
      </c>
      <c r="D84" s="19"/>
      <c r="E84" s="19"/>
      <c r="F84" s="19"/>
      <c r="G84" s="19"/>
      <c r="H84" s="19"/>
      <c r="I84" s="19"/>
      <c r="J84" s="19"/>
      <c r="K84" s="19"/>
      <c r="L84" s="19"/>
    </row>
    <row r="85" spans="1:12" ht="36" customHeight="1">
      <c r="A85" s="122" t="s">
        <v>1002</v>
      </c>
      <c r="B85" s="122"/>
      <c r="C85" s="19" t="s">
        <v>1003</v>
      </c>
      <c r="D85" s="19"/>
      <c r="E85" s="19"/>
      <c r="F85" s="19"/>
      <c r="G85" s="19"/>
      <c r="H85" s="19"/>
      <c r="I85" s="19"/>
      <c r="J85" s="19"/>
      <c r="K85" s="19"/>
      <c r="L85" s="19"/>
    </row>
    <row r="86" spans="1:12" ht="36" customHeight="1">
      <c r="A86" s="122" t="s">
        <v>1004</v>
      </c>
      <c r="B86" s="122"/>
      <c r="C86" s="19" t="s">
        <v>1005</v>
      </c>
      <c r="D86" s="19"/>
      <c r="E86" s="19"/>
      <c r="F86" s="19"/>
      <c r="G86" s="19"/>
      <c r="H86" s="19"/>
      <c r="I86" s="19"/>
      <c r="J86" s="19"/>
      <c r="K86" s="19"/>
      <c r="L86" s="19"/>
    </row>
    <row r="87" spans="1:12" ht="36" customHeight="1">
      <c r="A87" s="122" t="s">
        <v>1006</v>
      </c>
      <c r="B87" s="122"/>
      <c r="C87" s="19" t="s">
        <v>1007</v>
      </c>
      <c r="D87" s="19"/>
      <c r="E87" s="19"/>
      <c r="F87" s="19"/>
      <c r="G87" s="19"/>
      <c r="H87" s="19"/>
      <c r="I87" s="19"/>
      <c r="J87" s="19"/>
      <c r="K87" s="19"/>
      <c r="L87" s="19"/>
    </row>
    <row r="88" spans="1:12" ht="36" customHeight="1">
      <c r="A88" s="122" t="s">
        <v>1008</v>
      </c>
      <c r="B88" s="122"/>
      <c r="C88" s="19" t="s">
        <v>1009</v>
      </c>
      <c r="D88" s="19"/>
      <c r="E88" s="19"/>
      <c r="F88" s="19"/>
      <c r="G88" s="19"/>
      <c r="H88" s="19"/>
      <c r="I88" s="19"/>
      <c r="J88" s="19"/>
      <c r="K88" s="19"/>
      <c r="L88" s="19"/>
    </row>
    <row r="89" spans="1:12" ht="36" customHeight="1">
      <c r="A89" s="122" t="s">
        <v>1010</v>
      </c>
      <c r="B89" s="122"/>
      <c r="C89" s="19" t="s">
        <v>1011</v>
      </c>
      <c r="D89" s="19"/>
      <c r="E89" s="19"/>
      <c r="F89" s="19"/>
      <c r="G89" s="19"/>
      <c r="H89" s="19"/>
      <c r="I89" s="19"/>
      <c r="J89" s="19"/>
      <c r="K89" s="19"/>
      <c r="L89" s="19"/>
    </row>
    <row r="90" spans="1:12" ht="36" customHeight="1">
      <c r="A90" s="122" t="s">
        <v>1012</v>
      </c>
      <c r="B90" s="122"/>
      <c r="C90" s="19" t="s">
        <v>1013</v>
      </c>
      <c r="D90" s="19"/>
      <c r="E90" s="19"/>
      <c r="F90" s="19"/>
      <c r="G90" s="19"/>
      <c r="H90" s="19"/>
      <c r="I90" s="19"/>
      <c r="J90" s="19"/>
      <c r="K90" s="19"/>
      <c r="L90" s="19"/>
    </row>
    <row r="91" spans="1:12" ht="36" customHeight="1">
      <c r="A91" s="122" t="s">
        <v>1014</v>
      </c>
      <c r="B91" s="122"/>
      <c r="C91" s="19" t="s">
        <v>1015</v>
      </c>
      <c r="D91" s="19"/>
      <c r="E91" s="19"/>
      <c r="F91" s="19"/>
      <c r="G91" s="19"/>
      <c r="H91" s="19"/>
      <c r="I91" s="19"/>
      <c r="J91" s="19"/>
      <c r="K91" s="19"/>
      <c r="L91" s="19"/>
    </row>
    <row r="92" spans="1:12" ht="36" customHeight="1">
      <c r="A92" s="122" t="s">
        <v>1016</v>
      </c>
      <c r="B92" s="122"/>
      <c r="C92" s="19" t="s">
        <v>1017</v>
      </c>
      <c r="D92" s="19"/>
      <c r="E92" s="19"/>
      <c r="F92" s="19"/>
      <c r="G92" s="19"/>
      <c r="H92" s="19"/>
      <c r="I92" s="19"/>
      <c r="J92" s="19"/>
      <c r="K92" s="19"/>
      <c r="L92" s="19"/>
    </row>
    <row r="93" spans="1:12" ht="36" customHeight="1">
      <c r="A93" s="122" t="s">
        <v>1018</v>
      </c>
      <c r="B93" s="122"/>
      <c r="C93" s="19" t="s">
        <v>1019</v>
      </c>
      <c r="D93" s="19"/>
      <c r="E93" s="19"/>
      <c r="F93" s="19"/>
      <c r="G93" s="19"/>
      <c r="H93" s="19"/>
      <c r="I93" s="19"/>
      <c r="J93" s="19"/>
      <c r="K93" s="19"/>
      <c r="L93" s="19"/>
    </row>
    <row r="94" spans="1:12" ht="36" customHeight="1">
      <c r="A94" s="122" t="s">
        <v>1020</v>
      </c>
      <c r="B94" s="122"/>
      <c r="C94" s="19" t="s">
        <v>1021</v>
      </c>
      <c r="D94" s="19"/>
      <c r="E94" s="19"/>
      <c r="F94" s="19"/>
      <c r="G94" s="19"/>
      <c r="H94" s="19"/>
      <c r="I94" s="19"/>
      <c r="J94" s="19"/>
      <c r="K94" s="19"/>
      <c r="L94" s="19"/>
    </row>
    <row r="95" spans="1:12" ht="36" customHeight="1">
      <c r="A95" s="122" t="s">
        <v>1022</v>
      </c>
      <c r="B95" s="122"/>
      <c r="C95" s="19" t="s">
        <v>1023</v>
      </c>
      <c r="D95" s="19"/>
      <c r="E95" s="19"/>
      <c r="F95" s="19"/>
      <c r="G95" s="19"/>
      <c r="H95" s="19"/>
      <c r="I95" s="19"/>
      <c r="J95" s="19"/>
      <c r="K95" s="19"/>
      <c r="L95" s="19"/>
    </row>
    <row r="96" spans="1:12" ht="36" customHeight="1">
      <c r="A96" s="122" t="s">
        <v>1024</v>
      </c>
      <c r="B96" s="122"/>
      <c r="C96" s="19" t="s">
        <v>1025</v>
      </c>
      <c r="D96" s="19"/>
      <c r="E96" s="19"/>
      <c r="F96" s="19"/>
      <c r="G96" s="19"/>
      <c r="H96" s="19"/>
      <c r="I96" s="19"/>
      <c r="J96" s="19"/>
      <c r="K96" s="19"/>
      <c r="L96" s="19"/>
    </row>
    <row r="97" spans="1:12" ht="36" customHeight="1">
      <c r="A97" s="122" t="s">
        <v>1026</v>
      </c>
      <c r="B97" s="122"/>
      <c r="C97" s="19" t="s">
        <v>1027</v>
      </c>
      <c r="D97" s="19"/>
      <c r="E97" s="19"/>
      <c r="F97" s="19"/>
      <c r="G97" s="19"/>
      <c r="H97" s="19"/>
      <c r="I97" s="19"/>
      <c r="J97" s="19"/>
      <c r="K97" s="19"/>
      <c r="L97" s="19"/>
    </row>
    <row r="98" spans="1:12" ht="36" customHeight="1">
      <c r="A98" s="122" t="s">
        <v>1028</v>
      </c>
      <c r="B98" s="122"/>
      <c r="C98" s="19" t="s">
        <v>1029</v>
      </c>
      <c r="D98" s="19"/>
      <c r="E98" s="19"/>
      <c r="F98" s="19"/>
      <c r="G98" s="19"/>
      <c r="H98" s="19"/>
      <c r="I98" s="19"/>
      <c r="J98" s="19"/>
      <c r="K98" s="19"/>
      <c r="L98" s="19"/>
    </row>
    <row r="99" spans="1:12" ht="36" customHeight="1">
      <c r="A99" s="122" t="s">
        <v>1030</v>
      </c>
      <c r="B99" s="122"/>
      <c r="C99" s="19" t="s">
        <v>1031</v>
      </c>
      <c r="D99" s="19"/>
      <c r="E99" s="19"/>
      <c r="F99" s="19"/>
      <c r="G99" s="19"/>
      <c r="H99" s="19"/>
      <c r="I99" s="19"/>
      <c r="J99" s="19"/>
      <c r="K99" s="19"/>
      <c r="L99" s="19"/>
    </row>
    <row r="100" spans="1:12" ht="36" customHeight="1">
      <c r="A100" s="122" t="s">
        <v>1032</v>
      </c>
      <c r="B100" s="122"/>
      <c r="C100" s="19" t="s">
        <v>1033</v>
      </c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ht="36" customHeight="1">
      <c r="A101" s="122" t="s">
        <v>1034</v>
      </c>
      <c r="B101" s="122"/>
      <c r="C101" s="19" t="s">
        <v>1035</v>
      </c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 ht="36" customHeight="1">
      <c r="A102" s="122" t="s">
        <v>1036</v>
      </c>
      <c r="B102" s="122"/>
      <c r="C102" s="19" t="s">
        <v>1037</v>
      </c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ht="36" customHeight="1">
      <c r="A103" s="122" t="s">
        <v>1038</v>
      </c>
      <c r="B103" s="122"/>
      <c r="C103" s="19" t="s">
        <v>1039</v>
      </c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ht="36" customHeight="1">
      <c r="A104" s="122" t="s">
        <v>1040</v>
      </c>
      <c r="B104" s="122"/>
      <c r="C104" s="19" t="s">
        <v>1041</v>
      </c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ht="36" customHeight="1">
      <c r="A105" s="122" t="s">
        <v>1042</v>
      </c>
      <c r="B105" s="122"/>
      <c r="C105" s="19" t="s">
        <v>1043</v>
      </c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ht="22" customHeight="1">
      <c r="A106" s="122"/>
      <c r="B106" s="122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</row>
    <row r="107" spans="1:12" ht="22" customHeight="1">
      <c r="A107" s="122"/>
      <c r="B107" s="122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</row>
    <row r="108" spans="1:12" ht="22" customHeight="1">
      <c r="A108" s="122"/>
      <c r="B108" s="122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</row>
    <row r="109" spans="1:12" ht="22" customHeight="1">
      <c r="A109" s="122"/>
      <c r="B109" s="122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</sheetData>
  <mergeCells count="44">
    <mergeCell ref="A1:L1"/>
    <mergeCell ref="A2:L2"/>
    <mergeCell ref="A4:L4"/>
    <mergeCell ref="A6:L6"/>
    <mergeCell ref="A19:L19"/>
    <mergeCell ref="A26:L26"/>
    <mergeCell ref="A28:L28"/>
    <mergeCell ref="A36:L36"/>
    <mergeCell ref="A38:L38"/>
    <mergeCell ref="A52:L52"/>
    <mergeCell ref="A68:L68"/>
    <mergeCell ref="A69:L69"/>
    <mergeCell ref="A71:L71"/>
    <mergeCell ref="F72:L72"/>
    <mergeCell ref="F73:L73"/>
    <mergeCell ref="F74:L74"/>
    <mergeCell ref="A75:L75"/>
    <mergeCell ref="A78:L78"/>
    <mergeCell ref="C80:L80"/>
    <mergeCell ref="C81:L81"/>
    <mergeCell ref="C82:L82"/>
    <mergeCell ref="C83:L83"/>
    <mergeCell ref="C84:L84"/>
    <mergeCell ref="C85:L85"/>
    <mergeCell ref="C86:L86"/>
    <mergeCell ref="C87:L87"/>
    <mergeCell ref="C88:L88"/>
    <mergeCell ref="C89:L89"/>
    <mergeCell ref="C90:L90"/>
    <mergeCell ref="C91:L91"/>
    <mergeCell ref="C92:L92"/>
    <mergeCell ref="C93:L93"/>
    <mergeCell ref="C94:L94"/>
    <mergeCell ref="C95:L95"/>
    <mergeCell ref="C96:L96"/>
    <mergeCell ref="C102:L102"/>
    <mergeCell ref="C103:L103"/>
    <mergeCell ref="C104:L104"/>
    <mergeCell ref="C105:L105"/>
    <mergeCell ref="C97:L97"/>
    <mergeCell ref="C98:L98"/>
    <mergeCell ref="C99:L99"/>
    <mergeCell ref="C100:L100"/>
    <mergeCell ref="C101:L101"/>
  </mergeCells>
  <phoneticPr fontId="9" type="noConversion"/>
  <hyperlinks>
    <hyperlink ref="C16" r:id="rId1" xr:uid="{00000000-0004-0000-0B00-000000000000}"/>
    <hyperlink ref="D16" r:id="rId2" xr:uid="{00000000-0004-0000-0B00-000001000000}"/>
    <hyperlink ref="E16" r:id="rId3" xr:uid="{00000000-0004-0000-0B00-000002000000}"/>
    <hyperlink ref="F16" r:id="rId4" xr:uid="{00000000-0004-0000-0B00-000003000000}"/>
    <hyperlink ref="G16" r:id="rId5" xr:uid="{00000000-0004-0000-0B00-000004000000}"/>
    <hyperlink ref="H16" r:id="rId6" xr:uid="{00000000-0004-0000-0B00-000005000000}"/>
    <hyperlink ref="I16" r:id="rId7" xr:uid="{00000000-0004-0000-0B00-000006000000}"/>
    <hyperlink ref="J16" r:id="rId8" xr:uid="{00000000-0004-0000-0B00-000007000000}"/>
    <hyperlink ref="K16" r:id="rId9" xr:uid="{00000000-0004-0000-0B00-000008000000}"/>
    <hyperlink ref="L16" r:id="rId10" xr:uid="{00000000-0004-0000-0B00-000009000000}"/>
    <hyperlink ref="C17" r:id="rId11" xr:uid="{00000000-0004-0000-0B00-00000A000000}"/>
    <hyperlink ref="D17" r:id="rId12" xr:uid="{00000000-0004-0000-0B00-00000B000000}"/>
    <hyperlink ref="E17" r:id="rId13" xr:uid="{00000000-0004-0000-0B00-00000C000000}"/>
    <hyperlink ref="F17" r:id="rId14" xr:uid="{00000000-0004-0000-0B00-00000D000000}"/>
    <hyperlink ref="G17" r:id="rId15" xr:uid="{00000000-0004-0000-0B00-00000E000000}"/>
    <hyperlink ref="H17" r:id="rId16" xr:uid="{00000000-0004-0000-0B00-00000F000000}"/>
    <hyperlink ref="I17" r:id="rId17" xr:uid="{00000000-0004-0000-0B00-000010000000}"/>
    <hyperlink ref="J17" r:id="rId18" xr:uid="{00000000-0004-0000-0B00-000011000000}"/>
    <hyperlink ref="K17" r:id="rId19" xr:uid="{00000000-0004-0000-0B00-000012000000}"/>
    <hyperlink ref="L17" r:id="rId20" xr:uid="{00000000-0004-0000-0B00-000013000000}"/>
    <hyperlink ref="D35" r:id="rId21" xr:uid="{00000000-0004-0000-0B00-000014000000}"/>
    <hyperlink ref="E35" r:id="rId22" xr:uid="{00000000-0004-0000-0B00-000015000000}"/>
    <hyperlink ref="F35" r:id="rId23" xr:uid="{00000000-0004-0000-0B00-000016000000}"/>
    <hyperlink ref="G35" r:id="rId24" xr:uid="{00000000-0004-0000-0B00-000017000000}"/>
    <hyperlink ref="H50" r:id="rId25" xr:uid="{00000000-0004-0000-0B00-000018000000}"/>
    <hyperlink ref="I50" r:id="rId26" xr:uid="{00000000-0004-0000-0B00-000019000000}"/>
    <hyperlink ref="J50" r:id="rId27" xr:uid="{00000000-0004-0000-0B00-00001A000000}"/>
    <hyperlink ref="K50" r:id="rId28" xr:uid="{00000000-0004-0000-0B00-00001B000000}"/>
    <hyperlink ref="L50" r:id="rId29" xr:uid="{00000000-0004-0000-0B00-00001C000000}"/>
    <hyperlink ref="C66" r:id="rId30" xr:uid="{00000000-0004-0000-0B00-00001D000000}"/>
    <hyperlink ref="D66" r:id="rId31" xr:uid="{00000000-0004-0000-0B00-00001E000000}"/>
    <hyperlink ref="E66" r:id="rId32" xr:uid="{00000000-0004-0000-0B00-00001F000000}"/>
    <hyperlink ref="F66" r:id="rId33" xr:uid="{00000000-0004-0000-0B00-000020000000}"/>
    <hyperlink ref="G66" r:id="rId34" xr:uid="{00000000-0004-0000-0B00-000021000000}"/>
    <hyperlink ref="H66" r:id="rId35" xr:uid="{00000000-0004-0000-0B00-000022000000}"/>
    <hyperlink ref="I66" r:id="rId36" xr:uid="{00000000-0004-0000-0B00-000023000000}"/>
    <hyperlink ref="J66" r:id="rId37" xr:uid="{00000000-0004-0000-0B00-000024000000}"/>
    <hyperlink ref="F73" r:id="rId38" xr:uid="{00000000-0004-0000-0B00-000025000000}"/>
    <hyperlink ref="F74" r:id="rId39" xr:uid="{00000000-0004-0000-0B00-000026000000}"/>
    <hyperlink ref="C80" r:id="rId40" xr:uid="{00000000-0004-0000-0B00-000027000000}"/>
    <hyperlink ref="C81" r:id="rId41" xr:uid="{00000000-0004-0000-0B00-000028000000}"/>
    <hyperlink ref="C82" r:id="rId42" xr:uid="{00000000-0004-0000-0B00-000029000000}"/>
    <hyperlink ref="C83" r:id="rId43" xr:uid="{00000000-0004-0000-0B00-00002A000000}"/>
    <hyperlink ref="C84" r:id="rId44" xr:uid="{00000000-0004-0000-0B00-00002B000000}"/>
    <hyperlink ref="C85" r:id="rId45" xr:uid="{00000000-0004-0000-0B00-00002C000000}"/>
    <hyperlink ref="C86" r:id="rId46" xr:uid="{00000000-0004-0000-0B00-00002D000000}"/>
    <hyperlink ref="C87" r:id="rId47" xr:uid="{00000000-0004-0000-0B00-00002E000000}"/>
    <hyperlink ref="C88" r:id="rId48" xr:uid="{00000000-0004-0000-0B00-00002F000000}"/>
    <hyperlink ref="C89" r:id="rId49" xr:uid="{00000000-0004-0000-0B00-000030000000}"/>
    <hyperlink ref="C90" r:id="rId50" xr:uid="{00000000-0004-0000-0B00-000031000000}"/>
    <hyperlink ref="C91" r:id="rId51" xr:uid="{00000000-0004-0000-0B00-000032000000}"/>
    <hyperlink ref="C92" r:id="rId52" xr:uid="{00000000-0004-0000-0B00-000033000000}"/>
    <hyperlink ref="C93" r:id="rId53" xr:uid="{00000000-0004-0000-0B00-000034000000}"/>
    <hyperlink ref="C94" r:id="rId54" xr:uid="{00000000-0004-0000-0B00-000035000000}"/>
    <hyperlink ref="C95" r:id="rId55" xr:uid="{00000000-0004-0000-0B00-000036000000}"/>
    <hyperlink ref="C96" r:id="rId56" xr:uid="{00000000-0004-0000-0B00-000037000000}"/>
    <hyperlink ref="C97" r:id="rId57" xr:uid="{00000000-0004-0000-0B00-000038000000}"/>
    <hyperlink ref="C98" r:id="rId58" xr:uid="{00000000-0004-0000-0B00-000039000000}"/>
    <hyperlink ref="C99" r:id="rId59" xr:uid="{00000000-0004-0000-0B00-00003A000000}"/>
    <hyperlink ref="C100" r:id="rId60" xr:uid="{00000000-0004-0000-0B00-00003B000000}"/>
    <hyperlink ref="C101" r:id="rId61" xr:uid="{00000000-0004-0000-0B00-00003C000000}"/>
    <hyperlink ref="C102" r:id="rId62" xr:uid="{00000000-0004-0000-0B00-00003D000000}"/>
    <hyperlink ref="C103" r:id="rId63" xr:uid="{00000000-0004-0000-0B00-00003E000000}"/>
    <hyperlink ref="C104" r:id="rId64" xr:uid="{00000000-0004-0000-0B00-00003F000000}"/>
    <hyperlink ref="C105" r:id="rId65" xr:uid="{00000000-0004-0000-0B00-00004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6487"/>
    <pageSetUpPr fitToPage="1"/>
  </sheetPr>
  <dimension ref="A1:U89"/>
  <sheetViews>
    <sheetView showGridLines="0" zoomScale="95" zoomScaleNormal="95" workbookViewId="0">
      <pane xSplit="2" ySplit="5" topLeftCell="C6" activePane="bottomRight" state="frozen"/>
      <selection pane="topRight" activeCell="C3" sqref="C3"/>
      <selection pane="bottomLeft" activeCell="A6" sqref="A6"/>
      <selection pane="bottomRight" activeCell="Y27" sqref="Y27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22" t="s">
        <v>380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21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25" customHeight="1"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  <c r="K3" s="46" t="s">
        <v>10</v>
      </c>
      <c r="L3" s="46" t="s">
        <v>11</v>
      </c>
      <c r="M3" s="47" t="s">
        <v>12</v>
      </c>
      <c r="N3" s="47" t="s">
        <v>12</v>
      </c>
      <c r="O3" s="47" t="s">
        <v>12</v>
      </c>
      <c r="P3" s="48" t="s">
        <v>13</v>
      </c>
      <c r="Q3" s="48" t="s">
        <v>14</v>
      </c>
      <c r="R3" s="48" t="s">
        <v>15</v>
      </c>
      <c r="S3" s="48" t="s">
        <v>16</v>
      </c>
      <c r="T3" s="48" t="s">
        <v>17</v>
      </c>
      <c r="U3" s="48" t="s">
        <v>18</v>
      </c>
    </row>
    <row r="4" spans="1:21" ht="18" customHeight="1">
      <c r="C4" s="49" t="s">
        <v>19</v>
      </c>
      <c r="D4" s="49" t="s">
        <v>20</v>
      </c>
      <c r="E4" s="49" t="s">
        <v>21</v>
      </c>
      <c r="F4" s="49" t="s">
        <v>22</v>
      </c>
      <c r="G4" s="49" t="s">
        <v>23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28</v>
      </c>
      <c r="M4" s="50"/>
      <c r="N4" s="50"/>
      <c r="O4" s="50"/>
      <c r="P4" s="49" t="s">
        <v>29</v>
      </c>
      <c r="Q4" s="49" t="s">
        <v>30</v>
      </c>
      <c r="R4" s="49" t="s">
        <v>31</v>
      </c>
      <c r="S4" s="49" t="s">
        <v>32</v>
      </c>
      <c r="T4" s="49" t="s">
        <v>33</v>
      </c>
      <c r="U4" s="49" t="s">
        <v>34</v>
      </c>
    </row>
    <row r="5" spans="1:21" ht="10" customHeight="1">
      <c r="M5" s="29"/>
      <c r="N5" s="29"/>
      <c r="O5" s="29"/>
    </row>
    <row r="6" spans="1:21" ht="22" customHeight="1">
      <c r="A6" s="21" t="s">
        <v>35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22" customHeight="1">
      <c r="A7" s="21" t="str">
        <f>HYPERLINK("#'Derived Metrics'!A19","1. PROFITABILITY")</f>
        <v>1. PROFITABILITY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1:21" ht="22" customHeight="1">
      <c r="A8" s="21" t="str">
        <f>HYPERLINK("#'Derived Metrics'!A29","2. RETURNS (average of opening and closing balances)")</f>
        <v>2. RETURNS (average of opening and closing balances)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22" customHeight="1">
      <c r="A9" s="21" t="str">
        <f>HYPERLINK("#'Derived Metrics'!A35","3. LEVERAGE")</f>
        <v>3. LEVERAGE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</row>
    <row r="10" spans="1:21" ht="22" customHeight="1">
      <c r="A10" s="21" t="str">
        <f>HYPERLINK("#'Derived Metrics'!A42","4. SOLVENCY")</f>
        <v>4. SOLVENCY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21" ht="22" customHeight="1">
      <c r="A11" s="21" t="str">
        <f>HYPERLINK("#'Derived Metrics'!A46","5. LIQUIDITY")</f>
        <v>5. LIQUIDITY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 ht="22" customHeight="1">
      <c r="A12" s="21" t="str">
        <f>HYPERLINK("#'Derived Metrics'!A51","6. COVERAGE")</f>
        <v>6. COVERAGE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</row>
    <row r="13" spans="1:21" ht="22" customHeight="1">
      <c r="A13" s="21" t="str">
        <f>HYPERLINK("#'Derived Metrics'!A55","7. CASH CONVERSION")</f>
        <v>7. CASH CONVERSION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</row>
    <row r="14" spans="1:21" ht="22" customHeight="1">
      <c r="A14" s="21" t="str">
        <f>HYPERLINK("#'Derived Metrics'!A64","8. EARNINGS QUALITY")</f>
        <v>8. EARNINGS QUALITY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</row>
    <row r="15" spans="1:21" ht="22" customHeight="1">
      <c r="A15" s="21" t="str">
        <f>HYPERLINK("#'Derived Metrics'!A68","9. GROWTH")</f>
        <v>9. GROWTH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ht="22" customHeight="1">
      <c r="A16" s="21" t="str">
        <f>HYPERLINK("#'Derived Metrics'!A76","10. SHAREOWNER RETURNS")</f>
        <v>10. SHAREOWNER RETURNS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ht="22" customHeight="1">
      <c r="A17" s="21" t="str">
        <f>HYPERLINK("#'Derived Metrics'!A84","11. WORKING CAPITAL")</f>
        <v>11. WORKING CAPITAL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0" customHeight="1">
      <c r="M18" s="29"/>
      <c r="N18" s="29"/>
      <c r="O18" s="29"/>
    </row>
    <row r="19" spans="1:21" ht="29" customHeight="1">
      <c r="A19" s="23" t="s">
        <v>381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 spans="1:21" ht="21.5" customHeight="1">
      <c r="A20" s="56" t="s">
        <v>382</v>
      </c>
      <c r="C20" s="73">
        <f>'Income Statement'!C14/'Income Statement'!C11</f>
        <v>0.60669326135250701</v>
      </c>
      <c r="D20" s="73">
        <f>'Income Statement'!D14/'Income Statement'!D11</f>
        <v>0.62109245553960013</v>
      </c>
      <c r="E20" s="73">
        <f>'Income Statement'!E14/'Income Statement'!E11</f>
        <v>0.61903790087463562</v>
      </c>
      <c r="F20" s="73">
        <f>'Income Statement'!F14/'Income Statement'!F11</f>
        <v>0.60771212365158589</v>
      </c>
      <c r="G20" s="73">
        <f>'Income Statement'!G14/'Income Statement'!G11</f>
        <v>0.59311201308535777</v>
      </c>
      <c r="H20" s="73">
        <f>'Income Statement'!H14/'Income Statement'!H11</f>
        <v>0.60271633682576642</v>
      </c>
      <c r="I20" s="73">
        <f>'Income Statement'!I14/'Income Statement'!I11</f>
        <v>0.58143428518277374</v>
      </c>
      <c r="J20" s="73">
        <f>'Income Statement'!J14/'Income Statement'!J11</f>
        <v>0.5952266468505486</v>
      </c>
      <c r="K20" s="73">
        <f>'Income Statement'!K14/'Income Statement'!K11</f>
        <v>0.61063300822336963</v>
      </c>
      <c r="L20" s="73">
        <f>'Income Statement'!L14/'Income Statement'!L11</f>
        <v>0.61625748315637974</v>
      </c>
      <c r="M20" s="29"/>
      <c r="N20" s="29"/>
      <c r="O20" s="29"/>
      <c r="P20" s="73">
        <f>IFERROR('Income Statement'!P14/'Income Statement'!P11,"")</f>
        <v>0.60654631348068166</v>
      </c>
      <c r="Q20" s="73">
        <f>IFERROR('Income Statement'!Q14/'Income Statement'!Q11,"")</f>
        <v>0.62593224907898282</v>
      </c>
      <c r="R20" s="73">
        <f>IFERROR('Income Statement'!R14/'Income Statement'!R11,"")</f>
        <v>0.62393298763462302</v>
      </c>
      <c r="S20" s="73">
        <f>IFERROR('Income Statement'!S14/'Income Statement'!S11,"")</f>
        <v>0.61485347250100364</v>
      </c>
      <c r="T20" s="73">
        <f>IFERROR('Income Statement'!T14/'Income Statement'!T11,"")</f>
        <v>0.62957023733162287</v>
      </c>
      <c r="U20" s="73">
        <f>IFERROR('Income Statement'!U14/'Income Statement'!U11,"")</f>
        <v>0.62892376681614348</v>
      </c>
    </row>
    <row r="21" spans="1:21" ht="21.5" customHeight="1">
      <c r="A21" s="56" t="s">
        <v>383</v>
      </c>
      <c r="C21" s="73">
        <f>'Income Statement'!C16/'Income Statement'!C11</f>
        <v>0.36714998925065095</v>
      </c>
      <c r="D21" s="73">
        <f>'Income Statement'!D16/'Income Statement'!D11</f>
        <v>0.35441290180050811</v>
      </c>
      <c r="E21" s="73">
        <f>'Income Statement'!E16/'Income Statement'!E11</f>
        <v>0.32075801749271138</v>
      </c>
      <c r="F21" s="73">
        <f>'Income Statement'!F16/'Income Statement'!F11</f>
        <v>0.32477325175763433</v>
      </c>
      <c r="G21" s="73">
        <f>'Income Statement'!G16/'Income Statement'!G11</f>
        <v>0.29475374083722056</v>
      </c>
      <c r="H21" s="73">
        <f>'Income Statement'!H16/'Income Statement'!H11</f>
        <v>0.31416375630578192</v>
      </c>
      <c r="I21" s="73">
        <f>'Income Statement'!I16/'Income Statement'!I11</f>
        <v>0.29950702260254858</v>
      </c>
      <c r="J21" s="73">
        <f>'Income Statement'!J16/'Income Statement'!J11</f>
        <v>0.30537220789439173</v>
      </c>
      <c r="K21" s="73">
        <f>'Income Statement'!K16/'Income Statement'!K11</f>
        <v>0.30985316929092027</v>
      </c>
      <c r="L21" s="73">
        <f>'Income Statement'!L16/'Income Statement'!L11</f>
        <v>0.30289313948394903</v>
      </c>
      <c r="M21" s="29"/>
      <c r="N21" s="29"/>
      <c r="O21" s="29"/>
      <c r="P21" s="73">
        <f>IFERROR('Income Statement'!P16/'Income Statement'!P11,"")</f>
        <v>0.30673190484224733</v>
      </c>
      <c r="Q21" s="73">
        <f>IFERROR('Income Statement'!Q16/'Income Statement'!Q11,"")</f>
        <v>0.29059214664390332</v>
      </c>
      <c r="R21" s="73">
        <f>IFERROR('Income Statement'!R16/'Income Statement'!R11,"")</f>
        <v>0.27682489030714003</v>
      </c>
      <c r="S21" s="73">
        <f>IFERROR('Income Statement'!S16/'Income Statement'!S11,"")</f>
        <v>0.29048574869530308</v>
      </c>
      <c r="T21" s="73">
        <f>IFERROR('Income Statement'!T16/'Income Statement'!T11,"")</f>
        <v>0.27838357921744711</v>
      </c>
      <c r="U21" s="73">
        <f>IFERROR('Income Statement'!U16/'Income Statement'!U11,"")</f>
        <v>0.27802690582959644</v>
      </c>
    </row>
    <row r="22" spans="1:21" ht="21.5" customHeight="1">
      <c r="A22" s="56" t="s">
        <v>384</v>
      </c>
      <c r="C22" s="73">
        <f>'Income Statement'!C18/'Income Statement'!C11</f>
        <v>0.20679358861046748</v>
      </c>
      <c r="D22" s="73">
        <f>'Income Statement'!D18/'Income Statement'!D11</f>
        <v>0.21415552855407047</v>
      </c>
      <c r="E22" s="73">
        <f>'Income Statement'!E18/'Income Statement'!E11</f>
        <v>0.26682215743440235</v>
      </c>
      <c r="F22" s="73">
        <f>'Income Statement'!F18/'Income Statement'!F11</f>
        <v>0.27064884881661566</v>
      </c>
      <c r="G22" s="73">
        <f>'Income Statement'!G18/'Income Statement'!G11</f>
        <v>0.27252074877324772</v>
      </c>
      <c r="H22" s="73">
        <f>'Income Statement'!H18/'Income Statement'!H11</f>
        <v>0.26666666666666666</v>
      </c>
      <c r="I22" s="73">
        <f>'Income Statement'!I18/'Income Statement'!I11</f>
        <v>0.25367407683006232</v>
      </c>
      <c r="J22" s="73">
        <f>'Income Statement'!J18/'Income Statement'!J11</f>
        <v>0.24721335839489444</v>
      </c>
      <c r="K22" s="73">
        <f>'Income Statement'!K18/'Income Statement'!K11</f>
        <v>0.21232018019166612</v>
      </c>
      <c r="L22" s="73">
        <f>'Income Statement'!L18/'Income Statement'!L11</f>
        <v>0.28706117936630443</v>
      </c>
      <c r="M22" s="29"/>
      <c r="N22" s="29"/>
      <c r="O22" s="29"/>
      <c r="P22" s="73">
        <f>IFERROR('Income Statement'!P18/'Income Statement'!P11,"")</f>
        <v>0.21174287160452168</v>
      </c>
      <c r="Q22" s="73">
        <f>IFERROR('Income Statement'!Q18/'Income Statement'!Q11,"")</f>
        <v>0.32878066313235693</v>
      </c>
      <c r="R22" s="73">
        <f>IFERROR('Income Statement'!R18/'Income Statement'!R11,"")</f>
        <v>0.34144395692062224</v>
      </c>
      <c r="S22" s="73">
        <f>IFERROR('Income Statement'!S18/'Income Statement'!S11,"")</f>
        <v>0.31971095945403455</v>
      </c>
      <c r="T22" s="73">
        <f>IFERROR('Income Statement'!T18/'Income Statement'!T11,"")</f>
        <v>0.34950288646568312</v>
      </c>
      <c r="U22" s="73">
        <f>IFERROR('Income Statement'!U18/'Income Statement'!U11,"")</f>
        <v>0.34917787742899853</v>
      </c>
    </row>
    <row r="23" spans="1:21" ht="21.5" customHeight="1">
      <c r="A23" s="56" t="s">
        <v>385</v>
      </c>
      <c r="C23" s="86">
        <f>('Income Statement'!C18+'Cash Flow'!C17)</f>
        <v>10444</v>
      </c>
      <c r="D23" s="86">
        <f>('Income Statement'!D18+'Cash Flow'!D17)</f>
        <v>9015</v>
      </c>
      <c r="E23" s="86">
        <f>('Income Statement'!E18+'Cash Flow'!E17)</f>
        <v>10238</v>
      </c>
      <c r="F23" s="86">
        <f>('Income Statement'!F18+'Cash Flow'!F17)</f>
        <v>11451</v>
      </c>
      <c r="G23" s="86">
        <f>('Income Statement'!G18+'Cash Flow'!G17)</f>
        <v>10533</v>
      </c>
      <c r="H23" s="86">
        <f>('Income Statement'!H18+'Cash Flow'!H17)</f>
        <v>11760</v>
      </c>
      <c r="I23" s="86">
        <f>('Income Statement'!I18+'Cash Flow'!I17)</f>
        <v>12169</v>
      </c>
      <c r="J23" s="86">
        <f>('Income Statement'!J18+'Cash Flow'!J17)</f>
        <v>12439</v>
      </c>
      <c r="K23" s="86">
        <f>('Income Statement'!K18+'Cash Flow'!K17)</f>
        <v>11067</v>
      </c>
      <c r="L23" s="86">
        <f>('Income Statement'!L18+'Cash Flow'!L17)</f>
        <v>14812</v>
      </c>
      <c r="M23" s="29"/>
      <c r="N23" s="29"/>
      <c r="O23" s="29"/>
      <c r="P23" s="33"/>
      <c r="Q23" s="86">
        <f>'Income Statement'!Q18+Segments!Q61</f>
        <v>3926</v>
      </c>
      <c r="R23" s="86">
        <f>'Income Statement'!R18+Segments!R61</f>
        <v>4559</v>
      </c>
      <c r="S23" s="86">
        <f>'Income Statement'!S18+Segments!S61</f>
        <v>4250</v>
      </c>
      <c r="T23" s="86">
        <f>'Income Statement'!T18+Segments!T61</f>
        <v>4623</v>
      </c>
      <c r="U23" s="86">
        <f>'Income Statement'!U18+Segments!U61</f>
        <v>4938</v>
      </c>
    </row>
    <row r="24" spans="1:21" ht="21.5" customHeight="1">
      <c r="A24" s="56" t="s">
        <v>386</v>
      </c>
      <c r="C24" s="73">
        <f>('Income Statement'!C18+'Cash Flow'!C17)/'Income Statement'!C11</f>
        <v>0.24948044812841888</v>
      </c>
      <c r="D24" s="73">
        <f>('Income Statement'!D18+'Cash Flow'!D17)/'Income Statement'!D11</f>
        <v>0.24895062410250746</v>
      </c>
      <c r="E24" s="73">
        <f>('Income Statement'!E18+'Cash Flow'!E17)/'Income Statement'!E11</f>
        <v>0.29848396501457725</v>
      </c>
      <c r="F24" s="73">
        <f>('Income Statement'!F18+'Cash Flow'!F17)/'Income Statement'!F11</f>
        <v>0.30727741104492029</v>
      </c>
      <c r="G24" s="73">
        <f>('Income Statement'!G18+'Cash Flow'!G17)/'Income Statement'!G11</f>
        <v>0.31904646513600293</v>
      </c>
      <c r="H24" s="73">
        <f>('Income Statement'!H18+'Cash Flow'!H17)/'Income Statement'!H11</f>
        <v>0.30422972448583624</v>
      </c>
      <c r="I24" s="73">
        <f>('Income Statement'!I18+'Cash Flow'!I17)/'Income Statement'!I11</f>
        <v>0.28297367686726815</v>
      </c>
      <c r="J24" s="73">
        <f>('Income Statement'!J18+'Cash Flow'!J17)/'Income Statement'!J11</f>
        <v>0.27186694059535776</v>
      </c>
      <c r="K24" s="73">
        <f>('Income Statement'!K18+'Cash Flow'!K17)/'Income Statement'!K11</f>
        <v>0.23516287371709058</v>
      </c>
      <c r="L24" s="73">
        <f>('Income Statement'!L18+'Cash Flow'!L17)/'Income Statement'!L11</f>
        <v>0.30896310047767045</v>
      </c>
      <c r="M24" s="29"/>
      <c r="N24" s="29"/>
      <c r="O24" s="29"/>
      <c r="P24" s="30"/>
      <c r="Q24" s="73">
        <f>IFERROR(Q23/'Income Statement'!Q11,"")</f>
        <v>0.35277203702039717</v>
      </c>
      <c r="R24" s="73">
        <f>IFERROR(R23/'Income Statement'!R11,"")</f>
        <v>0.36370163542082168</v>
      </c>
      <c r="S24" s="73">
        <f>IFERROR(S23/'Income Statement'!S11,"")</f>
        <v>0.34122842232035328</v>
      </c>
      <c r="T24" s="73">
        <f>IFERROR(T23/'Income Statement'!T11,"")</f>
        <v>0.37067030147530466</v>
      </c>
      <c r="U24" s="73">
        <f>IFERROR(U23/'Income Statement'!U11,"")</f>
        <v>0.36905829596412554</v>
      </c>
    </row>
    <row r="25" spans="1:21" ht="21.5" customHeight="1">
      <c r="A25" s="56" t="s">
        <v>387</v>
      </c>
      <c r="C25" s="73">
        <f>'Income Statement'!C32/'Income Statement'!C11</f>
        <v>0.15591333635907603</v>
      </c>
      <c r="D25" s="73">
        <f>'Income Statement'!D32/'Income Statement'!D11</f>
        <v>3.4463713686070915E-2</v>
      </c>
      <c r="E25" s="73">
        <f>'Income Statement'!E32/'Income Statement'!E11</f>
        <v>0.18758017492711371</v>
      </c>
      <c r="F25" s="73">
        <f>'Income Statement'!F32/'Income Statement'!F11</f>
        <v>0.23936027478130198</v>
      </c>
      <c r="G25" s="73">
        <f>'Income Statement'!G32/'Income Statement'!G11</f>
        <v>0.23465802386866177</v>
      </c>
      <c r="H25" s="73">
        <f>'Income Statement'!H32/'Income Statement'!H11</f>
        <v>0.25277454404346139</v>
      </c>
      <c r="I25" s="73">
        <f>'Income Statement'!I32/'Income Statement'!I11</f>
        <v>0.22188633615477629</v>
      </c>
      <c r="J25" s="73">
        <f>'Income Statement'!J32/'Income Statement'!J11</f>
        <v>0.23416531887922368</v>
      </c>
      <c r="K25" s="73">
        <f>'Income Statement'!K32/'Income Statement'!K11</f>
        <v>0.22589830220352308</v>
      </c>
      <c r="L25" s="73">
        <f>'Income Statement'!L32/'Income Statement'!L11</f>
        <v>0.27339855238730942</v>
      </c>
      <c r="M25" s="29"/>
      <c r="N25" s="29"/>
      <c r="O25" s="29"/>
      <c r="P25" s="73">
        <f>IFERROR('Income Statement'!P32/'Income Statement'!P11,"")</f>
        <v>0.2402564535177999</v>
      </c>
      <c r="Q25" s="73">
        <f>IFERROR('Income Statement'!Q32/'Income Statement'!Q11,"")</f>
        <v>0.29921825860364815</v>
      </c>
      <c r="R25" s="73">
        <f>IFERROR('Income Statement'!R32/'Income Statement'!R11,"")</f>
        <v>0.30394894295971281</v>
      </c>
      <c r="S25" s="73">
        <f>IFERROR('Income Statement'!S32/'Income Statement'!S11,"")</f>
        <v>0.29674829385788842</v>
      </c>
      <c r="T25" s="73">
        <f>IFERROR('Income Statement'!T32/'Income Statement'!T11,"")</f>
        <v>0.31462475946119306</v>
      </c>
      <c r="U25" s="73">
        <f>IFERROR('Income Statement'!U32/'Income Statement'!U11,"")</f>
        <v>0.33071748878923768</v>
      </c>
    </row>
    <row r="26" spans="1:21" ht="21.5" customHeight="1">
      <c r="A26" s="56" t="s">
        <v>388</v>
      </c>
      <c r="C26" s="73">
        <f>'Income Statement'!C26/'Income Statement'!C25</f>
        <v>0.19493608652900687</v>
      </c>
      <c r="D26" s="73">
        <f>'Income Statement'!D26/'Income Statement'!D25</f>
        <v>0.81378809869375912</v>
      </c>
      <c r="E26" s="73">
        <f>'Income Statement'!E26/'Income Statement'!E25</f>
        <v>0.21264437689969604</v>
      </c>
      <c r="F26" s="73">
        <f>'Income Statement'!F26/'Income Statement'!F25</f>
        <v>0.16697570925273503</v>
      </c>
      <c r="G26" s="73">
        <f>'Income Statement'!G26/'Income Statement'!G25</f>
        <v>0.20320032823879372</v>
      </c>
      <c r="H26" s="73">
        <f>'Income Statement'!H26/'Income Statement'!H25</f>
        <v>0.21094567404426559</v>
      </c>
      <c r="I26" s="73">
        <f>'Income Statement'!I26/'Income Statement'!I25</f>
        <v>0.18098579496833819</v>
      </c>
      <c r="J26" s="73">
        <f>'Income Statement'!J26/'Income Statement'!J25</f>
        <v>0.17364113650401483</v>
      </c>
      <c r="K26" s="73">
        <f>'Income Statement'!K26/'Income Statement'!K25</f>
        <v>0.18622955830658719</v>
      </c>
      <c r="L26" s="73">
        <f>'Income Statement'!L26/'Income Statement'!L25</f>
        <v>0.17883485435679461</v>
      </c>
      <c r="M26" s="29"/>
      <c r="N26" s="29"/>
      <c r="O26" s="29"/>
      <c r="P26" s="73">
        <f>IFERROR('Income Statement'!P26/'Income Statement'!P25,"")</f>
        <v>0.15680473372781065</v>
      </c>
      <c r="Q26" s="73">
        <f>IFERROR('Income Statement'!Q26/'Income Statement'!Q25,"")</f>
        <v>0.17796401281735272</v>
      </c>
      <c r="R26" s="73">
        <f>IFERROR('Income Statement'!R26/'Income Statement'!R25,"")</f>
        <v>0.20704753961634695</v>
      </c>
      <c r="S26" s="73">
        <f>IFERROR('Income Statement'!S26/'Income Statement'!S25,"")</f>
        <v>0.11953143676786995</v>
      </c>
      <c r="T26" s="73">
        <f>IFERROR('Income Statement'!T26/'Income Statement'!T25,"")</f>
        <v>0.1398828887443071</v>
      </c>
      <c r="U26" s="73">
        <f>IFERROR('Income Statement'!U26/'Income Statement'!U25,"")</f>
        <v>0.18940639269406392</v>
      </c>
    </row>
    <row r="27" spans="1:21" ht="21.5" customHeight="1">
      <c r="A27" s="56" t="s">
        <v>389</v>
      </c>
      <c r="C27" s="73">
        <f>'Income Statement'!C23/'Income Statement'!C25</f>
        <v>0.10263028515240905</v>
      </c>
      <c r="D27" s="73">
        <f>'Income Statement'!D23/'Income Statement'!D25</f>
        <v>0.1555878084179971</v>
      </c>
      <c r="E27" s="73">
        <f>'Income Statement'!E23/'Income Statement'!E25</f>
        <v>0.1225531914893617</v>
      </c>
      <c r="F27" s="73">
        <f>'Income Statement'!F23/'Income Statement'!F25</f>
        <v>9.7255701835712957E-2</v>
      </c>
      <c r="G27" s="73">
        <f>'Income Statement'!G23/'Income Statement'!G25</f>
        <v>0.1003179813314186</v>
      </c>
      <c r="H27" s="73">
        <f>'Income Statement'!H23/'Income Statement'!H25</f>
        <v>0.1157344064386318</v>
      </c>
      <c r="I27" s="73">
        <f>'Income Statement'!I23/'Income Statement'!I25</f>
        <v>0.12596269039876776</v>
      </c>
      <c r="J27" s="73">
        <f>'Income Statement'!J23/'Income Statement'!J25</f>
        <v>0.13055898702903027</v>
      </c>
      <c r="K27" s="73">
        <f>'Income Statement'!K23/'Income Statement'!K25</f>
        <v>0.13525905547913802</v>
      </c>
      <c r="L27" s="73">
        <f>'Income Statement'!L23/'Income Statement'!L25</f>
        <v>0.12695336917114639</v>
      </c>
      <c r="M27" s="29"/>
      <c r="N27" s="29"/>
      <c r="O27" s="29"/>
      <c r="P27" s="73">
        <f>IFERROR('Income Statement'!P23/'Income Statement'!P25,"")</f>
        <v>0.16005917159763314</v>
      </c>
      <c r="Q27" s="73">
        <f>IFERROR('Income Statement'!Q23/'Income Statement'!Q25,"")</f>
        <v>8.6517130884890311E-2</v>
      </c>
      <c r="R27" s="73">
        <f>IFERROR('Income Statement'!R23/'Income Statement'!R25,"")</f>
        <v>0.11697247706422019</v>
      </c>
      <c r="S27" s="73">
        <f>IFERROR('Income Statement'!S23/'Income Statement'!S25,"")</f>
        <v>0.15395649055701649</v>
      </c>
      <c r="T27" s="73">
        <f>IFERROR('Income Statement'!T23/'Income Statement'!T25,"")</f>
        <v>8.3279115159401437E-2</v>
      </c>
      <c r="U27" s="73">
        <f>IFERROR('Income Statement'!U23/'Income Statement'!U25,"")</f>
        <v>0.11031963470319635</v>
      </c>
    </row>
    <row r="28" spans="1:21" ht="10" customHeight="1">
      <c r="M28" s="29"/>
      <c r="N28" s="29"/>
      <c r="O28" s="29"/>
    </row>
    <row r="29" spans="1:21" ht="29" customHeight="1">
      <c r="A29" s="23" t="s">
        <v>390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 spans="1:21" ht="21.5" customHeight="1">
      <c r="A30" s="56" t="s">
        <v>391</v>
      </c>
      <c r="D30" s="73">
        <f>'Income Statement'!D32/('Balance Sheet'!D33+'Balance Sheet'!C33)*2</f>
        <v>1.4249340625463845E-2</v>
      </c>
      <c r="E30" s="73">
        <f>'Income Statement'!E32/('Balance Sheet'!E33+'Balance Sheet'!D33)*2</f>
        <v>7.5202206741783156E-2</v>
      </c>
      <c r="F30" s="73">
        <f>'Income Statement'!F32/('Balance Sheet'!F33+'Balance Sheet'!E33)*2</f>
        <v>0.10519053992700343</v>
      </c>
      <c r="G30" s="73">
        <f>'Income Statement'!G32/('Balance Sheet'!G33+'Balance Sheet'!F33)*2</f>
        <v>8.9211582420239868E-2</v>
      </c>
      <c r="H30" s="73">
        <f>'Income Statement'!H32/('Balance Sheet'!H33+'Balance Sheet'!G33)*2</f>
        <v>0.10758051197357556</v>
      </c>
      <c r="I30" s="73">
        <f>'Income Statement'!I32/('Balance Sheet'!I33+'Balance Sheet'!H33)*2</f>
        <v>0.10198966422078165</v>
      </c>
      <c r="J30" s="73">
        <f>'Income Statement'!J32/('Balance Sheet'!J33+'Balance Sheet'!I33)*2</f>
        <v>0.11250301891151177</v>
      </c>
      <c r="K30" s="73">
        <f>'Income Statement'!K32/('Balance Sheet'!K33+'Balance Sheet'!J33)*2</f>
        <v>0.10724734176704397</v>
      </c>
      <c r="L30" s="73">
        <f>'Income Statement'!L32/('Balance Sheet'!L33+'Balance Sheet'!K33)*2</f>
        <v>0.12764589876561244</v>
      </c>
      <c r="M30" s="29"/>
      <c r="N30" s="29"/>
      <c r="O30" s="29"/>
      <c r="P30" s="30"/>
      <c r="Q30" s="30"/>
      <c r="R30" s="30"/>
      <c r="S30" s="30"/>
      <c r="T30" s="30"/>
      <c r="U30" s="30"/>
    </row>
    <row r="31" spans="1:21" ht="21.5" customHeight="1">
      <c r="A31" s="56" t="s">
        <v>392</v>
      </c>
      <c r="D31" s="73">
        <f>'Income Statement'!D32/('Balance Sheet'!D53+'Balance Sheet'!C53)*2</f>
        <v>6.2191657945881294E-2</v>
      </c>
      <c r="E31" s="73">
        <f>'Income Statement'!E32/('Balance Sheet'!E53+'Balance Sheet'!D53)*2</f>
        <v>0.37788153760314802</v>
      </c>
      <c r="F31" s="73">
        <f>'Income Statement'!F32/('Balance Sheet'!F53+'Balance Sheet'!E53)*2</f>
        <v>0.49607919470552247</v>
      </c>
      <c r="G31" s="73">
        <f>'Income Statement'!G32/('Balance Sheet'!G53+'Balance Sheet'!F53)*2</f>
        <v>0.4047544409613375</v>
      </c>
      <c r="H31" s="73">
        <f>'Income Statement'!H32/('Balance Sheet'!H53+'Balance Sheet'!G53)*2</f>
        <v>0.46200765993664</v>
      </c>
      <c r="I31" s="73">
        <f>'Income Statement'!I32/('Balance Sheet'!I53+'Balance Sheet'!H53)*2</f>
        <v>0.4051460597826087</v>
      </c>
      <c r="J31" s="73">
        <f>'Income Statement'!J32/('Balance Sheet'!J53+'Balance Sheet'!I53)*2</f>
        <v>0.42816608719977622</v>
      </c>
      <c r="K31" s="73">
        <f>'Income Statement'!K32/('Balance Sheet'!K53+'Balance Sheet'!J53)*2</f>
        <v>0.41856802567080731</v>
      </c>
      <c r="L31" s="73">
        <f>'Income Statement'!L32/('Balance Sheet'!L53+'Balance Sheet'!K53)*2</f>
        <v>0.45969311705392374</v>
      </c>
      <c r="M31" s="29"/>
      <c r="N31" s="29"/>
      <c r="O31" s="29"/>
      <c r="P31" s="30"/>
      <c r="Q31" s="30"/>
      <c r="R31" s="30"/>
      <c r="S31" s="30"/>
      <c r="T31" s="30"/>
      <c r="U31" s="30"/>
    </row>
    <row r="32" spans="1:21" ht="37" customHeight="1">
      <c r="A32" s="56" t="s">
        <v>393</v>
      </c>
      <c r="D32" s="73">
        <f>'Income Statement'!D18*(1-D26)/(('Balance Sheet'!D55+'Balance Sheet'!C55+('Balance Sheet'!D37+'Balance Sheet'!D38+'Balance Sheet'!D43)+('Balance Sheet'!C37+'Balance Sheet'!C38+'Balance Sheet'!C43))/2)</f>
        <v>2.1300429890330451E-2</v>
      </c>
      <c r="E32" s="73">
        <f>'Income Statement'!E18*(1-E26)/(('Balance Sheet'!E55+'Balance Sheet'!D55+('Balance Sheet'!E37+'Balance Sheet'!E38+'Balance Sheet'!E43)+('Balance Sheet'!D37+'Balance Sheet'!D38+'Balance Sheet'!D43))/2)</f>
        <v>0.11091598292385337</v>
      </c>
      <c r="F32" s="73">
        <f>'Income Statement'!F18*(1-F26)/(('Balance Sheet'!F55+'Balance Sheet'!E55+('Balance Sheet'!F37+'Balance Sheet'!F38+'Balance Sheet'!F43)+('Balance Sheet'!E37+'Balance Sheet'!E38+'Balance Sheet'!E43))/2)</f>
        <v>0.13217469888190972</v>
      </c>
      <c r="G32" s="73">
        <f>'Income Statement'!G18*(1-G26)/(('Balance Sheet'!G55+'Balance Sheet'!F55+('Balance Sheet'!G37+'Balance Sheet'!G38+'Balance Sheet'!G43)+('Balance Sheet'!F37+'Balance Sheet'!F38+'Balance Sheet'!F43))/2)</f>
        <v>0.1120668862548355</v>
      </c>
      <c r="H32" s="73">
        <f>'Income Statement'!H18*(1-H26)/(('Balance Sheet'!H55+'Balance Sheet'!G55+('Balance Sheet'!H37+'Balance Sheet'!H38+'Balance Sheet'!H43)+('Balance Sheet'!G37+'Balance Sheet'!G38+'Balance Sheet'!G43))/2)</f>
        <v>0.12351853470746268</v>
      </c>
      <c r="I32" s="73">
        <f>'Income Statement'!I18*(1-I26)/(('Balance Sheet'!I55+'Balance Sheet'!H55+('Balance Sheet'!I37+'Balance Sheet'!I38+'Balance Sheet'!I43)+('Balance Sheet'!H37+'Balance Sheet'!H38+'Balance Sheet'!H43))/2)</f>
        <v>0.1347646378878759</v>
      </c>
      <c r="J32" s="73">
        <f>'Income Statement'!J18*(1-J26)/(('Balance Sheet'!J55+'Balance Sheet'!I55+('Balance Sheet'!J37+'Balance Sheet'!J38+'Balance Sheet'!J43)+('Balance Sheet'!I37+'Balance Sheet'!I38+'Balance Sheet'!I43))/2)</f>
        <v>0.13896840007735842</v>
      </c>
      <c r="K32" s="73">
        <f>'Income Statement'!K18*(1-K26)/(('Balance Sheet'!K55+'Balance Sheet'!J55+('Balance Sheet'!K37+'Balance Sheet'!K38+'Balance Sheet'!K43)+('Balance Sheet'!J37+'Balance Sheet'!J38+'Balance Sheet'!J43))/2)</f>
        <v>0.1157976367279594</v>
      </c>
      <c r="L32" s="73">
        <f>'Income Statement'!L18*(1-L26)/(('Balance Sheet'!L55+'Balance Sheet'!K55+('Balance Sheet'!L37+'Balance Sheet'!L38+'Balance Sheet'!L43)+('Balance Sheet'!K37+'Balance Sheet'!K38+'Balance Sheet'!K43))/2)</f>
        <v>0.15001725375965635</v>
      </c>
      <c r="M32" s="29"/>
      <c r="N32" s="29"/>
      <c r="O32" s="29"/>
      <c r="P32" s="30"/>
      <c r="Q32" s="30"/>
      <c r="R32" s="30"/>
      <c r="S32" s="30"/>
      <c r="T32" s="30"/>
      <c r="U32" s="30"/>
    </row>
    <row r="33" spans="1:21" ht="21.5" customHeight="1">
      <c r="A33" s="56" t="s">
        <v>394</v>
      </c>
      <c r="D33" s="87">
        <f>'Income Statement'!D11/('Balance Sheet'!D33+'Balance Sheet'!C33)*2</f>
        <v>0.41345923295616727</v>
      </c>
      <c r="E33" s="87">
        <f>'Income Statement'!E11/('Balance Sheet'!E33+'Balance Sheet'!D33)*2</f>
        <v>0.4009070082752817</v>
      </c>
      <c r="F33" s="87">
        <f>'Income Statement'!F11/('Balance Sheet'!F33+'Balance Sheet'!E33)*2</f>
        <v>0.43946532073090916</v>
      </c>
      <c r="G33" s="87">
        <f>'Income Statement'!G11/('Balance Sheet'!G33+'Balance Sheet'!F33)*2</f>
        <v>0.38017699522677151</v>
      </c>
      <c r="H33" s="87">
        <f>'Income Statement'!H11/('Balance Sheet'!H33+'Balance Sheet'!G33)*2</f>
        <v>0.42559867877786955</v>
      </c>
      <c r="I33" s="87">
        <f>'Income Statement'!I11/('Balance Sheet'!I33+'Balance Sheet'!H33)*2</f>
        <v>0.45964824147458544</v>
      </c>
      <c r="J33" s="87">
        <f>'Income Statement'!J11/('Balance Sheet'!J33+'Balance Sheet'!I33)*2</f>
        <v>0.48044270368464714</v>
      </c>
      <c r="K33" s="87">
        <f>'Income Statement'!K11/('Balance Sheet'!K33+'Balance Sheet'!J33)*2</f>
        <v>0.4747593971309243</v>
      </c>
      <c r="L33" s="87">
        <f>'Income Statement'!L11/('Balance Sheet'!L33+'Balance Sheet'!K33)*2</f>
        <v>0.46688578871764908</v>
      </c>
      <c r="M33" s="29"/>
      <c r="N33" s="29"/>
      <c r="O33" s="29"/>
      <c r="P33" s="35"/>
      <c r="Q33" s="35"/>
      <c r="R33" s="35"/>
      <c r="S33" s="35"/>
      <c r="T33" s="35"/>
      <c r="U33" s="35"/>
    </row>
    <row r="34" spans="1:21" ht="10" customHeight="1">
      <c r="M34" s="29"/>
      <c r="N34" s="29"/>
      <c r="O34" s="29"/>
    </row>
    <row r="35" spans="1:21" ht="29" customHeight="1">
      <c r="A35" s="23" t="s">
        <v>395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</row>
    <row r="36" spans="1:21" ht="37" customHeight="1">
      <c r="A36" s="56" t="s">
        <v>396</v>
      </c>
      <c r="B36" s="71" t="s">
        <v>397</v>
      </c>
      <c r="C36" s="86">
        <f>('Balance Sheet'!C37+'Balance Sheet'!C38+'Balance Sheet'!C43)</f>
        <v>45709</v>
      </c>
      <c r="D36" s="86">
        <f>('Balance Sheet'!D37+'Balance Sheet'!D38+'Balance Sheet'!D43)</f>
        <v>47685</v>
      </c>
      <c r="E36" s="86">
        <f>('Balance Sheet'!E37+'Balance Sheet'!E38+'Balance Sheet'!E43)</f>
        <v>44214</v>
      </c>
      <c r="F36" s="86">
        <f>('Balance Sheet'!F37+'Balance Sheet'!F38+'Balance Sheet'!F43)</f>
        <v>42763</v>
      </c>
      <c r="G36" s="86">
        <f>('Balance Sheet'!G37+'Balance Sheet'!G38+'Balance Sheet'!G43)</f>
        <v>42793</v>
      </c>
      <c r="H36" s="86">
        <f>('Balance Sheet'!H37+'Balance Sheet'!H38+'Balance Sheet'!H43)</f>
        <v>42761</v>
      </c>
      <c r="I36" s="86">
        <f>('Balance Sheet'!I37+'Balance Sheet'!I38+'Balance Sheet'!I43)</f>
        <v>39149</v>
      </c>
      <c r="J36" s="86">
        <f>('Balance Sheet'!J37+'Balance Sheet'!J38+'Balance Sheet'!J43)</f>
        <v>42064</v>
      </c>
      <c r="K36" s="86">
        <f>('Balance Sheet'!K37+'Balance Sheet'!K38+'Balance Sheet'!K43)</f>
        <v>44522</v>
      </c>
      <c r="L36" s="86">
        <f>('Balance Sheet'!L37+'Balance Sheet'!L38+'Balance Sheet'!L43)</f>
        <v>45492</v>
      </c>
      <c r="M36" s="29"/>
      <c r="N36" s="29"/>
      <c r="O36" s="29"/>
      <c r="P36" s="86">
        <f>'Balance Sheet'!P37+'Balance Sheet'!P38+'Balance Sheet'!P43</f>
        <v>46264</v>
      </c>
      <c r="Q36" s="86">
        <f>'Balance Sheet'!Q37+'Balance Sheet'!Q38+'Balance Sheet'!Q43</f>
        <v>49111</v>
      </c>
      <c r="R36" s="86">
        <f>'Balance Sheet'!R37+'Balance Sheet'!R38+'Balance Sheet'!R43</f>
        <v>49446</v>
      </c>
      <c r="S36" s="86">
        <f>'Balance Sheet'!S37+'Balance Sheet'!S38+'Balance Sheet'!S43</f>
        <v>47416</v>
      </c>
      <c r="T36" s="86">
        <f>'Balance Sheet'!T37+'Balance Sheet'!T38+'Balance Sheet'!T43</f>
        <v>43890</v>
      </c>
      <c r="U36" s="86">
        <f>'Balance Sheet'!U37+'Balance Sheet'!U38+'Balance Sheet'!U43</f>
        <v>43543</v>
      </c>
    </row>
    <row r="37" spans="1:21" ht="21.5" customHeight="1">
      <c r="A37" s="56" t="s">
        <v>398</v>
      </c>
      <c r="C37" s="86">
        <f>('Balance Sheet'!C14+'Balance Sheet'!C15+'Balance Sheet'!C17)</f>
        <v>22201</v>
      </c>
      <c r="D37" s="86">
        <f>('Balance Sheet'!D14+'Balance Sheet'!D15+'Balance Sheet'!D17)</f>
        <v>20675</v>
      </c>
      <c r="E37" s="86">
        <f>('Balance Sheet'!E14+'Balance Sheet'!E15+'Balance Sheet'!E17)</f>
        <v>16115</v>
      </c>
      <c r="F37" s="86">
        <f>('Balance Sheet'!F14+'Balance Sheet'!F15+'Balance Sheet'!F17)</f>
        <v>11175</v>
      </c>
      <c r="G37" s="86">
        <f>('Balance Sheet'!G14+'Balance Sheet'!G15+'Balance Sheet'!G17)</f>
        <v>10914</v>
      </c>
      <c r="H37" s="86">
        <f>('Balance Sheet'!H14+'Balance Sheet'!H15+'Balance Sheet'!H17)</f>
        <v>12625</v>
      </c>
      <c r="I37" s="86">
        <f>('Balance Sheet'!I14+'Balance Sheet'!I15+'Balance Sheet'!I17)</f>
        <v>11631</v>
      </c>
      <c r="J37" s="86">
        <f>('Balance Sheet'!J14+'Balance Sheet'!J15+'Balance Sheet'!J17)</f>
        <v>13663</v>
      </c>
      <c r="K37" s="86">
        <f>('Balance Sheet'!K14+'Balance Sheet'!K15+'Balance Sheet'!K17)</f>
        <v>14571</v>
      </c>
      <c r="L37" s="86">
        <f>('Balance Sheet'!L14+'Balance Sheet'!L15+'Balance Sheet'!L17)</f>
        <v>15806</v>
      </c>
      <c r="M37" s="29"/>
      <c r="N37" s="29"/>
      <c r="O37" s="29"/>
      <c r="P37" s="86">
        <f>'Balance Sheet'!P14+'Balance Sheet'!P15+'Balance Sheet'!P17</f>
        <v>18164</v>
      </c>
      <c r="Q37" s="86">
        <f>'Balance Sheet'!Q14+'Balance Sheet'!Q15+'Balance Sheet'!Q17</f>
        <v>13787</v>
      </c>
      <c r="R37" s="86">
        <f>'Balance Sheet'!R14+'Balance Sheet'!R15+'Balance Sheet'!R17</f>
        <v>14297</v>
      </c>
      <c r="S37" s="86">
        <f>'Balance Sheet'!S14+'Balance Sheet'!S15+'Balance Sheet'!S17</f>
        <v>15781</v>
      </c>
      <c r="T37" s="86">
        <f>'Balance Sheet'!T14+'Balance Sheet'!T15+'Balance Sheet'!T17</f>
        <v>13820</v>
      </c>
      <c r="U37" s="86">
        <f>'Balance Sheet'!U14+'Balance Sheet'!U15+'Balance Sheet'!U17</f>
        <v>16371</v>
      </c>
    </row>
    <row r="38" spans="1:21" ht="21.5" customHeight="1">
      <c r="A38" s="56" t="s">
        <v>399</v>
      </c>
      <c r="C38" s="74">
        <f t="shared" ref="C38:L38" si="0">C36-C37</f>
        <v>23508</v>
      </c>
      <c r="D38" s="74">
        <f t="shared" si="0"/>
        <v>27010</v>
      </c>
      <c r="E38" s="74">
        <f t="shared" si="0"/>
        <v>28099</v>
      </c>
      <c r="F38" s="74">
        <f t="shared" si="0"/>
        <v>31588</v>
      </c>
      <c r="G38" s="74">
        <f t="shared" si="0"/>
        <v>31879</v>
      </c>
      <c r="H38" s="74">
        <f t="shared" si="0"/>
        <v>30136</v>
      </c>
      <c r="I38" s="74">
        <f t="shared" si="0"/>
        <v>27518</v>
      </c>
      <c r="J38" s="74">
        <f t="shared" si="0"/>
        <v>28401</v>
      </c>
      <c r="K38" s="74">
        <f t="shared" si="0"/>
        <v>29951</v>
      </c>
      <c r="L38" s="74">
        <f t="shared" si="0"/>
        <v>29686</v>
      </c>
      <c r="M38" s="29"/>
      <c r="N38" s="29"/>
      <c r="O38" s="29"/>
      <c r="P38" s="74">
        <f t="shared" ref="P38:U38" si="1">P36-P37</f>
        <v>28100</v>
      </c>
      <c r="Q38" s="74">
        <f t="shared" si="1"/>
        <v>35324</v>
      </c>
      <c r="R38" s="74">
        <f t="shared" si="1"/>
        <v>35149</v>
      </c>
      <c r="S38" s="74">
        <f t="shared" si="1"/>
        <v>31635</v>
      </c>
      <c r="T38" s="74">
        <f t="shared" si="1"/>
        <v>30070</v>
      </c>
      <c r="U38" s="74">
        <f t="shared" si="1"/>
        <v>27172</v>
      </c>
    </row>
    <row r="39" spans="1:21" ht="21.5" customHeight="1">
      <c r="A39" s="56" t="s">
        <v>400</v>
      </c>
      <c r="B39" s="88" t="s">
        <v>401</v>
      </c>
      <c r="C39" s="89">
        <f t="shared" ref="C39:L39" si="2">C38/C23</f>
        <v>2.2508617387973957</v>
      </c>
      <c r="D39" s="89">
        <f t="shared" si="2"/>
        <v>2.9961175818080976</v>
      </c>
      <c r="E39" s="89">
        <f t="shared" si="2"/>
        <v>2.7445790193397146</v>
      </c>
      <c r="F39" s="89">
        <f t="shared" si="2"/>
        <v>2.7585363723692256</v>
      </c>
      <c r="G39" s="89">
        <f t="shared" si="2"/>
        <v>3.0265831197189783</v>
      </c>
      <c r="H39" s="89">
        <f t="shared" si="2"/>
        <v>2.5625850340136056</v>
      </c>
      <c r="I39" s="89">
        <f t="shared" si="2"/>
        <v>2.2613197468978554</v>
      </c>
      <c r="J39" s="89">
        <f t="shared" si="2"/>
        <v>2.2832221239649488</v>
      </c>
      <c r="K39" s="89">
        <f t="shared" si="2"/>
        <v>2.7063341465618507</v>
      </c>
      <c r="L39" s="89">
        <f t="shared" si="2"/>
        <v>2.0041857953011073</v>
      </c>
      <c r="M39" s="29"/>
      <c r="N39" s="29"/>
      <c r="O39" s="29"/>
      <c r="P39" s="35"/>
      <c r="Q39" s="89">
        <f>IFERROR(Q38/Q23,"")</f>
        <v>8.9974528782475804</v>
      </c>
      <c r="R39" s="89">
        <f>IFERROR(R38/R23,"")</f>
        <v>7.7098047817503836</v>
      </c>
      <c r="S39" s="89">
        <f>IFERROR(S38/S23,"")</f>
        <v>7.4435294117647057</v>
      </c>
      <c r="T39" s="89">
        <f>IFERROR(T38/T23,"")</f>
        <v>6.5044343499891841</v>
      </c>
      <c r="U39" s="89">
        <f>IFERROR(U38/U23,"")</f>
        <v>5.5026326447954634</v>
      </c>
    </row>
    <row r="40" spans="1:21" ht="21.5" customHeight="1">
      <c r="A40" s="56" t="s">
        <v>402</v>
      </c>
      <c r="C40" s="87">
        <f>C36/'Balance Sheet'!C55</f>
        <v>1.9685185185185186</v>
      </c>
      <c r="D40" s="87">
        <f>D36/'Balance Sheet'!D55</f>
        <v>2.512778626758708</v>
      </c>
      <c r="E40" s="87">
        <f>E36/'Balance Sheet'!E55</f>
        <v>2.3199706160142721</v>
      </c>
      <c r="F40" s="87">
        <f>F36/'Balance Sheet'!F55</f>
        <v>2.0268745852687458</v>
      </c>
      <c r="G40" s="87">
        <f>G36/'Balance Sheet'!G55</f>
        <v>2.0105713211802292</v>
      </c>
      <c r="H40" s="87">
        <f>H36/'Balance Sheet'!H55</f>
        <v>1.7200724054706356</v>
      </c>
      <c r="I40" s="87">
        <f>I36/'Balance Sheet'!I55</f>
        <v>1.5158754743281964</v>
      </c>
      <c r="J40" s="87">
        <f>J36/'Balance Sheet'!J55</f>
        <v>1.5307132459970887</v>
      </c>
      <c r="K40" s="87">
        <f>K36/'Balance Sheet'!K55</f>
        <v>1.6882299408463521</v>
      </c>
      <c r="L40" s="87">
        <f>L36/'Balance Sheet'!L55</f>
        <v>1.3272647702407001</v>
      </c>
      <c r="M40" s="29"/>
      <c r="N40" s="29"/>
      <c r="O40" s="29"/>
      <c r="P40" s="87">
        <f>IFERROR(P36/'Balance Sheet'!P55,"")</f>
        <v>1.6432478511046387</v>
      </c>
      <c r="Q40" s="87">
        <f>IFERROR(Q36/'Balance Sheet'!Q55,"")</f>
        <v>1.7695107011601932</v>
      </c>
      <c r="R40" s="87">
        <f>IFERROR(R36/'Balance Sheet'!R55,"")</f>
        <v>1.6382612152938838</v>
      </c>
      <c r="S40" s="87">
        <f>IFERROR(S36/'Balance Sheet'!S55,"")</f>
        <v>1.4253163795953949</v>
      </c>
      <c r="T40" s="87">
        <f>IFERROR(T36/'Balance Sheet'!T55,"")</f>
        <v>1.2282420104102536</v>
      </c>
      <c r="U40" s="87">
        <f>IFERROR(U36/'Balance Sheet'!U55,"")</f>
        <v>1.136447866370873</v>
      </c>
    </row>
    <row r="41" spans="1:21" ht="10" customHeight="1">
      <c r="M41" s="29"/>
      <c r="N41" s="29"/>
      <c r="O41" s="29"/>
    </row>
    <row r="42" spans="1:21" ht="29" customHeight="1">
      <c r="A42" s="23" t="s">
        <v>403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</row>
    <row r="43" spans="1:21" ht="21.5" customHeight="1">
      <c r="A43" s="56" t="s">
        <v>404</v>
      </c>
      <c r="C43" s="73">
        <f>'Balance Sheet'!C55/'Balance Sheet'!C33</f>
        <v>0.26607081471295979</v>
      </c>
      <c r="D43" s="73">
        <f>'Balance Sheet'!D55/'Balance Sheet'!D33</f>
        <v>0.21590288522799672</v>
      </c>
      <c r="E43" s="73">
        <f>'Balance Sheet'!E55/'Balance Sheet'!E33</f>
        <v>0.22901845798884829</v>
      </c>
      <c r="F43" s="73">
        <f>'Balance Sheet'!F55/'Balance Sheet'!F33</f>
        <v>0.24424352577534411</v>
      </c>
      <c r="G43" s="73">
        <f>'Balance Sheet'!G55/'Balance Sheet'!G33</f>
        <v>0.24381414956011729</v>
      </c>
      <c r="H43" s="73">
        <f>'Balance Sheet'!H55/'Balance Sheet'!H33</f>
        <v>0.26347584628102677</v>
      </c>
      <c r="I43" s="73">
        <f>'Balance Sheet'!I55/'Balance Sheet'!I33</f>
        <v>0.27840841714907882</v>
      </c>
      <c r="J43" s="73">
        <f>'Balance Sheet'!J55/'Balance Sheet'!J33</f>
        <v>0.2812605549471357</v>
      </c>
      <c r="K43" s="73">
        <f>'Balance Sheet'!K55/'Balance Sheet'!K33</f>
        <v>0.26228008234790995</v>
      </c>
      <c r="L43" s="73">
        <f>'Balance Sheet'!L55/'Balance Sheet'!L33</f>
        <v>0.32700160280873147</v>
      </c>
      <c r="M43" s="29"/>
      <c r="N43" s="29"/>
      <c r="O43" s="29"/>
      <c r="P43" s="73">
        <f>IFERROR('Balance Sheet'!P55/'Balance Sheet'!P33,"")</f>
        <v>0.26493892684395759</v>
      </c>
      <c r="Q43" s="73">
        <f>IFERROR('Balance Sheet'!Q55/'Balance Sheet'!Q33,"")</f>
        <v>0.27285776082425578</v>
      </c>
      <c r="R43" s="73">
        <f>IFERROR('Balance Sheet'!R55/'Balance Sheet'!R33,"")</f>
        <v>0.28928526928201048</v>
      </c>
      <c r="S43" s="73">
        <f>IFERROR('Balance Sheet'!S55/'Balance Sheet'!S33,"")</f>
        <v>0.31370644537696263</v>
      </c>
      <c r="T43" s="73">
        <f>IFERROR('Balance Sheet'!T55/'Balance Sheet'!T33,"")</f>
        <v>0.34288072003607856</v>
      </c>
      <c r="U43" s="73">
        <f>IFERROR('Balance Sheet'!U55/'Balance Sheet'!U33,"")</f>
        <v>0.35502492540909175</v>
      </c>
    </row>
    <row r="44" spans="1:21" ht="21.5" customHeight="1">
      <c r="A44" s="56" t="s">
        <v>405</v>
      </c>
      <c r="C44" s="73">
        <f>C36/'Balance Sheet'!C33</f>
        <v>0.52376532599977088</v>
      </c>
      <c r="D44" s="73">
        <f>D36/'Balance Sheet'!D33</f>
        <v>0.54251615545644849</v>
      </c>
      <c r="E44" s="73">
        <f>E36/'Balance Sheet'!E33</f>
        <v>0.53131609305902716</v>
      </c>
      <c r="F44" s="73">
        <f>F36/'Balance Sheet'!F33</f>
        <v>0.49505099501047684</v>
      </c>
      <c r="G44" s="73">
        <f>G36/'Balance Sheet'!G33</f>
        <v>0.49020573680351909</v>
      </c>
      <c r="H44" s="73">
        <f>H36/'Balance Sheet'!H33</f>
        <v>0.45319753269601715</v>
      </c>
      <c r="I44" s="73">
        <f>I36/'Balance Sheet'!I33</f>
        <v>0.42203249140282223</v>
      </c>
      <c r="J44" s="73">
        <f>J36/'Balance Sheet'!J33</f>
        <v>0.43052925703407263</v>
      </c>
      <c r="K44" s="73">
        <f>K36/'Balance Sheet'!K33</f>
        <v>0.44278908790738841</v>
      </c>
      <c r="L44" s="73">
        <f>L36/'Balance Sheet'!L33</f>
        <v>0.43401770722027172</v>
      </c>
      <c r="M44" s="29"/>
      <c r="N44" s="29"/>
      <c r="O44" s="29"/>
      <c r="P44" s="73">
        <f>IFERROR(P36/'Balance Sheet'!P33,"")</f>
        <v>0.43536032221030246</v>
      </c>
      <c r="Q44" s="73">
        <f>IFERROR(Q36/'Balance Sheet'!Q33,"")</f>
        <v>0.48282472767312912</v>
      </c>
      <c r="R44" s="73">
        <f>IFERROR(R36/'Balance Sheet'!R33,"")</f>
        <v>0.47392483682056491</v>
      </c>
      <c r="S44" s="73">
        <f>IFERROR(S36/'Balance Sheet'!S33,"")</f>
        <v>0.44713093498043283</v>
      </c>
      <c r="T44" s="73">
        <f>IFERROR(T36/'Balance Sheet'!T33,"")</f>
        <v>0.42114050490802846</v>
      </c>
      <c r="U44" s="73">
        <f>IFERROR(U36/'Balance Sheet'!U33,"")</f>
        <v>0.40346731898964067</v>
      </c>
    </row>
    <row r="45" spans="1:21" ht="10" customHeight="1">
      <c r="M45" s="29"/>
      <c r="N45" s="29"/>
      <c r="O45" s="29"/>
    </row>
    <row r="46" spans="1:21" ht="29" customHeight="1">
      <c r="A46" s="23" t="s">
        <v>406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</row>
    <row r="47" spans="1:21" ht="21.5" customHeight="1">
      <c r="A47" s="56" t="s">
        <v>407</v>
      </c>
      <c r="C47" s="87">
        <f>'Balance Sheet'!C23/'Balance Sheet'!C42</f>
        <v>1.2818483340871401</v>
      </c>
      <c r="D47" s="87">
        <f>'Balance Sheet'!D23/'Balance Sheet'!D42</f>
        <v>1.3438626167536956</v>
      </c>
      <c r="E47" s="87">
        <f>'Balance Sheet'!E23/'Balance Sheet'!E42</f>
        <v>0.86616635397123198</v>
      </c>
      <c r="F47" s="87">
        <f>'Balance Sheet'!F23/'Balance Sheet'!F42</f>
        <v>0.75671968264560863</v>
      </c>
      <c r="G47" s="87">
        <f>'Balance Sheet'!G23/'Balance Sheet'!G42</f>
        <v>1.317717964522978</v>
      </c>
      <c r="H47" s="87">
        <f>'Balance Sheet'!H23/'Balance Sheet'!H42</f>
        <v>1.1300751879699249</v>
      </c>
      <c r="I47" s="87">
        <f>'Balance Sheet'!I23/'Balance Sheet'!I42</f>
        <v>1.1453559115798013</v>
      </c>
      <c r="J47" s="87">
        <f>'Balance Sheet'!J23/'Balance Sheet'!J42</f>
        <v>1.1341054685842773</v>
      </c>
      <c r="K47" s="87">
        <f>'Balance Sheet'!K23/'Balance Sheet'!K42</f>
        <v>1.0296249356410154</v>
      </c>
      <c r="L47" s="87">
        <f>'Balance Sheet'!L23/'Balance Sheet'!L42</f>
        <v>1.4587660354306657</v>
      </c>
      <c r="M47" s="29"/>
      <c r="N47" s="29"/>
      <c r="O47" s="29"/>
      <c r="P47" s="87">
        <f>IFERROR('Balance Sheet'!P23/'Balance Sheet'!P42,"")</f>
        <v>1.0601701144597291</v>
      </c>
      <c r="Q47" s="87">
        <f>IFERROR('Balance Sheet'!Q23/'Balance Sheet'!Q42,"")</f>
        <v>1.099546370967742</v>
      </c>
      <c r="R47" s="87">
        <f>IFERROR('Balance Sheet'!R23/'Balance Sheet'!R42,"")</f>
        <v>1.2125865840320817</v>
      </c>
      <c r="S47" s="87">
        <f>IFERROR('Balance Sheet'!S23/'Balance Sheet'!S42,"")</f>
        <v>1.2110316014045068</v>
      </c>
      <c r="T47" s="87">
        <f>IFERROR('Balance Sheet'!T23/'Balance Sheet'!T42,"")</f>
        <v>1.358030208240236</v>
      </c>
      <c r="U47" s="87">
        <f>IFERROR('Balance Sheet'!U23/'Balance Sheet'!U42,"")</f>
        <v>1.3046031746031745</v>
      </c>
    </row>
    <row r="48" spans="1:21" ht="37" customHeight="1">
      <c r="A48" s="56" t="s">
        <v>408</v>
      </c>
      <c r="C48" s="87">
        <f>('Balance Sheet'!C23-'Balance Sheet'!C19)/'Balance Sheet'!C42</f>
        <v>1.181026684758028</v>
      </c>
      <c r="D48" s="87">
        <f>('Balance Sheet'!D23-'Balance Sheet'!D19)/'Balance Sheet'!D42</f>
        <v>1.2462307862028388</v>
      </c>
      <c r="E48" s="87">
        <f>('Balance Sheet'!E23-'Balance Sheet'!E19)/'Balance Sheet'!E42</f>
        <v>0.75946772288235698</v>
      </c>
      <c r="F48" s="87">
        <f>('Balance Sheet'!F23-'Balance Sheet'!F19)/'Balance Sheet'!F42</f>
        <v>0.63144626107589075</v>
      </c>
      <c r="G48" s="87">
        <f>('Balance Sheet'!G23-'Balance Sheet'!G19)/'Balance Sheet'!G42</f>
        <v>1.0940346551606055</v>
      </c>
      <c r="H48" s="87">
        <f>('Balance Sheet'!H23-'Balance Sheet'!H19)/'Balance Sheet'!H42</f>
        <v>0.95894736842105266</v>
      </c>
      <c r="I48" s="87">
        <f>('Balance Sheet'!I23-'Balance Sheet'!I19)/'Balance Sheet'!I42</f>
        <v>0.93074427093895762</v>
      </c>
      <c r="J48" s="87">
        <f>('Balance Sheet'!J23-'Balance Sheet'!J19)/'Balance Sheet'!J42</f>
        <v>0.94641720758559245</v>
      </c>
      <c r="K48" s="87">
        <f>('Balance Sheet'!K23-'Balance Sheet'!K19)/'Balance Sheet'!K42</f>
        <v>0.84236999485128128</v>
      </c>
      <c r="L48" s="87">
        <f>('Balance Sheet'!L23-'Balance Sheet'!L19)/'Balance Sheet'!L42</f>
        <v>1.2508340773459894</v>
      </c>
      <c r="M48" s="29"/>
      <c r="N48" s="29"/>
      <c r="O48" s="29"/>
      <c r="P48" s="87">
        <f>IFERROR(('Balance Sheet'!P23-'Balance Sheet'!P19)/'Balance Sheet'!P42,"")</f>
        <v>0.895166089117575</v>
      </c>
      <c r="Q48" s="87">
        <f>IFERROR(('Balance Sheet'!Q23-'Balance Sheet'!Q19)/'Balance Sheet'!Q42,"")</f>
        <v>0.8852486559139785</v>
      </c>
      <c r="R48" s="87">
        <f>IFERROR(('Balance Sheet'!R23-'Balance Sheet'!R19)/'Balance Sheet'!R42,"")</f>
        <v>0.98099708348523518</v>
      </c>
      <c r="S48" s="87">
        <f>IFERROR(('Balance Sheet'!S23-'Balance Sheet'!S19)/'Balance Sheet'!S42,"")</f>
        <v>0.99759989332859234</v>
      </c>
      <c r="T48" s="87">
        <f>IFERROR(('Balance Sheet'!T23-'Balance Sheet'!T19)/'Balance Sheet'!T42,"")</f>
        <v>1.1466619000804361</v>
      </c>
      <c r="U48" s="87">
        <f>IFERROR(('Balance Sheet'!U23-'Balance Sheet'!U19)/'Balance Sheet'!U42,"")</f>
        <v>1.1201984126984128</v>
      </c>
    </row>
    <row r="49" spans="1:21" ht="37" customHeight="1">
      <c r="A49" s="56" t="s">
        <v>409</v>
      </c>
      <c r="B49" s="71" t="s">
        <v>410</v>
      </c>
      <c r="C49" s="87">
        <f>C37/'Balance Sheet'!C42</f>
        <v>0.83676315392733303</v>
      </c>
      <c r="D49" s="87">
        <f>D37/'Balance Sheet'!D42</f>
        <v>0.76027800250055155</v>
      </c>
      <c r="E49" s="87">
        <f>E37/'Balance Sheet'!E42</f>
        <v>0.55989854770342573</v>
      </c>
      <c r="F49" s="87">
        <f>F37/'Balance Sheet'!F42</f>
        <v>0.41430319208096988</v>
      </c>
      <c r="G49" s="87">
        <f>G37/'Balance Sheet'!G42</f>
        <v>0.74748304910622565</v>
      </c>
      <c r="H49" s="87">
        <f>H37/'Balance Sheet'!H42</f>
        <v>0.6328320802005013</v>
      </c>
      <c r="I49" s="87">
        <f>I37/'Balance Sheet'!I42</f>
        <v>0.58968769012370714</v>
      </c>
      <c r="J49" s="87">
        <f>J37/'Balance Sheet'!J42</f>
        <v>0.57965296338721306</v>
      </c>
      <c r="K49" s="87">
        <f>K37/'Balance Sheet'!K42</f>
        <v>0.57709216206582437</v>
      </c>
      <c r="L49" s="87">
        <f>L37/'Balance Sheet'!L42</f>
        <v>0.74272825525116304</v>
      </c>
      <c r="M49" s="29"/>
      <c r="N49" s="29"/>
      <c r="O49" s="29"/>
      <c r="P49" s="87">
        <f>IFERROR(P37/'Balance Sheet'!P42,"")</f>
        <v>0.63579404249361193</v>
      </c>
      <c r="Q49" s="87">
        <f>IFERROR(Q37/'Balance Sheet'!Q42,"")</f>
        <v>0.579091061827957</v>
      </c>
      <c r="R49" s="87">
        <f>IFERROR(R37/'Balance Sheet'!R42,"")</f>
        <v>0.65152205614290926</v>
      </c>
      <c r="S49" s="87">
        <f>IFERROR(S37/'Balance Sheet'!S42,"")</f>
        <v>0.70140895150895599</v>
      </c>
      <c r="T49" s="87">
        <f>IFERROR(T37/'Balance Sheet'!T42,"")</f>
        <v>0.61757082849226919</v>
      </c>
      <c r="U49" s="87">
        <f>IFERROR(U37/'Balance Sheet'!U42,"")</f>
        <v>0.64964285714285719</v>
      </c>
    </row>
    <row r="50" spans="1:21" ht="10" customHeight="1">
      <c r="M50" s="29"/>
      <c r="N50" s="29"/>
      <c r="O50" s="29"/>
    </row>
    <row r="51" spans="1:21" ht="29" customHeight="1">
      <c r="A51" s="23" t="s">
        <v>411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</row>
    <row r="52" spans="1:21" ht="21.5" customHeight="1">
      <c r="A52" s="56" t="s">
        <v>412</v>
      </c>
      <c r="C52" s="87">
        <f>'Income Statement'!C18/'Income Statement'!C22</f>
        <v>11.810368349249659</v>
      </c>
      <c r="D52" s="87">
        <f>'Income Statement'!D18/'Income Statement'!D22</f>
        <v>9.0914419695193427</v>
      </c>
      <c r="E52" s="87">
        <f>'Income Statement'!E18/'Income Statement'!E22</f>
        <v>9.6336842105263152</v>
      </c>
      <c r="F52" s="87">
        <f>'Income Statement'!F18/'Income Statement'!F22</f>
        <v>10.661733615221987</v>
      </c>
      <c r="G52" s="87">
        <f>'Income Statement'!G18/'Income Statement'!G22</f>
        <v>6.2609603340292272</v>
      </c>
      <c r="H52" s="87">
        <f>'Income Statement'!H18/'Income Statement'!H22</f>
        <v>6.4546023794614902</v>
      </c>
      <c r="I52" s="87">
        <f>'Income Statement'!I18/'Income Statement'!I22</f>
        <v>12.368480725623582</v>
      </c>
      <c r="J52" s="87">
        <f>'Income Statement'!J18/'Income Statement'!J22</f>
        <v>7.4073346430910281</v>
      </c>
      <c r="K52" s="87">
        <f>'Income Statement'!K18/'Income Statement'!K22</f>
        <v>6.0338164251207731</v>
      </c>
      <c r="L52" s="87">
        <f>'Income Statement'!L18/'Income Statement'!L22</f>
        <v>8.3204353083434093</v>
      </c>
      <c r="M52" s="29"/>
      <c r="N52" s="29"/>
      <c r="O52" s="29"/>
      <c r="P52" s="87">
        <f>IFERROR('Income Statement'!P18/'Income Statement'!P22,"")</f>
        <v>5.9058823529411768</v>
      </c>
      <c r="Q52" s="87">
        <f>IFERROR('Income Statement'!Q18/'Income Statement'!Q22,"")</f>
        <v>9.4547803617571056</v>
      </c>
      <c r="R52" s="87">
        <f>IFERROR('Income Statement'!R18/'Income Statement'!R22,"")</f>
        <v>9.617977528089888</v>
      </c>
      <c r="S52" s="87">
        <f>IFERROR('Income Statement'!S18/'Income Statement'!S22,"")</f>
        <v>10.184143222506394</v>
      </c>
      <c r="T52" s="87">
        <f>IFERROR('Income Statement'!T18/'Income Statement'!T22,"")</f>
        <v>11.624000000000001</v>
      </c>
      <c r="U52" s="87">
        <f>IFERROR('Income Statement'!U18/'Income Statement'!U22,"")</f>
        <v>12.661246612466124</v>
      </c>
    </row>
    <row r="53" spans="1:21" ht="21.5" customHeight="1">
      <c r="A53" s="56" t="s">
        <v>413</v>
      </c>
      <c r="C53" s="87">
        <f>'Cash Flow'!C26/'Income Statement'!C22</f>
        <v>11.994542974079128</v>
      </c>
      <c r="D53" s="87">
        <f>'Cash Flow'!D26/'Income Statement'!D22</f>
        <v>8.254396248534583</v>
      </c>
      <c r="E53" s="87">
        <f>'Cash Flow'!E26/'Income Statement'!E22</f>
        <v>8.0284210526315789</v>
      </c>
      <c r="F53" s="87">
        <f>'Cash Flow'!F26/'Income Statement'!F22</f>
        <v>11.068710359408033</v>
      </c>
      <c r="G53" s="87">
        <f>'Cash Flow'!G26/'Income Statement'!G22</f>
        <v>6.8503827418232426</v>
      </c>
      <c r="H53" s="87">
        <f>'Cash Flow'!H26/'Income Statement'!H22</f>
        <v>7.9054477144646214</v>
      </c>
      <c r="I53" s="87">
        <f>'Cash Flow'!I26/'Income Statement'!I22</f>
        <v>12.492063492063492</v>
      </c>
      <c r="J53" s="87">
        <f>'Cash Flow'!J26/'Income Statement'!J22</f>
        <v>7.5959397511460383</v>
      </c>
      <c r="K53" s="87">
        <f>'Cash Flow'!K26/'Income Statement'!K22</f>
        <v>4.1092995169082123</v>
      </c>
      <c r="L53" s="87">
        <f>'Cash Flow'!L26/'Income Statement'!L22</f>
        <v>4.4788391777509071</v>
      </c>
      <c r="M53" s="29"/>
      <c r="N53" s="29"/>
      <c r="O53" s="29"/>
      <c r="P53" s="35"/>
      <c r="Q53" s="35"/>
      <c r="R53" s="35"/>
      <c r="S53" s="35"/>
      <c r="T53" s="35"/>
      <c r="U53" s="35"/>
    </row>
    <row r="54" spans="1:21" ht="10" customHeight="1">
      <c r="M54" s="29"/>
      <c r="N54" s="29"/>
      <c r="O54" s="29"/>
    </row>
    <row r="55" spans="1:21" ht="29" customHeight="1">
      <c r="A55" s="23" t="s">
        <v>414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</row>
    <row r="56" spans="1:21" ht="21.5" customHeight="1">
      <c r="A56" s="56" t="s">
        <v>415</v>
      </c>
      <c r="C56" s="73">
        <f>'Cash Flow'!C26/'Income Statement'!C11</f>
        <v>0.21001839333062608</v>
      </c>
      <c r="D56" s="73">
        <f>'Cash Flow'!D26/'Income Statement'!D11</f>
        <v>0.19443830774328952</v>
      </c>
      <c r="E56" s="73">
        <f>'Cash Flow'!E26/'Income Statement'!E11</f>
        <v>0.22236151603498541</v>
      </c>
      <c r="F56" s="73">
        <f>'Cash Flow'!F26/'Income Statement'!F11</f>
        <v>0.28097998175280414</v>
      </c>
      <c r="G56" s="73">
        <f>'Cash Flow'!G26/'Income Statement'!G11</f>
        <v>0.29817653116859516</v>
      </c>
      <c r="H56" s="73">
        <f>'Cash Flow'!H26/'Income Statement'!H11</f>
        <v>0.32660716595524514</v>
      </c>
      <c r="I56" s="73">
        <f>'Cash Flow'!I26/'Income Statement'!I11</f>
        <v>0.25620872476978884</v>
      </c>
      <c r="J56" s="73">
        <f>'Cash Flow'!J26/'Income Statement'!J11</f>
        <v>0.25350789002054464</v>
      </c>
      <c r="K56" s="73">
        <f>'Cash Flow'!K26/'Income Statement'!K11</f>
        <v>0.14459956227024501</v>
      </c>
      <c r="L56" s="73">
        <f>'Cash Flow'!L26/'Income Statement'!L11</f>
        <v>0.15452326818380926</v>
      </c>
      <c r="M56" s="29"/>
      <c r="N56" s="29"/>
      <c r="O56" s="29"/>
      <c r="P56" s="30"/>
      <c r="Q56" s="30"/>
      <c r="R56" s="30"/>
      <c r="S56" s="30"/>
      <c r="T56" s="30"/>
      <c r="U56" s="30"/>
    </row>
    <row r="57" spans="1:21" ht="21.5" customHeight="1">
      <c r="A57" s="56" t="s">
        <v>416</v>
      </c>
      <c r="C57" s="87">
        <f>'Cash Flow'!C26/('Income Statement'!C18+'Cash Flow'!C17)</f>
        <v>0.8418230563002681</v>
      </c>
      <c r="D57" s="87">
        <f>'Cash Flow'!D26/('Income Statement'!D18+'Cash Flow'!D17)</f>
        <v>0.78103161397670551</v>
      </c>
      <c r="E57" s="87">
        <f>'Cash Flow'!E26/('Income Statement'!E18+'Cash Flow'!E17)</f>
        <v>0.74496972064856415</v>
      </c>
      <c r="F57" s="87">
        <f>'Cash Flow'!F26/('Income Statement'!F18+'Cash Flow'!F17)</f>
        <v>0.91441795476377608</v>
      </c>
      <c r="G57" s="87">
        <f>'Cash Flow'!G26/('Income Statement'!G18+'Cash Flow'!G17)</f>
        <v>0.93458653754865662</v>
      </c>
      <c r="H57" s="87">
        <f>'Cash Flow'!H26/('Income Statement'!H18+'Cash Flow'!H17)</f>
        <v>1.0735544217687074</v>
      </c>
      <c r="I57" s="87">
        <f>'Cash Flow'!I26/('Income Statement'!I18+'Cash Flow'!I17)</f>
        <v>0.90541539978634233</v>
      </c>
      <c r="J57" s="87">
        <f>'Cash Flow'!J26/('Income Statement'!J18+'Cash Flow'!J17)</f>
        <v>0.93247045582442323</v>
      </c>
      <c r="K57" s="87">
        <f>'Cash Flow'!K26/('Income Statement'!K18+'Cash Flow'!K17)</f>
        <v>0.61489111773741756</v>
      </c>
      <c r="L57" s="87">
        <f>'Cash Flow'!L26/('Income Statement'!L18+'Cash Flow'!L17)</f>
        <v>0.50013502565487444</v>
      </c>
      <c r="M57" s="29"/>
      <c r="N57" s="29"/>
      <c r="O57" s="29"/>
      <c r="P57" s="35"/>
      <c r="Q57" s="35"/>
      <c r="R57" s="35"/>
      <c r="S57" s="35"/>
      <c r="T57" s="35"/>
      <c r="U57" s="35"/>
    </row>
    <row r="58" spans="1:21" ht="21.5" customHeight="1">
      <c r="A58" s="56" t="s">
        <v>417</v>
      </c>
      <c r="C58" s="73">
        <f>0-'Cash Flow'!C32/'Income Statement'!C11</f>
        <v>5.403339464443542E-2</v>
      </c>
      <c r="D58" s="73">
        <f>0-'Cash Flow'!D32/'Income Statement'!D11</f>
        <v>4.8326521595051367E-2</v>
      </c>
      <c r="E58" s="73">
        <f>0-'Cash Flow'!E32/'Income Statement'!E11</f>
        <v>4.5131195335276965E-2</v>
      </c>
      <c r="F58" s="73">
        <f>0-'Cash Flow'!F32/'Income Statement'!F11</f>
        <v>5.5117265067353621E-2</v>
      </c>
      <c r="G58" s="73">
        <f>0-'Cash Flow'!G32/'Income Statement'!G11</f>
        <v>3.5651541770158113E-2</v>
      </c>
      <c r="H58" s="73">
        <f>0-'Cash Flow'!H32/'Income Statement'!H11</f>
        <v>3.5364118484025354E-2</v>
      </c>
      <c r="I58" s="73">
        <f>0-'Cash Flow'!I32/'Income Statement'!I11</f>
        <v>3.4508417821597991E-2</v>
      </c>
      <c r="J58" s="73">
        <f>0-'Cash Flow'!J32/'Income Statement'!J11</f>
        <v>4.0477335314945143E-2</v>
      </c>
      <c r="K58" s="73">
        <f>0-'Cash Flow'!K32/'Income Statement'!K11</f>
        <v>4.3857971568814942E-2</v>
      </c>
      <c r="L58" s="73">
        <f>0-'Cash Flow'!L32/'Income Statement'!L11</f>
        <v>4.4054149892576291E-2</v>
      </c>
      <c r="M58" s="29"/>
      <c r="N58" s="29"/>
      <c r="O58" s="29"/>
      <c r="P58" s="30"/>
      <c r="Q58" s="30"/>
      <c r="R58" s="30"/>
      <c r="S58" s="30"/>
      <c r="T58" s="30"/>
      <c r="U58" s="30"/>
    </row>
    <row r="59" spans="1:21" ht="21.5" customHeight="1">
      <c r="A59" s="56" t="s">
        <v>418</v>
      </c>
      <c r="C59" s="86">
        <f>'Cash Flow'!C71</f>
        <v>6530</v>
      </c>
      <c r="D59" s="86">
        <f>'Cash Flow'!D71</f>
        <v>5291</v>
      </c>
      <c r="E59" s="86">
        <f>'Cash Flow'!E71</f>
        <v>6079</v>
      </c>
      <c r="F59" s="86">
        <f>'Cash Flow'!F71</f>
        <v>8417</v>
      </c>
      <c r="G59" s="86">
        <f>'Cash Flow'!G71</f>
        <v>8667</v>
      </c>
      <c r="H59" s="86">
        <f>'Cash Flow'!H71</f>
        <v>11258</v>
      </c>
      <c r="I59" s="86">
        <f>'Cash Flow'!I71</f>
        <v>9534</v>
      </c>
      <c r="J59" s="86">
        <f>'Cash Flow'!J71</f>
        <v>9747</v>
      </c>
      <c r="K59" s="86">
        <f>'Cash Flow'!K71</f>
        <v>4741</v>
      </c>
      <c r="L59" s="86">
        <f>'Cash Flow'!L71</f>
        <v>5296</v>
      </c>
      <c r="M59" s="29"/>
      <c r="N59" s="29"/>
      <c r="O59" s="29"/>
      <c r="P59" s="33"/>
      <c r="Q59" s="33"/>
      <c r="R59" s="33"/>
      <c r="S59" s="33"/>
      <c r="T59" s="33"/>
      <c r="U59" s="33"/>
    </row>
    <row r="60" spans="1:21" ht="21.5" customHeight="1">
      <c r="A60" s="56" t="s">
        <v>419</v>
      </c>
      <c r="C60" s="73">
        <f>'Cash Flow'!C71/'Income Statement'!C11</f>
        <v>0.15598499868619067</v>
      </c>
      <c r="D60" s="73">
        <f>'Cash Flow'!D71/'Income Statement'!D11</f>
        <v>0.14611178614823817</v>
      </c>
      <c r="E60" s="73">
        <f>'Cash Flow'!E71/'Income Statement'!E11</f>
        <v>0.17723032069970845</v>
      </c>
      <c r="F60" s="73">
        <f>'Cash Flow'!F71/'Income Statement'!F11</f>
        <v>0.22586271668545055</v>
      </c>
      <c r="G60" s="73">
        <f>'Cash Flow'!G71/'Income Statement'!G11</f>
        <v>0.26252498939843705</v>
      </c>
      <c r="H60" s="73">
        <f>'Cash Flow'!H71/'Income Statement'!H11</f>
        <v>0.29124304747121976</v>
      </c>
      <c r="I60" s="73">
        <f>'Cash Flow'!I71/'Income Statement'!I11</f>
        <v>0.22170030694819087</v>
      </c>
      <c r="J60" s="73">
        <f>'Cash Flow'!J71/'Income Statement'!J11</f>
        <v>0.21303055470559951</v>
      </c>
      <c r="K60" s="73">
        <f>'Cash Flow'!K71/'Income Statement'!K11</f>
        <v>0.10074159070143006</v>
      </c>
      <c r="L60" s="73">
        <f>'Cash Flow'!L71/'Income Statement'!L11</f>
        <v>0.11046911829123297</v>
      </c>
      <c r="M60" s="29"/>
      <c r="N60" s="29"/>
      <c r="O60" s="29"/>
      <c r="P60" s="30"/>
      <c r="Q60" s="30"/>
      <c r="R60" s="30"/>
      <c r="S60" s="30"/>
      <c r="T60" s="30"/>
      <c r="U60" s="30"/>
    </row>
    <row r="61" spans="1:21" ht="21.5" customHeight="1">
      <c r="A61" s="56" t="s">
        <v>420</v>
      </c>
      <c r="C61" s="87">
        <f>'Cash Flow'!C71/'Income Statement'!C32</f>
        <v>1.0004596292324193</v>
      </c>
      <c r="D61" s="87">
        <f>'Cash Flow'!D71/'Income Statement'!D32</f>
        <v>4.239583333333333</v>
      </c>
      <c r="E61" s="87">
        <f>'Cash Flow'!E71/'Income Statement'!E32</f>
        <v>0.94482437053155111</v>
      </c>
      <c r="F61" s="87">
        <f>'Cash Flow'!F71/'Income Statement'!F32</f>
        <v>0.94360986547085202</v>
      </c>
      <c r="G61" s="87">
        <f>'Cash Flow'!G71/'Income Statement'!G32</f>
        <v>1.1187556473473603</v>
      </c>
      <c r="H61" s="87">
        <f>'Cash Flow'!H71/'Income Statement'!H32</f>
        <v>1.1521850373554396</v>
      </c>
      <c r="I61" s="87">
        <f>'Cash Flow'!I71/'Income Statement'!I32</f>
        <v>0.99916160134143783</v>
      </c>
      <c r="J61" s="87">
        <f>'Cash Flow'!J71/'Income Statement'!J32</f>
        <v>0.9097442598469293</v>
      </c>
      <c r="K61" s="87">
        <f>'Cash Flow'!K71/'Income Statement'!K32</f>
        <v>0.4459599285109585</v>
      </c>
      <c r="L61" s="87">
        <f>'Cash Flow'!L71/'Income Statement'!L32</f>
        <v>0.40405889982452126</v>
      </c>
      <c r="M61" s="29"/>
      <c r="N61" s="29"/>
      <c r="O61" s="29"/>
      <c r="P61" s="35"/>
      <c r="Q61" s="35"/>
      <c r="R61" s="35"/>
      <c r="S61" s="35"/>
      <c r="T61" s="35"/>
      <c r="U61" s="35"/>
    </row>
    <row r="62" spans="1:21" ht="21.5" customHeight="1">
      <c r="A62" s="56" t="s">
        <v>421</v>
      </c>
      <c r="C62" s="87">
        <f>0-'Cash Flow'!C17/'Cash Flow'!C32</f>
        <v>0.79000884173297969</v>
      </c>
      <c r="D62" s="87">
        <f>0-'Cash Flow'!D17/'Cash Flow'!D32</f>
        <v>0.72</v>
      </c>
      <c r="E62" s="87">
        <f>0-'Cash Flow'!E17/'Cash Flow'!E32</f>
        <v>0.70155038759689925</v>
      </c>
      <c r="F62" s="87">
        <f>0-'Cash Flow'!F17/'Cash Flow'!F32</f>
        <v>0.66455696202531644</v>
      </c>
      <c r="G62" s="87">
        <f>0-'Cash Flow'!G17/'Cash Flow'!G32</f>
        <v>1.3050127442650807</v>
      </c>
      <c r="H62" s="87">
        <f>0-'Cash Flow'!H17/'Cash Flow'!H32</f>
        <v>1.0621799561082663</v>
      </c>
      <c r="I62" s="87">
        <f>0-'Cash Flow'!I17/'Cash Flow'!I32</f>
        <v>0.84905660377358494</v>
      </c>
      <c r="J62" s="87">
        <f>0-'Cash Flow'!J17/'Cash Flow'!J32</f>
        <v>0.60907127429805619</v>
      </c>
      <c r="K62" s="87">
        <f>0-'Cash Flow'!K17/'Cash Flow'!K32</f>
        <v>0.52083333333333337</v>
      </c>
      <c r="L62" s="87">
        <f>0-'Cash Flow'!L17/'Cash Flow'!L32</f>
        <v>0.49715909090909088</v>
      </c>
      <c r="M62" s="29"/>
      <c r="N62" s="29"/>
      <c r="O62" s="29"/>
      <c r="P62" s="35"/>
      <c r="Q62" s="35"/>
      <c r="R62" s="35"/>
      <c r="S62" s="35"/>
      <c r="T62" s="35"/>
      <c r="U62" s="35"/>
    </row>
    <row r="63" spans="1:21" ht="10" customHeight="1">
      <c r="M63" s="29"/>
      <c r="N63" s="29"/>
      <c r="O63" s="29"/>
    </row>
    <row r="64" spans="1:21" ht="29" customHeight="1">
      <c r="A64" s="23" t="s">
        <v>422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</row>
    <row r="65" spans="1:21" ht="21.5" customHeight="1">
      <c r="A65" s="56" t="s">
        <v>423</v>
      </c>
      <c r="C65" s="87">
        <f>'Cash Flow'!C26/'Income Statement'!C32</f>
        <v>1.3470200704764823</v>
      </c>
      <c r="D65" s="87">
        <f>'Cash Flow'!D26/'Income Statement'!D32</f>
        <v>5.6418269230769234</v>
      </c>
      <c r="E65" s="87">
        <f>'Cash Flow'!E26/'Income Statement'!E32</f>
        <v>1.1854211998756605</v>
      </c>
      <c r="F65" s="87">
        <f>'Cash Flow'!F26/'Income Statement'!F32</f>
        <v>1.1738789237668161</v>
      </c>
      <c r="G65" s="87">
        <f>'Cash Flow'!G26/'Income Statement'!G32</f>
        <v>1.2706854266167549</v>
      </c>
      <c r="H65" s="87">
        <f>'Cash Flow'!H26/'Income Statement'!H32</f>
        <v>1.2920888343055983</v>
      </c>
      <c r="I65" s="87">
        <f>'Cash Flow'!I26/'Income Statement'!I32</f>
        <v>1.154684552504716</v>
      </c>
      <c r="J65" s="87">
        <f>'Cash Flow'!J26/'Income Statement'!J32</f>
        <v>1.0826022027254061</v>
      </c>
      <c r="K65" s="87">
        <f>'Cash Flow'!K26/'Income Statement'!K32</f>
        <v>0.64010911485278899</v>
      </c>
      <c r="L65" s="87">
        <f>'Cash Flow'!L26/'Income Statement'!L32</f>
        <v>0.56519417105363545</v>
      </c>
      <c r="M65" s="29"/>
      <c r="N65" s="29"/>
      <c r="O65" s="29"/>
      <c r="P65" s="35"/>
      <c r="Q65" s="35"/>
      <c r="R65" s="35"/>
      <c r="S65" s="35"/>
      <c r="T65" s="35"/>
      <c r="U65" s="35"/>
    </row>
    <row r="66" spans="1:21" ht="37" customHeight="1">
      <c r="A66" s="56" t="s">
        <v>424</v>
      </c>
      <c r="D66" s="73">
        <f>('Income Statement'!D32-'Cash Flow'!D26)/('Balance Sheet'!D33+'Balance Sheet'!C33)*2</f>
        <v>-6.6142972951371837E-2</v>
      </c>
      <c r="E66" s="73">
        <f>('Income Statement'!E32-'Cash Flow'!E26)/('Balance Sheet'!E33+'Balance Sheet'!D33)*2</f>
        <v>-1.3944083407358922E-2</v>
      </c>
      <c r="F66" s="73">
        <f>('Income Statement'!F32-'Cash Flow'!F26)/('Balance Sheet'!F33+'Balance Sheet'!E33)*2</f>
        <v>-1.8290417872957657E-2</v>
      </c>
      <c r="G66" s="73">
        <f>('Income Statement'!G32-'Cash Flow'!G26)/('Balance Sheet'!G33+'Balance Sheet'!F33)*2</f>
        <v>-2.4148275246578418E-2</v>
      </c>
      <c r="H66" s="73">
        <f>('Income Statement'!H32-'Cash Flow'!H26)/('Balance Sheet'!H33+'Balance Sheet'!G33)*2</f>
        <v>-3.1423066336361133E-2</v>
      </c>
      <c r="I66" s="73">
        <f>('Income Statement'!I32-'Cash Flow'!I26)/('Balance Sheet'!I33+'Balance Sheet'!H33)*2</f>
        <v>-1.5776225570097852E-2</v>
      </c>
      <c r="J66" s="73">
        <f>('Income Statement'!J32-'Cash Flow'!J26)/('Balance Sheet'!J33+'Balance Sheet'!I33)*2</f>
        <v>-9.292997175348882E-3</v>
      </c>
      <c r="K66" s="73">
        <f>('Income Statement'!K32-'Cash Flow'!K26)/('Balance Sheet'!K33+'Balance Sheet'!J33)*2</f>
        <v>3.8597340758226906E-2</v>
      </c>
      <c r="L66" s="73">
        <f>('Income Statement'!L32-'Cash Flow'!L26)/('Balance Sheet'!L33+'Balance Sheet'!K33)*2</f>
        <v>5.5501180824385848E-2</v>
      </c>
      <c r="M66" s="29"/>
      <c r="N66" s="29"/>
      <c r="O66" s="29"/>
      <c r="P66" s="30"/>
      <c r="Q66" s="30"/>
      <c r="R66" s="30"/>
      <c r="S66" s="30"/>
      <c r="T66" s="30"/>
      <c r="U66" s="30"/>
    </row>
    <row r="67" spans="1:21" ht="10" customHeight="1">
      <c r="M67" s="29"/>
      <c r="N67" s="29"/>
      <c r="O67" s="29"/>
    </row>
    <row r="68" spans="1:21" ht="29" customHeight="1">
      <c r="A68" s="23" t="s">
        <v>425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</row>
    <row r="69" spans="1:21" ht="21.5" customHeight="1">
      <c r="A69" s="56" t="s">
        <v>426</v>
      </c>
      <c r="D69" s="73">
        <f>'Income Statement'!D11/'Income Statement'!C11-1</f>
        <v>-0.13498793684160237</v>
      </c>
      <c r="E69" s="73">
        <f>'Income Statement'!E11/'Income Statement'!D11-1</f>
        <v>-5.2800176736993221E-2</v>
      </c>
      <c r="F69" s="73">
        <f>'Income Statement'!F11/'Income Statement'!E11-1</f>
        <v>8.647230320699717E-2</v>
      </c>
      <c r="G69" s="73">
        <f>'Income Statement'!G11/'Income Statement'!F11-1</f>
        <v>-0.11409864219395693</v>
      </c>
      <c r="H69" s="73">
        <f>'Income Statement'!H11/'Income Statement'!G11-1</f>
        <v>0.17086690494941537</v>
      </c>
      <c r="I69" s="73">
        <f>'Income Statement'!I11/'Income Statement'!H11-1</f>
        <v>0.11250808433579107</v>
      </c>
      <c r="J69" s="73">
        <f>'Income Statement'!J11/'Income Statement'!I11-1</f>
        <v>6.3947539763743011E-2</v>
      </c>
      <c r="K69" s="73">
        <f>'Income Statement'!K11/'Income Statement'!J11-1</f>
        <v>2.8565808453905772E-2</v>
      </c>
      <c r="L69" s="73">
        <f>'Income Statement'!L11/'Income Statement'!K11-1</f>
        <v>1.8699135164998548E-2</v>
      </c>
      <c r="M69" s="29"/>
      <c r="N69" s="29"/>
      <c r="O69" s="29"/>
      <c r="P69" s="30"/>
      <c r="Q69" s="30"/>
      <c r="R69" s="30"/>
      <c r="S69" s="73">
        <f>IFERROR('Income Statement'!S11/'Income Statement'!P11-1,"")</f>
        <v>5.070018559136158E-2</v>
      </c>
      <c r="T69" s="73">
        <f>IFERROR('Income Statement'!T11/'Income Statement'!Q11-1,"")</f>
        <v>0.12067571210351336</v>
      </c>
      <c r="U69" s="73">
        <f>IFERROR('Income Statement'!U11/'Income Statement'!R11-1,"")</f>
        <v>6.7411248504188226E-2</v>
      </c>
    </row>
    <row r="70" spans="1:21" ht="21.5" customHeight="1">
      <c r="A70" s="56" t="s">
        <v>427</v>
      </c>
      <c r="D70" s="73">
        <f>'Income Statement'!D18/'Income Statement'!C18-1</f>
        <v>-0.10419313850063527</v>
      </c>
      <c r="E70" s="73">
        <f>'Income Statement'!E18/'Income Statement'!D18-1</f>
        <v>0.18014184397163113</v>
      </c>
      <c r="F70" s="73">
        <f>'Income Statement'!F18/'Income Statement'!E18-1</f>
        <v>0.10205419580419584</v>
      </c>
      <c r="G70" s="73">
        <f>'Income Statement'!G18/'Income Statement'!F18-1</f>
        <v>-0.10797144556811422</v>
      </c>
      <c r="H70" s="73">
        <f>'Income Statement'!H18/'Income Statement'!G18-1</f>
        <v>0.1457152384128042</v>
      </c>
      <c r="I70" s="73">
        <f>'Income Statement'!I18/'Income Statement'!H18-1</f>
        <v>5.830422972448579E-2</v>
      </c>
      <c r="J70" s="73">
        <f>'Income Statement'!J18/'Income Statement'!I18-1</f>
        <v>3.685030708589232E-2</v>
      </c>
      <c r="K70" s="73">
        <f>'Income Statement'!K18/'Income Statement'!J18-1</f>
        <v>-0.1166121474670675</v>
      </c>
      <c r="L70" s="73">
        <f>'Income Statement'!L18/'Income Statement'!K18-1</f>
        <v>0.37730184147317858</v>
      </c>
      <c r="M70" s="29"/>
      <c r="N70" s="29"/>
      <c r="O70" s="29"/>
      <c r="P70" s="30"/>
      <c r="Q70" s="30"/>
      <c r="R70" s="30"/>
      <c r="S70" s="73">
        <f>IFERROR('Income Statement'!S18/'Income Statement'!P18-1,"")</f>
        <v>0.58645418326693233</v>
      </c>
      <c r="T70" s="73">
        <f>IFERROR('Income Statement'!T18/'Income Statement'!Q18-1,"")</f>
        <v>0.19130910084722608</v>
      </c>
      <c r="U70" s="73">
        <f>IFERROR('Income Statement'!U18/'Income Statement'!R18-1,"")</f>
        <v>9.158878504672896E-2</v>
      </c>
    </row>
    <row r="71" spans="1:21" ht="21.5" customHeight="1">
      <c r="A71" s="56" t="s">
        <v>428</v>
      </c>
      <c r="D71" s="73">
        <f>'Income Statement'!D32/'Income Statement'!C32-1</f>
        <v>-0.80879423931362038</v>
      </c>
      <c r="E71" s="73">
        <f>'Income Statement'!E32/'Income Statement'!D32-1</f>
        <v>4.1554487179487181</v>
      </c>
      <c r="F71" s="73">
        <f>'Income Statement'!F32/'Income Statement'!E32-1</f>
        <v>0.38638483058750395</v>
      </c>
      <c r="G71" s="73">
        <f>'Income Statement'!G32/'Income Statement'!F32-1</f>
        <v>-0.13150224215246642</v>
      </c>
      <c r="H71" s="73">
        <f>'Income Statement'!H32/'Income Statement'!G32-1</f>
        <v>0.26126242416419254</v>
      </c>
      <c r="I71" s="73">
        <f>'Income Statement'!I32/'Income Statement'!H32-1</f>
        <v>-2.3436700440077729E-2</v>
      </c>
      <c r="J71" s="73">
        <f>'Income Statement'!J32/'Income Statement'!I32-1</f>
        <v>0.12282540347935433</v>
      </c>
      <c r="K71" s="73">
        <f>'Income Statement'!K32/'Income Statement'!J32-1</f>
        <v>-7.7468732499533788E-3</v>
      </c>
      <c r="L71" s="73">
        <f>'Income Statement'!L32/'Income Statement'!K32-1</f>
        <v>0.2329037719875835</v>
      </c>
      <c r="M71" s="29"/>
      <c r="N71" s="29"/>
      <c r="O71" s="29"/>
      <c r="P71" s="30"/>
      <c r="Q71" s="30"/>
      <c r="R71" s="30"/>
      <c r="S71" s="73">
        <f>IFERROR('Income Statement'!S32/'Income Statement'!P32-1,"")</f>
        <v>0.297752808988764</v>
      </c>
      <c r="T71" s="73">
        <f>IFERROR('Income Statement'!T32/'Income Statement'!Q32-1,"")</f>
        <v>0.17837837837837833</v>
      </c>
      <c r="U71" s="73">
        <f>IFERROR('Income Statement'!U32/'Income Statement'!R32-1,"")</f>
        <v>0.1614173228346456</v>
      </c>
    </row>
    <row r="72" spans="1:21" ht="21.5" customHeight="1">
      <c r="A72" s="56" t="s">
        <v>429</v>
      </c>
      <c r="D72" s="73">
        <f>'Income Statement'!D42/'Income Statement'!C42-1</f>
        <v>-0.80536912751677847</v>
      </c>
      <c r="E72" s="73">
        <f>'Income Statement'!E42/'Income Statement'!D42-1</f>
        <v>4.1724137931034484</v>
      </c>
      <c r="F72" s="73">
        <f>'Income Statement'!F42/'Income Statement'!E42-1</f>
        <v>0.37999999999999989</v>
      </c>
      <c r="G72" s="73">
        <f>'Income Statement'!G42/'Income Statement'!F42-1</f>
        <v>-0.13526570048309172</v>
      </c>
      <c r="H72" s="73">
        <f>'Income Statement'!H42/'Income Statement'!G42-1</f>
        <v>0.25698324022346375</v>
      </c>
      <c r="I72" s="73">
        <f>'Income Statement'!I42/'Income Statement'!H42-1</f>
        <v>-2.6666666666666727E-2</v>
      </c>
      <c r="J72" s="73">
        <f>'Income Statement'!J42/'Income Statement'!I42-1</f>
        <v>0.12785388127853903</v>
      </c>
      <c r="K72" s="73">
        <f>'Income Statement'!K42/'Income Statement'!J42-1</f>
        <v>-4.0485829959514552E-3</v>
      </c>
      <c r="L72" s="73">
        <f>'Income Statement'!L42/'Income Statement'!K42-1</f>
        <v>0.2357723577235773</v>
      </c>
      <c r="M72" s="29"/>
      <c r="N72" s="29"/>
      <c r="O72" s="29"/>
      <c r="P72" s="30"/>
      <c r="Q72" s="30"/>
      <c r="R72" s="30"/>
      <c r="S72" s="73">
        <f>IFERROR('Income Statement'!S42/'Income Statement'!P42-1,"")</f>
        <v>0.30303030303030298</v>
      </c>
      <c r="T72" s="73">
        <f>IFERROR('Income Statement'!T42/'Income Statement'!Q42-1,"")</f>
        <v>0.18181818181818188</v>
      </c>
      <c r="U72" s="73">
        <f>IFERROR('Income Statement'!U42/'Income Statement'!R42-1,"")</f>
        <v>0.17045454545454541</v>
      </c>
    </row>
    <row r="73" spans="1:21" ht="21.5" customHeight="1">
      <c r="A73" s="56" t="s">
        <v>430</v>
      </c>
      <c r="D73" s="73">
        <f>'Cash Flow'!D26/'Cash Flow'!C26-1</f>
        <v>-0.19915832575068249</v>
      </c>
      <c r="E73" s="73">
        <f>'Cash Flow'!E26/'Cash Flow'!D26-1</f>
        <v>8.3226814372958424E-2</v>
      </c>
      <c r="F73" s="73">
        <f>'Cash Flow'!F26/'Cash Flow'!E26-1</f>
        <v>0.37288580044578468</v>
      </c>
      <c r="G73" s="73">
        <f>'Cash Flow'!G26/'Cash Flow'!F26-1</f>
        <v>-5.9879667653519264E-2</v>
      </c>
      <c r="H73" s="73">
        <f>'Cash Flow'!H26/'Cash Flow'!G26-1</f>
        <v>0.28250711093051595</v>
      </c>
      <c r="I73" s="73">
        <f>'Cash Flow'!I26/'Cash Flow'!H26-1</f>
        <v>-0.12728712871287129</v>
      </c>
      <c r="J73" s="73">
        <f>'Cash Flow'!J26/'Cash Flow'!I26-1</f>
        <v>5.2731893265565377E-2</v>
      </c>
      <c r="K73" s="73">
        <f>'Cash Flow'!K26/'Cash Flow'!J26-1</f>
        <v>-0.41331149237003195</v>
      </c>
      <c r="L73" s="73">
        <f>'Cash Flow'!L26/'Cash Flow'!K26-1</f>
        <v>8.8611315209404795E-2</v>
      </c>
      <c r="M73" s="29"/>
      <c r="N73" s="29"/>
      <c r="O73" s="29"/>
      <c r="P73" s="30"/>
      <c r="Q73" s="30"/>
      <c r="R73" s="30"/>
      <c r="S73" s="30"/>
      <c r="T73" s="30"/>
      <c r="U73" s="30"/>
    </row>
    <row r="74" spans="1:21" ht="21.5" customHeight="1">
      <c r="A74" s="56" t="s">
        <v>431</v>
      </c>
      <c r="D74" s="73">
        <f>'Income Statement'!D45/'Income Statement'!C45-1</f>
        <v>-9.8465765972063357E-3</v>
      </c>
      <c r="E74" s="73">
        <f>'Income Statement'!E45/'Income Statement'!D45-1</f>
        <v>-5.7816836262719606E-3</v>
      </c>
      <c r="F74" s="73">
        <f>'Income Statement'!F45/'Income Statement'!E45-1</f>
        <v>3.4891835310537633E-3</v>
      </c>
      <c r="G74" s="73">
        <f>'Income Statement'!G45/'Income Statement'!F45-1</f>
        <v>2.0862308762170656E-3</v>
      </c>
      <c r="H74" s="73">
        <f>'Income Statement'!H45/'Income Statement'!G45-1</f>
        <v>3.9324543141336932E-3</v>
      </c>
      <c r="I74" s="73">
        <f>'Income Statement'!I45/'Income Statement'!H45-1</f>
        <v>2.3041474654377225E-3</v>
      </c>
      <c r="J74" s="73">
        <f>'Income Statement'!J45/'Income Statement'!I45-1</f>
        <v>-2.5287356321839205E-3</v>
      </c>
      <c r="K74" s="73">
        <f>'Income Statement'!K45/'Income Statement'!J45-1</f>
        <v>-4.3788891449643152E-3</v>
      </c>
      <c r="L74" s="73">
        <f>'Income Statement'!L45/'Income Statement'!K45-1</f>
        <v>-1.6203703703703276E-3</v>
      </c>
      <c r="M74" s="29"/>
      <c r="N74" s="29"/>
      <c r="O74" s="29"/>
      <c r="P74" s="30"/>
      <c r="Q74" s="30"/>
      <c r="R74" s="30"/>
      <c r="S74" s="73">
        <f>IFERROR('Income Statement'!S45/'Income Statement'!P45-1,"")</f>
        <v>-2.3132084200786496E-3</v>
      </c>
      <c r="T74" s="73">
        <f>IFERROR('Income Statement'!T45/'Income Statement'!Q45-1,"")</f>
        <v>2.3185717597962174E-4</v>
      </c>
      <c r="U74" s="73">
        <f>IFERROR('Income Statement'!U45/'Income Statement'!R45-1,"")</f>
        <v>-4.6349942062573479E-4</v>
      </c>
    </row>
    <row r="75" spans="1:21" ht="10" customHeight="1">
      <c r="M75" s="29"/>
      <c r="N75" s="29"/>
      <c r="O75" s="29"/>
    </row>
    <row r="76" spans="1:21" ht="29" customHeight="1">
      <c r="A76" s="23" t="s">
        <v>432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</row>
    <row r="77" spans="1:21" ht="21.5" customHeight="1">
      <c r="A77" s="56" t="s">
        <v>433</v>
      </c>
      <c r="C77" s="86">
        <f>0-'Cash Flow'!C42</f>
        <v>6043</v>
      </c>
      <c r="D77" s="86">
        <f>0-'Cash Flow'!D42</f>
        <v>6320</v>
      </c>
      <c r="E77" s="86">
        <f>0-'Cash Flow'!E42</f>
        <v>6644</v>
      </c>
      <c r="F77" s="86">
        <f>0-'Cash Flow'!F42</f>
        <v>6845</v>
      </c>
      <c r="G77" s="86">
        <f>0-'Cash Flow'!G42</f>
        <v>7047</v>
      </c>
      <c r="H77" s="86">
        <f>0-'Cash Flow'!H42</f>
        <v>7252</v>
      </c>
      <c r="I77" s="86">
        <f>0-'Cash Flow'!I42</f>
        <v>7616</v>
      </c>
      <c r="J77" s="86">
        <f>0-'Cash Flow'!J42</f>
        <v>7952</v>
      </c>
      <c r="K77" s="86">
        <f>0-'Cash Flow'!K42</f>
        <v>8359</v>
      </c>
      <c r="L77" s="86">
        <f>0-'Cash Flow'!L42</f>
        <v>8779</v>
      </c>
      <c r="M77" s="29"/>
      <c r="N77" s="29"/>
      <c r="O77" s="29"/>
      <c r="P77" s="33"/>
      <c r="Q77" s="33"/>
      <c r="R77" s="33"/>
      <c r="S77" s="33"/>
      <c r="T77" s="33"/>
      <c r="U77" s="33"/>
    </row>
    <row r="78" spans="1:21" ht="21.5" customHeight="1">
      <c r="A78" s="56" t="s">
        <v>434</v>
      </c>
      <c r="C78" s="86">
        <f>0-'Cash Flow'!C41</f>
        <v>3681</v>
      </c>
      <c r="D78" s="86">
        <f>0-'Cash Flow'!D41</f>
        <v>3682</v>
      </c>
      <c r="E78" s="86">
        <f>0-'Cash Flow'!E41</f>
        <v>1912</v>
      </c>
      <c r="F78" s="86">
        <f>0-'Cash Flow'!F41</f>
        <v>1103</v>
      </c>
      <c r="G78" s="86">
        <f>0-'Cash Flow'!G41</f>
        <v>118</v>
      </c>
      <c r="H78" s="86">
        <f>0-'Cash Flow'!H41</f>
        <v>111</v>
      </c>
      <c r="I78" s="86">
        <f>0-'Cash Flow'!I41</f>
        <v>1418</v>
      </c>
      <c r="J78" s="86">
        <f>0-'Cash Flow'!J41</f>
        <v>2289</v>
      </c>
      <c r="K78" s="86">
        <f>0-'Cash Flow'!K41</f>
        <v>1795</v>
      </c>
      <c r="L78" s="86">
        <f>0-'Cash Flow'!L41</f>
        <v>746</v>
      </c>
      <c r="M78" s="29"/>
      <c r="N78" s="29"/>
      <c r="O78" s="29"/>
      <c r="P78" s="33"/>
      <c r="Q78" s="33"/>
      <c r="R78" s="33"/>
      <c r="S78" s="33"/>
      <c r="T78" s="33"/>
      <c r="U78" s="33"/>
    </row>
    <row r="79" spans="1:21" ht="21.5" customHeight="1">
      <c r="A79" s="56" t="s">
        <v>298</v>
      </c>
      <c r="C79" s="86">
        <f>'Cash Flow'!C40</f>
        <v>1434</v>
      </c>
      <c r="D79" s="86">
        <f>'Cash Flow'!D40</f>
        <v>1595</v>
      </c>
      <c r="E79" s="86">
        <f>'Cash Flow'!E40</f>
        <v>1476</v>
      </c>
      <c r="F79" s="86">
        <f>'Cash Flow'!F40</f>
        <v>1012</v>
      </c>
      <c r="G79" s="86">
        <f>'Cash Flow'!G40</f>
        <v>647</v>
      </c>
      <c r="H79" s="86">
        <f>'Cash Flow'!H40</f>
        <v>702</v>
      </c>
      <c r="I79" s="86">
        <f>'Cash Flow'!I40</f>
        <v>837</v>
      </c>
      <c r="J79" s="86">
        <f>'Cash Flow'!J40</f>
        <v>539</v>
      </c>
      <c r="K79" s="86">
        <f>'Cash Flow'!K40</f>
        <v>747</v>
      </c>
      <c r="L79" s="86">
        <f>'Cash Flow'!L40</f>
        <v>313</v>
      </c>
      <c r="M79" s="29"/>
      <c r="N79" s="29"/>
      <c r="O79" s="29"/>
      <c r="P79" s="33"/>
      <c r="Q79" s="33"/>
      <c r="R79" s="33"/>
      <c r="S79" s="33"/>
      <c r="T79" s="33"/>
      <c r="U79" s="33"/>
    </row>
    <row r="80" spans="1:21" ht="21.5" customHeight="1">
      <c r="A80" s="56" t="s">
        <v>435</v>
      </c>
      <c r="C80" s="73">
        <f>C77/'Income Statement'!C32</f>
        <v>0.92584648383637203</v>
      </c>
      <c r="D80" s="73">
        <f>D77/'Income Statement'!D32</f>
        <v>5.0641025641025639</v>
      </c>
      <c r="E80" s="73">
        <f>E77/'Income Statement'!E32</f>
        <v>1.0326391047559837</v>
      </c>
      <c r="F80" s="73">
        <f>F77/'Income Statement'!F32</f>
        <v>0.7673766816143498</v>
      </c>
      <c r="G80" s="73">
        <f>G77/'Income Statement'!G32</f>
        <v>0.90964244223570412</v>
      </c>
      <c r="H80" s="73">
        <f>H77/'Income Statement'!H32</f>
        <v>0.74219629515914443</v>
      </c>
      <c r="I80" s="73">
        <f>I77/'Income Statement'!I32</f>
        <v>0.79815552295116332</v>
      </c>
      <c r="J80" s="73">
        <f>J77/'Income Statement'!J32</f>
        <v>0.74220645883890235</v>
      </c>
      <c r="K80" s="73">
        <f>K77/'Income Statement'!K32</f>
        <v>0.78628539177876022</v>
      </c>
      <c r="L80" s="73">
        <f>L77/'Income Statement'!L32</f>
        <v>0.66979476615548939</v>
      </c>
      <c r="M80" s="29"/>
      <c r="N80" s="29"/>
      <c r="O80" s="29"/>
      <c r="P80" s="30"/>
      <c r="Q80" s="30"/>
      <c r="R80" s="30"/>
      <c r="S80" s="30"/>
      <c r="T80" s="30"/>
      <c r="U80" s="30"/>
    </row>
    <row r="81" spans="1:21" ht="37" customHeight="1">
      <c r="A81" s="56" t="s">
        <v>436</v>
      </c>
      <c r="C81" s="73">
        <f>(C77+C78)/'Income Statement'!C32</f>
        <v>1.4898115520147082</v>
      </c>
      <c r="D81" s="73">
        <f>(D77+D78)/'Income Statement'!D32</f>
        <v>8.0144230769230766</v>
      </c>
      <c r="E81" s="73">
        <f>(E77+E78)/'Income Statement'!E32</f>
        <v>1.3298103823437986</v>
      </c>
      <c r="F81" s="73">
        <f>(F77+F78)/'Income Statement'!F32</f>
        <v>0.89103139013452914</v>
      </c>
      <c r="G81" s="73">
        <f>(G77+G78)/'Income Statement'!G32</f>
        <v>0.92487414483025687</v>
      </c>
      <c r="H81" s="73">
        <f>(H77+H78)/'Income Statement'!H32</f>
        <v>0.75355644253402931</v>
      </c>
      <c r="I81" s="73">
        <f>(I77+I78)/'Income Statement'!I32</f>
        <v>0.94676168518130366</v>
      </c>
      <c r="J81" s="73">
        <f>(J77+J78)/'Income Statement'!J32</f>
        <v>0.95585215605749485</v>
      </c>
      <c r="K81" s="73">
        <f>(K77+K78)/'Income Statement'!K32</f>
        <v>0.95513122001693163</v>
      </c>
      <c r="L81" s="73">
        <f>(L77+L78)/'Income Statement'!L32</f>
        <v>0.72671091783016706</v>
      </c>
      <c r="M81" s="29"/>
      <c r="N81" s="29"/>
      <c r="O81" s="29"/>
      <c r="P81" s="30"/>
      <c r="Q81" s="30"/>
      <c r="R81" s="30"/>
      <c r="S81" s="30"/>
      <c r="T81" s="30"/>
      <c r="U81" s="30"/>
    </row>
    <row r="82" spans="1:21" ht="21.5" customHeight="1">
      <c r="A82" s="56" t="s">
        <v>437</v>
      </c>
      <c r="C82" s="55">
        <f t="shared" ref="C82:L82" si="3">C77/C59</f>
        <v>0.92542113323124042</v>
      </c>
      <c r="D82" s="55">
        <f t="shared" si="3"/>
        <v>1.1944811944811944</v>
      </c>
      <c r="E82" s="55">
        <f t="shared" si="3"/>
        <v>1.0929429182431321</v>
      </c>
      <c r="F82" s="55">
        <f t="shared" si="3"/>
        <v>0.81323511940121185</v>
      </c>
      <c r="G82" s="55">
        <f t="shared" si="3"/>
        <v>0.81308411214953269</v>
      </c>
      <c r="H82" s="55">
        <f t="shared" si="3"/>
        <v>0.64416414993782201</v>
      </c>
      <c r="I82" s="55">
        <f t="shared" si="3"/>
        <v>0.7988252569750367</v>
      </c>
      <c r="J82" s="55">
        <f t="shared" si="3"/>
        <v>0.8158407715194419</v>
      </c>
      <c r="K82" s="55">
        <f t="shared" si="3"/>
        <v>1.7631301413203966</v>
      </c>
      <c r="L82" s="55">
        <f t="shared" si="3"/>
        <v>1.657666163141994</v>
      </c>
      <c r="M82" s="29"/>
      <c r="N82" s="29"/>
      <c r="O82" s="29"/>
      <c r="P82" s="30"/>
      <c r="Q82" s="30"/>
      <c r="R82" s="30"/>
      <c r="S82" s="30"/>
      <c r="T82" s="30"/>
      <c r="U82" s="30"/>
    </row>
    <row r="83" spans="1:21" ht="10" customHeight="1">
      <c r="M83" s="29"/>
      <c r="N83" s="29"/>
      <c r="O83" s="29"/>
    </row>
    <row r="84" spans="1:21" ht="29" customHeight="1">
      <c r="A84" s="23" t="s">
        <v>438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</row>
    <row r="85" spans="1:21" ht="21.5" customHeight="1">
      <c r="A85" s="56" t="s">
        <v>263</v>
      </c>
      <c r="C85" s="68">
        <f>'Balance Sheet'!C18/'Income Statement'!C11*365</f>
        <v>33.620141891407684</v>
      </c>
      <c r="D85" s="68">
        <f>'Balance Sheet'!D18/'Income Statement'!D11*365</f>
        <v>36.961642549431126</v>
      </c>
      <c r="E85" s="68">
        <f>'Balance Sheet'!E18/'Income Statement'!E11*365</f>
        <v>39.213556851311949</v>
      </c>
      <c r="F85" s="68">
        <f>'Balance Sheet'!F18/'Income Statement'!F11*365</f>
        <v>38.893763752482151</v>
      </c>
      <c r="G85" s="68">
        <f>'Balance Sheet'!G18/'Income Statement'!G11*365</f>
        <v>34.759798873205305</v>
      </c>
      <c r="H85" s="68">
        <f>'Balance Sheet'!H18/'Income Statement'!H11*365</f>
        <v>33.162074763937397</v>
      </c>
      <c r="I85" s="68">
        <f>'Balance Sheet'!I18/'Income Statement'!I11*365</f>
        <v>29.59620035345549</v>
      </c>
      <c r="J85" s="68">
        <f>'Balance Sheet'!J18/'Income Statement'!J11*365</f>
        <v>27.203086068977576</v>
      </c>
      <c r="K85" s="68">
        <f>'Balance Sheet'!K18/'Income Statement'!K11*365</f>
        <v>27.680776014109345</v>
      </c>
      <c r="L85" s="68">
        <f>'Balance Sheet'!L18/'Income Statement'!L11*365</f>
        <v>23.129888821676644</v>
      </c>
      <c r="M85" s="29"/>
      <c r="N85" s="29"/>
      <c r="O85" s="29"/>
      <c r="P85" s="68">
        <f>IFERROR('Balance Sheet'!P18/'Income Statement'!P11*91,"")</f>
        <v>32.495613295090266</v>
      </c>
      <c r="Q85" s="68">
        <f>IFERROR('Balance Sheet'!Q18/'Income Statement'!Q11*91,"")</f>
        <v>33.451433192559982</v>
      </c>
      <c r="R85" s="68">
        <f>IFERROR('Balance Sheet'!R18/'Income Statement'!R11*91,"")</f>
        <v>30.25831671320303</v>
      </c>
      <c r="S85" s="68">
        <f>IFERROR('Balance Sheet'!S18/'Income Statement'!S11*91,"")</f>
        <v>28.830670413488559</v>
      </c>
      <c r="T85" s="68">
        <f>IFERROR('Balance Sheet'!T18/'Income Statement'!T11*91,"")</f>
        <v>26.814063502245027</v>
      </c>
      <c r="U85" s="68">
        <f>IFERROR('Balance Sheet'!U18/'Income Statement'!U11*91,"")</f>
        <v>25.382062780269059</v>
      </c>
    </row>
    <row r="86" spans="1:21" ht="21.5" customHeight="1">
      <c r="A86" s="56" t="s">
        <v>264</v>
      </c>
      <c r="C86" s="68">
        <f>'Balance Sheet'!C19/'Income Statement'!C13*365</f>
        <v>59.300030367446098</v>
      </c>
      <c r="D86" s="68">
        <f>'Balance Sheet'!D19/'Income Statement'!D13*365</f>
        <v>70.627140878944687</v>
      </c>
      <c r="E86" s="68">
        <f>'Balance Sheet'!E19/'Income Statement'!E13*365</f>
        <v>85.782122905027933</v>
      </c>
      <c r="F86" s="68">
        <f>'Balance Sheet'!F19/'Income Statement'!F13*365</f>
        <v>84.365209658663389</v>
      </c>
      <c r="G86" s="68">
        <f>'Balance Sheet'!G19/'Income Statement'!G13*365</f>
        <v>88.743393136306111</v>
      </c>
      <c r="H86" s="68">
        <f>'Balance Sheet'!H19/'Income Statement'!H13*365</f>
        <v>81.142801328384451</v>
      </c>
      <c r="I86" s="68">
        <f>'Balance Sheet'!I19/'Income Statement'!I13*365</f>
        <v>85.835833333333326</v>
      </c>
      <c r="J86" s="68">
        <f>'Balance Sheet'!J19/'Income Statement'!J13*365</f>
        <v>87.190064794816408</v>
      </c>
      <c r="K86" s="68">
        <f>'Balance Sheet'!K19/'Income Statement'!K13*365</f>
        <v>94.1781270464964</v>
      </c>
      <c r="L86" s="68">
        <f>'Balance Sheet'!L19/'Income Statement'!L13*365</f>
        <v>87.792846659781489</v>
      </c>
      <c r="M86" s="29"/>
      <c r="N86" s="29"/>
      <c r="O86" s="29"/>
      <c r="P86" s="68">
        <f>IFERROR('Balance Sheet'!P19/'Income Statement'!P13*91,"")</f>
        <v>91.975557461406524</v>
      </c>
      <c r="Q86" s="68">
        <f>IFERROR('Balance Sheet'!Q19/'Income Statement'!Q13*91,"")</f>
        <v>111.52582272399711</v>
      </c>
      <c r="R86" s="68">
        <f>IFERROR('Balance Sheet'!R19/'Income Statement'!R13*91,"")</f>
        <v>98.103945693678398</v>
      </c>
      <c r="S86" s="68">
        <f>IFERROR('Balance Sheet'!S19/'Income Statement'!S13*91,"")</f>
        <v>91.094850948509489</v>
      </c>
      <c r="T86" s="68">
        <f>IFERROR('Balance Sheet'!T19/'Income Statement'!T13*91,"")</f>
        <v>93.166666666666657</v>
      </c>
      <c r="U86" s="68">
        <f>IFERROR('Balance Sheet'!U19/'Income Statement'!U13*91,"")</f>
        <v>85.171601208459222</v>
      </c>
    </row>
    <row r="87" spans="1:21" ht="21.5" customHeight="1">
      <c r="A87" s="56" t="s">
        <v>265</v>
      </c>
      <c r="C87" s="68">
        <f>'Balance Sheet'!C36/'Income Statement'!C13*365</f>
        <v>210.37655633161253</v>
      </c>
      <c r="D87" s="68">
        <f>'Balance Sheet'!D36/'Income Statement'!D13*365</f>
        <v>232.71044384520079</v>
      </c>
      <c r="E87" s="68">
        <f>'Balance Sheet'!E36/'Income Statement'!E13*365</f>
        <v>266.28491620111731</v>
      </c>
      <c r="F87" s="68">
        <f>'Balance Sheet'!F36/'Income Statement'!F13*365</f>
        <v>282.43245092003559</v>
      </c>
      <c r="G87" s="68">
        <f>'Balance Sheet'!G36/'Income Statement'!G13*365</f>
        <v>302.83071540236728</v>
      </c>
      <c r="H87" s="68">
        <f>'Balance Sheet'!H36/'Income Statement'!H13*365</f>
        <v>347.45946473920691</v>
      </c>
      <c r="I87" s="68">
        <f>'Balance Sheet'!I36/'Income Statement'!I13*365</f>
        <v>319.35472222222222</v>
      </c>
      <c r="J87" s="68">
        <f>'Balance Sheet'!J36/'Income Statement'!J13*365</f>
        <v>305.18493520518359</v>
      </c>
      <c r="K87" s="68">
        <f>'Balance Sheet'!K36/'Income Statement'!K13*365</f>
        <v>432.48635669067892</v>
      </c>
      <c r="L87" s="68">
        <f>'Balance Sheet'!L36/'Income Statement'!L13*365</f>
        <v>293.89275425341089</v>
      </c>
      <c r="M87" s="29"/>
      <c r="N87" s="29"/>
      <c r="O87" s="29"/>
      <c r="P87" s="68">
        <f>IFERROR('Balance Sheet'!P36/'Income Statement'!P13*91,"")</f>
        <v>464.75557461406521</v>
      </c>
      <c r="Q87" s="68">
        <f>IFERROR('Balance Sheet'!Q36/'Income Statement'!Q13*91,"")</f>
        <v>360.65553687244778</v>
      </c>
      <c r="R87" s="68">
        <f>IFERROR('Balance Sheet'!R36/'Income Statement'!R13*91,"")</f>
        <v>328.75053033517185</v>
      </c>
      <c r="S87" s="68">
        <f>IFERROR('Balance Sheet'!S36/'Income Statement'!S13*91,"")</f>
        <v>335.62059620596204</v>
      </c>
      <c r="T87" s="68">
        <f>IFERROR('Balance Sheet'!T36/'Income Statement'!T13*91,"")</f>
        <v>283.81363636363636</v>
      </c>
      <c r="U87" s="68">
        <f>IFERROR('Balance Sheet'!U36/'Income Statement'!U13*91,"")</f>
        <v>282.87895266868077</v>
      </c>
    </row>
    <row r="88" spans="1:21" ht="21.5" customHeight="1">
      <c r="A88" s="56" t="s">
        <v>266</v>
      </c>
      <c r="C88" s="69">
        <f t="shared" ref="C88:L88" si="4">C85+C86-C87</f>
        <v>-117.45638407275875</v>
      </c>
      <c r="D88" s="69">
        <f t="shared" si="4"/>
        <v>-125.12166041682497</v>
      </c>
      <c r="E88" s="69">
        <f t="shared" si="4"/>
        <v>-141.28923644477743</v>
      </c>
      <c r="F88" s="69">
        <f t="shared" si="4"/>
        <v>-159.17347750889004</v>
      </c>
      <c r="G88" s="69">
        <f t="shared" si="4"/>
        <v>-179.32752339285585</v>
      </c>
      <c r="H88" s="69">
        <f t="shared" si="4"/>
        <v>-233.15458864688506</v>
      </c>
      <c r="I88" s="69">
        <f t="shared" si="4"/>
        <v>-203.92268853543339</v>
      </c>
      <c r="J88" s="69">
        <f t="shared" si="4"/>
        <v>-190.79178434138962</v>
      </c>
      <c r="K88" s="69">
        <f t="shared" si="4"/>
        <v>-310.62745363007321</v>
      </c>
      <c r="L88" s="69">
        <f t="shared" si="4"/>
        <v>-182.97001877195277</v>
      </c>
      <c r="M88" s="29"/>
      <c r="N88" s="29"/>
      <c r="O88" s="29"/>
      <c r="P88" s="69">
        <f t="shared" ref="P88:U88" si="5">P85+P86-P87</f>
        <v>-340.28440385756841</v>
      </c>
      <c r="Q88" s="69">
        <f t="shared" si="5"/>
        <v>-215.6782809558907</v>
      </c>
      <c r="R88" s="69">
        <f t="shared" si="5"/>
        <v>-200.38826792829042</v>
      </c>
      <c r="S88" s="69">
        <f t="shared" si="5"/>
        <v>-215.69507484396399</v>
      </c>
      <c r="T88" s="69">
        <f t="shared" si="5"/>
        <v>-163.83290619472467</v>
      </c>
      <c r="U88" s="69">
        <f t="shared" si="5"/>
        <v>-172.32528867995248</v>
      </c>
    </row>
    <row r="89" spans="1:21" ht="10" customHeight="1">
      <c r="M89" s="29"/>
      <c r="N89" s="29"/>
      <c r="O89" s="29"/>
    </row>
  </sheetData>
  <mergeCells count="25">
    <mergeCell ref="A7:U7"/>
    <mergeCell ref="A1:U1"/>
    <mergeCell ref="A6:U6"/>
    <mergeCell ref="A2:U2"/>
    <mergeCell ref="A42:U42"/>
    <mergeCell ref="A14:U14"/>
    <mergeCell ref="A17:U17"/>
    <mergeCell ref="A8:U8"/>
    <mergeCell ref="A35:U35"/>
    <mergeCell ref="A29:U29"/>
    <mergeCell ref="A19:U19"/>
    <mergeCell ref="A10:U10"/>
    <mergeCell ref="A13:U13"/>
    <mergeCell ref="A9:U9"/>
    <mergeCell ref="A15:U15"/>
    <mergeCell ref="A11:U11"/>
    <mergeCell ref="A16:U16"/>
    <mergeCell ref="A84:U84"/>
    <mergeCell ref="A55:U55"/>
    <mergeCell ref="A12:U12"/>
    <mergeCell ref="A51:U51"/>
    <mergeCell ref="A64:U64"/>
    <mergeCell ref="A76:U76"/>
    <mergeCell ref="A68:U68"/>
    <mergeCell ref="A46:U46"/>
  </mergeCells>
  <phoneticPr fontId="9" type="noConversion"/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3824F"/>
    <pageSetUpPr fitToPage="1"/>
  </sheetPr>
  <dimension ref="A1:U126"/>
  <sheetViews>
    <sheetView showGridLines="0" zoomScale="95" zoomScaleNormal="95" workbookViewId="0">
      <pane xSplit="2" ySplit="5" topLeftCell="C6" activePane="bottomRight" state="frozen"/>
      <selection pane="topRight" activeCell="C3" sqref="C3"/>
      <selection pane="bottomLeft" activeCell="A6" sqref="A6"/>
      <selection pane="bottomRight" activeCell="A6" sqref="A6:U6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22" t="s">
        <v>439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21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25" customHeight="1"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  <c r="K3" s="46" t="s">
        <v>10</v>
      </c>
      <c r="L3" s="46" t="s">
        <v>11</v>
      </c>
      <c r="M3" s="47" t="s">
        <v>12</v>
      </c>
      <c r="N3" s="47" t="s">
        <v>12</v>
      </c>
      <c r="O3" s="47" t="s">
        <v>12</v>
      </c>
      <c r="P3" s="48" t="s">
        <v>13</v>
      </c>
      <c r="Q3" s="48" t="s">
        <v>14</v>
      </c>
      <c r="R3" s="48" t="s">
        <v>15</v>
      </c>
      <c r="S3" s="48" t="s">
        <v>16</v>
      </c>
      <c r="T3" s="48" t="s">
        <v>17</v>
      </c>
      <c r="U3" s="48" t="s">
        <v>18</v>
      </c>
    </row>
    <row r="4" spans="1:21" ht="18" customHeight="1">
      <c r="C4" s="49" t="s">
        <v>19</v>
      </c>
      <c r="D4" s="49" t="s">
        <v>20</v>
      </c>
      <c r="E4" s="49" t="s">
        <v>21</v>
      </c>
      <c r="F4" s="49" t="s">
        <v>22</v>
      </c>
      <c r="G4" s="49" t="s">
        <v>23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28</v>
      </c>
      <c r="M4" s="50"/>
      <c r="N4" s="50"/>
      <c r="O4" s="50"/>
      <c r="P4" s="49" t="s">
        <v>29</v>
      </c>
      <c r="Q4" s="49" t="s">
        <v>30</v>
      </c>
      <c r="R4" s="49" t="s">
        <v>31</v>
      </c>
      <c r="S4" s="49" t="s">
        <v>32</v>
      </c>
      <c r="T4" s="49" t="s">
        <v>33</v>
      </c>
      <c r="U4" s="49" t="s">
        <v>34</v>
      </c>
    </row>
    <row r="5" spans="1:21" ht="10" customHeight="1">
      <c r="M5" s="29"/>
      <c r="N5" s="29"/>
      <c r="O5" s="29"/>
    </row>
    <row r="6" spans="1:21" ht="22" customHeight="1">
      <c r="A6" s="21" t="s">
        <v>35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22" customHeight="1">
      <c r="A7" s="21" t="str">
        <f>HYPERLINK("#'Note Schedules'!A15","1. EQUITY METHOD INVESTEES — AGGREGATE FINANCIAL INFORMATION AND THE COMPANY'S SHARE OF NET INCOME (Note 6)")</f>
        <v>1. EQUITY METHOD INVESTEES — AGGREGATE FINANCIAL INFORMATION AND THE COMPANY'S SHARE OF NET INCOME (Note 6)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1:21" ht="22" customHeight="1">
      <c r="A8" s="21" t="str">
        <f>HYPERLINK("#'Note Schedules'!A26","2. QUOTED FAIR VALUES — see carrying-value supplement below")</f>
        <v>2. QUOTED FAIR VALUES — see carrying-value supplement below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22" customHeight="1">
      <c r="A9" s="21" t="str">
        <f>HYPERLINK("#'Note Schedules'!A35","3. INCOME BEFORE INCOME TAXES BY JURISDICTION (Note 15)")</f>
        <v>3. INCOME BEFORE INCOME TAXES BY JURISDICTION (Note 15)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</row>
    <row r="10" spans="1:21" ht="22" customHeight="1">
      <c r="A10" s="21" t="str">
        <f>HYPERLINK("#'Note Schedules'!A40","4. INCOME TAXES — CURRENT AND DEFERRED BY JURISDICTION (Note 15)")</f>
        <v>4. INCOME TAXES — CURRENT AND DEFERRED BY JURISDICTION (Note 15)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21" ht="22" customHeight="1">
      <c r="A11" s="21" t="str">
        <f>HYPERLINK("#'Note Schedules'!A54","5. UNRECOGNIZED TAX BENEFITS — ROLL-FORWARD (Note 15)")</f>
        <v>5. UNRECOGNIZED TAX BENEFITS — ROLL-FORWARD (Note 15)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 ht="22" customHeight="1">
      <c r="A12" s="21" t="str">
        <f>HYPERLINK("#'Note Schedules'!A67","6. LONG-TERM DEBT BY TYPE (2025 10-K, Note 11)")</f>
        <v>6. LONG-TERM DEBT BY TYPE (2025 10-K, Note 11)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</row>
    <row r="13" spans="1:21" ht="22" customHeight="1">
      <c r="A13" s="21" t="str">
        <f>HYPERLINK("#'Note Schedules'!A78","7. ASSETS AND LIABILITIES HELD FOR SALE (2025 10-K, Note 2)")</f>
        <v>7. ASSETS AND LIABILITIES HELD FOR SALE (2025 10-K, Note 2)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</row>
    <row r="14" spans="1:21" ht="10" customHeight="1">
      <c r="M14" s="29"/>
      <c r="N14" s="29"/>
      <c r="O14" s="29"/>
    </row>
    <row r="15" spans="1:21" ht="29" customHeight="1">
      <c r="A15" s="23" t="s">
        <v>440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spans="1:21" ht="21.5" customHeight="1">
      <c r="A16" s="56" t="s">
        <v>441</v>
      </c>
      <c r="B16" s="71" t="s">
        <v>442</v>
      </c>
      <c r="C16" s="57">
        <v>58054</v>
      </c>
      <c r="D16" s="57">
        <v>73343</v>
      </c>
      <c r="E16" s="57">
        <v>75482</v>
      </c>
      <c r="F16" s="57">
        <v>75980</v>
      </c>
      <c r="G16" s="57">
        <v>69384</v>
      </c>
      <c r="H16" s="57">
        <v>79934</v>
      </c>
      <c r="I16" s="57">
        <v>85116</v>
      </c>
      <c r="J16" s="57">
        <v>93862</v>
      </c>
      <c r="K16" s="57">
        <v>99043</v>
      </c>
      <c r="L16" s="57">
        <v>102800</v>
      </c>
      <c r="M16" s="29"/>
      <c r="N16" s="29"/>
      <c r="O16" s="29"/>
    </row>
    <row r="17" spans="1:21" ht="21.5" customHeight="1">
      <c r="A17" s="56" t="s">
        <v>167</v>
      </c>
      <c r="B17" s="71" t="s">
        <v>442</v>
      </c>
      <c r="C17" s="57">
        <v>34338</v>
      </c>
      <c r="D17" s="57">
        <v>42871</v>
      </c>
      <c r="E17" s="57">
        <v>44933</v>
      </c>
      <c r="F17" s="57">
        <v>44881</v>
      </c>
      <c r="G17" s="57">
        <v>41139</v>
      </c>
      <c r="H17" s="57">
        <v>47847</v>
      </c>
      <c r="I17" s="57">
        <v>52051</v>
      </c>
      <c r="J17" s="57">
        <v>55780</v>
      </c>
      <c r="K17" s="57">
        <v>58527</v>
      </c>
      <c r="L17" s="57">
        <v>60622</v>
      </c>
      <c r="M17" s="29"/>
      <c r="N17" s="29"/>
      <c r="O17" s="29"/>
    </row>
    <row r="18" spans="1:21" ht="21.5" customHeight="1">
      <c r="A18" s="51" t="s">
        <v>443</v>
      </c>
      <c r="B18" s="58" t="s">
        <v>442</v>
      </c>
      <c r="C18" s="53">
        <v>23716</v>
      </c>
      <c r="D18" s="53">
        <v>30472</v>
      </c>
      <c r="E18" s="53">
        <v>30549</v>
      </c>
      <c r="F18" s="53">
        <v>31099</v>
      </c>
      <c r="G18" s="53">
        <v>28245</v>
      </c>
      <c r="H18" s="53">
        <v>32087</v>
      </c>
      <c r="I18" s="53">
        <v>33065</v>
      </c>
      <c r="J18" s="53">
        <v>38082</v>
      </c>
      <c r="K18" s="53">
        <v>40516</v>
      </c>
      <c r="L18" s="53">
        <v>42178</v>
      </c>
      <c r="M18" s="29"/>
      <c r="N18" s="29"/>
      <c r="O18" s="29"/>
      <c r="P18" s="52"/>
      <c r="Q18" s="52"/>
      <c r="R18" s="52"/>
      <c r="S18" s="52"/>
      <c r="T18" s="52"/>
      <c r="U18" s="52"/>
    </row>
    <row r="19" spans="1:21" ht="21.5" customHeight="1">
      <c r="A19" s="51" t="s">
        <v>444</v>
      </c>
      <c r="B19" s="58" t="s">
        <v>442</v>
      </c>
      <c r="C19" s="53">
        <v>5652</v>
      </c>
      <c r="D19" s="53">
        <v>7577</v>
      </c>
      <c r="E19" s="53">
        <v>7511</v>
      </c>
      <c r="F19" s="53">
        <v>7748</v>
      </c>
      <c r="G19" s="53">
        <v>7056</v>
      </c>
      <c r="H19" s="53">
        <v>9089</v>
      </c>
      <c r="I19" s="53">
        <v>9719</v>
      </c>
      <c r="J19" s="53">
        <v>11868</v>
      </c>
      <c r="K19" s="53">
        <v>12536</v>
      </c>
      <c r="L19" s="53">
        <v>13426</v>
      </c>
      <c r="M19" s="29"/>
      <c r="N19" s="29"/>
      <c r="O19" s="29"/>
      <c r="P19" s="52"/>
      <c r="Q19" s="52"/>
      <c r="R19" s="52"/>
      <c r="S19" s="52"/>
      <c r="T19" s="52"/>
      <c r="U19" s="52"/>
    </row>
    <row r="20" spans="1:21" ht="21.5" customHeight="1">
      <c r="A20" s="56" t="s">
        <v>270</v>
      </c>
      <c r="B20" s="71" t="s">
        <v>442</v>
      </c>
      <c r="C20" s="57">
        <v>2967</v>
      </c>
      <c r="D20" s="57">
        <v>4545</v>
      </c>
      <c r="E20" s="57">
        <v>4646</v>
      </c>
      <c r="F20" s="57">
        <v>4597</v>
      </c>
      <c r="G20" s="57">
        <v>4176</v>
      </c>
      <c r="H20" s="57">
        <v>6050</v>
      </c>
      <c r="I20" s="57">
        <v>6373</v>
      </c>
      <c r="J20" s="57">
        <v>7657</v>
      </c>
      <c r="K20" s="57">
        <v>8439</v>
      </c>
      <c r="L20" s="57">
        <v>9355</v>
      </c>
      <c r="M20" s="29"/>
      <c r="N20" s="29"/>
      <c r="O20" s="29"/>
    </row>
    <row r="21" spans="1:21" ht="21.5" customHeight="1">
      <c r="A21" s="56" t="s">
        <v>445</v>
      </c>
      <c r="B21" s="71" t="s">
        <v>442</v>
      </c>
      <c r="C21" s="57">
        <v>78</v>
      </c>
      <c r="D21" s="57">
        <v>120</v>
      </c>
      <c r="E21" s="57">
        <v>101</v>
      </c>
      <c r="F21" s="57">
        <v>63</v>
      </c>
      <c r="G21" s="57">
        <v>54</v>
      </c>
      <c r="H21" s="57">
        <v>91</v>
      </c>
      <c r="I21" s="57">
        <v>102</v>
      </c>
      <c r="J21" s="57">
        <v>75</v>
      </c>
      <c r="K21" s="57">
        <v>98</v>
      </c>
      <c r="L21" s="57">
        <v>153</v>
      </c>
      <c r="M21" s="29"/>
      <c r="N21" s="29"/>
      <c r="O21" s="29"/>
    </row>
    <row r="22" spans="1:21" ht="21.5" customHeight="1">
      <c r="A22" s="56" t="s">
        <v>446</v>
      </c>
      <c r="B22" s="71" t="s">
        <v>442</v>
      </c>
      <c r="C22" s="57">
        <v>2889</v>
      </c>
      <c r="D22" s="57">
        <v>4425</v>
      </c>
      <c r="E22" s="57">
        <v>4545</v>
      </c>
      <c r="F22" s="57">
        <v>4534</v>
      </c>
      <c r="G22" s="57">
        <v>4122</v>
      </c>
      <c r="H22" s="57">
        <v>5959</v>
      </c>
      <c r="I22" s="57">
        <v>6271</v>
      </c>
      <c r="J22" s="57">
        <v>7582</v>
      </c>
      <c r="K22" s="57">
        <v>8341</v>
      </c>
      <c r="L22" s="57">
        <v>9202</v>
      </c>
      <c r="M22" s="29"/>
      <c r="N22" s="29"/>
      <c r="O22" s="29"/>
    </row>
    <row r="23" spans="1:21" ht="21.5" customHeight="1">
      <c r="A23" s="51" t="s">
        <v>176</v>
      </c>
      <c r="B23" s="58" t="s">
        <v>442</v>
      </c>
      <c r="C23" s="53">
        <v>835</v>
      </c>
      <c r="D23" s="53">
        <v>1072</v>
      </c>
      <c r="E23" s="53">
        <v>1008</v>
      </c>
      <c r="F23" s="53">
        <v>1049</v>
      </c>
      <c r="G23" s="53">
        <v>978</v>
      </c>
      <c r="H23" s="53">
        <v>1438</v>
      </c>
      <c r="I23" s="53">
        <v>1472</v>
      </c>
      <c r="J23" s="53">
        <v>1691</v>
      </c>
      <c r="K23" s="53">
        <v>1770</v>
      </c>
      <c r="L23" s="53">
        <v>2031</v>
      </c>
      <c r="M23" s="29"/>
      <c r="N23" s="29"/>
      <c r="O23" s="29"/>
      <c r="P23" s="52"/>
      <c r="Q23" s="52"/>
      <c r="R23" s="52"/>
      <c r="S23" s="52"/>
      <c r="T23" s="52"/>
      <c r="U23" s="52"/>
    </row>
    <row r="24" spans="1:21" ht="37" customHeight="1">
      <c r="A24" s="63" t="s">
        <v>447</v>
      </c>
      <c r="B24" s="64"/>
      <c r="C24" s="80">
        <f>C23-'Income Statement'!C23</f>
        <v>0</v>
      </c>
      <c r="D24" s="80">
        <f>D23-'Income Statement'!D23</f>
        <v>0</v>
      </c>
      <c r="E24" s="80">
        <f>E23-'Income Statement'!E23</f>
        <v>0</v>
      </c>
      <c r="F24" s="80">
        <f>F23-'Income Statement'!F23</f>
        <v>0</v>
      </c>
      <c r="G24" s="80">
        <f>G23-'Income Statement'!G23</f>
        <v>0</v>
      </c>
      <c r="H24" s="80">
        <f>H23-'Income Statement'!H23</f>
        <v>0</v>
      </c>
      <c r="I24" s="80">
        <f>I23-'Income Statement'!I23</f>
        <v>0</v>
      </c>
      <c r="J24" s="80">
        <f>J23-'Income Statement'!J23</f>
        <v>0</v>
      </c>
      <c r="K24" s="80">
        <f>K23-'Income Statement'!K23</f>
        <v>0</v>
      </c>
      <c r="L24" s="80">
        <f>L23-'Income Statement'!L23</f>
        <v>0</v>
      </c>
      <c r="M24" s="29"/>
      <c r="N24" s="29"/>
      <c r="O24" s="29"/>
      <c r="P24" s="64"/>
      <c r="Q24" s="64"/>
      <c r="R24" s="64"/>
      <c r="S24" s="64"/>
      <c r="T24" s="64"/>
      <c r="U24" s="64"/>
    </row>
    <row r="25" spans="1:21" ht="10" customHeight="1">
      <c r="M25" s="29"/>
      <c r="N25" s="29"/>
      <c r="O25" s="29"/>
    </row>
    <row r="26" spans="1:21" ht="29" customHeight="1">
      <c r="A26" s="23" t="s">
        <v>448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spans="1:21" ht="21.5" customHeight="1">
      <c r="A27" s="56" t="s">
        <v>449</v>
      </c>
      <c r="L27" s="57">
        <v>15659</v>
      </c>
      <c r="M27" s="29"/>
      <c r="N27" s="29"/>
      <c r="O27" s="29"/>
    </row>
    <row r="28" spans="1:21" ht="21.5" customHeight="1">
      <c r="A28" s="56" t="s">
        <v>450</v>
      </c>
      <c r="L28" s="57">
        <v>7163</v>
      </c>
      <c r="M28" s="29"/>
      <c r="N28" s="29"/>
      <c r="O28" s="29"/>
    </row>
    <row r="29" spans="1:21" ht="21.5" customHeight="1">
      <c r="A29" s="56" t="s">
        <v>451</v>
      </c>
      <c r="L29" s="57">
        <v>5543</v>
      </c>
      <c r="M29" s="29"/>
      <c r="N29" s="29"/>
      <c r="O29" s="29"/>
    </row>
    <row r="30" spans="1:21" ht="21.5" customHeight="1">
      <c r="A30" s="56" t="s">
        <v>452</v>
      </c>
      <c r="L30" s="57">
        <v>4051</v>
      </c>
      <c r="M30" s="29"/>
      <c r="N30" s="29"/>
      <c r="O30" s="29"/>
    </row>
    <row r="31" spans="1:21" ht="21.5" customHeight="1">
      <c r="A31" s="56" t="s">
        <v>453</v>
      </c>
      <c r="L31" s="57">
        <v>822</v>
      </c>
      <c r="M31" s="29"/>
      <c r="N31" s="29"/>
      <c r="O31" s="29"/>
    </row>
    <row r="32" spans="1:21" ht="21.5" customHeight="1">
      <c r="A32" s="56" t="s">
        <v>454</v>
      </c>
      <c r="L32" s="57">
        <v>770</v>
      </c>
      <c r="M32" s="29"/>
      <c r="N32" s="29"/>
      <c r="O32" s="29"/>
    </row>
    <row r="33" spans="1:21" ht="21.5" customHeight="1">
      <c r="A33" s="56" t="s">
        <v>455</v>
      </c>
      <c r="L33" s="57">
        <v>278</v>
      </c>
      <c r="M33" s="29"/>
      <c r="N33" s="29"/>
      <c r="O33" s="29"/>
    </row>
    <row r="34" spans="1:21" ht="10" customHeight="1">
      <c r="M34" s="29"/>
      <c r="N34" s="29"/>
      <c r="O34" s="29"/>
    </row>
    <row r="35" spans="1:21" ht="29" customHeight="1">
      <c r="A35" s="23" t="s">
        <v>456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</row>
    <row r="36" spans="1:21" ht="21.5" customHeight="1">
      <c r="A36" s="56" t="s">
        <v>68</v>
      </c>
      <c r="B36" s="71" t="s">
        <v>457</v>
      </c>
      <c r="C36" s="57">
        <v>113</v>
      </c>
      <c r="D36" s="57">
        <v>-690</v>
      </c>
      <c r="E36" s="57">
        <v>888</v>
      </c>
      <c r="F36" s="57">
        <v>3249</v>
      </c>
      <c r="G36" s="57">
        <v>3149</v>
      </c>
      <c r="H36" s="57">
        <v>3538</v>
      </c>
      <c r="I36" s="57">
        <v>3452</v>
      </c>
      <c r="J36" s="57">
        <v>1991</v>
      </c>
      <c r="K36" s="57">
        <v>2499</v>
      </c>
      <c r="L36" s="57">
        <v>5678</v>
      </c>
      <c r="M36" s="29"/>
      <c r="N36" s="29"/>
      <c r="O36" s="29"/>
    </row>
    <row r="37" spans="1:21" ht="21.5" customHeight="1">
      <c r="A37" s="56" t="s">
        <v>69</v>
      </c>
      <c r="B37" s="71" t="s">
        <v>457</v>
      </c>
      <c r="C37" s="57">
        <v>8023</v>
      </c>
      <c r="D37" s="57">
        <v>7580</v>
      </c>
      <c r="E37" s="57">
        <v>7337</v>
      </c>
      <c r="F37" s="57">
        <v>7537</v>
      </c>
      <c r="G37" s="57">
        <v>6600</v>
      </c>
      <c r="H37" s="57">
        <v>8887</v>
      </c>
      <c r="I37" s="57">
        <v>8234</v>
      </c>
      <c r="J37" s="57">
        <v>10961</v>
      </c>
      <c r="K37" s="57">
        <v>10587</v>
      </c>
      <c r="L37" s="57">
        <v>10320</v>
      </c>
      <c r="M37" s="29"/>
      <c r="N37" s="29"/>
      <c r="O37" s="29"/>
    </row>
    <row r="38" spans="1:21" ht="21.5" customHeight="1">
      <c r="A38" s="51" t="s">
        <v>70</v>
      </c>
      <c r="B38" s="58" t="s">
        <v>457</v>
      </c>
      <c r="C38" s="53">
        <v>8136</v>
      </c>
      <c r="D38" s="53">
        <v>6890</v>
      </c>
      <c r="E38" s="53">
        <v>8225</v>
      </c>
      <c r="F38" s="53">
        <v>10786</v>
      </c>
      <c r="G38" s="53">
        <v>9749</v>
      </c>
      <c r="H38" s="53">
        <v>12425</v>
      </c>
      <c r="I38" s="53">
        <v>11686</v>
      </c>
      <c r="J38" s="53">
        <v>12952</v>
      </c>
      <c r="K38" s="53">
        <v>13086</v>
      </c>
      <c r="L38" s="53">
        <v>15998</v>
      </c>
      <c r="M38" s="32"/>
      <c r="N38" s="32"/>
      <c r="O38" s="32"/>
      <c r="P38" s="52"/>
      <c r="Q38" s="52"/>
      <c r="R38" s="52"/>
      <c r="S38" s="52"/>
      <c r="T38" s="52"/>
      <c r="U38" s="52"/>
    </row>
    <row r="39" spans="1:21" ht="10" customHeight="1">
      <c r="M39" s="29"/>
      <c r="N39" s="29"/>
      <c r="O39" s="29"/>
    </row>
    <row r="40" spans="1:21" ht="29" customHeight="1">
      <c r="A40" s="23" t="s">
        <v>458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</row>
    <row r="41" spans="1:21" ht="21.5" customHeight="1">
      <c r="A41" s="61" t="s">
        <v>459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29"/>
      <c r="N41" s="29"/>
      <c r="O41" s="29"/>
      <c r="P41" s="62"/>
      <c r="Q41" s="62"/>
      <c r="R41" s="62"/>
      <c r="S41" s="62"/>
      <c r="T41" s="62"/>
      <c r="U41" s="62"/>
    </row>
    <row r="42" spans="1:21" ht="21.5" customHeight="1">
      <c r="A42" s="56" t="s">
        <v>68</v>
      </c>
      <c r="B42" s="71" t="s">
        <v>460</v>
      </c>
      <c r="F42" s="57">
        <v>508</v>
      </c>
      <c r="G42" s="57">
        <v>296</v>
      </c>
      <c r="H42" s="57">
        <v>243</v>
      </c>
      <c r="I42" s="57">
        <v>468</v>
      </c>
      <c r="J42" s="57">
        <v>83</v>
      </c>
      <c r="K42" s="57">
        <v>324</v>
      </c>
      <c r="L42" s="57">
        <v>86</v>
      </c>
      <c r="M42" s="29"/>
      <c r="N42" s="29"/>
      <c r="O42" s="29"/>
    </row>
    <row r="43" spans="1:21" ht="21.5" customHeight="1">
      <c r="A43" s="56" t="s">
        <v>461</v>
      </c>
      <c r="B43" s="71" t="s">
        <v>460</v>
      </c>
      <c r="F43" s="57">
        <v>94</v>
      </c>
      <c r="G43" s="57">
        <v>396</v>
      </c>
      <c r="H43" s="57">
        <v>106</v>
      </c>
      <c r="I43" s="57">
        <v>118</v>
      </c>
      <c r="J43" s="57">
        <v>129</v>
      </c>
      <c r="K43" s="57">
        <v>143</v>
      </c>
      <c r="L43" s="57">
        <v>178</v>
      </c>
      <c r="M43" s="29"/>
      <c r="N43" s="29"/>
      <c r="O43" s="29"/>
    </row>
    <row r="44" spans="1:21" ht="21.5" customHeight="1">
      <c r="A44" s="56" t="s">
        <v>69</v>
      </c>
      <c r="B44" s="71" t="s">
        <v>460</v>
      </c>
      <c r="F44" s="57">
        <v>1479</v>
      </c>
      <c r="G44" s="57">
        <v>1307</v>
      </c>
      <c r="H44" s="57">
        <v>1378</v>
      </c>
      <c r="I44" s="57">
        <v>1651</v>
      </c>
      <c r="J44" s="57">
        <v>2039</v>
      </c>
      <c r="K44" s="57">
        <v>1981</v>
      </c>
      <c r="L44" s="57">
        <v>2080</v>
      </c>
      <c r="M44" s="29"/>
      <c r="N44" s="29"/>
      <c r="O44" s="29"/>
    </row>
    <row r="45" spans="1:21" ht="21.5" customHeight="1">
      <c r="A45" s="51" t="s">
        <v>70</v>
      </c>
      <c r="B45" s="58" t="s">
        <v>460</v>
      </c>
      <c r="C45" s="52"/>
      <c r="D45" s="52"/>
      <c r="E45" s="52"/>
      <c r="F45" s="53">
        <v>2081</v>
      </c>
      <c r="G45" s="53">
        <v>1999</v>
      </c>
      <c r="H45" s="53">
        <v>1727</v>
      </c>
      <c r="I45" s="53">
        <v>2237</v>
      </c>
      <c r="J45" s="53">
        <v>2251</v>
      </c>
      <c r="K45" s="53">
        <v>2448</v>
      </c>
      <c r="L45" s="53">
        <v>2344</v>
      </c>
      <c r="M45" s="29"/>
      <c r="N45" s="29"/>
      <c r="O45" s="29"/>
      <c r="P45" s="52"/>
      <c r="Q45" s="52"/>
      <c r="R45" s="52"/>
      <c r="S45" s="52"/>
      <c r="T45" s="52"/>
      <c r="U45" s="52"/>
    </row>
    <row r="46" spans="1:21" ht="10" customHeight="1">
      <c r="M46" s="29"/>
      <c r="N46" s="29"/>
      <c r="O46" s="29"/>
    </row>
    <row r="47" spans="1:21" ht="21.5" customHeight="1">
      <c r="A47" s="61" t="s">
        <v>462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29"/>
      <c r="N47" s="29"/>
      <c r="O47" s="29"/>
      <c r="P47" s="62"/>
      <c r="Q47" s="62"/>
      <c r="R47" s="62"/>
      <c r="S47" s="62"/>
      <c r="T47" s="62"/>
      <c r="U47" s="62"/>
    </row>
    <row r="48" spans="1:21" ht="21.5" customHeight="1">
      <c r="A48" s="56" t="s">
        <v>68</v>
      </c>
      <c r="B48" s="71" t="s">
        <v>460</v>
      </c>
      <c r="F48" s="57">
        <v>-65</v>
      </c>
      <c r="G48" s="57">
        <v>-220</v>
      </c>
      <c r="H48" s="57">
        <v>229</v>
      </c>
      <c r="I48" s="57">
        <v>-121</v>
      </c>
      <c r="J48" s="57">
        <v>-135</v>
      </c>
      <c r="K48" s="57">
        <v>-254</v>
      </c>
      <c r="L48" s="57">
        <v>220</v>
      </c>
      <c r="M48" s="29"/>
      <c r="N48" s="29"/>
      <c r="O48" s="29"/>
    </row>
    <row r="49" spans="1:21" ht="21.5" customHeight="1">
      <c r="A49" s="56" t="s">
        <v>461</v>
      </c>
      <c r="B49" s="71" t="s">
        <v>460</v>
      </c>
      <c r="F49" s="57">
        <v>52</v>
      </c>
      <c r="G49" s="57">
        <v>21</v>
      </c>
      <c r="H49" s="57">
        <v>-10</v>
      </c>
      <c r="I49" s="57">
        <v>-4</v>
      </c>
      <c r="J49" s="57">
        <v>-78</v>
      </c>
      <c r="K49" s="57">
        <v>-134</v>
      </c>
      <c r="L49" s="57">
        <v>123</v>
      </c>
      <c r="M49" s="29"/>
      <c r="N49" s="29"/>
      <c r="O49" s="29"/>
    </row>
    <row r="50" spans="1:21" ht="21.5" customHeight="1">
      <c r="A50" s="56" t="s">
        <v>69</v>
      </c>
      <c r="B50" s="71" t="s">
        <v>460</v>
      </c>
      <c r="F50" s="57">
        <v>-267</v>
      </c>
      <c r="G50" s="57">
        <v>181</v>
      </c>
      <c r="H50" s="57">
        <v>675</v>
      </c>
      <c r="I50" s="57">
        <v>3</v>
      </c>
      <c r="J50" s="57">
        <v>211</v>
      </c>
      <c r="K50" s="57">
        <v>377</v>
      </c>
      <c r="L50" s="57">
        <v>174</v>
      </c>
      <c r="M50" s="29"/>
      <c r="N50" s="29"/>
      <c r="O50" s="29"/>
    </row>
    <row r="51" spans="1:21" ht="21.5" customHeight="1">
      <c r="A51" s="51" t="s">
        <v>70</v>
      </c>
      <c r="B51" s="58" t="s">
        <v>460</v>
      </c>
      <c r="C51" s="52"/>
      <c r="D51" s="52"/>
      <c r="E51" s="52"/>
      <c r="F51" s="53">
        <v>-280</v>
      </c>
      <c r="G51" s="53">
        <v>-18</v>
      </c>
      <c r="H51" s="53">
        <v>894</v>
      </c>
      <c r="I51" s="53">
        <v>-122</v>
      </c>
      <c r="J51" s="53">
        <v>-2</v>
      </c>
      <c r="K51" s="53">
        <v>-11</v>
      </c>
      <c r="L51" s="53">
        <v>517</v>
      </c>
      <c r="M51" s="29"/>
      <c r="N51" s="29"/>
      <c r="O51" s="29"/>
      <c r="P51" s="52"/>
      <c r="Q51" s="52"/>
      <c r="R51" s="52"/>
      <c r="S51" s="52"/>
      <c r="T51" s="52"/>
      <c r="U51" s="52"/>
    </row>
    <row r="52" spans="1:21" ht="10" customHeight="1">
      <c r="M52" s="29"/>
      <c r="N52" s="29"/>
      <c r="O52" s="29"/>
    </row>
    <row r="53" spans="1:21" ht="10" customHeight="1">
      <c r="M53" s="29"/>
      <c r="N53" s="29"/>
      <c r="O53" s="29"/>
    </row>
    <row r="54" spans="1:21" ht="29" customHeight="1">
      <c r="A54" s="23" t="s">
        <v>463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</row>
    <row r="55" spans="1:21" ht="21.5" customHeight="1">
      <c r="A55" s="56" t="s">
        <v>464</v>
      </c>
      <c r="B55" s="71" t="s">
        <v>465</v>
      </c>
      <c r="C55" s="57">
        <v>168</v>
      </c>
      <c r="D55" s="57">
        <v>302</v>
      </c>
      <c r="E55" s="57">
        <v>331</v>
      </c>
      <c r="M55" s="29"/>
      <c r="N55" s="29"/>
      <c r="O55" s="29"/>
    </row>
    <row r="56" spans="1:21" ht="21.5" customHeight="1">
      <c r="A56" s="56" t="s">
        <v>466</v>
      </c>
      <c r="B56" s="71" t="s">
        <v>465</v>
      </c>
      <c r="C56" s="57">
        <v>163</v>
      </c>
      <c r="D56" s="57">
        <v>18</v>
      </c>
      <c r="E56" s="57">
        <v>11</v>
      </c>
      <c r="F56" s="57">
        <v>204</v>
      </c>
      <c r="G56" s="57">
        <v>528</v>
      </c>
      <c r="H56" s="57">
        <v>9</v>
      </c>
      <c r="I56" s="57">
        <v>6</v>
      </c>
      <c r="J56" s="57">
        <v>2</v>
      </c>
      <c r="K56" s="57">
        <v>33</v>
      </c>
      <c r="L56" s="57">
        <v>19</v>
      </c>
      <c r="M56" s="29"/>
      <c r="N56" s="29"/>
      <c r="O56" s="29"/>
    </row>
    <row r="57" spans="1:21" ht="21.5" customHeight="1">
      <c r="A57" s="56" t="s">
        <v>467</v>
      </c>
      <c r="B57" s="71" t="s">
        <v>465</v>
      </c>
      <c r="C57" s="57">
        <v>0</v>
      </c>
      <c r="D57" s="57">
        <v>-13</v>
      </c>
      <c r="E57" s="57">
        <v>-2</v>
      </c>
      <c r="F57" s="57">
        <v>0</v>
      </c>
      <c r="G57" s="57">
        <v>-1</v>
      </c>
      <c r="H57" s="57">
        <v>-50</v>
      </c>
      <c r="I57" s="57">
        <v>0</v>
      </c>
      <c r="J57" s="57">
        <v>-25</v>
      </c>
      <c r="K57" s="57">
        <v>-52</v>
      </c>
      <c r="L57" s="57">
        <v>-46</v>
      </c>
      <c r="M57" s="29"/>
      <c r="N57" s="29"/>
      <c r="O57" s="29"/>
    </row>
    <row r="58" spans="1:21" ht="21.5" customHeight="1">
      <c r="A58" s="56" t="s">
        <v>468</v>
      </c>
      <c r="B58" s="71" t="s">
        <v>465</v>
      </c>
      <c r="C58" s="57">
        <v>17</v>
      </c>
      <c r="D58" s="57">
        <v>13</v>
      </c>
      <c r="E58" s="57">
        <v>17</v>
      </c>
      <c r="F58" s="57">
        <v>29</v>
      </c>
      <c r="G58" s="57">
        <v>26</v>
      </c>
      <c r="H58" s="57">
        <v>37</v>
      </c>
      <c r="I58" s="57">
        <v>38</v>
      </c>
      <c r="J58" s="57">
        <v>32</v>
      </c>
      <c r="K58" s="57">
        <v>30</v>
      </c>
      <c r="L58" s="57">
        <v>31</v>
      </c>
      <c r="M58" s="29"/>
      <c r="N58" s="29"/>
      <c r="O58" s="29"/>
    </row>
    <row r="59" spans="1:21" ht="21.5" customHeight="1">
      <c r="A59" s="56" t="s">
        <v>469</v>
      </c>
      <c r="B59" s="71" t="s">
        <v>465</v>
      </c>
      <c r="C59" s="57">
        <v>-40</v>
      </c>
      <c r="D59" s="57">
        <v>0</v>
      </c>
      <c r="E59" s="57">
        <v>-4</v>
      </c>
      <c r="F59" s="57">
        <v>-174</v>
      </c>
      <c r="G59" s="57">
        <v>-19</v>
      </c>
      <c r="H59" s="57">
        <v>-4</v>
      </c>
      <c r="I59" s="57">
        <v>-2</v>
      </c>
      <c r="J59" s="57">
        <v>0</v>
      </c>
      <c r="K59" s="57">
        <v>-57</v>
      </c>
      <c r="L59" s="57">
        <v>0</v>
      </c>
      <c r="M59" s="29"/>
      <c r="N59" s="29"/>
      <c r="O59" s="29"/>
    </row>
    <row r="60" spans="1:21" ht="37" customHeight="1">
      <c r="A60" s="56" t="s">
        <v>470</v>
      </c>
      <c r="B60" s="71" t="s">
        <v>465</v>
      </c>
      <c r="C60" s="57">
        <v>0</v>
      </c>
      <c r="D60" s="57">
        <v>0</v>
      </c>
      <c r="E60" s="57">
        <v>0</v>
      </c>
      <c r="I60" s="57">
        <v>0</v>
      </c>
      <c r="J60" s="57">
        <v>-2</v>
      </c>
      <c r="K60" s="57">
        <v>0</v>
      </c>
      <c r="L60" s="57">
        <v>-13</v>
      </c>
      <c r="M60" s="29"/>
      <c r="N60" s="29"/>
      <c r="O60" s="29"/>
    </row>
    <row r="61" spans="1:21" ht="37" customHeight="1">
      <c r="A61" s="56" t="s">
        <v>471</v>
      </c>
      <c r="B61" s="71" t="s">
        <v>465</v>
      </c>
      <c r="C61" s="57">
        <v>-6</v>
      </c>
      <c r="D61" s="57">
        <v>11</v>
      </c>
      <c r="E61" s="57">
        <v>-17</v>
      </c>
      <c r="F61" s="57">
        <v>-3</v>
      </c>
      <c r="G61" s="57">
        <v>-11</v>
      </c>
      <c r="M61" s="29"/>
      <c r="N61" s="29"/>
      <c r="O61" s="29"/>
    </row>
    <row r="62" spans="1:21" ht="21.5" customHeight="1">
      <c r="A62" s="56" t="s">
        <v>472</v>
      </c>
      <c r="B62" s="71" t="s">
        <v>465</v>
      </c>
      <c r="C62" s="57">
        <v>302</v>
      </c>
      <c r="D62" s="57">
        <v>331</v>
      </c>
      <c r="E62" s="57">
        <v>336</v>
      </c>
      <c r="M62" s="29"/>
      <c r="N62" s="29"/>
      <c r="O62" s="29"/>
    </row>
    <row r="63" spans="1:21" ht="21.5" customHeight="1">
      <c r="A63" s="51" t="s">
        <v>473</v>
      </c>
      <c r="B63" s="58" t="s">
        <v>465</v>
      </c>
      <c r="C63" s="52"/>
      <c r="D63" s="53">
        <v>302</v>
      </c>
      <c r="E63" s="53">
        <v>331</v>
      </c>
      <c r="F63" s="53">
        <v>336</v>
      </c>
      <c r="G63" s="53">
        <v>392</v>
      </c>
      <c r="H63" s="53">
        <v>915</v>
      </c>
      <c r="I63" s="53">
        <v>906</v>
      </c>
      <c r="J63" s="53">
        <v>926</v>
      </c>
      <c r="K63" s="53">
        <v>929</v>
      </c>
      <c r="L63" s="53">
        <v>880</v>
      </c>
      <c r="M63" s="29"/>
      <c r="N63" s="29"/>
      <c r="O63" s="29"/>
      <c r="P63" s="52"/>
      <c r="Q63" s="52"/>
      <c r="R63" s="52"/>
      <c r="S63" s="52"/>
      <c r="T63" s="52"/>
      <c r="U63" s="52"/>
    </row>
    <row r="64" spans="1:21" ht="21.5" customHeight="1">
      <c r="A64" s="51" t="s">
        <v>474</v>
      </c>
      <c r="B64" s="58" t="s">
        <v>465</v>
      </c>
      <c r="C64" s="52"/>
      <c r="D64" s="53">
        <v>331</v>
      </c>
      <c r="E64" s="53">
        <v>336</v>
      </c>
      <c r="F64" s="53">
        <v>392</v>
      </c>
      <c r="G64" s="53">
        <v>915</v>
      </c>
      <c r="H64" s="53">
        <v>906</v>
      </c>
      <c r="I64" s="53">
        <v>926</v>
      </c>
      <c r="J64" s="53">
        <v>929</v>
      </c>
      <c r="K64" s="53">
        <v>880</v>
      </c>
      <c r="L64" s="53">
        <v>857</v>
      </c>
      <c r="M64" s="29"/>
      <c r="N64" s="29"/>
      <c r="O64" s="29"/>
      <c r="P64" s="52"/>
      <c r="Q64" s="52"/>
      <c r="R64" s="52"/>
      <c r="S64" s="52"/>
      <c r="T64" s="52"/>
      <c r="U64" s="52"/>
    </row>
    <row r="65" spans="1:21" ht="21.5" customHeight="1">
      <c r="A65" s="56" t="s">
        <v>475</v>
      </c>
      <c r="B65" s="71" t="s">
        <v>465</v>
      </c>
      <c r="G65" s="57">
        <v>-11</v>
      </c>
      <c r="H65" s="57">
        <v>-1</v>
      </c>
      <c r="I65" s="57">
        <v>-22</v>
      </c>
      <c r="J65" s="57">
        <v>-4</v>
      </c>
      <c r="K65" s="57">
        <v>-3</v>
      </c>
      <c r="L65" s="57">
        <v>-14</v>
      </c>
      <c r="M65" s="29"/>
      <c r="N65" s="29"/>
      <c r="O65" s="29"/>
    </row>
    <row r="66" spans="1:21" ht="10" customHeight="1">
      <c r="M66" s="29"/>
      <c r="N66" s="29"/>
      <c r="O66" s="29"/>
    </row>
    <row r="67" spans="1:21" ht="29" customHeight="1">
      <c r="A67" s="23" t="s">
        <v>476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</row>
    <row r="68" spans="1:21" ht="21.5" customHeight="1">
      <c r="A68" s="56" t="s">
        <v>477</v>
      </c>
      <c r="B68" s="71" t="s">
        <v>478</v>
      </c>
      <c r="K68" s="57">
        <v>26931</v>
      </c>
      <c r="L68" s="57">
        <v>26945</v>
      </c>
      <c r="M68" s="29"/>
      <c r="N68" s="29"/>
      <c r="O68" s="29"/>
    </row>
    <row r="69" spans="1:21" ht="21.5" customHeight="1">
      <c r="A69" s="56" t="s">
        <v>479</v>
      </c>
      <c r="B69" s="71" t="s">
        <v>478</v>
      </c>
      <c r="K69" s="57">
        <v>778</v>
      </c>
      <c r="L69" s="57">
        <v>767</v>
      </c>
      <c r="M69" s="29"/>
      <c r="N69" s="29"/>
      <c r="O69" s="29"/>
    </row>
    <row r="70" spans="1:21" ht="21.5" customHeight="1">
      <c r="A70" s="56" t="s">
        <v>480</v>
      </c>
      <c r="B70" s="71" t="s">
        <v>478</v>
      </c>
      <c r="K70" s="57">
        <v>13619</v>
      </c>
      <c r="L70" s="57">
        <v>15470</v>
      </c>
      <c r="M70" s="29"/>
      <c r="N70" s="29"/>
      <c r="O70" s="29"/>
    </row>
    <row r="71" spans="1:21" ht="21.5" customHeight="1">
      <c r="A71" s="56" t="s">
        <v>481</v>
      </c>
      <c r="B71" s="71" t="s">
        <v>478</v>
      </c>
      <c r="K71" s="57">
        <v>635</v>
      </c>
      <c r="L71" s="57">
        <v>726</v>
      </c>
      <c r="M71" s="29"/>
      <c r="N71" s="29"/>
      <c r="O71" s="29"/>
    </row>
    <row r="72" spans="1:21" ht="21.5" customHeight="1">
      <c r="A72" s="56" t="s">
        <v>482</v>
      </c>
      <c r="B72" s="71" t="s">
        <v>478</v>
      </c>
      <c r="K72" s="57">
        <v>1845</v>
      </c>
      <c r="L72" s="57">
        <v>651</v>
      </c>
      <c r="M72" s="29"/>
      <c r="N72" s="29"/>
      <c r="O72" s="29"/>
    </row>
    <row r="73" spans="1:21" ht="21.5" customHeight="1">
      <c r="A73" s="56" t="s">
        <v>483</v>
      </c>
      <c r="B73" s="71" t="s">
        <v>478</v>
      </c>
      <c r="K73" s="57">
        <v>-785</v>
      </c>
      <c r="L73" s="57">
        <v>-618</v>
      </c>
      <c r="M73" s="29"/>
      <c r="N73" s="29"/>
      <c r="O73" s="29"/>
    </row>
    <row r="74" spans="1:21" ht="21.5" customHeight="1">
      <c r="A74" s="51" t="s">
        <v>484</v>
      </c>
      <c r="B74" s="58" t="s">
        <v>478</v>
      </c>
      <c r="C74" s="52"/>
      <c r="D74" s="52"/>
      <c r="E74" s="52"/>
      <c r="F74" s="52"/>
      <c r="G74" s="52"/>
      <c r="H74" s="52"/>
      <c r="I74" s="52"/>
      <c r="J74" s="52"/>
      <c r="K74" s="53">
        <v>43023</v>
      </c>
      <c r="L74" s="53">
        <v>43941</v>
      </c>
      <c r="M74" s="32"/>
      <c r="N74" s="32"/>
      <c r="O74" s="32"/>
      <c r="P74" s="52"/>
      <c r="Q74" s="52"/>
      <c r="R74" s="52"/>
      <c r="S74" s="52"/>
      <c r="T74" s="52"/>
      <c r="U74" s="52"/>
    </row>
    <row r="75" spans="1:21" ht="21.5" customHeight="1">
      <c r="A75" s="56" t="s">
        <v>485</v>
      </c>
      <c r="B75" s="71" t="s">
        <v>478</v>
      </c>
      <c r="K75" s="57">
        <v>648</v>
      </c>
      <c r="L75" s="57">
        <v>1822</v>
      </c>
      <c r="M75" s="29"/>
      <c r="N75" s="29"/>
      <c r="O75" s="29"/>
    </row>
    <row r="76" spans="1:21" ht="21.5" customHeight="1">
      <c r="A76" s="51" t="s">
        <v>240</v>
      </c>
      <c r="B76" s="58" t="s">
        <v>478</v>
      </c>
      <c r="C76" s="52"/>
      <c r="D76" s="52"/>
      <c r="E76" s="52"/>
      <c r="F76" s="52"/>
      <c r="G76" s="52"/>
      <c r="H76" s="52"/>
      <c r="I76" s="52"/>
      <c r="J76" s="52"/>
      <c r="K76" s="53">
        <v>42375</v>
      </c>
      <c r="L76" s="53">
        <v>42119</v>
      </c>
      <c r="M76" s="32"/>
      <c r="N76" s="32"/>
      <c r="O76" s="32"/>
      <c r="P76" s="52"/>
      <c r="Q76" s="52"/>
      <c r="R76" s="52"/>
      <c r="S76" s="52"/>
      <c r="T76" s="52"/>
      <c r="U76" s="52"/>
    </row>
    <row r="77" spans="1:21" ht="10" customHeight="1">
      <c r="M77" s="29"/>
      <c r="N77" s="29"/>
      <c r="O77" s="29"/>
    </row>
    <row r="78" spans="1:21" ht="29" customHeight="1">
      <c r="A78" s="23" t="s">
        <v>486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</row>
    <row r="79" spans="1:21" ht="21.5" customHeight="1">
      <c r="A79" s="56" t="s">
        <v>487</v>
      </c>
      <c r="B79" s="71" t="s">
        <v>488</v>
      </c>
      <c r="K79" s="67">
        <v>0</v>
      </c>
      <c r="L79" s="57">
        <v>178</v>
      </c>
      <c r="M79" s="29"/>
      <c r="N79" s="29"/>
      <c r="O79" s="29"/>
    </row>
    <row r="80" spans="1:21" ht="21.5" customHeight="1">
      <c r="A80" s="56" t="s">
        <v>215</v>
      </c>
      <c r="B80" s="71" t="s">
        <v>488</v>
      </c>
      <c r="K80" s="67">
        <v>0</v>
      </c>
      <c r="L80" s="57">
        <v>389</v>
      </c>
      <c r="M80" s="29"/>
      <c r="N80" s="29"/>
      <c r="O80" s="29"/>
    </row>
    <row r="81" spans="1:21" ht="21.5" customHeight="1">
      <c r="A81" s="56" t="s">
        <v>216</v>
      </c>
      <c r="B81" s="71" t="s">
        <v>488</v>
      </c>
      <c r="K81" s="57">
        <v>23</v>
      </c>
      <c r="L81" s="57">
        <v>466</v>
      </c>
      <c r="M81" s="29"/>
      <c r="N81" s="29"/>
      <c r="O81" s="29"/>
    </row>
    <row r="82" spans="1:21" ht="21.5" customHeight="1">
      <c r="A82" s="56" t="s">
        <v>217</v>
      </c>
      <c r="B82" s="71" t="s">
        <v>488</v>
      </c>
      <c r="K82" s="67">
        <v>0</v>
      </c>
      <c r="L82" s="57">
        <v>147</v>
      </c>
      <c r="M82" s="29"/>
      <c r="N82" s="29"/>
      <c r="O82" s="29"/>
    </row>
    <row r="83" spans="1:21" ht="21.5" customHeight="1">
      <c r="A83" s="56" t="s">
        <v>221</v>
      </c>
      <c r="B83" s="71" t="s">
        <v>488</v>
      </c>
      <c r="K83" s="67">
        <v>0</v>
      </c>
      <c r="L83" s="57">
        <v>5</v>
      </c>
      <c r="M83" s="29"/>
      <c r="N83" s="29"/>
      <c r="O83" s="29"/>
    </row>
    <row r="84" spans="1:21" ht="21.5" customHeight="1">
      <c r="A84" s="56" t="s">
        <v>223</v>
      </c>
      <c r="B84" s="71" t="s">
        <v>488</v>
      </c>
      <c r="K84" s="67">
        <v>0</v>
      </c>
      <c r="L84" s="57">
        <v>46</v>
      </c>
      <c r="M84" s="29"/>
      <c r="N84" s="29"/>
      <c r="O84" s="29"/>
    </row>
    <row r="85" spans="1:21" ht="21.5" customHeight="1">
      <c r="A85" s="56" t="s">
        <v>224</v>
      </c>
      <c r="B85" s="71" t="s">
        <v>488</v>
      </c>
      <c r="K85" s="57">
        <v>108</v>
      </c>
      <c r="L85" s="57">
        <v>1964</v>
      </c>
      <c r="M85" s="29"/>
      <c r="N85" s="29"/>
      <c r="O85" s="29"/>
    </row>
    <row r="86" spans="1:21" ht="21.5" customHeight="1">
      <c r="A86" s="56" t="s">
        <v>225</v>
      </c>
      <c r="B86" s="71" t="s">
        <v>488</v>
      </c>
      <c r="K86" s="67">
        <v>0</v>
      </c>
      <c r="L86" s="57">
        <v>2</v>
      </c>
      <c r="M86" s="29"/>
      <c r="N86" s="29"/>
      <c r="O86" s="29"/>
    </row>
    <row r="87" spans="1:21" ht="21.5" customHeight="1">
      <c r="A87" s="56" t="s">
        <v>227</v>
      </c>
      <c r="B87" s="71" t="s">
        <v>488</v>
      </c>
      <c r="K87" s="67">
        <v>0</v>
      </c>
      <c r="L87" s="57">
        <v>3350</v>
      </c>
      <c r="M87" s="29"/>
      <c r="N87" s="29"/>
      <c r="O87" s="29"/>
    </row>
    <row r="88" spans="1:21" ht="21.5" customHeight="1">
      <c r="A88" s="56" t="s">
        <v>229</v>
      </c>
      <c r="B88" s="71" t="s">
        <v>488</v>
      </c>
      <c r="K88" s="67">
        <v>0</v>
      </c>
      <c r="L88" s="57">
        <v>60</v>
      </c>
      <c r="M88" s="29"/>
      <c r="N88" s="29"/>
      <c r="O88" s="29"/>
    </row>
    <row r="89" spans="1:21" ht="21.5" customHeight="1">
      <c r="A89" s="56" t="s">
        <v>489</v>
      </c>
      <c r="B89" s="71" t="s">
        <v>488</v>
      </c>
      <c r="K89" s="67">
        <v>0</v>
      </c>
      <c r="L89" s="57">
        <v>-1265</v>
      </c>
      <c r="M89" s="29"/>
      <c r="N89" s="29"/>
      <c r="O89" s="29"/>
    </row>
    <row r="90" spans="1:21" ht="21.5" customHeight="1">
      <c r="A90" s="51" t="s">
        <v>218</v>
      </c>
      <c r="B90" s="58" t="s">
        <v>488</v>
      </c>
      <c r="C90" s="52"/>
      <c r="D90" s="52"/>
      <c r="E90" s="52"/>
      <c r="F90" s="52"/>
      <c r="G90" s="52"/>
      <c r="H90" s="52"/>
      <c r="I90" s="52"/>
      <c r="J90" s="52"/>
      <c r="K90" s="53">
        <v>131</v>
      </c>
      <c r="L90" s="53">
        <v>5342</v>
      </c>
      <c r="M90" s="32"/>
      <c r="N90" s="32"/>
      <c r="O90" s="32"/>
      <c r="P90" s="52"/>
      <c r="Q90" s="52"/>
      <c r="R90" s="52"/>
      <c r="S90" s="52"/>
      <c r="T90" s="52"/>
      <c r="U90" s="52"/>
    </row>
    <row r="91" spans="1:21" ht="21.5" customHeight="1">
      <c r="A91" s="56" t="s">
        <v>233</v>
      </c>
      <c r="B91" s="71" t="s">
        <v>488</v>
      </c>
      <c r="K91" s="57">
        <v>2</v>
      </c>
      <c r="L91" s="57">
        <v>816</v>
      </c>
      <c r="M91" s="29"/>
      <c r="N91" s="29"/>
      <c r="O91" s="29"/>
    </row>
    <row r="92" spans="1:21" ht="21.5" customHeight="1">
      <c r="A92" s="56" t="s">
        <v>234</v>
      </c>
      <c r="B92" s="71" t="s">
        <v>488</v>
      </c>
      <c r="K92" s="67">
        <v>0</v>
      </c>
      <c r="L92" s="57">
        <v>187</v>
      </c>
      <c r="M92" s="29"/>
      <c r="N92" s="29"/>
      <c r="O92" s="29"/>
    </row>
    <row r="93" spans="1:21" ht="21.5" customHeight="1">
      <c r="A93" s="56" t="s">
        <v>235</v>
      </c>
      <c r="B93" s="71" t="s">
        <v>488</v>
      </c>
      <c r="K93" s="67">
        <v>0</v>
      </c>
      <c r="L93" s="57">
        <v>398</v>
      </c>
      <c r="M93" s="29"/>
      <c r="N93" s="29"/>
      <c r="O93" s="29"/>
    </row>
    <row r="94" spans="1:21" ht="21.5" customHeight="1">
      <c r="A94" s="56" t="s">
        <v>236</v>
      </c>
      <c r="B94" s="71" t="s">
        <v>488</v>
      </c>
      <c r="K94" s="67">
        <v>0</v>
      </c>
      <c r="L94" s="57">
        <v>5</v>
      </c>
      <c r="M94" s="29"/>
      <c r="N94" s="29"/>
      <c r="O94" s="29"/>
    </row>
    <row r="95" spans="1:21" ht="21.5" customHeight="1">
      <c r="A95" s="56" t="s">
        <v>240</v>
      </c>
      <c r="B95" s="71" t="s">
        <v>488</v>
      </c>
      <c r="K95" s="67">
        <v>0</v>
      </c>
      <c r="L95" s="57">
        <v>850</v>
      </c>
      <c r="M95" s="29"/>
      <c r="N95" s="29"/>
      <c r="O95" s="29"/>
    </row>
    <row r="96" spans="1:21" ht="21.5" customHeight="1">
      <c r="A96" s="56" t="s">
        <v>241</v>
      </c>
      <c r="B96" s="71" t="s">
        <v>488</v>
      </c>
      <c r="K96" s="57">
        <v>1</v>
      </c>
      <c r="L96" s="57">
        <v>154</v>
      </c>
      <c r="M96" s="29"/>
      <c r="N96" s="29"/>
      <c r="O96" s="29"/>
    </row>
    <row r="97" spans="1:21" ht="21.5" customHeight="1">
      <c r="A97" s="56" t="s">
        <v>242</v>
      </c>
      <c r="B97" s="71" t="s">
        <v>488</v>
      </c>
      <c r="K97" s="67">
        <v>0</v>
      </c>
      <c r="L97" s="57">
        <v>160</v>
      </c>
      <c r="M97" s="29"/>
      <c r="N97" s="29"/>
      <c r="O97" s="29"/>
    </row>
    <row r="98" spans="1:21" ht="21.5" customHeight="1">
      <c r="A98" s="51" t="s">
        <v>237</v>
      </c>
      <c r="B98" s="58" t="s">
        <v>488</v>
      </c>
      <c r="C98" s="52"/>
      <c r="D98" s="52"/>
      <c r="E98" s="52"/>
      <c r="F98" s="52"/>
      <c r="G98" s="52"/>
      <c r="H98" s="52"/>
      <c r="I98" s="52"/>
      <c r="J98" s="52"/>
      <c r="K98" s="53">
        <v>3</v>
      </c>
      <c r="L98" s="53">
        <v>2570</v>
      </c>
      <c r="M98" s="32"/>
      <c r="N98" s="32"/>
      <c r="O98" s="32"/>
      <c r="P98" s="52"/>
      <c r="Q98" s="52"/>
      <c r="R98" s="52"/>
      <c r="S98" s="52"/>
      <c r="T98" s="52"/>
      <c r="U98" s="52"/>
    </row>
    <row r="99" spans="1:21" ht="10" customHeight="1">
      <c r="M99" s="29"/>
      <c r="N99" s="29"/>
      <c r="O99" s="29"/>
    </row>
    <row r="100" spans="1:21" ht="10" customHeight="1"/>
    <row r="101" spans="1:21" ht="10" customHeight="1"/>
    <row r="102" spans="1:21" ht="22" customHeight="1">
      <c r="A102" s="17" t="str">
        <f>HYPERLINK("#'Note Schedules'!A104","Supplement: equity investment carrying values and differences")</f>
        <v>Supplement: equity investment carrying values and differences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</row>
    <row r="103" spans="1:21" ht="10" customHeight="1"/>
    <row r="104" spans="1:21" ht="37" customHeight="1">
      <c r="A104" s="28" t="s">
        <v>490</v>
      </c>
      <c r="B104" s="28" t="s">
        <v>491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</row>
    <row r="105" spans="1:21" ht="10" customHeight="1"/>
    <row r="106" spans="1:21" ht="21.5" customHeight="1">
      <c r="A106" s="56" t="s">
        <v>492</v>
      </c>
      <c r="L106" s="57">
        <v>5593</v>
      </c>
    </row>
    <row r="107" spans="1:21" ht="37" customHeight="1">
      <c r="A107" s="56" t="s">
        <v>493</v>
      </c>
      <c r="L107" s="74">
        <f>L27-L106</f>
        <v>10066</v>
      </c>
    </row>
    <row r="108" spans="1:21" ht="21.5" customHeight="1">
      <c r="A108" s="56" t="s">
        <v>494</v>
      </c>
      <c r="L108" s="57">
        <v>3926</v>
      </c>
    </row>
    <row r="109" spans="1:21" ht="37" customHeight="1">
      <c r="A109" s="56" t="s">
        <v>495</v>
      </c>
      <c r="L109" s="74">
        <f>L28-L108</f>
        <v>3237</v>
      </c>
    </row>
    <row r="110" spans="1:21" ht="21.5" customHeight="1">
      <c r="A110" s="56" t="s">
        <v>496</v>
      </c>
      <c r="L110" s="57">
        <v>2236</v>
      </c>
    </row>
    <row r="111" spans="1:21" ht="37" customHeight="1">
      <c r="A111" s="56" t="s">
        <v>497</v>
      </c>
      <c r="L111" s="74">
        <f>L29-L110</f>
        <v>3307</v>
      </c>
    </row>
    <row r="112" spans="1:21" ht="21.5" customHeight="1">
      <c r="A112" s="56" t="s">
        <v>498</v>
      </c>
      <c r="L112" s="57">
        <v>1391</v>
      </c>
    </row>
    <row r="113" spans="1:21" ht="21.5" customHeight="1">
      <c r="A113" s="56" t="s">
        <v>499</v>
      </c>
      <c r="L113" s="74">
        <f>L30-L112</f>
        <v>2660</v>
      </c>
    </row>
    <row r="114" spans="1:21" ht="21.5" customHeight="1">
      <c r="A114" s="56" t="s">
        <v>500</v>
      </c>
      <c r="L114" s="57">
        <v>459</v>
      </c>
    </row>
    <row r="115" spans="1:21" ht="37" customHeight="1">
      <c r="A115" s="56" t="s">
        <v>501</v>
      </c>
      <c r="L115" s="74">
        <f>L31-L114</f>
        <v>363</v>
      </c>
    </row>
    <row r="116" spans="1:21" ht="21.5" customHeight="1">
      <c r="A116" s="56" t="s">
        <v>502</v>
      </c>
      <c r="L116" s="57">
        <v>288</v>
      </c>
    </row>
    <row r="117" spans="1:21" ht="21.5" customHeight="1">
      <c r="A117" s="56" t="s">
        <v>503</v>
      </c>
      <c r="L117" s="74">
        <f>L32-L116</f>
        <v>482</v>
      </c>
    </row>
    <row r="118" spans="1:21" ht="21.5" customHeight="1">
      <c r="A118" s="56" t="s">
        <v>504</v>
      </c>
      <c r="L118" s="57">
        <v>106</v>
      </c>
    </row>
    <row r="119" spans="1:21" ht="21.5" customHeight="1">
      <c r="A119" s="56" t="s">
        <v>505</v>
      </c>
      <c r="L119" s="74">
        <f>L33-L118</f>
        <v>172</v>
      </c>
    </row>
    <row r="120" spans="1:21" ht="10" customHeight="1"/>
    <row r="121" spans="1:21" ht="10" customHeight="1"/>
    <row r="122" spans="1:21" ht="10" customHeight="1"/>
    <row r="123" spans="1:21" ht="21.5" customHeight="1">
      <c r="A123" s="100" t="s">
        <v>506</v>
      </c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72">
        <f>L27+L28+L29+L30+L31+L32+L33</f>
        <v>34286</v>
      </c>
      <c r="P123" s="52"/>
      <c r="Q123" s="52"/>
      <c r="R123" s="52"/>
      <c r="S123" s="52"/>
      <c r="T123" s="52"/>
      <c r="U123" s="52"/>
    </row>
    <row r="124" spans="1:21" ht="21.5" customHeight="1">
      <c r="A124" s="100" t="s">
        <v>507</v>
      </c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72">
        <f>L106+L108+L110+L112+L114+L116+L118</f>
        <v>13999</v>
      </c>
      <c r="P124" s="52"/>
      <c r="Q124" s="52"/>
      <c r="R124" s="52"/>
      <c r="S124" s="52"/>
      <c r="T124" s="52"/>
      <c r="U124" s="52"/>
    </row>
    <row r="125" spans="1:21" ht="21.5" customHeight="1">
      <c r="A125" s="100" t="s">
        <v>508</v>
      </c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72">
        <f>L107+L109+L111+L113+L115+L117+L119</f>
        <v>20287</v>
      </c>
      <c r="P125" s="52"/>
      <c r="Q125" s="52"/>
      <c r="R125" s="52"/>
      <c r="S125" s="52"/>
      <c r="T125" s="52"/>
      <c r="U125" s="52"/>
    </row>
    <row r="126" spans="1:21" ht="21.5" customHeight="1">
      <c r="A126" s="101" t="s">
        <v>509</v>
      </c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5">
        <f>L123-L124-L125</f>
        <v>0</v>
      </c>
      <c r="P126" s="64"/>
      <c r="Q126" s="64"/>
      <c r="R126" s="64"/>
      <c r="S126" s="64"/>
      <c r="T126" s="64"/>
      <c r="U126" s="64"/>
    </row>
  </sheetData>
  <mergeCells count="18">
    <mergeCell ref="A7:U7"/>
    <mergeCell ref="A11:U11"/>
    <mergeCell ref="A10:U10"/>
    <mergeCell ref="A13:U13"/>
    <mergeCell ref="A102:U102"/>
    <mergeCell ref="A78:U78"/>
    <mergeCell ref="A1:U1"/>
    <mergeCell ref="A40:U40"/>
    <mergeCell ref="A9:U9"/>
    <mergeCell ref="A67:U67"/>
    <mergeCell ref="A8:U8"/>
    <mergeCell ref="A6:U6"/>
    <mergeCell ref="A12:U12"/>
    <mergeCell ref="A35:U35"/>
    <mergeCell ref="A26:U26"/>
    <mergeCell ref="A2:U2"/>
    <mergeCell ref="A54:U54"/>
    <mergeCell ref="A15:U15"/>
  </mergeCells>
  <phoneticPr fontId="9" type="noConversion"/>
  <conditionalFormatting sqref="C24:U24">
    <cfRule type="cellIs" dxfId="1" priority="1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18096"/>
    <pageSetUpPr fitToPage="1"/>
  </sheetPr>
  <dimension ref="A1:H70"/>
  <sheetViews>
    <sheetView showGridLines="0" zoomScaleNormal="100" workbookViewId="0">
      <pane xSplit="2" ySplit="4" topLeftCell="C24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4"/>
  <cols>
    <col min="1" max="1" width="25" customWidth="1"/>
    <col min="2" max="2" width="36" customWidth="1"/>
    <col min="3" max="3" width="84" customWidth="1"/>
    <col min="4" max="4" width="45" customWidth="1"/>
    <col min="5" max="5" width="43" customWidth="1"/>
    <col min="6" max="8" width="2" customWidth="1"/>
  </cols>
  <sheetData>
    <row r="1" spans="1:8" ht="36" customHeight="1">
      <c r="A1" s="22" t="s">
        <v>510</v>
      </c>
      <c r="B1" s="23"/>
      <c r="C1" s="23"/>
      <c r="D1" s="23"/>
      <c r="E1" s="23"/>
      <c r="F1" s="27"/>
      <c r="G1" s="27"/>
      <c r="H1" s="27"/>
    </row>
    <row r="2" spans="1:8" ht="21" customHeight="1">
      <c r="A2" s="23" t="s">
        <v>1</v>
      </c>
      <c r="B2" s="22"/>
      <c r="C2" s="22"/>
      <c r="D2" s="22"/>
      <c r="E2" s="22"/>
    </row>
    <row r="3" spans="1:8" ht="10" customHeight="1"/>
    <row r="4" spans="1:8" ht="25" customHeight="1">
      <c r="A4" s="102" t="s">
        <v>511</v>
      </c>
      <c r="B4" s="102" t="s">
        <v>512</v>
      </c>
      <c r="C4" s="102" t="s">
        <v>513</v>
      </c>
      <c r="D4" s="102" t="s">
        <v>514</v>
      </c>
      <c r="E4" s="102" t="s">
        <v>515</v>
      </c>
    </row>
    <row r="5" spans="1:8" ht="37" customHeight="1">
      <c r="A5" s="103" t="s">
        <v>516</v>
      </c>
      <c r="B5" s="104" t="s">
        <v>517</v>
      </c>
      <c r="C5" s="104" t="s">
        <v>518</v>
      </c>
      <c r="D5" s="104" t="s">
        <v>519</v>
      </c>
      <c r="E5" s="104" t="s">
        <v>520</v>
      </c>
    </row>
    <row r="6" spans="1:8" ht="37" customHeight="1">
      <c r="A6" s="105" t="s">
        <v>521</v>
      </c>
      <c r="B6" s="106" t="s">
        <v>522</v>
      </c>
      <c r="C6" s="106" t="s">
        <v>523</v>
      </c>
      <c r="D6" s="106" t="s">
        <v>524</v>
      </c>
      <c r="E6" s="106" t="s">
        <v>525</v>
      </c>
    </row>
    <row r="7" spans="1:8" ht="37" customHeight="1">
      <c r="A7" s="103" t="s">
        <v>526</v>
      </c>
      <c r="B7" s="104" t="s">
        <v>527</v>
      </c>
      <c r="C7" s="104" t="s">
        <v>528</v>
      </c>
      <c r="D7" s="104" t="s">
        <v>529</v>
      </c>
      <c r="E7" s="104" t="s">
        <v>530</v>
      </c>
    </row>
    <row r="8" spans="1:8" ht="37" customHeight="1">
      <c r="A8" s="105" t="s">
        <v>531</v>
      </c>
      <c r="B8" s="106" t="s">
        <v>532</v>
      </c>
      <c r="C8" s="106" t="s">
        <v>533</v>
      </c>
      <c r="D8" s="106" t="s">
        <v>534</v>
      </c>
      <c r="E8" s="106" t="s">
        <v>535</v>
      </c>
    </row>
    <row r="9" spans="1:8" ht="37" customHeight="1">
      <c r="A9" s="103" t="s">
        <v>536</v>
      </c>
      <c r="B9" s="104" t="s">
        <v>537</v>
      </c>
      <c r="C9" s="104" t="s">
        <v>538</v>
      </c>
      <c r="D9" s="104" t="s">
        <v>539</v>
      </c>
      <c r="E9" s="104" t="s">
        <v>540</v>
      </c>
    </row>
    <row r="10" spans="1:8" ht="37" customHeight="1">
      <c r="A10" s="105" t="s">
        <v>541</v>
      </c>
      <c r="B10" s="106" t="s">
        <v>542</v>
      </c>
      <c r="C10" s="106" t="s">
        <v>543</v>
      </c>
      <c r="D10" s="106" t="s">
        <v>544</v>
      </c>
      <c r="E10" s="106" t="s">
        <v>545</v>
      </c>
    </row>
    <row r="11" spans="1:8" ht="37" customHeight="1">
      <c r="A11" s="103" t="s">
        <v>546</v>
      </c>
      <c r="B11" s="104" t="s">
        <v>547</v>
      </c>
      <c r="C11" s="104" t="s">
        <v>548</v>
      </c>
      <c r="D11" s="104" t="s">
        <v>549</v>
      </c>
      <c r="E11" s="104" t="s">
        <v>550</v>
      </c>
    </row>
    <row r="12" spans="1:8" ht="37" customHeight="1">
      <c r="A12" s="105" t="s">
        <v>551</v>
      </c>
      <c r="B12" s="106" t="s">
        <v>552</v>
      </c>
      <c r="C12" s="106" t="s">
        <v>553</v>
      </c>
      <c r="D12" s="106" t="s">
        <v>554</v>
      </c>
      <c r="E12" s="106" t="s">
        <v>555</v>
      </c>
    </row>
    <row r="13" spans="1:8" ht="37" customHeight="1">
      <c r="A13" s="103" t="s">
        <v>556</v>
      </c>
      <c r="B13" s="104" t="s">
        <v>557</v>
      </c>
      <c r="C13" s="104" t="s">
        <v>558</v>
      </c>
      <c r="D13" s="104" t="s">
        <v>559</v>
      </c>
      <c r="E13" s="104" t="s">
        <v>560</v>
      </c>
    </row>
    <row r="14" spans="1:8" ht="37" customHeight="1">
      <c r="A14" s="105" t="s">
        <v>561</v>
      </c>
      <c r="B14" s="106" t="s">
        <v>562</v>
      </c>
      <c r="C14" s="106" t="s">
        <v>563</v>
      </c>
      <c r="D14" s="106" t="s">
        <v>564</v>
      </c>
      <c r="E14" s="106" t="s">
        <v>565</v>
      </c>
    </row>
    <row r="15" spans="1:8" ht="37" customHeight="1">
      <c r="A15" s="103" t="s">
        <v>566</v>
      </c>
      <c r="B15" s="104" t="s">
        <v>567</v>
      </c>
      <c r="C15" s="104" t="s">
        <v>568</v>
      </c>
      <c r="D15" s="104" t="s">
        <v>569</v>
      </c>
      <c r="E15" s="104" t="s">
        <v>570</v>
      </c>
    </row>
    <row r="16" spans="1:8" ht="37" customHeight="1">
      <c r="A16" s="105" t="s">
        <v>571</v>
      </c>
      <c r="B16" s="106" t="s">
        <v>572</v>
      </c>
      <c r="C16" s="106" t="s">
        <v>573</v>
      </c>
      <c r="D16" s="106" t="s">
        <v>574</v>
      </c>
      <c r="E16" s="106" t="s">
        <v>575</v>
      </c>
    </row>
    <row r="17" spans="1:5" ht="37" customHeight="1">
      <c r="A17" s="103" t="s">
        <v>576</v>
      </c>
      <c r="B17" s="104" t="s">
        <v>577</v>
      </c>
      <c r="C17" s="104" t="s">
        <v>578</v>
      </c>
      <c r="D17" s="104" t="s">
        <v>579</v>
      </c>
      <c r="E17" s="104" t="s">
        <v>580</v>
      </c>
    </row>
    <row r="18" spans="1:5" ht="37" customHeight="1">
      <c r="A18" s="105" t="s">
        <v>581</v>
      </c>
      <c r="B18" s="106" t="s">
        <v>582</v>
      </c>
      <c r="C18" s="106" t="s">
        <v>583</v>
      </c>
      <c r="D18" s="106" t="s">
        <v>584</v>
      </c>
      <c r="E18" s="106" t="s">
        <v>580</v>
      </c>
    </row>
    <row r="19" spans="1:5" ht="37" customHeight="1">
      <c r="A19" s="103" t="s">
        <v>585</v>
      </c>
      <c r="B19" s="104" t="s">
        <v>586</v>
      </c>
      <c r="C19" s="104" t="s">
        <v>587</v>
      </c>
      <c r="D19" s="104" t="s">
        <v>588</v>
      </c>
      <c r="E19" s="104" t="s">
        <v>589</v>
      </c>
    </row>
    <row r="20" spans="1:5" ht="37" customHeight="1">
      <c r="A20" s="105" t="s">
        <v>590</v>
      </c>
      <c r="B20" s="106" t="s">
        <v>591</v>
      </c>
      <c r="C20" s="106" t="s">
        <v>592</v>
      </c>
      <c r="D20" s="106" t="s">
        <v>593</v>
      </c>
      <c r="E20" s="106" t="s">
        <v>570</v>
      </c>
    </row>
    <row r="21" spans="1:5" ht="10" customHeight="1"/>
    <row r="22" spans="1:5" ht="29" customHeight="1">
      <c r="A22" s="23" t="s">
        <v>594</v>
      </c>
      <c r="B22" s="23"/>
      <c r="C22" s="23"/>
      <c r="D22" s="23"/>
      <c r="E22" s="23"/>
    </row>
    <row r="23" spans="1:5" ht="25" customHeight="1">
      <c r="A23" s="102" t="s">
        <v>595</v>
      </c>
      <c r="B23" s="102" t="s">
        <v>596</v>
      </c>
      <c r="C23" s="102" t="s">
        <v>597</v>
      </c>
      <c r="D23" s="102" t="s">
        <v>598</v>
      </c>
      <c r="E23" s="102" t="s">
        <v>599</v>
      </c>
    </row>
    <row r="24" spans="1:5" ht="25" customHeight="1">
      <c r="A24" s="107" t="s">
        <v>2</v>
      </c>
      <c r="B24" s="108" t="s">
        <v>600</v>
      </c>
      <c r="C24" s="108" t="s">
        <v>601</v>
      </c>
      <c r="D24" s="108" t="s">
        <v>602</v>
      </c>
      <c r="E24" s="108" t="s">
        <v>600</v>
      </c>
    </row>
    <row r="25" spans="1:5" ht="25" customHeight="1">
      <c r="A25" s="109" t="s">
        <v>3</v>
      </c>
      <c r="B25" s="110" t="s">
        <v>603</v>
      </c>
      <c r="C25" s="110" t="s">
        <v>600</v>
      </c>
      <c r="D25" s="110" t="s">
        <v>604</v>
      </c>
      <c r="E25" s="110" t="s">
        <v>603</v>
      </c>
    </row>
    <row r="26" spans="1:5" ht="25" customHeight="1">
      <c r="A26" s="107" t="s">
        <v>4</v>
      </c>
      <c r="B26" s="108" t="s">
        <v>605</v>
      </c>
      <c r="C26" s="108" t="s">
        <v>603</v>
      </c>
      <c r="D26" s="108" t="s">
        <v>606</v>
      </c>
      <c r="E26" s="108" t="s">
        <v>605</v>
      </c>
    </row>
    <row r="27" spans="1:5" ht="25" customHeight="1">
      <c r="A27" s="109" t="s">
        <v>5</v>
      </c>
      <c r="B27" s="110" t="s">
        <v>607</v>
      </c>
      <c r="C27" s="110" t="s">
        <v>605</v>
      </c>
      <c r="D27" s="110" t="s">
        <v>608</v>
      </c>
      <c r="E27" s="110" t="s">
        <v>607</v>
      </c>
    </row>
    <row r="28" spans="1:5" ht="25" customHeight="1">
      <c r="A28" s="107" t="s">
        <v>6</v>
      </c>
      <c r="B28" s="108" t="s">
        <v>609</v>
      </c>
      <c r="C28" s="108" t="s">
        <v>607</v>
      </c>
      <c r="D28" s="108" t="s">
        <v>610</v>
      </c>
      <c r="E28" s="108" t="s">
        <v>609</v>
      </c>
    </row>
    <row r="29" spans="1:5" ht="25" customHeight="1">
      <c r="A29" s="109" t="s">
        <v>7</v>
      </c>
      <c r="B29" s="110" t="s">
        <v>611</v>
      </c>
      <c r="C29" s="110" t="s">
        <v>609</v>
      </c>
      <c r="D29" s="110" t="s">
        <v>612</v>
      </c>
      <c r="E29" s="110" t="s">
        <v>611</v>
      </c>
    </row>
    <row r="30" spans="1:5" ht="25" customHeight="1">
      <c r="A30" s="107" t="s">
        <v>8</v>
      </c>
      <c r="B30" s="108" t="s">
        <v>613</v>
      </c>
      <c r="C30" s="108" t="s">
        <v>611</v>
      </c>
      <c r="D30" s="108" t="s">
        <v>614</v>
      </c>
      <c r="E30" s="108" t="s">
        <v>613</v>
      </c>
    </row>
    <row r="31" spans="1:5" ht="25" customHeight="1">
      <c r="A31" s="109" t="s">
        <v>9</v>
      </c>
      <c r="B31" s="110" t="s">
        <v>615</v>
      </c>
      <c r="C31" s="110" t="s">
        <v>613</v>
      </c>
      <c r="D31" s="110" t="s">
        <v>616</v>
      </c>
      <c r="E31" s="110" t="s">
        <v>615</v>
      </c>
    </row>
    <row r="32" spans="1:5" ht="25" customHeight="1">
      <c r="A32" s="107" t="s">
        <v>10</v>
      </c>
      <c r="B32" s="108" t="s">
        <v>615</v>
      </c>
      <c r="C32" s="108" t="s">
        <v>615</v>
      </c>
      <c r="D32" s="108" t="s">
        <v>616</v>
      </c>
      <c r="E32" s="108" t="s">
        <v>615</v>
      </c>
    </row>
    <row r="33" spans="1:5" ht="25" customHeight="1">
      <c r="A33" s="109" t="s">
        <v>11</v>
      </c>
      <c r="B33" s="110" t="s">
        <v>615</v>
      </c>
      <c r="C33" s="110" t="s">
        <v>615</v>
      </c>
      <c r="D33" s="110" t="s">
        <v>617</v>
      </c>
      <c r="E33" s="110" t="s">
        <v>615</v>
      </c>
    </row>
    <row r="34" spans="1:5" ht="10" customHeight="1"/>
    <row r="35" spans="1:5" ht="29" customHeight="1">
      <c r="A35" s="23" t="s">
        <v>618</v>
      </c>
      <c r="B35" s="23"/>
      <c r="C35" s="23"/>
      <c r="D35" s="23"/>
      <c r="E35" s="23"/>
    </row>
    <row r="36" spans="1:5" ht="25" customHeight="1">
      <c r="A36" s="107" t="s">
        <v>13</v>
      </c>
      <c r="B36" s="108" t="s">
        <v>566</v>
      </c>
      <c r="C36" s="108" t="s">
        <v>619</v>
      </c>
      <c r="D36" s="24"/>
      <c r="E36" s="24"/>
    </row>
    <row r="37" spans="1:5" ht="25" customHeight="1">
      <c r="A37" s="109" t="s">
        <v>14</v>
      </c>
      <c r="B37" s="110" t="s">
        <v>571</v>
      </c>
      <c r="C37" s="110" t="s">
        <v>620</v>
      </c>
      <c r="D37" s="25"/>
      <c r="E37" s="25"/>
    </row>
    <row r="38" spans="1:5" ht="25" customHeight="1">
      <c r="A38" s="107" t="s">
        <v>15</v>
      </c>
      <c r="B38" s="108" t="s">
        <v>576</v>
      </c>
      <c r="C38" s="108" t="s">
        <v>621</v>
      </c>
      <c r="D38" s="24"/>
      <c r="E38" s="24"/>
    </row>
    <row r="39" spans="1:5" ht="25" customHeight="1">
      <c r="A39" s="109" t="s">
        <v>16</v>
      </c>
      <c r="B39" s="110" t="s">
        <v>581</v>
      </c>
      <c r="C39" s="110" t="s">
        <v>622</v>
      </c>
      <c r="D39" s="25"/>
      <c r="E39" s="25"/>
    </row>
    <row r="40" spans="1:5" ht="25" customHeight="1">
      <c r="A40" s="107" t="s">
        <v>17</v>
      </c>
      <c r="B40" s="108" t="s">
        <v>585</v>
      </c>
      <c r="C40" s="108" t="s">
        <v>623</v>
      </c>
      <c r="D40" s="24"/>
      <c r="E40" s="24"/>
    </row>
    <row r="41" spans="1:5" ht="25" customHeight="1">
      <c r="A41" s="109" t="s">
        <v>18</v>
      </c>
      <c r="B41" s="110" t="s">
        <v>590</v>
      </c>
      <c r="C41" s="110" t="s">
        <v>624</v>
      </c>
      <c r="D41" s="25"/>
      <c r="E41" s="25"/>
    </row>
    <row r="42" spans="1:5" ht="10" customHeight="1"/>
    <row r="43" spans="1:5" ht="29" customHeight="1">
      <c r="A43" s="23" t="s">
        <v>625</v>
      </c>
      <c r="B43" s="23"/>
      <c r="C43" s="23"/>
      <c r="D43" s="23"/>
      <c r="E43" s="23"/>
    </row>
    <row r="44" spans="1:5" ht="25" customHeight="1">
      <c r="A44" s="102" t="s">
        <v>595</v>
      </c>
      <c r="B44" s="102" t="s">
        <v>626</v>
      </c>
      <c r="C44" s="102" t="s">
        <v>627</v>
      </c>
      <c r="D44" s="102" t="s">
        <v>628</v>
      </c>
      <c r="E44" s="102" t="s">
        <v>629</v>
      </c>
    </row>
    <row r="45" spans="1:5" ht="25" customHeight="1">
      <c r="A45" s="109" t="s">
        <v>2</v>
      </c>
      <c r="B45" s="110" t="s">
        <v>444</v>
      </c>
      <c r="C45" s="111">
        <v>8626</v>
      </c>
      <c r="D45" s="111">
        <v>8657</v>
      </c>
      <c r="E45" s="110" t="s">
        <v>630</v>
      </c>
    </row>
    <row r="46" spans="1:5" ht="25" customHeight="1">
      <c r="A46" s="107" t="s">
        <v>3</v>
      </c>
      <c r="B46" s="108" t="s">
        <v>441</v>
      </c>
      <c r="C46" s="112">
        <v>35410</v>
      </c>
      <c r="D46" s="112">
        <v>36212</v>
      </c>
      <c r="E46" s="108" t="s">
        <v>631</v>
      </c>
    </row>
    <row r="47" spans="1:5" ht="25" customHeight="1">
      <c r="A47" s="109" t="s">
        <v>3</v>
      </c>
      <c r="B47" s="110" t="s">
        <v>444</v>
      </c>
      <c r="C47" s="111">
        <v>7501</v>
      </c>
      <c r="D47" s="111">
        <v>7755</v>
      </c>
      <c r="E47" s="110" t="s">
        <v>631</v>
      </c>
    </row>
    <row r="48" spans="1:5" ht="25" customHeight="1">
      <c r="A48" s="107" t="s">
        <v>4</v>
      </c>
      <c r="B48" s="108" t="s">
        <v>441</v>
      </c>
      <c r="C48" s="112">
        <v>31856</v>
      </c>
      <c r="D48" s="112">
        <v>34300</v>
      </c>
      <c r="E48" s="108" t="s">
        <v>632</v>
      </c>
    </row>
    <row r="49" spans="1:5" ht="25" customHeight="1">
      <c r="A49" s="109" t="s">
        <v>4</v>
      </c>
      <c r="B49" s="110" t="s">
        <v>444</v>
      </c>
      <c r="C49" s="111">
        <v>8700</v>
      </c>
      <c r="D49" s="111">
        <v>9152</v>
      </c>
      <c r="E49" s="110" t="s">
        <v>632</v>
      </c>
    </row>
    <row r="50" spans="1:5" ht="37" customHeight="1">
      <c r="A50" s="107" t="s">
        <v>2</v>
      </c>
      <c r="B50" s="108" t="s">
        <v>633</v>
      </c>
      <c r="C50" s="112">
        <v>8796</v>
      </c>
      <c r="D50" s="112">
        <v>8792</v>
      </c>
      <c r="E50" s="108" t="s">
        <v>630</v>
      </c>
    </row>
    <row r="51" spans="1:5" ht="37" customHeight="1">
      <c r="A51" s="109" t="s">
        <v>3</v>
      </c>
      <c r="B51" s="110" t="s">
        <v>633</v>
      </c>
      <c r="C51" s="111">
        <v>6995</v>
      </c>
      <c r="D51" s="111">
        <v>7041</v>
      </c>
      <c r="E51" s="110" t="s">
        <v>631</v>
      </c>
    </row>
    <row r="52" spans="1:5" ht="37" customHeight="1">
      <c r="A52" s="107" t="s">
        <v>4</v>
      </c>
      <c r="B52" s="108" t="s">
        <v>633</v>
      </c>
      <c r="C52" s="112">
        <v>7320</v>
      </c>
      <c r="D52" s="112">
        <v>7627</v>
      </c>
      <c r="E52" s="108" t="s">
        <v>632</v>
      </c>
    </row>
    <row r="53" spans="1:5" ht="10" customHeight="1"/>
    <row r="54" spans="1:5" ht="29" customHeight="1">
      <c r="A54" s="23" t="s">
        <v>634</v>
      </c>
      <c r="B54" s="23"/>
      <c r="C54" s="23"/>
      <c r="D54" s="23"/>
      <c r="E54" s="23"/>
    </row>
    <row r="55" spans="1:5" ht="37" customHeight="1">
      <c r="A55" s="113"/>
      <c r="B55" s="12" t="s">
        <v>635</v>
      </c>
      <c r="C55" s="22"/>
      <c r="D55" s="22"/>
      <c r="E55" s="22"/>
    </row>
    <row r="56" spans="1:5" ht="10" customHeight="1"/>
    <row r="57" spans="1:5" ht="37" customHeight="1">
      <c r="A57" s="102" t="s">
        <v>636</v>
      </c>
      <c r="B57" s="102" t="s">
        <v>637</v>
      </c>
      <c r="C57" s="102" t="s">
        <v>638</v>
      </c>
      <c r="D57" s="102" t="s">
        <v>639</v>
      </c>
      <c r="E57" s="102" t="s">
        <v>640</v>
      </c>
    </row>
    <row r="58" spans="1:5" ht="68" customHeight="1">
      <c r="A58" s="105" t="s">
        <v>143</v>
      </c>
      <c r="B58" s="106" t="s">
        <v>568</v>
      </c>
      <c r="C58" s="106" t="s">
        <v>641</v>
      </c>
      <c r="D58" s="106" t="s">
        <v>13</v>
      </c>
      <c r="E58" s="106" t="s">
        <v>642</v>
      </c>
    </row>
    <row r="59" spans="1:5" ht="68" customHeight="1">
      <c r="A59" s="103" t="s">
        <v>143</v>
      </c>
      <c r="B59" s="104" t="s">
        <v>573</v>
      </c>
      <c r="C59" s="104" t="s">
        <v>643</v>
      </c>
      <c r="D59" s="104" t="s">
        <v>14</v>
      </c>
      <c r="E59" s="104" t="s">
        <v>644</v>
      </c>
    </row>
    <row r="60" spans="1:5" ht="68" customHeight="1">
      <c r="A60" s="105" t="s">
        <v>143</v>
      </c>
      <c r="B60" s="106" t="s">
        <v>578</v>
      </c>
      <c r="C60" s="106" t="s">
        <v>643</v>
      </c>
      <c r="D60" s="106" t="s">
        <v>15</v>
      </c>
      <c r="E60" s="106" t="s">
        <v>644</v>
      </c>
    </row>
    <row r="61" spans="1:5" ht="68" customHeight="1">
      <c r="A61" s="103" t="s">
        <v>143</v>
      </c>
      <c r="B61" s="104" t="s">
        <v>583</v>
      </c>
      <c r="C61" s="104" t="s">
        <v>643</v>
      </c>
      <c r="D61" s="104" t="s">
        <v>16</v>
      </c>
      <c r="E61" s="104" t="s">
        <v>644</v>
      </c>
    </row>
    <row r="62" spans="1:5" ht="68" customHeight="1">
      <c r="A62" s="105" t="s">
        <v>143</v>
      </c>
      <c r="B62" s="106" t="s">
        <v>587</v>
      </c>
      <c r="C62" s="106" t="s">
        <v>645</v>
      </c>
      <c r="D62" s="106" t="s">
        <v>17</v>
      </c>
      <c r="E62" s="106" t="s">
        <v>646</v>
      </c>
    </row>
    <row r="63" spans="1:5" ht="68" customHeight="1">
      <c r="A63" s="103" t="s">
        <v>143</v>
      </c>
      <c r="B63" s="104" t="s">
        <v>592</v>
      </c>
      <c r="C63" s="104" t="s">
        <v>647</v>
      </c>
      <c r="D63" s="104" t="s">
        <v>18</v>
      </c>
      <c r="E63" s="104" t="s">
        <v>648</v>
      </c>
    </row>
    <row r="64" spans="1:5" ht="52.5" customHeight="1">
      <c r="A64" s="107" t="s">
        <v>649</v>
      </c>
      <c r="B64" s="108" t="s">
        <v>650</v>
      </c>
      <c r="C64" s="108" t="s">
        <v>651</v>
      </c>
      <c r="D64" s="108" t="s">
        <v>652</v>
      </c>
      <c r="E64" s="108" t="s">
        <v>653</v>
      </c>
    </row>
    <row r="65" spans="1:5" ht="52.5" customHeight="1">
      <c r="A65" s="109" t="s">
        <v>160</v>
      </c>
      <c r="B65" s="110" t="s">
        <v>654</v>
      </c>
      <c r="C65" s="110" t="s">
        <v>655</v>
      </c>
      <c r="D65" s="110" t="s">
        <v>652</v>
      </c>
      <c r="E65" s="110" t="s">
        <v>656</v>
      </c>
    </row>
    <row r="66" spans="1:5" ht="10" customHeight="1"/>
    <row r="67" spans="1:5" ht="25" customHeight="1">
      <c r="A67" s="109" t="s">
        <v>158</v>
      </c>
      <c r="B67" s="12" t="s">
        <v>657</v>
      </c>
      <c r="C67" s="22"/>
      <c r="D67" s="22"/>
      <c r="E67" s="22"/>
    </row>
    <row r="68" spans="1:5" ht="25" customHeight="1">
      <c r="A68" s="107" t="s">
        <v>658</v>
      </c>
      <c r="B68" s="13" t="s">
        <v>659</v>
      </c>
      <c r="C68" s="22"/>
      <c r="D68" s="22"/>
      <c r="E68" s="22"/>
    </row>
    <row r="69" spans="1:5" ht="25" customHeight="1">
      <c r="A69" s="109" t="s">
        <v>660</v>
      </c>
      <c r="B69" s="12" t="s">
        <v>661</v>
      </c>
      <c r="C69" s="22"/>
      <c r="D69" s="22"/>
      <c r="E69" s="22"/>
    </row>
    <row r="70" spans="1:5" ht="25" customHeight="1">
      <c r="A70" s="107" t="s">
        <v>662</v>
      </c>
      <c r="B70" s="13" t="s">
        <v>663</v>
      </c>
      <c r="C70" s="22"/>
      <c r="D70" s="22"/>
      <c r="E70" s="22"/>
    </row>
  </sheetData>
  <mergeCells count="11">
    <mergeCell ref="B70:E70"/>
    <mergeCell ref="B68:E68"/>
    <mergeCell ref="A1:E1"/>
    <mergeCell ref="B55:E55"/>
    <mergeCell ref="A22:E22"/>
    <mergeCell ref="B67:E67"/>
    <mergeCell ref="A35:E35"/>
    <mergeCell ref="A43:E43"/>
    <mergeCell ref="A2:E2"/>
    <mergeCell ref="A54:E54"/>
    <mergeCell ref="B69:E69"/>
  </mergeCells>
  <phoneticPr fontId="9" type="noConversion"/>
  <pageMargins left="0.25" right="0.25" top="0.4" bottom="0.4" header="0.3" footer="0.3"/>
  <pageSetup paperSize="9" fitToHeight="0" orientation="landscape"/>
  <headerFooter>
    <oddFooter>&amp;L&amp;"Arial"&amp;8 &amp;K64748BKO | Company research&amp;R&amp;8 &amp;K64748BPage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18096"/>
    <outlinePr summaryRight="0"/>
    <pageSetUpPr fitToPage="1"/>
  </sheetPr>
  <dimension ref="A1:J153"/>
  <sheetViews>
    <sheetView showGridLines="0" zoomScaleNormal="100" workbookViewId="0">
      <pane xSplit="4" ySplit="22" topLeftCell="E23" activePane="bottomRight" state="frozen"/>
      <selection pane="topRight"/>
      <selection pane="bottomLeft"/>
      <selection pane="bottomRight" activeCell="G4" sqref="G4"/>
    </sheetView>
  </sheetViews>
  <sheetFormatPr baseColWidth="10" defaultColWidth="8.83203125" defaultRowHeight="14" outlineLevelCol="1"/>
  <cols>
    <col min="1" max="1" width="26" customWidth="1"/>
    <col min="2" max="2" width="12" customWidth="1"/>
    <col min="3" max="3" width="15" customWidth="1"/>
    <col min="4" max="4" width="58" customWidth="1"/>
    <col min="5" max="5" width="18" customWidth="1"/>
    <col min="6" max="6" width="30" customWidth="1"/>
    <col min="7" max="7" width="24" customWidth="1" collapsed="1"/>
    <col min="8" max="10" width="60" hidden="1" customWidth="1" outlineLevel="1"/>
  </cols>
  <sheetData>
    <row r="1" spans="1:10" ht="36" customHeight="1">
      <c r="A1" s="22" t="s">
        <v>664</v>
      </c>
      <c r="B1" s="23"/>
      <c r="C1" s="23"/>
      <c r="D1" s="23"/>
      <c r="E1" s="23"/>
      <c r="F1" s="23"/>
      <c r="G1" s="23"/>
      <c r="H1" s="36"/>
      <c r="I1" s="36"/>
      <c r="J1" s="36"/>
    </row>
    <row r="2" spans="1:10" ht="25" customHeight="1">
      <c r="A2" s="107" t="s">
        <v>665</v>
      </c>
      <c r="B2" s="13" t="s">
        <v>666</v>
      </c>
      <c r="C2" s="14"/>
      <c r="D2" s="14"/>
      <c r="E2" s="14"/>
      <c r="F2" s="14"/>
      <c r="G2" s="14"/>
      <c r="H2" s="114"/>
      <c r="I2" s="114"/>
      <c r="J2" s="114"/>
    </row>
    <row r="3" spans="1:10" ht="25" customHeight="1">
      <c r="A3" s="109" t="s">
        <v>667</v>
      </c>
      <c r="B3" s="12" t="s">
        <v>668</v>
      </c>
      <c r="C3" s="11"/>
      <c r="D3" s="11"/>
      <c r="E3" s="11"/>
      <c r="F3" s="11"/>
      <c r="G3" s="11"/>
      <c r="H3" s="115"/>
      <c r="I3" s="115"/>
      <c r="J3" s="115"/>
    </row>
    <row r="4" spans="1:10" ht="25" customHeight="1">
      <c r="A4" s="107" t="s">
        <v>669</v>
      </c>
      <c r="B4" s="116">
        <v>3565</v>
      </c>
      <c r="C4" s="114"/>
      <c r="D4" s="114"/>
      <c r="E4" s="114"/>
      <c r="F4" s="114"/>
      <c r="G4" s="114"/>
      <c r="H4" s="114"/>
      <c r="I4" s="114"/>
      <c r="J4" s="114"/>
    </row>
    <row r="5" spans="1:10" ht="37" customHeight="1">
      <c r="A5" s="109" t="s">
        <v>670</v>
      </c>
      <c r="B5" s="117">
        <v>0</v>
      </c>
      <c r="C5" s="115"/>
      <c r="D5" s="115"/>
      <c r="E5" s="115"/>
      <c r="F5" s="115"/>
      <c r="G5" s="115"/>
      <c r="H5" s="115"/>
      <c r="I5" s="115"/>
      <c r="J5" s="115"/>
    </row>
    <row r="6" spans="1:10" ht="37" customHeight="1">
      <c r="A6" s="107" t="s">
        <v>671</v>
      </c>
      <c r="B6" s="116">
        <v>131</v>
      </c>
      <c r="C6" s="114"/>
      <c r="D6" s="114"/>
      <c r="E6" s="114"/>
      <c r="F6" s="114"/>
      <c r="G6" s="114"/>
      <c r="H6" s="114"/>
      <c r="I6" s="114"/>
      <c r="J6" s="114"/>
    </row>
    <row r="7" spans="1:10" ht="25" customHeight="1">
      <c r="A7" s="109" t="s">
        <v>672</v>
      </c>
      <c r="B7" s="12" t="s">
        <v>673</v>
      </c>
      <c r="C7" s="11"/>
      <c r="D7" s="11"/>
      <c r="E7" s="11"/>
      <c r="F7" s="11"/>
      <c r="G7" s="11"/>
      <c r="H7" s="115"/>
      <c r="I7" s="115"/>
      <c r="J7" s="115"/>
    </row>
    <row r="8" spans="1:10" ht="25" customHeight="1">
      <c r="A8" s="107" t="s">
        <v>674</v>
      </c>
      <c r="B8" s="13" t="s">
        <v>675</v>
      </c>
      <c r="C8" s="14"/>
      <c r="D8" s="14"/>
      <c r="E8" s="14"/>
      <c r="F8" s="14"/>
      <c r="G8" s="14"/>
      <c r="H8" s="114"/>
      <c r="I8" s="114"/>
      <c r="J8" s="114"/>
    </row>
    <row r="9" spans="1:10" ht="25" customHeight="1">
      <c r="A9" s="109" t="s">
        <v>676</v>
      </c>
      <c r="B9" s="12" t="s">
        <v>677</v>
      </c>
      <c r="C9" s="11"/>
      <c r="D9" s="11"/>
      <c r="E9" s="11"/>
      <c r="F9" s="11"/>
      <c r="G9" s="11"/>
      <c r="H9" s="115"/>
      <c r="I9" s="115"/>
      <c r="J9" s="115"/>
    </row>
    <row r="10" spans="1:10" ht="25" customHeight="1">
      <c r="A10" s="107" t="s">
        <v>678</v>
      </c>
      <c r="B10" s="13" t="s">
        <v>679</v>
      </c>
      <c r="C10" s="14"/>
      <c r="D10" s="14"/>
      <c r="E10" s="14"/>
      <c r="F10" s="14"/>
      <c r="G10" s="14"/>
      <c r="H10" s="114"/>
      <c r="I10" s="114"/>
      <c r="J10" s="114"/>
    </row>
    <row r="11" spans="1:10" ht="25" customHeight="1">
      <c r="A11" s="109" t="s">
        <v>658</v>
      </c>
      <c r="B11" s="12" t="s">
        <v>659</v>
      </c>
      <c r="C11" s="11"/>
      <c r="D11" s="11"/>
      <c r="E11" s="11"/>
      <c r="F11" s="11"/>
      <c r="G11" s="11"/>
      <c r="H11" s="115"/>
      <c r="I11" s="115"/>
      <c r="J11" s="115"/>
    </row>
    <row r="12" spans="1:10" ht="10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</row>
    <row r="13" spans="1:10" ht="37" customHeight="1">
      <c r="A13" s="102" t="s">
        <v>680</v>
      </c>
      <c r="B13" s="102" t="s">
        <v>681</v>
      </c>
      <c r="C13" s="102" t="s">
        <v>682</v>
      </c>
      <c r="D13" s="118"/>
      <c r="E13" s="118"/>
      <c r="F13" s="118"/>
      <c r="G13" s="118"/>
      <c r="H13" s="118"/>
      <c r="I13" s="118"/>
      <c r="J13" s="118"/>
    </row>
    <row r="14" spans="1:10" ht="25" customHeight="1">
      <c r="A14" s="108" t="s">
        <v>683</v>
      </c>
      <c r="B14" s="116">
        <v>326</v>
      </c>
      <c r="C14" s="116">
        <v>3</v>
      </c>
      <c r="D14" s="114"/>
      <c r="E14" s="114"/>
      <c r="F14" s="114"/>
      <c r="G14" s="114"/>
      <c r="H14" s="114"/>
      <c r="I14" s="114"/>
      <c r="J14" s="114"/>
    </row>
    <row r="15" spans="1:10" ht="25" customHeight="1">
      <c r="A15" s="110" t="s">
        <v>684</v>
      </c>
      <c r="B15" s="117">
        <v>546</v>
      </c>
      <c r="C15" s="117">
        <v>2</v>
      </c>
      <c r="D15" s="115"/>
      <c r="E15" s="115"/>
      <c r="F15" s="115"/>
      <c r="G15" s="115"/>
      <c r="H15" s="115"/>
      <c r="I15" s="115"/>
      <c r="J15" s="115"/>
    </row>
    <row r="16" spans="1:10" ht="25" customHeight="1">
      <c r="A16" s="108" t="s">
        <v>685</v>
      </c>
      <c r="B16" s="116">
        <v>534</v>
      </c>
      <c r="C16" s="116">
        <v>14</v>
      </c>
      <c r="D16" s="114"/>
      <c r="E16" s="114"/>
      <c r="F16" s="114"/>
      <c r="G16" s="114"/>
      <c r="H16" s="114"/>
      <c r="I16" s="114"/>
      <c r="J16" s="114"/>
    </row>
    <row r="17" spans="1:10" ht="25" customHeight="1">
      <c r="A17" s="110" t="s">
        <v>160</v>
      </c>
      <c r="B17" s="117">
        <v>833</v>
      </c>
      <c r="C17" s="117">
        <v>81</v>
      </c>
      <c r="D17" s="115"/>
      <c r="E17" s="115"/>
      <c r="F17" s="115"/>
      <c r="G17" s="115"/>
      <c r="H17" s="115"/>
      <c r="I17" s="115"/>
      <c r="J17" s="115"/>
    </row>
    <row r="18" spans="1:10" ht="25" customHeight="1">
      <c r="A18" s="108" t="s">
        <v>162</v>
      </c>
      <c r="B18" s="116">
        <v>330</v>
      </c>
      <c r="C18" s="116">
        <v>31</v>
      </c>
      <c r="D18" s="114"/>
      <c r="E18" s="114"/>
      <c r="F18" s="114"/>
      <c r="G18" s="114"/>
      <c r="H18" s="114"/>
      <c r="I18" s="114"/>
      <c r="J18" s="114"/>
    </row>
    <row r="19" spans="1:10" ht="25" customHeight="1">
      <c r="A19" s="110" t="s">
        <v>143</v>
      </c>
      <c r="B19" s="117">
        <v>918</v>
      </c>
      <c r="C19" s="117">
        <v>0</v>
      </c>
      <c r="D19" s="115"/>
      <c r="E19" s="115"/>
      <c r="F19" s="115"/>
      <c r="G19" s="115"/>
      <c r="H19" s="115"/>
      <c r="I19" s="115"/>
      <c r="J19" s="115"/>
    </row>
    <row r="20" spans="1:10" ht="25" customHeight="1">
      <c r="A20" s="108" t="s">
        <v>686</v>
      </c>
      <c r="B20" s="116">
        <v>78</v>
      </c>
      <c r="C20" s="116">
        <v>0</v>
      </c>
      <c r="D20" s="114"/>
      <c r="E20" s="114"/>
      <c r="F20" s="114"/>
      <c r="G20" s="114"/>
      <c r="H20" s="114"/>
      <c r="I20" s="114"/>
      <c r="J20" s="114"/>
    </row>
    <row r="21" spans="1:10" ht="10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</row>
    <row r="22" spans="1:10" ht="25" customHeight="1">
      <c r="A22" s="102" t="s">
        <v>680</v>
      </c>
      <c r="B22" s="102" t="s">
        <v>687</v>
      </c>
      <c r="C22" s="102" t="s">
        <v>688</v>
      </c>
      <c r="D22" s="102" t="s">
        <v>689</v>
      </c>
      <c r="E22" s="102" t="s">
        <v>690</v>
      </c>
      <c r="F22" s="102" t="s">
        <v>691</v>
      </c>
      <c r="G22" s="102" t="s">
        <v>511</v>
      </c>
      <c r="H22" s="102" t="s">
        <v>692</v>
      </c>
      <c r="I22" s="102" t="s">
        <v>693</v>
      </c>
      <c r="J22" s="102" t="s">
        <v>694</v>
      </c>
    </row>
    <row r="23" spans="1:10" ht="37" customHeight="1">
      <c r="A23" s="110" t="s">
        <v>683</v>
      </c>
      <c r="B23" s="110" t="s">
        <v>695</v>
      </c>
      <c r="C23" s="110" t="s">
        <v>2</v>
      </c>
      <c r="D23" s="110" t="s">
        <v>183</v>
      </c>
      <c r="E23" s="110" t="s">
        <v>696</v>
      </c>
      <c r="F23" s="110" t="s">
        <v>697</v>
      </c>
      <c r="G23" s="110" t="s">
        <v>526</v>
      </c>
      <c r="H23" s="110" t="s">
        <v>698</v>
      </c>
      <c r="I23" s="110" t="s">
        <v>699</v>
      </c>
      <c r="J23" s="110" t="s">
        <v>700</v>
      </c>
    </row>
    <row r="24" spans="1:10" ht="37" customHeight="1">
      <c r="A24" s="108" t="s">
        <v>683</v>
      </c>
      <c r="B24" s="108" t="s">
        <v>701</v>
      </c>
      <c r="C24" s="108" t="s">
        <v>2</v>
      </c>
      <c r="D24" s="108" t="s">
        <v>191</v>
      </c>
      <c r="E24" s="108" t="s">
        <v>696</v>
      </c>
      <c r="F24" s="108" t="s">
        <v>697</v>
      </c>
      <c r="G24" s="108" t="s">
        <v>526</v>
      </c>
      <c r="H24" s="108" t="s">
        <v>698</v>
      </c>
      <c r="I24" s="108" t="s">
        <v>699</v>
      </c>
      <c r="J24" s="108" t="s">
        <v>700</v>
      </c>
    </row>
    <row r="25" spans="1:10" ht="37" customHeight="1">
      <c r="A25" s="110" t="s">
        <v>683</v>
      </c>
      <c r="B25" s="110" t="s">
        <v>702</v>
      </c>
      <c r="C25" s="110" t="s">
        <v>2</v>
      </c>
      <c r="D25" s="110" t="s">
        <v>195</v>
      </c>
      <c r="E25" s="110" t="s">
        <v>696</v>
      </c>
      <c r="F25" s="110" t="s">
        <v>697</v>
      </c>
      <c r="G25" s="110" t="s">
        <v>526</v>
      </c>
      <c r="H25" s="110" t="s">
        <v>698</v>
      </c>
      <c r="I25" s="110" t="s">
        <v>699</v>
      </c>
      <c r="J25" s="110" t="s">
        <v>700</v>
      </c>
    </row>
    <row r="26" spans="1:10" ht="25" customHeight="1">
      <c r="A26" s="108" t="s">
        <v>684</v>
      </c>
      <c r="B26" s="108" t="s">
        <v>703</v>
      </c>
      <c r="C26" s="108" t="s">
        <v>2</v>
      </c>
      <c r="D26" s="108" t="s">
        <v>219</v>
      </c>
      <c r="E26" s="108" t="s">
        <v>696</v>
      </c>
      <c r="F26" s="108" t="s">
        <v>697</v>
      </c>
      <c r="G26" s="108" t="s">
        <v>521</v>
      </c>
      <c r="H26" s="108" t="s">
        <v>704</v>
      </c>
      <c r="I26" s="108" t="s">
        <v>705</v>
      </c>
      <c r="J26" s="108" t="s">
        <v>700</v>
      </c>
    </row>
    <row r="27" spans="1:10" ht="25" customHeight="1">
      <c r="A27" s="110" t="s">
        <v>684</v>
      </c>
      <c r="B27" s="110" t="s">
        <v>702</v>
      </c>
      <c r="C27" s="110" t="s">
        <v>2</v>
      </c>
      <c r="D27" s="110" t="s">
        <v>238</v>
      </c>
      <c r="E27" s="110" t="s">
        <v>696</v>
      </c>
      <c r="F27" s="110" t="s">
        <v>697</v>
      </c>
      <c r="G27" s="110" t="s">
        <v>521</v>
      </c>
      <c r="H27" s="110" t="s">
        <v>704</v>
      </c>
      <c r="I27" s="110" t="s">
        <v>705</v>
      </c>
      <c r="J27" s="110" t="s">
        <v>700</v>
      </c>
    </row>
    <row r="28" spans="1:10" ht="25" customHeight="1">
      <c r="A28" s="108" t="s">
        <v>685</v>
      </c>
      <c r="B28" s="108" t="s">
        <v>706</v>
      </c>
      <c r="C28" s="108" t="s">
        <v>2</v>
      </c>
      <c r="D28" s="108" t="s">
        <v>271</v>
      </c>
      <c r="E28" s="108" t="s">
        <v>696</v>
      </c>
      <c r="F28" s="108" t="s">
        <v>697</v>
      </c>
      <c r="G28" s="108" t="s">
        <v>526</v>
      </c>
      <c r="H28" s="108" t="s">
        <v>698</v>
      </c>
      <c r="I28" s="108" t="s">
        <v>699</v>
      </c>
      <c r="J28" s="108" t="s">
        <v>700</v>
      </c>
    </row>
    <row r="29" spans="1:10" ht="37" customHeight="1">
      <c r="A29" s="110" t="s">
        <v>685</v>
      </c>
      <c r="B29" s="110" t="s">
        <v>707</v>
      </c>
      <c r="C29" s="110" t="s">
        <v>2</v>
      </c>
      <c r="D29" s="110" t="s">
        <v>305</v>
      </c>
      <c r="E29" s="110" t="s">
        <v>696</v>
      </c>
      <c r="F29" s="110" t="s">
        <v>697</v>
      </c>
      <c r="G29" s="110" t="s">
        <v>526</v>
      </c>
      <c r="H29" s="110" t="s">
        <v>698</v>
      </c>
      <c r="I29" s="110" t="s">
        <v>699</v>
      </c>
      <c r="J29" s="110" t="s">
        <v>700</v>
      </c>
    </row>
    <row r="30" spans="1:10" ht="37" customHeight="1">
      <c r="A30" s="108" t="s">
        <v>685</v>
      </c>
      <c r="B30" s="108" t="s">
        <v>708</v>
      </c>
      <c r="C30" s="108" t="s">
        <v>2</v>
      </c>
      <c r="D30" s="108" t="s">
        <v>307</v>
      </c>
      <c r="E30" s="108" t="s">
        <v>696</v>
      </c>
      <c r="F30" s="108" t="s">
        <v>697</v>
      </c>
      <c r="G30" s="108" t="s">
        <v>526</v>
      </c>
      <c r="H30" s="108" t="s">
        <v>698</v>
      </c>
      <c r="I30" s="108" t="s">
        <v>699</v>
      </c>
      <c r="J30" s="108" t="s">
        <v>700</v>
      </c>
    </row>
    <row r="31" spans="1:10" ht="37" customHeight="1">
      <c r="A31" s="110" t="s">
        <v>685</v>
      </c>
      <c r="B31" s="110" t="s">
        <v>709</v>
      </c>
      <c r="C31" s="110" t="s">
        <v>2</v>
      </c>
      <c r="D31" s="110" t="s">
        <v>309</v>
      </c>
      <c r="E31" s="110" t="s">
        <v>696</v>
      </c>
      <c r="F31" s="110" t="s">
        <v>697</v>
      </c>
      <c r="G31" s="110" t="s">
        <v>526</v>
      </c>
      <c r="H31" s="110" t="s">
        <v>698</v>
      </c>
      <c r="I31" s="110" t="s">
        <v>699</v>
      </c>
      <c r="J31" s="110" t="s">
        <v>700</v>
      </c>
    </row>
    <row r="32" spans="1:10" ht="25" customHeight="1">
      <c r="A32" s="108" t="s">
        <v>685</v>
      </c>
      <c r="B32" s="108" t="s">
        <v>710</v>
      </c>
      <c r="C32" s="108" t="s">
        <v>2</v>
      </c>
      <c r="D32" s="108" t="s">
        <v>311</v>
      </c>
      <c r="E32" s="108" t="s">
        <v>696</v>
      </c>
      <c r="F32" s="108" t="s">
        <v>697</v>
      </c>
      <c r="G32" s="108" t="s">
        <v>526</v>
      </c>
      <c r="H32" s="108" t="s">
        <v>698</v>
      </c>
      <c r="I32" s="108" t="s">
        <v>699</v>
      </c>
      <c r="J32" s="108" t="s">
        <v>700</v>
      </c>
    </row>
    <row r="33" spans="1:10" ht="37" customHeight="1">
      <c r="A33" s="110" t="s">
        <v>685</v>
      </c>
      <c r="B33" s="110" t="s">
        <v>711</v>
      </c>
      <c r="C33" s="110" t="s">
        <v>6</v>
      </c>
      <c r="D33" s="110" t="s">
        <v>292</v>
      </c>
      <c r="E33" s="110" t="s">
        <v>696</v>
      </c>
      <c r="F33" s="110" t="s">
        <v>697</v>
      </c>
      <c r="G33" s="110" t="s">
        <v>546</v>
      </c>
      <c r="H33" s="110" t="s">
        <v>712</v>
      </c>
      <c r="I33" s="110" t="s">
        <v>713</v>
      </c>
      <c r="J33" s="110" t="s">
        <v>700</v>
      </c>
    </row>
    <row r="34" spans="1:10" ht="37" customHeight="1">
      <c r="A34" s="108" t="s">
        <v>685</v>
      </c>
      <c r="B34" s="108" t="s">
        <v>714</v>
      </c>
      <c r="C34" s="108" t="s">
        <v>7</v>
      </c>
      <c r="D34" s="108" t="s">
        <v>292</v>
      </c>
      <c r="E34" s="108" t="s">
        <v>696</v>
      </c>
      <c r="F34" s="108" t="s">
        <v>697</v>
      </c>
      <c r="G34" s="108" t="s">
        <v>551</v>
      </c>
      <c r="H34" s="108" t="s">
        <v>715</v>
      </c>
      <c r="I34" s="108" t="s">
        <v>716</v>
      </c>
      <c r="J34" s="108" t="s">
        <v>700</v>
      </c>
    </row>
    <row r="35" spans="1:10" ht="25" customHeight="1">
      <c r="A35" s="110" t="s">
        <v>685</v>
      </c>
      <c r="B35" s="110" t="s">
        <v>717</v>
      </c>
      <c r="C35" s="110" t="s">
        <v>9</v>
      </c>
      <c r="D35" s="110" t="s">
        <v>301</v>
      </c>
      <c r="E35" s="110" t="s">
        <v>696</v>
      </c>
      <c r="F35" s="110" t="s">
        <v>697</v>
      </c>
      <c r="G35" s="110" t="s">
        <v>561</v>
      </c>
      <c r="H35" s="110" t="s">
        <v>718</v>
      </c>
      <c r="I35" s="110" t="s">
        <v>491</v>
      </c>
      <c r="J35" s="110" t="s">
        <v>700</v>
      </c>
    </row>
    <row r="36" spans="1:10" ht="25" customHeight="1">
      <c r="A36" s="108" t="s">
        <v>685</v>
      </c>
      <c r="B36" s="108" t="s">
        <v>719</v>
      </c>
      <c r="C36" s="108" t="s">
        <v>10</v>
      </c>
      <c r="D36" s="108" t="s">
        <v>301</v>
      </c>
      <c r="E36" s="108" t="s">
        <v>696</v>
      </c>
      <c r="F36" s="108" t="s">
        <v>697</v>
      </c>
      <c r="G36" s="108" t="s">
        <v>561</v>
      </c>
      <c r="H36" s="108" t="s">
        <v>718</v>
      </c>
      <c r="I36" s="108" t="s">
        <v>491</v>
      </c>
      <c r="J36" s="108" t="s">
        <v>700</v>
      </c>
    </row>
    <row r="37" spans="1:10" ht="25" customHeight="1">
      <c r="A37" s="110" t="s">
        <v>685</v>
      </c>
      <c r="B37" s="110" t="s">
        <v>720</v>
      </c>
      <c r="C37" s="110" t="s">
        <v>13</v>
      </c>
      <c r="D37" s="110" t="s">
        <v>276</v>
      </c>
      <c r="E37" s="110" t="s">
        <v>696</v>
      </c>
      <c r="F37" s="110" t="s">
        <v>697</v>
      </c>
      <c r="G37" s="110" t="s">
        <v>566</v>
      </c>
      <c r="H37" s="110" t="s">
        <v>721</v>
      </c>
      <c r="I37" s="110" t="s">
        <v>722</v>
      </c>
      <c r="J37" s="110" t="s">
        <v>700</v>
      </c>
    </row>
    <row r="38" spans="1:10" ht="25" customHeight="1">
      <c r="A38" s="108" t="s">
        <v>685</v>
      </c>
      <c r="B38" s="108" t="s">
        <v>723</v>
      </c>
      <c r="C38" s="108" t="s">
        <v>14</v>
      </c>
      <c r="D38" s="108" t="s">
        <v>171</v>
      </c>
      <c r="E38" s="108" t="s">
        <v>696</v>
      </c>
      <c r="F38" s="108" t="s">
        <v>697</v>
      </c>
      <c r="G38" s="108" t="s">
        <v>571</v>
      </c>
      <c r="H38" s="108" t="s">
        <v>724</v>
      </c>
      <c r="I38" s="108" t="s">
        <v>725</v>
      </c>
      <c r="J38" s="108" t="s">
        <v>700</v>
      </c>
    </row>
    <row r="39" spans="1:10" ht="37" customHeight="1">
      <c r="A39" s="110" t="s">
        <v>685</v>
      </c>
      <c r="B39" s="110" t="s">
        <v>726</v>
      </c>
      <c r="C39" s="110" t="s">
        <v>17</v>
      </c>
      <c r="D39" s="110" t="s">
        <v>288</v>
      </c>
      <c r="E39" s="110" t="s">
        <v>696</v>
      </c>
      <c r="F39" s="110" t="s">
        <v>697</v>
      </c>
      <c r="G39" s="110" t="s">
        <v>585</v>
      </c>
      <c r="H39" s="110" t="s">
        <v>727</v>
      </c>
      <c r="I39" s="110" t="s">
        <v>728</v>
      </c>
      <c r="J39" s="110" t="s">
        <v>700</v>
      </c>
    </row>
    <row r="40" spans="1:10" ht="25" customHeight="1">
      <c r="A40" s="108" t="s">
        <v>685</v>
      </c>
      <c r="B40" s="108" t="s">
        <v>729</v>
      </c>
      <c r="C40" s="108" t="s">
        <v>17</v>
      </c>
      <c r="D40" s="108" t="s">
        <v>296</v>
      </c>
      <c r="E40" s="108" t="s">
        <v>696</v>
      </c>
      <c r="F40" s="108" t="s">
        <v>697</v>
      </c>
      <c r="G40" s="108" t="s">
        <v>585</v>
      </c>
      <c r="H40" s="108" t="s">
        <v>727</v>
      </c>
      <c r="I40" s="108" t="s">
        <v>728</v>
      </c>
      <c r="J40" s="108" t="s">
        <v>700</v>
      </c>
    </row>
    <row r="41" spans="1:10" ht="25" customHeight="1">
      <c r="A41" s="110" t="s">
        <v>685</v>
      </c>
      <c r="B41" s="110" t="s">
        <v>730</v>
      </c>
      <c r="C41" s="110" t="s">
        <v>18</v>
      </c>
      <c r="D41" s="110" t="s">
        <v>171</v>
      </c>
      <c r="E41" s="110" t="s">
        <v>696</v>
      </c>
      <c r="F41" s="110" t="s">
        <v>697</v>
      </c>
      <c r="G41" s="110" t="s">
        <v>590</v>
      </c>
      <c r="H41" s="110" t="s">
        <v>731</v>
      </c>
      <c r="I41" s="110" t="s">
        <v>732</v>
      </c>
      <c r="J41" s="110" t="s">
        <v>700</v>
      </c>
    </row>
    <row r="42" spans="1:10" ht="25" customHeight="1">
      <c r="A42" s="108" t="s">
        <v>160</v>
      </c>
      <c r="B42" s="108" t="s">
        <v>733</v>
      </c>
      <c r="C42" s="108" t="s">
        <v>2</v>
      </c>
      <c r="D42" s="108" t="s">
        <v>41</v>
      </c>
      <c r="E42" s="108" t="s">
        <v>696</v>
      </c>
      <c r="F42" s="108" t="s">
        <v>734</v>
      </c>
      <c r="G42" s="108" t="s">
        <v>521</v>
      </c>
      <c r="H42" s="108" t="s">
        <v>704</v>
      </c>
      <c r="I42" s="108" t="s">
        <v>705</v>
      </c>
      <c r="J42" s="108" t="s">
        <v>735</v>
      </c>
    </row>
    <row r="43" spans="1:10" ht="25" customHeight="1">
      <c r="A43" s="110" t="s">
        <v>160</v>
      </c>
      <c r="B43" s="110" t="s">
        <v>736</v>
      </c>
      <c r="C43" s="110" t="s">
        <v>2</v>
      </c>
      <c r="D43" s="110" t="s">
        <v>42</v>
      </c>
      <c r="E43" s="110" t="s">
        <v>696</v>
      </c>
      <c r="F43" s="110" t="s">
        <v>734</v>
      </c>
      <c r="G43" s="110" t="s">
        <v>521</v>
      </c>
      <c r="H43" s="110" t="s">
        <v>704</v>
      </c>
      <c r="I43" s="110" t="s">
        <v>705</v>
      </c>
      <c r="J43" s="110" t="s">
        <v>735</v>
      </c>
    </row>
    <row r="44" spans="1:10" ht="25" customHeight="1">
      <c r="A44" s="108" t="s">
        <v>160</v>
      </c>
      <c r="B44" s="108" t="s">
        <v>737</v>
      </c>
      <c r="C44" s="108" t="s">
        <v>2</v>
      </c>
      <c r="D44" s="108" t="s">
        <v>43</v>
      </c>
      <c r="E44" s="108" t="s">
        <v>696</v>
      </c>
      <c r="F44" s="108" t="s">
        <v>738</v>
      </c>
      <c r="G44" s="108" t="s">
        <v>521</v>
      </c>
      <c r="H44" s="108" t="s">
        <v>704</v>
      </c>
      <c r="I44" s="108" t="s">
        <v>705</v>
      </c>
      <c r="J44" s="108" t="s">
        <v>735</v>
      </c>
    </row>
    <row r="45" spans="1:10" ht="25" customHeight="1">
      <c r="A45" s="110" t="s">
        <v>160</v>
      </c>
      <c r="B45" s="110" t="s">
        <v>739</v>
      </c>
      <c r="C45" s="110" t="s">
        <v>3</v>
      </c>
      <c r="D45" s="110" t="s">
        <v>43</v>
      </c>
      <c r="E45" s="110" t="s">
        <v>740</v>
      </c>
      <c r="F45" s="110" t="s">
        <v>741</v>
      </c>
      <c r="G45" s="110" t="s">
        <v>526</v>
      </c>
      <c r="H45" s="110" t="s">
        <v>698</v>
      </c>
      <c r="I45" s="110" t="s">
        <v>699</v>
      </c>
      <c r="J45" s="110" t="s">
        <v>735</v>
      </c>
    </row>
    <row r="46" spans="1:10" ht="25" customHeight="1">
      <c r="A46" s="108" t="s">
        <v>160</v>
      </c>
      <c r="B46" s="108" t="s">
        <v>742</v>
      </c>
      <c r="C46" s="108" t="s">
        <v>5</v>
      </c>
      <c r="D46" s="108" t="s">
        <v>43</v>
      </c>
      <c r="E46" s="108" t="s">
        <v>697</v>
      </c>
      <c r="F46" s="108" t="s">
        <v>734</v>
      </c>
      <c r="G46" s="108" t="s">
        <v>531</v>
      </c>
      <c r="H46" s="108" t="s">
        <v>743</v>
      </c>
      <c r="I46" s="108" t="s">
        <v>744</v>
      </c>
      <c r="J46" s="108" t="s">
        <v>735</v>
      </c>
    </row>
    <row r="47" spans="1:10" ht="25" customHeight="1">
      <c r="A47" s="110" t="s">
        <v>160</v>
      </c>
      <c r="B47" s="110" t="s">
        <v>745</v>
      </c>
      <c r="C47" s="110" t="s">
        <v>2</v>
      </c>
      <c r="D47" s="110" t="s">
        <v>44</v>
      </c>
      <c r="E47" s="110" t="s">
        <v>696</v>
      </c>
      <c r="F47" s="110" t="s">
        <v>734</v>
      </c>
      <c r="G47" s="110" t="s">
        <v>521</v>
      </c>
      <c r="H47" s="110" t="s">
        <v>704</v>
      </c>
      <c r="I47" s="110" t="s">
        <v>705</v>
      </c>
      <c r="J47" s="110" t="s">
        <v>735</v>
      </c>
    </row>
    <row r="48" spans="1:10" ht="25" customHeight="1">
      <c r="A48" s="108" t="s">
        <v>160</v>
      </c>
      <c r="B48" s="108" t="s">
        <v>703</v>
      </c>
      <c r="C48" s="108" t="s">
        <v>2</v>
      </c>
      <c r="D48" s="108" t="s">
        <v>45</v>
      </c>
      <c r="E48" s="108" t="s">
        <v>696</v>
      </c>
      <c r="F48" s="108" t="s">
        <v>746</v>
      </c>
      <c r="G48" s="108" t="s">
        <v>521</v>
      </c>
      <c r="H48" s="108" t="s">
        <v>704</v>
      </c>
      <c r="I48" s="108" t="s">
        <v>705</v>
      </c>
      <c r="J48" s="108" t="s">
        <v>735</v>
      </c>
    </row>
    <row r="49" spans="1:10" ht="25" customHeight="1">
      <c r="A49" s="110" t="s">
        <v>160</v>
      </c>
      <c r="B49" s="110" t="s">
        <v>747</v>
      </c>
      <c r="C49" s="110" t="s">
        <v>2</v>
      </c>
      <c r="D49" s="110" t="s">
        <v>46</v>
      </c>
      <c r="E49" s="110" t="s">
        <v>696</v>
      </c>
      <c r="F49" s="110" t="s">
        <v>748</v>
      </c>
      <c r="G49" s="110" t="s">
        <v>521</v>
      </c>
      <c r="H49" s="110" t="s">
        <v>704</v>
      </c>
      <c r="I49" s="110" t="s">
        <v>705</v>
      </c>
      <c r="J49" s="110" t="s">
        <v>735</v>
      </c>
    </row>
    <row r="50" spans="1:10" ht="25" customHeight="1">
      <c r="A50" s="108" t="s">
        <v>160</v>
      </c>
      <c r="B50" s="108" t="s">
        <v>749</v>
      </c>
      <c r="C50" s="108" t="s">
        <v>3</v>
      </c>
      <c r="D50" s="108" t="s">
        <v>46</v>
      </c>
      <c r="E50" s="108" t="s">
        <v>696</v>
      </c>
      <c r="F50" s="108" t="s">
        <v>734</v>
      </c>
      <c r="G50" s="108" t="s">
        <v>526</v>
      </c>
      <c r="H50" s="108" t="s">
        <v>698</v>
      </c>
      <c r="I50" s="108" t="s">
        <v>699</v>
      </c>
      <c r="J50" s="108" t="s">
        <v>735</v>
      </c>
    </row>
    <row r="51" spans="1:10" ht="25" customHeight="1">
      <c r="A51" s="110" t="s">
        <v>160</v>
      </c>
      <c r="B51" s="110" t="s">
        <v>750</v>
      </c>
      <c r="C51" s="110" t="s">
        <v>4</v>
      </c>
      <c r="D51" s="110" t="s">
        <v>46</v>
      </c>
      <c r="E51" s="110" t="s">
        <v>751</v>
      </c>
      <c r="F51" s="110" t="s">
        <v>752</v>
      </c>
      <c r="G51" s="110" t="s">
        <v>531</v>
      </c>
      <c r="H51" s="110" t="s">
        <v>743</v>
      </c>
      <c r="I51" s="110" t="s">
        <v>744</v>
      </c>
      <c r="J51" s="110" t="s">
        <v>735</v>
      </c>
    </row>
    <row r="52" spans="1:10" ht="25" customHeight="1">
      <c r="A52" s="108" t="s">
        <v>160</v>
      </c>
      <c r="B52" s="108" t="s">
        <v>753</v>
      </c>
      <c r="C52" s="108" t="s">
        <v>5</v>
      </c>
      <c r="D52" s="108" t="s">
        <v>46</v>
      </c>
      <c r="E52" s="108" t="s">
        <v>751</v>
      </c>
      <c r="F52" s="108" t="s">
        <v>754</v>
      </c>
      <c r="G52" s="108" t="s">
        <v>531</v>
      </c>
      <c r="H52" s="108" t="s">
        <v>743</v>
      </c>
      <c r="I52" s="108" t="s">
        <v>744</v>
      </c>
      <c r="J52" s="108" t="s">
        <v>735</v>
      </c>
    </row>
    <row r="53" spans="1:10" ht="25" customHeight="1">
      <c r="A53" s="110" t="s">
        <v>160</v>
      </c>
      <c r="B53" s="110" t="s">
        <v>755</v>
      </c>
      <c r="C53" s="110" t="s">
        <v>5</v>
      </c>
      <c r="D53" s="110" t="s">
        <v>47</v>
      </c>
      <c r="E53" s="110" t="s">
        <v>696</v>
      </c>
      <c r="F53" s="110" t="s">
        <v>756</v>
      </c>
      <c r="G53" s="110" t="s">
        <v>531</v>
      </c>
      <c r="H53" s="110" t="s">
        <v>743</v>
      </c>
      <c r="I53" s="110" t="s">
        <v>744</v>
      </c>
      <c r="J53" s="110" t="s">
        <v>735</v>
      </c>
    </row>
    <row r="54" spans="1:10" ht="25" customHeight="1">
      <c r="A54" s="108" t="s">
        <v>160</v>
      </c>
      <c r="B54" s="108" t="s">
        <v>757</v>
      </c>
      <c r="C54" s="108" t="s">
        <v>4</v>
      </c>
      <c r="D54" s="108" t="s">
        <v>47</v>
      </c>
      <c r="E54" s="108" t="s">
        <v>696</v>
      </c>
      <c r="F54" s="108" t="s">
        <v>758</v>
      </c>
      <c r="G54" s="108" t="s">
        <v>531</v>
      </c>
      <c r="H54" s="108" t="s">
        <v>743</v>
      </c>
      <c r="I54" s="108" t="s">
        <v>744</v>
      </c>
      <c r="J54" s="108" t="s">
        <v>735</v>
      </c>
    </row>
    <row r="55" spans="1:10" ht="25" customHeight="1">
      <c r="A55" s="110" t="s">
        <v>160</v>
      </c>
      <c r="B55" s="110" t="s">
        <v>759</v>
      </c>
      <c r="C55" s="110" t="s">
        <v>2</v>
      </c>
      <c r="D55" s="110" t="s">
        <v>41</v>
      </c>
      <c r="E55" s="110" t="s">
        <v>696</v>
      </c>
      <c r="F55" s="110" t="s">
        <v>697</v>
      </c>
      <c r="G55" s="110" t="s">
        <v>521</v>
      </c>
      <c r="H55" s="110" t="s">
        <v>704</v>
      </c>
      <c r="I55" s="110" t="s">
        <v>705</v>
      </c>
      <c r="J55" s="110" t="s">
        <v>735</v>
      </c>
    </row>
    <row r="56" spans="1:10" ht="25" customHeight="1">
      <c r="A56" s="108" t="s">
        <v>160</v>
      </c>
      <c r="B56" s="108" t="s">
        <v>760</v>
      </c>
      <c r="C56" s="108" t="s">
        <v>6</v>
      </c>
      <c r="D56" s="108" t="s">
        <v>41</v>
      </c>
      <c r="E56" s="108" t="s">
        <v>696</v>
      </c>
      <c r="F56" s="108" t="s">
        <v>761</v>
      </c>
      <c r="G56" s="108" t="s">
        <v>536</v>
      </c>
      <c r="H56" s="108" t="s">
        <v>762</v>
      </c>
      <c r="I56" s="108" t="s">
        <v>763</v>
      </c>
      <c r="J56" s="108" t="s">
        <v>735</v>
      </c>
    </row>
    <row r="57" spans="1:10" ht="25" customHeight="1">
      <c r="A57" s="110" t="s">
        <v>160</v>
      </c>
      <c r="B57" s="110" t="s">
        <v>764</v>
      </c>
      <c r="C57" s="110" t="s">
        <v>7</v>
      </c>
      <c r="D57" s="110" t="s">
        <v>41</v>
      </c>
      <c r="E57" s="110" t="s">
        <v>696</v>
      </c>
      <c r="F57" s="110" t="s">
        <v>765</v>
      </c>
      <c r="G57" s="110" t="s">
        <v>541</v>
      </c>
      <c r="H57" s="110" t="s">
        <v>766</v>
      </c>
      <c r="I57" s="110" t="s">
        <v>767</v>
      </c>
      <c r="J57" s="110" t="s">
        <v>735</v>
      </c>
    </row>
    <row r="58" spans="1:10" ht="25" customHeight="1">
      <c r="A58" s="108" t="s">
        <v>160</v>
      </c>
      <c r="B58" s="108" t="s">
        <v>768</v>
      </c>
      <c r="C58" s="108" t="s">
        <v>8</v>
      </c>
      <c r="D58" s="108" t="s">
        <v>41</v>
      </c>
      <c r="E58" s="108" t="s">
        <v>696</v>
      </c>
      <c r="F58" s="108" t="s">
        <v>754</v>
      </c>
      <c r="G58" s="108" t="s">
        <v>546</v>
      </c>
      <c r="H58" s="108" t="s">
        <v>712</v>
      </c>
      <c r="I58" s="108" t="s">
        <v>713</v>
      </c>
      <c r="J58" s="108" t="s">
        <v>735</v>
      </c>
    </row>
    <row r="59" spans="1:10" ht="25" customHeight="1">
      <c r="A59" s="110" t="s">
        <v>160</v>
      </c>
      <c r="B59" s="110" t="s">
        <v>769</v>
      </c>
      <c r="C59" s="110" t="s">
        <v>9</v>
      </c>
      <c r="D59" s="110" t="s">
        <v>41</v>
      </c>
      <c r="E59" s="110" t="s">
        <v>696</v>
      </c>
      <c r="F59" s="110" t="s">
        <v>748</v>
      </c>
      <c r="G59" s="110" t="s">
        <v>551</v>
      </c>
      <c r="H59" s="110" t="s">
        <v>715</v>
      </c>
      <c r="I59" s="110" t="s">
        <v>716</v>
      </c>
      <c r="J59" s="110" t="s">
        <v>735</v>
      </c>
    </row>
    <row r="60" spans="1:10" ht="25" customHeight="1">
      <c r="A60" s="108" t="s">
        <v>160</v>
      </c>
      <c r="B60" s="108" t="s">
        <v>770</v>
      </c>
      <c r="C60" s="108" t="s">
        <v>10</v>
      </c>
      <c r="D60" s="108" t="s">
        <v>41</v>
      </c>
      <c r="E60" s="108" t="s">
        <v>696</v>
      </c>
      <c r="F60" s="108" t="s">
        <v>734</v>
      </c>
      <c r="G60" s="108" t="s">
        <v>556</v>
      </c>
      <c r="H60" s="108" t="s">
        <v>771</v>
      </c>
      <c r="I60" s="108" t="s">
        <v>772</v>
      </c>
      <c r="J60" s="108" t="s">
        <v>735</v>
      </c>
    </row>
    <row r="61" spans="1:10" ht="25" customHeight="1">
      <c r="A61" s="110" t="s">
        <v>160</v>
      </c>
      <c r="B61" s="110" t="s">
        <v>773</v>
      </c>
      <c r="C61" s="110" t="s">
        <v>11</v>
      </c>
      <c r="D61" s="110" t="s">
        <v>41</v>
      </c>
      <c r="E61" s="110" t="s">
        <v>696</v>
      </c>
      <c r="F61" s="110" t="s">
        <v>734</v>
      </c>
      <c r="G61" s="110" t="s">
        <v>561</v>
      </c>
      <c r="H61" s="110" t="s">
        <v>718</v>
      </c>
      <c r="I61" s="110" t="s">
        <v>491</v>
      </c>
      <c r="J61" s="110" t="s">
        <v>735</v>
      </c>
    </row>
    <row r="62" spans="1:10" ht="25" customHeight="1">
      <c r="A62" s="108" t="s">
        <v>160</v>
      </c>
      <c r="B62" s="108" t="s">
        <v>774</v>
      </c>
      <c r="C62" s="108" t="s">
        <v>2</v>
      </c>
      <c r="D62" s="108" t="s">
        <v>42</v>
      </c>
      <c r="E62" s="108" t="s">
        <v>696</v>
      </c>
      <c r="F62" s="108" t="s">
        <v>697</v>
      </c>
      <c r="G62" s="108" t="s">
        <v>521</v>
      </c>
      <c r="H62" s="108" t="s">
        <v>704</v>
      </c>
      <c r="I62" s="108" t="s">
        <v>705</v>
      </c>
      <c r="J62" s="108" t="s">
        <v>735</v>
      </c>
    </row>
    <row r="63" spans="1:10" ht="25" customHeight="1">
      <c r="A63" s="110" t="s">
        <v>160</v>
      </c>
      <c r="B63" s="110" t="s">
        <v>775</v>
      </c>
      <c r="C63" s="110" t="s">
        <v>6</v>
      </c>
      <c r="D63" s="110" t="s">
        <v>42</v>
      </c>
      <c r="E63" s="110" t="s">
        <v>696</v>
      </c>
      <c r="F63" s="110" t="s">
        <v>776</v>
      </c>
      <c r="G63" s="110" t="s">
        <v>536</v>
      </c>
      <c r="H63" s="110" t="s">
        <v>762</v>
      </c>
      <c r="I63" s="110" t="s">
        <v>763</v>
      </c>
      <c r="J63" s="110" t="s">
        <v>735</v>
      </c>
    </row>
    <row r="64" spans="1:10" ht="25" customHeight="1">
      <c r="A64" s="108" t="s">
        <v>160</v>
      </c>
      <c r="B64" s="108" t="s">
        <v>777</v>
      </c>
      <c r="C64" s="108" t="s">
        <v>7</v>
      </c>
      <c r="D64" s="108" t="s">
        <v>42</v>
      </c>
      <c r="E64" s="108" t="s">
        <v>696</v>
      </c>
      <c r="F64" s="108" t="s">
        <v>778</v>
      </c>
      <c r="G64" s="108" t="s">
        <v>541</v>
      </c>
      <c r="H64" s="108" t="s">
        <v>766</v>
      </c>
      <c r="I64" s="108" t="s">
        <v>767</v>
      </c>
      <c r="J64" s="108" t="s">
        <v>735</v>
      </c>
    </row>
    <row r="65" spans="1:10" ht="25" customHeight="1">
      <c r="A65" s="110" t="s">
        <v>160</v>
      </c>
      <c r="B65" s="110" t="s">
        <v>779</v>
      </c>
      <c r="C65" s="110" t="s">
        <v>8</v>
      </c>
      <c r="D65" s="110" t="s">
        <v>42</v>
      </c>
      <c r="E65" s="110" t="s">
        <v>696</v>
      </c>
      <c r="F65" s="110" t="s">
        <v>748</v>
      </c>
      <c r="G65" s="110" t="s">
        <v>546</v>
      </c>
      <c r="H65" s="110" t="s">
        <v>712</v>
      </c>
      <c r="I65" s="110" t="s">
        <v>713</v>
      </c>
      <c r="J65" s="110" t="s">
        <v>735</v>
      </c>
    </row>
    <row r="66" spans="1:10" ht="25" customHeight="1">
      <c r="A66" s="108" t="s">
        <v>160</v>
      </c>
      <c r="B66" s="108" t="s">
        <v>780</v>
      </c>
      <c r="C66" s="108" t="s">
        <v>9</v>
      </c>
      <c r="D66" s="108" t="s">
        <v>42</v>
      </c>
      <c r="E66" s="108" t="s">
        <v>696</v>
      </c>
      <c r="F66" s="108" t="s">
        <v>697</v>
      </c>
      <c r="G66" s="108" t="s">
        <v>551</v>
      </c>
      <c r="H66" s="108" t="s">
        <v>715</v>
      </c>
      <c r="I66" s="108" t="s">
        <v>716</v>
      </c>
      <c r="J66" s="108" t="s">
        <v>735</v>
      </c>
    </row>
    <row r="67" spans="1:10" ht="25" customHeight="1">
      <c r="A67" s="110" t="s">
        <v>160</v>
      </c>
      <c r="B67" s="110" t="s">
        <v>781</v>
      </c>
      <c r="C67" s="110" t="s">
        <v>10</v>
      </c>
      <c r="D67" s="110" t="s">
        <v>42</v>
      </c>
      <c r="E67" s="110" t="s">
        <v>696</v>
      </c>
      <c r="F67" s="110" t="s">
        <v>738</v>
      </c>
      <c r="G67" s="110" t="s">
        <v>556</v>
      </c>
      <c r="H67" s="110" t="s">
        <v>771</v>
      </c>
      <c r="I67" s="110" t="s">
        <v>772</v>
      </c>
      <c r="J67" s="110" t="s">
        <v>735</v>
      </c>
    </row>
    <row r="68" spans="1:10" ht="25" customHeight="1">
      <c r="A68" s="108" t="s">
        <v>160</v>
      </c>
      <c r="B68" s="108" t="s">
        <v>782</v>
      </c>
      <c r="C68" s="108" t="s">
        <v>11</v>
      </c>
      <c r="D68" s="108" t="s">
        <v>42</v>
      </c>
      <c r="E68" s="108" t="s">
        <v>696</v>
      </c>
      <c r="F68" s="108" t="s">
        <v>783</v>
      </c>
      <c r="G68" s="108" t="s">
        <v>561</v>
      </c>
      <c r="H68" s="108" t="s">
        <v>718</v>
      </c>
      <c r="I68" s="108" t="s">
        <v>491</v>
      </c>
      <c r="J68" s="108" t="s">
        <v>735</v>
      </c>
    </row>
    <row r="69" spans="1:10" ht="25" customHeight="1">
      <c r="A69" s="110" t="s">
        <v>160</v>
      </c>
      <c r="B69" s="110" t="s">
        <v>695</v>
      </c>
      <c r="C69" s="110" t="s">
        <v>2</v>
      </c>
      <c r="D69" s="110" t="s">
        <v>43</v>
      </c>
      <c r="E69" s="110" t="s">
        <v>696</v>
      </c>
      <c r="F69" s="110" t="s">
        <v>738</v>
      </c>
      <c r="G69" s="110" t="s">
        <v>521</v>
      </c>
      <c r="H69" s="110" t="s">
        <v>704</v>
      </c>
      <c r="I69" s="110" t="s">
        <v>705</v>
      </c>
      <c r="J69" s="110" t="s">
        <v>735</v>
      </c>
    </row>
    <row r="70" spans="1:10" ht="25" customHeight="1">
      <c r="A70" s="108" t="s">
        <v>160</v>
      </c>
      <c r="B70" s="108" t="s">
        <v>784</v>
      </c>
      <c r="C70" s="108" t="s">
        <v>4</v>
      </c>
      <c r="D70" s="108" t="s">
        <v>43</v>
      </c>
      <c r="E70" s="108" t="s">
        <v>741</v>
      </c>
      <c r="F70" s="108" t="s">
        <v>734</v>
      </c>
      <c r="G70" s="108" t="s">
        <v>531</v>
      </c>
      <c r="H70" s="108" t="s">
        <v>743</v>
      </c>
      <c r="I70" s="108" t="s">
        <v>744</v>
      </c>
      <c r="J70" s="108" t="s">
        <v>735</v>
      </c>
    </row>
    <row r="71" spans="1:10" ht="25" customHeight="1">
      <c r="A71" s="110" t="s">
        <v>160</v>
      </c>
      <c r="B71" s="110" t="s">
        <v>785</v>
      </c>
      <c r="C71" s="110" t="s">
        <v>5</v>
      </c>
      <c r="D71" s="110" t="s">
        <v>43</v>
      </c>
      <c r="E71" s="110" t="s">
        <v>696</v>
      </c>
      <c r="F71" s="110" t="s">
        <v>734</v>
      </c>
      <c r="G71" s="110" t="s">
        <v>531</v>
      </c>
      <c r="H71" s="110" t="s">
        <v>743</v>
      </c>
      <c r="I71" s="110" t="s">
        <v>744</v>
      </c>
      <c r="J71" s="110" t="s">
        <v>735</v>
      </c>
    </row>
    <row r="72" spans="1:10" ht="25" customHeight="1">
      <c r="A72" s="108" t="s">
        <v>160</v>
      </c>
      <c r="B72" s="108" t="s">
        <v>786</v>
      </c>
      <c r="C72" s="108" t="s">
        <v>6</v>
      </c>
      <c r="D72" s="108" t="s">
        <v>43</v>
      </c>
      <c r="E72" s="108" t="s">
        <v>696</v>
      </c>
      <c r="F72" s="108" t="s">
        <v>741</v>
      </c>
      <c r="G72" s="108" t="s">
        <v>536</v>
      </c>
      <c r="H72" s="108" t="s">
        <v>762</v>
      </c>
      <c r="I72" s="108" t="s">
        <v>763</v>
      </c>
      <c r="J72" s="108" t="s">
        <v>735</v>
      </c>
    </row>
    <row r="73" spans="1:10" ht="25" customHeight="1">
      <c r="A73" s="110" t="s">
        <v>160</v>
      </c>
      <c r="B73" s="110" t="s">
        <v>787</v>
      </c>
      <c r="C73" s="110" t="s">
        <v>7</v>
      </c>
      <c r="D73" s="110" t="s">
        <v>43</v>
      </c>
      <c r="E73" s="110" t="s">
        <v>696</v>
      </c>
      <c r="F73" s="110" t="s">
        <v>788</v>
      </c>
      <c r="G73" s="110" t="s">
        <v>541</v>
      </c>
      <c r="H73" s="110" t="s">
        <v>766</v>
      </c>
      <c r="I73" s="110" t="s">
        <v>767</v>
      </c>
      <c r="J73" s="110" t="s">
        <v>735</v>
      </c>
    </row>
    <row r="74" spans="1:10" ht="25" customHeight="1">
      <c r="A74" s="108" t="s">
        <v>160</v>
      </c>
      <c r="B74" s="108" t="s">
        <v>789</v>
      </c>
      <c r="C74" s="108" t="s">
        <v>8</v>
      </c>
      <c r="D74" s="108" t="s">
        <v>43</v>
      </c>
      <c r="E74" s="108" t="s">
        <v>696</v>
      </c>
      <c r="F74" s="108" t="s">
        <v>756</v>
      </c>
      <c r="G74" s="108" t="s">
        <v>546</v>
      </c>
      <c r="H74" s="108" t="s">
        <v>712</v>
      </c>
      <c r="I74" s="108" t="s">
        <v>713</v>
      </c>
      <c r="J74" s="108" t="s">
        <v>735</v>
      </c>
    </row>
    <row r="75" spans="1:10" ht="25" customHeight="1">
      <c r="A75" s="110" t="s">
        <v>160</v>
      </c>
      <c r="B75" s="110" t="s">
        <v>790</v>
      </c>
      <c r="C75" s="110" t="s">
        <v>9</v>
      </c>
      <c r="D75" s="110" t="s">
        <v>43</v>
      </c>
      <c r="E75" s="110" t="s">
        <v>696</v>
      </c>
      <c r="F75" s="110" t="s">
        <v>788</v>
      </c>
      <c r="G75" s="110" t="s">
        <v>551</v>
      </c>
      <c r="H75" s="110" t="s">
        <v>715</v>
      </c>
      <c r="I75" s="110" t="s">
        <v>716</v>
      </c>
      <c r="J75" s="110" t="s">
        <v>735</v>
      </c>
    </row>
    <row r="76" spans="1:10" ht="25" customHeight="1">
      <c r="A76" s="108" t="s">
        <v>160</v>
      </c>
      <c r="B76" s="108" t="s">
        <v>791</v>
      </c>
      <c r="C76" s="108" t="s">
        <v>10</v>
      </c>
      <c r="D76" s="108" t="s">
        <v>43</v>
      </c>
      <c r="E76" s="108" t="s">
        <v>696</v>
      </c>
      <c r="F76" s="108" t="s">
        <v>783</v>
      </c>
      <c r="G76" s="108" t="s">
        <v>556</v>
      </c>
      <c r="H76" s="108" t="s">
        <v>771</v>
      </c>
      <c r="I76" s="108" t="s">
        <v>772</v>
      </c>
      <c r="J76" s="108" t="s">
        <v>735</v>
      </c>
    </row>
    <row r="77" spans="1:10" ht="25" customHeight="1">
      <c r="A77" s="110" t="s">
        <v>160</v>
      </c>
      <c r="B77" s="110" t="s">
        <v>792</v>
      </c>
      <c r="C77" s="110" t="s">
        <v>11</v>
      </c>
      <c r="D77" s="110" t="s">
        <v>43</v>
      </c>
      <c r="E77" s="110" t="s">
        <v>696</v>
      </c>
      <c r="F77" s="110" t="s">
        <v>738</v>
      </c>
      <c r="G77" s="110" t="s">
        <v>561</v>
      </c>
      <c r="H77" s="110" t="s">
        <v>718</v>
      </c>
      <c r="I77" s="110" t="s">
        <v>491</v>
      </c>
      <c r="J77" s="110" t="s">
        <v>735</v>
      </c>
    </row>
    <row r="78" spans="1:10" ht="25" customHeight="1">
      <c r="A78" s="108" t="s">
        <v>160</v>
      </c>
      <c r="B78" s="108" t="s">
        <v>793</v>
      </c>
      <c r="C78" s="108" t="s">
        <v>2</v>
      </c>
      <c r="D78" s="108" t="s">
        <v>45</v>
      </c>
      <c r="E78" s="108" t="s">
        <v>696</v>
      </c>
      <c r="F78" s="108" t="s">
        <v>51</v>
      </c>
      <c r="G78" s="108" t="s">
        <v>521</v>
      </c>
      <c r="H78" s="108" t="s">
        <v>704</v>
      </c>
      <c r="I78" s="108" t="s">
        <v>705</v>
      </c>
      <c r="J78" s="108" t="s">
        <v>735</v>
      </c>
    </row>
    <row r="79" spans="1:10" ht="25" customHeight="1">
      <c r="A79" s="110" t="s">
        <v>160</v>
      </c>
      <c r="B79" s="110" t="s">
        <v>794</v>
      </c>
      <c r="C79" s="110" t="s">
        <v>3</v>
      </c>
      <c r="D79" s="110" t="s">
        <v>45</v>
      </c>
      <c r="E79" s="110" t="s">
        <v>746</v>
      </c>
      <c r="F79" s="110" t="s">
        <v>51</v>
      </c>
      <c r="G79" s="110" t="s">
        <v>526</v>
      </c>
      <c r="H79" s="110" t="s">
        <v>698</v>
      </c>
      <c r="I79" s="110" t="s">
        <v>699</v>
      </c>
      <c r="J79" s="110" t="s">
        <v>735</v>
      </c>
    </row>
    <row r="80" spans="1:10" ht="25" customHeight="1">
      <c r="A80" s="108" t="s">
        <v>160</v>
      </c>
      <c r="B80" s="108" t="s">
        <v>795</v>
      </c>
      <c r="C80" s="108" t="s">
        <v>4</v>
      </c>
      <c r="D80" s="108" t="s">
        <v>45</v>
      </c>
      <c r="E80" s="108" t="s">
        <v>796</v>
      </c>
      <c r="F80" s="108" t="s">
        <v>51</v>
      </c>
      <c r="G80" s="108" t="s">
        <v>531</v>
      </c>
      <c r="H80" s="108" t="s">
        <v>743</v>
      </c>
      <c r="I80" s="108" t="s">
        <v>744</v>
      </c>
      <c r="J80" s="108" t="s">
        <v>735</v>
      </c>
    </row>
    <row r="81" spans="1:10" ht="25" customHeight="1">
      <c r="A81" s="110" t="s">
        <v>160</v>
      </c>
      <c r="B81" s="110" t="s">
        <v>797</v>
      </c>
      <c r="C81" s="110" t="s">
        <v>5</v>
      </c>
      <c r="D81" s="110" t="s">
        <v>45</v>
      </c>
      <c r="E81" s="110" t="s">
        <v>798</v>
      </c>
      <c r="F81" s="110" t="s">
        <v>51</v>
      </c>
      <c r="G81" s="110" t="s">
        <v>531</v>
      </c>
      <c r="H81" s="110" t="s">
        <v>743</v>
      </c>
      <c r="I81" s="110" t="s">
        <v>744</v>
      </c>
      <c r="J81" s="110" t="s">
        <v>735</v>
      </c>
    </row>
    <row r="82" spans="1:10" ht="25" customHeight="1">
      <c r="A82" s="108" t="s">
        <v>160</v>
      </c>
      <c r="B82" s="108" t="s">
        <v>799</v>
      </c>
      <c r="C82" s="108" t="s">
        <v>6</v>
      </c>
      <c r="D82" s="108" t="s">
        <v>45</v>
      </c>
      <c r="E82" s="108" t="s">
        <v>696</v>
      </c>
      <c r="F82" s="108" t="s">
        <v>51</v>
      </c>
      <c r="G82" s="108" t="s">
        <v>536</v>
      </c>
      <c r="H82" s="108" t="s">
        <v>762</v>
      </c>
      <c r="I82" s="108" t="s">
        <v>763</v>
      </c>
      <c r="J82" s="108" t="s">
        <v>735</v>
      </c>
    </row>
    <row r="83" spans="1:10" ht="25" customHeight="1">
      <c r="A83" s="110" t="s">
        <v>160</v>
      </c>
      <c r="B83" s="110" t="s">
        <v>800</v>
      </c>
      <c r="C83" s="110" t="s">
        <v>7</v>
      </c>
      <c r="D83" s="110" t="s">
        <v>45</v>
      </c>
      <c r="E83" s="110" t="s">
        <v>696</v>
      </c>
      <c r="F83" s="110" t="s">
        <v>51</v>
      </c>
      <c r="G83" s="110" t="s">
        <v>541</v>
      </c>
      <c r="H83" s="110" t="s">
        <v>766</v>
      </c>
      <c r="I83" s="110" t="s">
        <v>767</v>
      </c>
      <c r="J83" s="110" t="s">
        <v>735</v>
      </c>
    </row>
    <row r="84" spans="1:10" ht="25" customHeight="1">
      <c r="A84" s="108" t="s">
        <v>160</v>
      </c>
      <c r="B84" s="108" t="s">
        <v>801</v>
      </c>
      <c r="C84" s="108" t="s">
        <v>8</v>
      </c>
      <c r="D84" s="108" t="s">
        <v>45</v>
      </c>
      <c r="E84" s="108" t="s">
        <v>696</v>
      </c>
      <c r="F84" s="108" t="s">
        <v>51</v>
      </c>
      <c r="G84" s="108" t="s">
        <v>546</v>
      </c>
      <c r="H84" s="108" t="s">
        <v>712</v>
      </c>
      <c r="I84" s="108" t="s">
        <v>713</v>
      </c>
      <c r="J84" s="108" t="s">
        <v>735</v>
      </c>
    </row>
    <row r="85" spans="1:10" ht="25" customHeight="1">
      <c r="A85" s="110" t="s">
        <v>160</v>
      </c>
      <c r="B85" s="110" t="s">
        <v>802</v>
      </c>
      <c r="C85" s="110" t="s">
        <v>9</v>
      </c>
      <c r="D85" s="110" t="s">
        <v>45</v>
      </c>
      <c r="E85" s="110" t="s">
        <v>696</v>
      </c>
      <c r="F85" s="110" t="s">
        <v>51</v>
      </c>
      <c r="G85" s="110" t="s">
        <v>551</v>
      </c>
      <c r="H85" s="110" t="s">
        <v>715</v>
      </c>
      <c r="I85" s="110" t="s">
        <v>716</v>
      </c>
      <c r="J85" s="110" t="s">
        <v>735</v>
      </c>
    </row>
    <row r="86" spans="1:10" ht="25" customHeight="1">
      <c r="A86" s="108" t="s">
        <v>160</v>
      </c>
      <c r="B86" s="108" t="s">
        <v>803</v>
      </c>
      <c r="C86" s="108" t="s">
        <v>10</v>
      </c>
      <c r="D86" s="108" t="s">
        <v>45</v>
      </c>
      <c r="E86" s="108" t="s">
        <v>696</v>
      </c>
      <c r="F86" s="108" t="s">
        <v>51</v>
      </c>
      <c r="G86" s="108" t="s">
        <v>556</v>
      </c>
      <c r="H86" s="108" t="s">
        <v>771</v>
      </c>
      <c r="I86" s="108" t="s">
        <v>772</v>
      </c>
      <c r="J86" s="108" t="s">
        <v>735</v>
      </c>
    </row>
    <row r="87" spans="1:10" ht="25" customHeight="1">
      <c r="A87" s="110" t="s">
        <v>160</v>
      </c>
      <c r="B87" s="110" t="s">
        <v>804</v>
      </c>
      <c r="C87" s="110" t="s">
        <v>11</v>
      </c>
      <c r="D87" s="110" t="s">
        <v>45</v>
      </c>
      <c r="E87" s="110" t="s">
        <v>696</v>
      </c>
      <c r="F87" s="110" t="s">
        <v>51</v>
      </c>
      <c r="G87" s="110" t="s">
        <v>561</v>
      </c>
      <c r="H87" s="110" t="s">
        <v>718</v>
      </c>
      <c r="I87" s="110" t="s">
        <v>491</v>
      </c>
      <c r="J87" s="110" t="s">
        <v>735</v>
      </c>
    </row>
    <row r="88" spans="1:10" ht="25" customHeight="1">
      <c r="A88" s="108" t="s">
        <v>160</v>
      </c>
      <c r="B88" s="108" t="s">
        <v>805</v>
      </c>
      <c r="C88" s="108" t="s">
        <v>14</v>
      </c>
      <c r="D88" s="108" t="s">
        <v>45</v>
      </c>
      <c r="E88" s="108" t="s">
        <v>754</v>
      </c>
      <c r="F88" s="108" t="s">
        <v>51</v>
      </c>
      <c r="G88" s="108" t="s">
        <v>571</v>
      </c>
      <c r="H88" s="108" t="s">
        <v>724</v>
      </c>
      <c r="I88" s="108" t="s">
        <v>725</v>
      </c>
      <c r="J88" s="108" t="s">
        <v>735</v>
      </c>
    </row>
    <row r="89" spans="1:10" ht="25" customHeight="1">
      <c r="A89" s="110" t="s">
        <v>160</v>
      </c>
      <c r="B89" s="110" t="s">
        <v>806</v>
      </c>
      <c r="C89" s="110" t="s">
        <v>17</v>
      </c>
      <c r="D89" s="110" t="s">
        <v>45</v>
      </c>
      <c r="E89" s="110" t="s">
        <v>754</v>
      </c>
      <c r="F89" s="110" t="s">
        <v>51</v>
      </c>
      <c r="G89" s="110" t="s">
        <v>585</v>
      </c>
      <c r="H89" s="110" t="s">
        <v>727</v>
      </c>
      <c r="I89" s="110" t="s">
        <v>728</v>
      </c>
      <c r="J89" s="110" t="s">
        <v>735</v>
      </c>
    </row>
    <row r="90" spans="1:10" ht="25" customHeight="1">
      <c r="A90" s="108" t="s">
        <v>160</v>
      </c>
      <c r="B90" s="108" t="s">
        <v>807</v>
      </c>
      <c r="C90" s="108" t="s">
        <v>15</v>
      </c>
      <c r="D90" s="108" t="s">
        <v>45</v>
      </c>
      <c r="E90" s="108" t="s">
        <v>754</v>
      </c>
      <c r="F90" s="108" t="s">
        <v>51</v>
      </c>
      <c r="G90" s="108" t="s">
        <v>576</v>
      </c>
      <c r="H90" s="108" t="s">
        <v>808</v>
      </c>
      <c r="I90" s="108" t="s">
        <v>809</v>
      </c>
      <c r="J90" s="108" t="s">
        <v>735</v>
      </c>
    </row>
    <row r="91" spans="1:10" ht="25" customHeight="1">
      <c r="A91" s="110" t="s">
        <v>160</v>
      </c>
      <c r="B91" s="110" t="s">
        <v>810</v>
      </c>
      <c r="C91" s="110" t="s">
        <v>18</v>
      </c>
      <c r="D91" s="110" t="s">
        <v>45</v>
      </c>
      <c r="E91" s="110" t="s">
        <v>754</v>
      </c>
      <c r="F91" s="110" t="s">
        <v>51</v>
      </c>
      <c r="G91" s="110" t="s">
        <v>590</v>
      </c>
      <c r="H91" s="110" t="s">
        <v>731</v>
      </c>
      <c r="I91" s="110" t="s">
        <v>732</v>
      </c>
      <c r="J91" s="110" t="s">
        <v>735</v>
      </c>
    </row>
    <row r="92" spans="1:10" ht="25" customHeight="1">
      <c r="A92" s="108" t="s">
        <v>160</v>
      </c>
      <c r="B92" s="108" t="s">
        <v>811</v>
      </c>
      <c r="C92" s="108" t="s">
        <v>13</v>
      </c>
      <c r="D92" s="108" t="s">
        <v>45</v>
      </c>
      <c r="E92" s="108" t="s">
        <v>754</v>
      </c>
      <c r="F92" s="108" t="s">
        <v>51</v>
      </c>
      <c r="G92" s="108" t="s">
        <v>566</v>
      </c>
      <c r="H92" s="108" t="s">
        <v>721</v>
      </c>
      <c r="I92" s="108" t="s">
        <v>722</v>
      </c>
      <c r="J92" s="108" t="s">
        <v>735</v>
      </c>
    </row>
    <row r="93" spans="1:10" ht="25" customHeight="1">
      <c r="A93" s="110" t="s">
        <v>160</v>
      </c>
      <c r="B93" s="110" t="s">
        <v>812</v>
      </c>
      <c r="C93" s="110" t="s">
        <v>16</v>
      </c>
      <c r="D93" s="110" t="s">
        <v>45</v>
      </c>
      <c r="E93" s="110" t="s">
        <v>754</v>
      </c>
      <c r="F93" s="110" t="s">
        <v>51</v>
      </c>
      <c r="G93" s="110" t="s">
        <v>581</v>
      </c>
      <c r="H93" s="110" t="s">
        <v>813</v>
      </c>
      <c r="I93" s="110" t="s">
        <v>814</v>
      </c>
      <c r="J93" s="110" t="s">
        <v>735</v>
      </c>
    </row>
    <row r="94" spans="1:10" ht="25" customHeight="1">
      <c r="A94" s="108" t="s">
        <v>160</v>
      </c>
      <c r="B94" s="108" t="s">
        <v>815</v>
      </c>
      <c r="C94" s="108" t="s">
        <v>2</v>
      </c>
      <c r="D94" s="108" t="s">
        <v>44</v>
      </c>
      <c r="E94" s="108" t="s">
        <v>696</v>
      </c>
      <c r="F94" s="108" t="s">
        <v>748</v>
      </c>
      <c r="G94" s="108" t="s">
        <v>521</v>
      </c>
      <c r="H94" s="108" t="s">
        <v>704</v>
      </c>
      <c r="I94" s="108" t="s">
        <v>705</v>
      </c>
      <c r="J94" s="108" t="s">
        <v>735</v>
      </c>
    </row>
    <row r="95" spans="1:10" ht="25" customHeight="1">
      <c r="A95" s="110" t="s">
        <v>160</v>
      </c>
      <c r="B95" s="110" t="s">
        <v>816</v>
      </c>
      <c r="C95" s="110" t="s">
        <v>3</v>
      </c>
      <c r="D95" s="110" t="s">
        <v>44</v>
      </c>
      <c r="E95" s="110" t="s">
        <v>696</v>
      </c>
      <c r="F95" s="110" t="s">
        <v>748</v>
      </c>
      <c r="G95" s="110" t="s">
        <v>526</v>
      </c>
      <c r="H95" s="110" t="s">
        <v>698</v>
      </c>
      <c r="I95" s="110" t="s">
        <v>699</v>
      </c>
      <c r="J95" s="110" t="s">
        <v>735</v>
      </c>
    </row>
    <row r="96" spans="1:10" ht="25" customHeight="1">
      <c r="A96" s="108" t="s">
        <v>160</v>
      </c>
      <c r="B96" s="108" t="s">
        <v>817</v>
      </c>
      <c r="C96" s="108" t="s">
        <v>6</v>
      </c>
      <c r="D96" s="108" t="s">
        <v>44</v>
      </c>
      <c r="E96" s="108" t="s">
        <v>696</v>
      </c>
      <c r="F96" s="108" t="s">
        <v>761</v>
      </c>
      <c r="G96" s="108" t="s">
        <v>536</v>
      </c>
      <c r="H96" s="108" t="s">
        <v>762</v>
      </c>
      <c r="I96" s="108" t="s">
        <v>763</v>
      </c>
      <c r="J96" s="108" t="s">
        <v>735</v>
      </c>
    </row>
    <row r="97" spans="1:10" ht="25" customHeight="1">
      <c r="A97" s="110" t="s">
        <v>160</v>
      </c>
      <c r="B97" s="110" t="s">
        <v>818</v>
      </c>
      <c r="C97" s="110" t="s">
        <v>7</v>
      </c>
      <c r="D97" s="110" t="s">
        <v>44</v>
      </c>
      <c r="E97" s="110" t="s">
        <v>696</v>
      </c>
      <c r="F97" s="110" t="s">
        <v>756</v>
      </c>
      <c r="G97" s="110" t="s">
        <v>541</v>
      </c>
      <c r="H97" s="110" t="s">
        <v>766</v>
      </c>
      <c r="I97" s="110" t="s">
        <v>767</v>
      </c>
      <c r="J97" s="110" t="s">
        <v>735</v>
      </c>
    </row>
    <row r="98" spans="1:10" ht="25" customHeight="1">
      <c r="A98" s="108" t="s">
        <v>160</v>
      </c>
      <c r="B98" s="108" t="s">
        <v>819</v>
      </c>
      <c r="C98" s="108" t="s">
        <v>8</v>
      </c>
      <c r="D98" s="108" t="s">
        <v>44</v>
      </c>
      <c r="E98" s="108" t="s">
        <v>696</v>
      </c>
      <c r="F98" s="108" t="s">
        <v>734</v>
      </c>
      <c r="G98" s="108" t="s">
        <v>546</v>
      </c>
      <c r="H98" s="108" t="s">
        <v>712</v>
      </c>
      <c r="I98" s="108" t="s">
        <v>713</v>
      </c>
      <c r="J98" s="108" t="s">
        <v>735</v>
      </c>
    </row>
    <row r="99" spans="1:10" ht="25" customHeight="1">
      <c r="A99" s="110" t="s">
        <v>160</v>
      </c>
      <c r="B99" s="110" t="s">
        <v>820</v>
      </c>
      <c r="C99" s="110" t="s">
        <v>9</v>
      </c>
      <c r="D99" s="110" t="s">
        <v>44</v>
      </c>
      <c r="E99" s="110" t="s">
        <v>696</v>
      </c>
      <c r="F99" s="110" t="s">
        <v>738</v>
      </c>
      <c r="G99" s="110" t="s">
        <v>551</v>
      </c>
      <c r="H99" s="110" t="s">
        <v>715</v>
      </c>
      <c r="I99" s="110" t="s">
        <v>716</v>
      </c>
      <c r="J99" s="110" t="s">
        <v>735</v>
      </c>
    </row>
    <row r="100" spans="1:10" ht="25" customHeight="1">
      <c r="A100" s="108" t="s">
        <v>160</v>
      </c>
      <c r="B100" s="108" t="s">
        <v>821</v>
      </c>
      <c r="C100" s="108" t="s">
        <v>10</v>
      </c>
      <c r="D100" s="108" t="s">
        <v>44</v>
      </c>
      <c r="E100" s="108" t="s">
        <v>696</v>
      </c>
      <c r="F100" s="108" t="s">
        <v>734</v>
      </c>
      <c r="G100" s="108" t="s">
        <v>556</v>
      </c>
      <c r="H100" s="108" t="s">
        <v>771</v>
      </c>
      <c r="I100" s="108" t="s">
        <v>772</v>
      </c>
      <c r="J100" s="108" t="s">
        <v>735</v>
      </c>
    </row>
    <row r="101" spans="1:10" ht="25" customHeight="1">
      <c r="A101" s="110" t="s">
        <v>160</v>
      </c>
      <c r="B101" s="110" t="s">
        <v>822</v>
      </c>
      <c r="C101" s="110" t="s">
        <v>11</v>
      </c>
      <c r="D101" s="110" t="s">
        <v>44</v>
      </c>
      <c r="E101" s="110" t="s">
        <v>696</v>
      </c>
      <c r="F101" s="110" t="s">
        <v>738</v>
      </c>
      <c r="G101" s="110" t="s">
        <v>561</v>
      </c>
      <c r="H101" s="110" t="s">
        <v>718</v>
      </c>
      <c r="I101" s="110" t="s">
        <v>491</v>
      </c>
      <c r="J101" s="110" t="s">
        <v>735</v>
      </c>
    </row>
    <row r="102" spans="1:10" ht="25" customHeight="1">
      <c r="A102" s="108" t="s">
        <v>160</v>
      </c>
      <c r="B102" s="108" t="s">
        <v>823</v>
      </c>
      <c r="C102" s="108" t="s">
        <v>2</v>
      </c>
      <c r="D102" s="108" t="s">
        <v>46</v>
      </c>
      <c r="E102" s="108" t="s">
        <v>696</v>
      </c>
      <c r="F102" s="108" t="s">
        <v>783</v>
      </c>
      <c r="G102" s="108" t="s">
        <v>521</v>
      </c>
      <c r="H102" s="108" t="s">
        <v>704</v>
      </c>
      <c r="I102" s="108" t="s">
        <v>705</v>
      </c>
      <c r="J102" s="108" t="s">
        <v>824</v>
      </c>
    </row>
    <row r="103" spans="1:10" ht="25" customHeight="1">
      <c r="A103" s="110" t="s">
        <v>160</v>
      </c>
      <c r="B103" s="110" t="s">
        <v>825</v>
      </c>
      <c r="C103" s="110" t="s">
        <v>3</v>
      </c>
      <c r="D103" s="110" t="s">
        <v>46</v>
      </c>
      <c r="E103" s="110" t="s">
        <v>696</v>
      </c>
      <c r="F103" s="110" t="s">
        <v>752</v>
      </c>
      <c r="G103" s="110" t="s">
        <v>526</v>
      </c>
      <c r="H103" s="110" t="s">
        <v>698</v>
      </c>
      <c r="I103" s="110" t="s">
        <v>699</v>
      </c>
      <c r="J103" s="110" t="s">
        <v>824</v>
      </c>
    </row>
    <row r="104" spans="1:10" ht="25" customHeight="1">
      <c r="A104" s="108" t="s">
        <v>160</v>
      </c>
      <c r="B104" s="108" t="s">
        <v>826</v>
      </c>
      <c r="C104" s="108" t="s">
        <v>4</v>
      </c>
      <c r="D104" s="108" t="s">
        <v>46</v>
      </c>
      <c r="E104" s="108" t="s">
        <v>696</v>
      </c>
      <c r="F104" s="108" t="s">
        <v>752</v>
      </c>
      <c r="G104" s="108" t="s">
        <v>531</v>
      </c>
      <c r="H104" s="108" t="s">
        <v>743</v>
      </c>
      <c r="I104" s="108" t="s">
        <v>744</v>
      </c>
      <c r="J104" s="108" t="s">
        <v>824</v>
      </c>
    </row>
    <row r="105" spans="1:10" ht="25" customHeight="1">
      <c r="A105" s="110" t="s">
        <v>160</v>
      </c>
      <c r="B105" s="110" t="s">
        <v>827</v>
      </c>
      <c r="C105" s="110" t="s">
        <v>5</v>
      </c>
      <c r="D105" s="110" t="s">
        <v>46</v>
      </c>
      <c r="E105" s="110" t="s">
        <v>696</v>
      </c>
      <c r="F105" s="110" t="s">
        <v>752</v>
      </c>
      <c r="G105" s="110" t="s">
        <v>531</v>
      </c>
      <c r="H105" s="110" t="s">
        <v>743</v>
      </c>
      <c r="I105" s="110" t="s">
        <v>744</v>
      </c>
      <c r="J105" s="110" t="s">
        <v>824</v>
      </c>
    </row>
    <row r="106" spans="1:10" ht="25" customHeight="1">
      <c r="A106" s="108" t="s">
        <v>160</v>
      </c>
      <c r="B106" s="108" t="s">
        <v>828</v>
      </c>
      <c r="C106" s="108" t="s">
        <v>6</v>
      </c>
      <c r="D106" s="108" t="s">
        <v>46</v>
      </c>
      <c r="E106" s="108" t="s">
        <v>696</v>
      </c>
      <c r="F106" s="108" t="s">
        <v>829</v>
      </c>
      <c r="G106" s="108" t="s">
        <v>536</v>
      </c>
      <c r="H106" s="108" t="s">
        <v>762</v>
      </c>
      <c r="I106" s="108" t="s">
        <v>763</v>
      </c>
      <c r="J106" s="108" t="s">
        <v>824</v>
      </c>
    </row>
    <row r="107" spans="1:10" ht="25" customHeight="1">
      <c r="A107" s="110" t="s">
        <v>160</v>
      </c>
      <c r="B107" s="110" t="s">
        <v>830</v>
      </c>
      <c r="C107" s="110" t="s">
        <v>7</v>
      </c>
      <c r="D107" s="110" t="s">
        <v>46</v>
      </c>
      <c r="E107" s="110" t="s">
        <v>696</v>
      </c>
      <c r="F107" s="110" t="s">
        <v>831</v>
      </c>
      <c r="G107" s="110" t="s">
        <v>541</v>
      </c>
      <c r="H107" s="110" t="s">
        <v>766</v>
      </c>
      <c r="I107" s="110" t="s">
        <v>767</v>
      </c>
      <c r="J107" s="110" t="s">
        <v>824</v>
      </c>
    </row>
    <row r="108" spans="1:10" ht="25" customHeight="1">
      <c r="A108" s="108" t="s">
        <v>160</v>
      </c>
      <c r="B108" s="108" t="s">
        <v>832</v>
      </c>
      <c r="C108" s="108" t="s">
        <v>8</v>
      </c>
      <c r="D108" s="108" t="s">
        <v>46</v>
      </c>
      <c r="E108" s="108" t="s">
        <v>696</v>
      </c>
      <c r="F108" s="108" t="s">
        <v>758</v>
      </c>
      <c r="G108" s="108" t="s">
        <v>546</v>
      </c>
      <c r="H108" s="108" t="s">
        <v>712</v>
      </c>
      <c r="I108" s="108" t="s">
        <v>713</v>
      </c>
      <c r="J108" s="108" t="s">
        <v>824</v>
      </c>
    </row>
    <row r="109" spans="1:10" ht="25" customHeight="1">
      <c r="A109" s="110" t="s">
        <v>160</v>
      </c>
      <c r="B109" s="110" t="s">
        <v>833</v>
      </c>
      <c r="C109" s="110" t="s">
        <v>9</v>
      </c>
      <c r="D109" s="110" t="s">
        <v>46</v>
      </c>
      <c r="E109" s="110" t="s">
        <v>696</v>
      </c>
      <c r="F109" s="110" t="s">
        <v>697</v>
      </c>
      <c r="G109" s="110" t="s">
        <v>551</v>
      </c>
      <c r="H109" s="110" t="s">
        <v>715</v>
      </c>
      <c r="I109" s="110" t="s">
        <v>716</v>
      </c>
      <c r="J109" s="110" t="s">
        <v>824</v>
      </c>
    </row>
    <row r="110" spans="1:10" ht="25" customHeight="1">
      <c r="A110" s="108" t="s">
        <v>160</v>
      </c>
      <c r="B110" s="108" t="s">
        <v>834</v>
      </c>
      <c r="C110" s="108" t="s">
        <v>10</v>
      </c>
      <c r="D110" s="108" t="s">
        <v>46</v>
      </c>
      <c r="E110" s="108" t="s">
        <v>696</v>
      </c>
      <c r="F110" s="108" t="s">
        <v>783</v>
      </c>
      <c r="G110" s="108" t="s">
        <v>556</v>
      </c>
      <c r="H110" s="108" t="s">
        <v>771</v>
      </c>
      <c r="I110" s="108" t="s">
        <v>772</v>
      </c>
      <c r="J110" s="108" t="s">
        <v>824</v>
      </c>
    </row>
    <row r="111" spans="1:10" ht="25" customHeight="1">
      <c r="A111" s="110" t="s">
        <v>160</v>
      </c>
      <c r="B111" s="110" t="s">
        <v>835</v>
      </c>
      <c r="C111" s="110" t="s">
        <v>11</v>
      </c>
      <c r="D111" s="110" t="s">
        <v>46</v>
      </c>
      <c r="E111" s="110" t="s">
        <v>696</v>
      </c>
      <c r="F111" s="110" t="s">
        <v>697</v>
      </c>
      <c r="G111" s="110" t="s">
        <v>561</v>
      </c>
      <c r="H111" s="110" t="s">
        <v>718</v>
      </c>
      <c r="I111" s="110" t="s">
        <v>491</v>
      </c>
      <c r="J111" s="110" t="s">
        <v>824</v>
      </c>
    </row>
    <row r="112" spans="1:10" ht="25" customHeight="1">
      <c r="A112" s="108" t="s">
        <v>160</v>
      </c>
      <c r="B112" s="108" t="s">
        <v>836</v>
      </c>
      <c r="C112" s="108" t="s">
        <v>5</v>
      </c>
      <c r="D112" s="108" t="s">
        <v>47</v>
      </c>
      <c r="E112" s="108" t="s">
        <v>696</v>
      </c>
      <c r="F112" s="108" t="s">
        <v>758</v>
      </c>
      <c r="G112" s="108" t="s">
        <v>531</v>
      </c>
      <c r="H112" s="108" t="s">
        <v>743</v>
      </c>
      <c r="I112" s="108" t="s">
        <v>744</v>
      </c>
      <c r="J112" s="108" t="s">
        <v>824</v>
      </c>
    </row>
    <row r="113" spans="1:10" ht="25" customHeight="1">
      <c r="A113" s="110" t="s">
        <v>160</v>
      </c>
      <c r="B113" s="110" t="s">
        <v>837</v>
      </c>
      <c r="C113" s="110" t="s">
        <v>4</v>
      </c>
      <c r="D113" s="110" t="s">
        <v>47</v>
      </c>
      <c r="E113" s="110" t="s">
        <v>696</v>
      </c>
      <c r="F113" s="110" t="s">
        <v>756</v>
      </c>
      <c r="G113" s="110" t="s">
        <v>531</v>
      </c>
      <c r="H113" s="110" t="s">
        <v>743</v>
      </c>
      <c r="I113" s="110" t="s">
        <v>744</v>
      </c>
      <c r="J113" s="110" t="s">
        <v>824</v>
      </c>
    </row>
    <row r="114" spans="1:10" ht="25" customHeight="1">
      <c r="A114" s="108" t="s">
        <v>160</v>
      </c>
      <c r="B114" s="108" t="s">
        <v>838</v>
      </c>
      <c r="C114" s="108" t="s">
        <v>6</v>
      </c>
      <c r="D114" s="108" t="s">
        <v>47</v>
      </c>
      <c r="E114" s="108" t="s">
        <v>696</v>
      </c>
      <c r="F114" s="108" t="s">
        <v>839</v>
      </c>
      <c r="G114" s="108" t="s">
        <v>536</v>
      </c>
      <c r="H114" s="108" t="s">
        <v>762</v>
      </c>
      <c r="I114" s="108" t="s">
        <v>763</v>
      </c>
      <c r="J114" s="108" t="s">
        <v>824</v>
      </c>
    </row>
    <row r="115" spans="1:10" ht="25" customHeight="1">
      <c r="A115" s="110" t="s">
        <v>160</v>
      </c>
      <c r="B115" s="110" t="s">
        <v>840</v>
      </c>
      <c r="C115" s="110" t="s">
        <v>7</v>
      </c>
      <c r="D115" s="110" t="s">
        <v>47</v>
      </c>
      <c r="E115" s="110" t="s">
        <v>696</v>
      </c>
      <c r="F115" s="110" t="s">
        <v>841</v>
      </c>
      <c r="G115" s="110" t="s">
        <v>541</v>
      </c>
      <c r="H115" s="110" t="s">
        <v>766</v>
      </c>
      <c r="I115" s="110" t="s">
        <v>767</v>
      </c>
      <c r="J115" s="110" t="s">
        <v>824</v>
      </c>
    </row>
    <row r="116" spans="1:10" ht="25" customHeight="1">
      <c r="A116" s="108" t="s">
        <v>160</v>
      </c>
      <c r="B116" s="108" t="s">
        <v>842</v>
      </c>
      <c r="C116" s="108" t="s">
        <v>8</v>
      </c>
      <c r="D116" s="108" t="s">
        <v>47</v>
      </c>
      <c r="E116" s="108" t="s">
        <v>696</v>
      </c>
      <c r="F116" s="108" t="s">
        <v>843</v>
      </c>
      <c r="G116" s="108" t="s">
        <v>546</v>
      </c>
      <c r="H116" s="108" t="s">
        <v>712</v>
      </c>
      <c r="I116" s="108" t="s">
        <v>713</v>
      </c>
      <c r="J116" s="108" t="s">
        <v>824</v>
      </c>
    </row>
    <row r="117" spans="1:10" ht="25" customHeight="1">
      <c r="A117" s="110" t="s">
        <v>160</v>
      </c>
      <c r="B117" s="110" t="s">
        <v>844</v>
      </c>
      <c r="C117" s="110" t="s">
        <v>9</v>
      </c>
      <c r="D117" s="110" t="s">
        <v>47</v>
      </c>
      <c r="E117" s="110" t="s">
        <v>696</v>
      </c>
      <c r="F117" s="110" t="s">
        <v>754</v>
      </c>
      <c r="G117" s="110" t="s">
        <v>551</v>
      </c>
      <c r="H117" s="110" t="s">
        <v>715</v>
      </c>
      <c r="I117" s="110" t="s">
        <v>716</v>
      </c>
      <c r="J117" s="110" t="s">
        <v>824</v>
      </c>
    </row>
    <row r="118" spans="1:10" ht="25" customHeight="1">
      <c r="A118" s="108" t="s">
        <v>160</v>
      </c>
      <c r="B118" s="108" t="s">
        <v>845</v>
      </c>
      <c r="C118" s="108" t="s">
        <v>10</v>
      </c>
      <c r="D118" s="108" t="s">
        <v>47</v>
      </c>
      <c r="E118" s="108" t="s">
        <v>696</v>
      </c>
      <c r="F118" s="108" t="s">
        <v>752</v>
      </c>
      <c r="G118" s="108" t="s">
        <v>556</v>
      </c>
      <c r="H118" s="108" t="s">
        <v>771</v>
      </c>
      <c r="I118" s="108" t="s">
        <v>772</v>
      </c>
      <c r="J118" s="108" t="s">
        <v>824</v>
      </c>
    </row>
    <row r="119" spans="1:10" ht="25" customHeight="1">
      <c r="A119" s="110" t="s">
        <v>160</v>
      </c>
      <c r="B119" s="110" t="s">
        <v>846</v>
      </c>
      <c r="C119" s="110" t="s">
        <v>13</v>
      </c>
      <c r="D119" s="110" t="s">
        <v>47</v>
      </c>
      <c r="E119" s="110" t="s">
        <v>696</v>
      </c>
      <c r="F119" s="110" t="s">
        <v>734</v>
      </c>
      <c r="G119" s="110" t="s">
        <v>566</v>
      </c>
      <c r="H119" s="110" t="s">
        <v>721</v>
      </c>
      <c r="I119" s="110" t="s">
        <v>722</v>
      </c>
      <c r="J119" s="110" t="s">
        <v>824</v>
      </c>
    </row>
    <row r="120" spans="1:10" ht="25" customHeight="1">
      <c r="A120" s="108" t="s">
        <v>160</v>
      </c>
      <c r="B120" s="108" t="s">
        <v>847</v>
      </c>
      <c r="C120" s="108" t="s">
        <v>5</v>
      </c>
      <c r="D120" s="108" t="s">
        <v>45</v>
      </c>
      <c r="E120" s="108" t="s">
        <v>751</v>
      </c>
      <c r="F120" s="108" t="s">
        <v>754</v>
      </c>
      <c r="G120" s="108" t="s">
        <v>531</v>
      </c>
      <c r="H120" s="108" t="s">
        <v>743</v>
      </c>
      <c r="I120" s="108" t="s">
        <v>744</v>
      </c>
      <c r="J120" s="108" t="s">
        <v>848</v>
      </c>
    </row>
    <row r="121" spans="1:10" ht="25" customHeight="1">
      <c r="A121" s="110" t="s">
        <v>160</v>
      </c>
      <c r="B121" s="110" t="s">
        <v>849</v>
      </c>
      <c r="C121" s="110" t="s">
        <v>5</v>
      </c>
      <c r="D121" s="110" t="s">
        <v>46</v>
      </c>
      <c r="E121" s="110" t="s">
        <v>696</v>
      </c>
      <c r="F121" s="110" t="s">
        <v>783</v>
      </c>
      <c r="G121" s="110" t="s">
        <v>531</v>
      </c>
      <c r="H121" s="110" t="s">
        <v>743</v>
      </c>
      <c r="I121" s="110" t="s">
        <v>744</v>
      </c>
      <c r="J121" s="110" t="s">
        <v>848</v>
      </c>
    </row>
    <row r="122" spans="1:10" ht="25" customHeight="1">
      <c r="A122" s="108" t="s">
        <v>160</v>
      </c>
      <c r="B122" s="108" t="s">
        <v>850</v>
      </c>
      <c r="C122" s="108" t="s">
        <v>5</v>
      </c>
      <c r="D122" s="108" t="s">
        <v>45</v>
      </c>
      <c r="E122" s="108" t="s">
        <v>696</v>
      </c>
      <c r="F122" s="108" t="s">
        <v>751</v>
      </c>
      <c r="G122" s="108" t="s">
        <v>531</v>
      </c>
      <c r="H122" s="108" t="s">
        <v>743</v>
      </c>
      <c r="I122" s="108" t="s">
        <v>744</v>
      </c>
      <c r="J122" s="108" t="s">
        <v>848</v>
      </c>
    </row>
    <row r="123" spans="1:10" ht="25" customHeight="1">
      <c r="A123" s="110" t="s">
        <v>162</v>
      </c>
      <c r="B123" s="110" t="s">
        <v>851</v>
      </c>
      <c r="C123" s="110" t="s">
        <v>10</v>
      </c>
      <c r="D123" s="110" t="s">
        <v>487</v>
      </c>
      <c r="E123" s="110" t="s">
        <v>696</v>
      </c>
      <c r="F123" s="110" t="s">
        <v>697</v>
      </c>
      <c r="G123" s="110" t="s">
        <v>561</v>
      </c>
      <c r="H123" s="110" t="s">
        <v>718</v>
      </c>
      <c r="I123" s="110" t="s">
        <v>491</v>
      </c>
      <c r="J123" s="110" t="s">
        <v>848</v>
      </c>
    </row>
    <row r="124" spans="1:10" ht="25" customHeight="1">
      <c r="A124" s="108" t="s">
        <v>162</v>
      </c>
      <c r="B124" s="108" t="s">
        <v>852</v>
      </c>
      <c r="C124" s="108" t="s">
        <v>10</v>
      </c>
      <c r="D124" s="108" t="s">
        <v>215</v>
      </c>
      <c r="E124" s="108" t="s">
        <v>696</v>
      </c>
      <c r="F124" s="108" t="s">
        <v>697</v>
      </c>
      <c r="G124" s="108" t="s">
        <v>561</v>
      </c>
      <c r="H124" s="108" t="s">
        <v>718</v>
      </c>
      <c r="I124" s="108" t="s">
        <v>491</v>
      </c>
      <c r="J124" s="108" t="s">
        <v>848</v>
      </c>
    </row>
    <row r="125" spans="1:10" ht="25" customHeight="1">
      <c r="A125" s="110" t="s">
        <v>162</v>
      </c>
      <c r="B125" s="110" t="s">
        <v>853</v>
      </c>
      <c r="C125" s="110" t="s">
        <v>10</v>
      </c>
      <c r="D125" s="110" t="s">
        <v>217</v>
      </c>
      <c r="E125" s="110" t="s">
        <v>696</v>
      </c>
      <c r="F125" s="110" t="s">
        <v>697</v>
      </c>
      <c r="G125" s="110" t="s">
        <v>561</v>
      </c>
      <c r="H125" s="110" t="s">
        <v>718</v>
      </c>
      <c r="I125" s="110" t="s">
        <v>491</v>
      </c>
      <c r="J125" s="110" t="s">
        <v>848</v>
      </c>
    </row>
    <row r="126" spans="1:10" ht="25" customHeight="1">
      <c r="A126" s="108" t="s">
        <v>162</v>
      </c>
      <c r="B126" s="108" t="s">
        <v>854</v>
      </c>
      <c r="C126" s="108" t="s">
        <v>10</v>
      </c>
      <c r="D126" s="108" t="s">
        <v>221</v>
      </c>
      <c r="E126" s="108" t="s">
        <v>696</v>
      </c>
      <c r="F126" s="108" t="s">
        <v>697</v>
      </c>
      <c r="G126" s="108" t="s">
        <v>561</v>
      </c>
      <c r="H126" s="108" t="s">
        <v>718</v>
      </c>
      <c r="I126" s="108" t="s">
        <v>491</v>
      </c>
      <c r="J126" s="108" t="s">
        <v>848</v>
      </c>
    </row>
    <row r="127" spans="1:10" ht="25" customHeight="1">
      <c r="A127" s="110" t="s">
        <v>162</v>
      </c>
      <c r="B127" s="110" t="s">
        <v>855</v>
      </c>
      <c r="C127" s="110" t="s">
        <v>10</v>
      </c>
      <c r="D127" s="110" t="s">
        <v>223</v>
      </c>
      <c r="E127" s="110" t="s">
        <v>696</v>
      </c>
      <c r="F127" s="110" t="s">
        <v>697</v>
      </c>
      <c r="G127" s="110" t="s">
        <v>561</v>
      </c>
      <c r="H127" s="110" t="s">
        <v>718</v>
      </c>
      <c r="I127" s="110" t="s">
        <v>491</v>
      </c>
      <c r="J127" s="110" t="s">
        <v>848</v>
      </c>
    </row>
    <row r="128" spans="1:10" ht="25" customHeight="1">
      <c r="A128" s="108" t="s">
        <v>162</v>
      </c>
      <c r="B128" s="108" t="s">
        <v>856</v>
      </c>
      <c r="C128" s="108" t="s">
        <v>10</v>
      </c>
      <c r="D128" s="108" t="s">
        <v>225</v>
      </c>
      <c r="E128" s="108" t="s">
        <v>696</v>
      </c>
      <c r="F128" s="108" t="s">
        <v>697</v>
      </c>
      <c r="G128" s="108" t="s">
        <v>561</v>
      </c>
      <c r="H128" s="108" t="s">
        <v>718</v>
      </c>
      <c r="I128" s="108" t="s">
        <v>491</v>
      </c>
      <c r="J128" s="108" t="s">
        <v>848</v>
      </c>
    </row>
    <row r="129" spans="1:10" ht="25" customHeight="1">
      <c r="A129" s="110" t="s">
        <v>162</v>
      </c>
      <c r="B129" s="110" t="s">
        <v>857</v>
      </c>
      <c r="C129" s="110" t="s">
        <v>10</v>
      </c>
      <c r="D129" s="110" t="s">
        <v>227</v>
      </c>
      <c r="E129" s="110" t="s">
        <v>696</v>
      </c>
      <c r="F129" s="110" t="s">
        <v>697</v>
      </c>
      <c r="G129" s="110" t="s">
        <v>561</v>
      </c>
      <c r="H129" s="110" t="s">
        <v>718</v>
      </c>
      <c r="I129" s="110" t="s">
        <v>491</v>
      </c>
      <c r="J129" s="110" t="s">
        <v>848</v>
      </c>
    </row>
    <row r="130" spans="1:10" ht="25" customHeight="1">
      <c r="A130" s="108" t="s">
        <v>162</v>
      </c>
      <c r="B130" s="108" t="s">
        <v>858</v>
      </c>
      <c r="C130" s="108" t="s">
        <v>10</v>
      </c>
      <c r="D130" s="108" t="s">
        <v>229</v>
      </c>
      <c r="E130" s="108" t="s">
        <v>696</v>
      </c>
      <c r="F130" s="108" t="s">
        <v>697</v>
      </c>
      <c r="G130" s="108" t="s">
        <v>561</v>
      </c>
      <c r="H130" s="108" t="s">
        <v>718</v>
      </c>
      <c r="I130" s="108" t="s">
        <v>491</v>
      </c>
      <c r="J130" s="108" t="s">
        <v>848</v>
      </c>
    </row>
    <row r="131" spans="1:10" ht="25" customHeight="1">
      <c r="A131" s="110" t="s">
        <v>162</v>
      </c>
      <c r="B131" s="110" t="s">
        <v>859</v>
      </c>
      <c r="C131" s="110" t="s">
        <v>10</v>
      </c>
      <c r="D131" s="110" t="s">
        <v>489</v>
      </c>
      <c r="E131" s="110" t="s">
        <v>696</v>
      </c>
      <c r="F131" s="110" t="s">
        <v>697</v>
      </c>
      <c r="G131" s="110" t="s">
        <v>561</v>
      </c>
      <c r="H131" s="110" t="s">
        <v>718</v>
      </c>
      <c r="I131" s="110" t="s">
        <v>491</v>
      </c>
      <c r="J131" s="110" t="s">
        <v>848</v>
      </c>
    </row>
    <row r="132" spans="1:10" ht="25" customHeight="1">
      <c r="A132" s="108" t="s">
        <v>162</v>
      </c>
      <c r="B132" s="108" t="s">
        <v>860</v>
      </c>
      <c r="C132" s="108" t="s">
        <v>10</v>
      </c>
      <c r="D132" s="108" t="s">
        <v>234</v>
      </c>
      <c r="E132" s="108" t="s">
        <v>696</v>
      </c>
      <c r="F132" s="108" t="s">
        <v>697</v>
      </c>
      <c r="G132" s="108" t="s">
        <v>561</v>
      </c>
      <c r="H132" s="108" t="s">
        <v>718</v>
      </c>
      <c r="I132" s="108" t="s">
        <v>491</v>
      </c>
      <c r="J132" s="108" t="s">
        <v>848</v>
      </c>
    </row>
    <row r="133" spans="1:10" ht="25" customHeight="1">
      <c r="A133" s="110" t="s">
        <v>162</v>
      </c>
      <c r="B133" s="110" t="s">
        <v>861</v>
      </c>
      <c r="C133" s="110" t="s">
        <v>10</v>
      </c>
      <c r="D133" s="110" t="s">
        <v>235</v>
      </c>
      <c r="E133" s="110" t="s">
        <v>696</v>
      </c>
      <c r="F133" s="110" t="s">
        <v>697</v>
      </c>
      <c r="G133" s="110" t="s">
        <v>561</v>
      </c>
      <c r="H133" s="110" t="s">
        <v>718</v>
      </c>
      <c r="I133" s="110" t="s">
        <v>491</v>
      </c>
      <c r="J133" s="110" t="s">
        <v>848</v>
      </c>
    </row>
    <row r="134" spans="1:10" ht="25" customHeight="1">
      <c r="A134" s="108" t="s">
        <v>162</v>
      </c>
      <c r="B134" s="108" t="s">
        <v>862</v>
      </c>
      <c r="C134" s="108" t="s">
        <v>10</v>
      </c>
      <c r="D134" s="108" t="s">
        <v>236</v>
      </c>
      <c r="E134" s="108" t="s">
        <v>696</v>
      </c>
      <c r="F134" s="108" t="s">
        <v>697</v>
      </c>
      <c r="G134" s="108" t="s">
        <v>561</v>
      </c>
      <c r="H134" s="108" t="s">
        <v>718</v>
      </c>
      <c r="I134" s="108" t="s">
        <v>491</v>
      </c>
      <c r="J134" s="108" t="s">
        <v>848</v>
      </c>
    </row>
    <row r="135" spans="1:10" ht="25" customHeight="1">
      <c r="A135" s="110" t="s">
        <v>162</v>
      </c>
      <c r="B135" s="110" t="s">
        <v>863</v>
      </c>
      <c r="C135" s="110" t="s">
        <v>10</v>
      </c>
      <c r="D135" s="110" t="s">
        <v>240</v>
      </c>
      <c r="E135" s="110" t="s">
        <v>696</v>
      </c>
      <c r="F135" s="110" t="s">
        <v>697</v>
      </c>
      <c r="G135" s="110" t="s">
        <v>561</v>
      </c>
      <c r="H135" s="110" t="s">
        <v>718</v>
      </c>
      <c r="I135" s="110" t="s">
        <v>491</v>
      </c>
      <c r="J135" s="110" t="s">
        <v>848</v>
      </c>
    </row>
    <row r="136" spans="1:10" ht="25" customHeight="1">
      <c r="A136" s="108" t="s">
        <v>162</v>
      </c>
      <c r="B136" s="108" t="s">
        <v>864</v>
      </c>
      <c r="C136" s="108" t="s">
        <v>10</v>
      </c>
      <c r="D136" s="108" t="s">
        <v>242</v>
      </c>
      <c r="E136" s="108" t="s">
        <v>696</v>
      </c>
      <c r="F136" s="108" t="s">
        <v>697</v>
      </c>
      <c r="G136" s="108" t="s">
        <v>561</v>
      </c>
      <c r="H136" s="108" t="s">
        <v>718</v>
      </c>
      <c r="I136" s="108" t="s">
        <v>491</v>
      </c>
      <c r="J136" s="108" t="s">
        <v>848</v>
      </c>
    </row>
    <row r="137" spans="1:10" ht="25" customHeight="1">
      <c r="A137" s="110" t="s">
        <v>162</v>
      </c>
      <c r="B137" s="110" t="s">
        <v>865</v>
      </c>
      <c r="C137" s="110" t="s">
        <v>11</v>
      </c>
      <c r="D137" s="110" t="s">
        <v>492</v>
      </c>
      <c r="E137" s="110" t="s">
        <v>696</v>
      </c>
      <c r="F137" s="110" t="s">
        <v>866</v>
      </c>
      <c r="G137" s="110" t="s">
        <v>561</v>
      </c>
      <c r="H137" s="110" t="s">
        <v>718</v>
      </c>
      <c r="I137" s="110" t="s">
        <v>491</v>
      </c>
      <c r="J137" s="110" t="s">
        <v>867</v>
      </c>
    </row>
    <row r="138" spans="1:10" ht="37" customHeight="1">
      <c r="A138" s="108" t="s">
        <v>162</v>
      </c>
      <c r="B138" s="108" t="s">
        <v>868</v>
      </c>
      <c r="C138" s="108" t="s">
        <v>11</v>
      </c>
      <c r="D138" s="108" t="s">
        <v>493</v>
      </c>
      <c r="E138" s="108" t="s">
        <v>696</v>
      </c>
      <c r="F138" s="108" t="s">
        <v>869</v>
      </c>
      <c r="G138" s="108" t="s">
        <v>561</v>
      </c>
      <c r="H138" s="108" t="s">
        <v>718</v>
      </c>
      <c r="I138" s="108" t="s">
        <v>491</v>
      </c>
      <c r="J138" s="108" t="s">
        <v>870</v>
      </c>
    </row>
    <row r="139" spans="1:10" ht="25" customHeight="1">
      <c r="A139" s="110" t="s">
        <v>162</v>
      </c>
      <c r="B139" s="110" t="s">
        <v>871</v>
      </c>
      <c r="C139" s="110" t="s">
        <v>11</v>
      </c>
      <c r="D139" s="110" t="s">
        <v>494</v>
      </c>
      <c r="E139" s="110" t="s">
        <v>696</v>
      </c>
      <c r="F139" s="110" t="s">
        <v>872</v>
      </c>
      <c r="G139" s="110" t="s">
        <v>561</v>
      </c>
      <c r="H139" s="110" t="s">
        <v>718</v>
      </c>
      <c r="I139" s="110" t="s">
        <v>491</v>
      </c>
      <c r="J139" s="110" t="s">
        <v>867</v>
      </c>
    </row>
    <row r="140" spans="1:10" ht="37" customHeight="1">
      <c r="A140" s="108" t="s">
        <v>162</v>
      </c>
      <c r="B140" s="108" t="s">
        <v>873</v>
      </c>
      <c r="C140" s="108" t="s">
        <v>11</v>
      </c>
      <c r="D140" s="108" t="s">
        <v>495</v>
      </c>
      <c r="E140" s="108" t="s">
        <v>696</v>
      </c>
      <c r="F140" s="108" t="s">
        <v>874</v>
      </c>
      <c r="G140" s="108" t="s">
        <v>561</v>
      </c>
      <c r="H140" s="108" t="s">
        <v>718</v>
      </c>
      <c r="I140" s="108" t="s">
        <v>491</v>
      </c>
      <c r="J140" s="108" t="s">
        <v>870</v>
      </c>
    </row>
    <row r="141" spans="1:10" ht="25" customHeight="1">
      <c r="A141" s="110" t="s">
        <v>162</v>
      </c>
      <c r="B141" s="110" t="s">
        <v>875</v>
      </c>
      <c r="C141" s="110" t="s">
        <v>11</v>
      </c>
      <c r="D141" s="110" t="s">
        <v>496</v>
      </c>
      <c r="E141" s="110" t="s">
        <v>696</v>
      </c>
      <c r="F141" s="110" t="s">
        <v>876</v>
      </c>
      <c r="G141" s="110" t="s">
        <v>561</v>
      </c>
      <c r="H141" s="110" t="s">
        <v>718</v>
      </c>
      <c r="I141" s="110" t="s">
        <v>491</v>
      </c>
      <c r="J141" s="110" t="s">
        <v>867</v>
      </c>
    </row>
    <row r="142" spans="1:10" ht="37" customHeight="1">
      <c r="A142" s="108" t="s">
        <v>162</v>
      </c>
      <c r="B142" s="108" t="s">
        <v>877</v>
      </c>
      <c r="C142" s="108" t="s">
        <v>11</v>
      </c>
      <c r="D142" s="108" t="s">
        <v>497</v>
      </c>
      <c r="E142" s="108" t="s">
        <v>696</v>
      </c>
      <c r="F142" s="108" t="s">
        <v>878</v>
      </c>
      <c r="G142" s="108" t="s">
        <v>561</v>
      </c>
      <c r="H142" s="108" t="s">
        <v>718</v>
      </c>
      <c r="I142" s="108" t="s">
        <v>491</v>
      </c>
      <c r="J142" s="108" t="s">
        <v>870</v>
      </c>
    </row>
    <row r="143" spans="1:10" ht="25" customHeight="1">
      <c r="A143" s="110" t="s">
        <v>162</v>
      </c>
      <c r="B143" s="110" t="s">
        <v>879</v>
      </c>
      <c r="C143" s="110" t="s">
        <v>11</v>
      </c>
      <c r="D143" s="110" t="s">
        <v>498</v>
      </c>
      <c r="E143" s="110" t="s">
        <v>696</v>
      </c>
      <c r="F143" s="110" t="s">
        <v>880</v>
      </c>
      <c r="G143" s="110" t="s">
        <v>561</v>
      </c>
      <c r="H143" s="110" t="s">
        <v>718</v>
      </c>
      <c r="I143" s="110" t="s">
        <v>491</v>
      </c>
      <c r="J143" s="110" t="s">
        <v>867</v>
      </c>
    </row>
    <row r="144" spans="1:10" ht="25" customHeight="1">
      <c r="A144" s="108" t="s">
        <v>162</v>
      </c>
      <c r="B144" s="108" t="s">
        <v>881</v>
      </c>
      <c r="C144" s="108" t="s">
        <v>11</v>
      </c>
      <c r="D144" s="108" t="s">
        <v>499</v>
      </c>
      <c r="E144" s="108" t="s">
        <v>696</v>
      </c>
      <c r="F144" s="108" t="s">
        <v>882</v>
      </c>
      <c r="G144" s="108" t="s">
        <v>561</v>
      </c>
      <c r="H144" s="108" t="s">
        <v>718</v>
      </c>
      <c r="I144" s="108" t="s">
        <v>491</v>
      </c>
      <c r="J144" s="108" t="s">
        <v>870</v>
      </c>
    </row>
    <row r="145" spans="1:10" ht="37" customHeight="1">
      <c r="A145" s="110" t="s">
        <v>162</v>
      </c>
      <c r="B145" s="110" t="s">
        <v>883</v>
      </c>
      <c r="C145" s="110" t="s">
        <v>11</v>
      </c>
      <c r="D145" s="110" t="s">
        <v>500</v>
      </c>
      <c r="E145" s="110" t="s">
        <v>696</v>
      </c>
      <c r="F145" s="110" t="s">
        <v>884</v>
      </c>
      <c r="G145" s="110" t="s">
        <v>561</v>
      </c>
      <c r="H145" s="110" t="s">
        <v>718</v>
      </c>
      <c r="I145" s="110" t="s">
        <v>491</v>
      </c>
      <c r="J145" s="110" t="s">
        <v>867</v>
      </c>
    </row>
    <row r="146" spans="1:10" ht="37" customHeight="1">
      <c r="A146" s="108" t="s">
        <v>162</v>
      </c>
      <c r="B146" s="108" t="s">
        <v>885</v>
      </c>
      <c r="C146" s="108" t="s">
        <v>11</v>
      </c>
      <c r="D146" s="108" t="s">
        <v>501</v>
      </c>
      <c r="E146" s="108" t="s">
        <v>696</v>
      </c>
      <c r="F146" s="108" t="s">
        <v>886</v>
      </c>
      <c r="G146" s="108" t="s">
        <v>561</v>
      </c>
      <c r="H146" s="108" t="s">
        <v>718</v>
      </c>
      <c r="I146" s="108" t="s">
        <v>491</v>
      </c>
      <c r="J146" s="108" t="s">
        <v>870</v>
      </c>
    </row>
    <row r="147" spans="1:10" ht="25" customHeight="1">
      <c r="A147" s="110" t="s">
        <v>162</v>
      </c>
      <c r="B147" s="110" t="s">
        <v>887</v>
      </c>
      <c r="C147" s="110" t="s">
        <v>11</v>
      </c>
      <c r="D147" s="110" t="s">
        <v>502</v>
      </c>
      <c r="E147" s="110" t="s">
        <v>696</v>
      </c>
      <c r="F147" s="110" t="s">
        <v>888</v>
      </c>
      <c r="G147" s="110" t="s">
        <v>561</v>
      </c>
      <c r="H147" s="110" t="s">
        <v>718</v>
      </c>
      <c r="I147" s="110" t="s">
        <v>491</v>
      </c>
      <c r="J147" s="110" t="s">
        <v>867</v>
      </c>
    </row>
    <row r="148" spans="1:10" ht="37" customHeight="1">
      <c r="A148" s="108" t="s">
        <v>162</v>
      </c>
      <c r="B148" s="108" t="s">
        <v>889</v>
      </c>
      <c r="C148" s="108" t="s">
        <v>11</v>
      </c>
      <c r="D148" s="108" t="s">
        <v>503</v>
      </c>
      <c r="E148" s="108" t="s">
        <v>696</v>
      </c>
      <c r="F148" s="108" t="s">
        <v>890</v>
      </c>
      <c r="G148" s="108" t="s">
        <v>561</v>
      </c>
      <c r="H148" s="108" t="s">
        <v>718</v>
      </c>
      <c r="I148" s="108" t="s">
        <v>491</v>
      </c>
      <c r="J148" s="108" t="s">
        <v>870</v>
      </c>
    </row>
    <row r="149" spans="1:10" ht="25" customHeight="1">
      <c r="A149" s="110" t="s">
        <v>162</v>
      </c>
      <c r="B149" s="110" t="s">
        <v>891</v>
      </c>
      <c r="C149" s="110" t="s">
        <v>11</v>
      </c>
      <c r="D149" s="110" t="s">
        <v>504</v>
      </c>
      <c r="E149" s="110" t="s">
        <v>696</v>
      </c>
      <c r="F149" s="110" t="s">
        <v>892</v>
      </c>
      <c r="G149" s="110" t="s">
        <v>561</v>
      </c>
      <c r="H149" s="110" t="s">
        <v>718</v>
      </c>
      <c r="I149" s="110" t="s">
        <v>491</v>
      </c>
      <c r="J149" s="110" t="s">
        <v>867</v>
      </c>
    </row>
    <row r="150" spans="1:10" ht="37" customHeight="1">
      <c r="A150" s="108" t="s">
        <v>162</v>
      </c>
      <c r="B150" s="108" t="s">
        <v>893</v>
      </c>
      <c r="C150" s="108" t="s">
        <v>11</v>
      </c>
      <c r="D150" s="108" t="s">
        <v>505</v>
      </c>
      <c r="E150" s="108" t="s">
        <v>696</v>
      </c>
      <c r="F150" s="108" t="s">
        <v>894</v>
      </c>
      <c r="G150" s="108" t="s">
        <v>561</v>
      </c>
      <c r="H150" s="108" t="s">
        <v>718</v>
      </c>
      <c r="I150" s="108" t="s">
        <v>491</v>
      </c>
      <c r="J150" s="108" t="s">
        <v>870</v>
      </c>
    </row>
    <row r="151" spans="1:10" ht="37" customHeight="1">
      <c r="A151" s="110" t="s">
        <v>162</v>
      </c>
      <c r="B151" s="110" t="s">
        <v>895</v>
      </c>
      <c r="C151" s="110" t="s">
        <v>11</v>
      </c>
      <c r="D151" s="110" t="s">
        <v>506</v>
      </c>
      <c r="E151" s="110" t="s">
        <v>696</v>
      </c>
      <c r="F151" s="110" t="s">
        <v>896</v>
      </c>
      <c r="G151" s="110" t="s">
        <v>561</v>
      </c>
      <c r="H151" s="110" t="s">
        <v>718</v>
      </c>
      <c r="I151" s="110" t="s">
        <v>491</v>
      </c>
      <c r="J151" s="110" t="s">
        <v>897</v>
      </c>
    </row>
    <row r="152" spans="1:10" ht="37" customHeight="1">
      <c r="A152" s="108" t="s">
        <v>162</v>
      </c>
      <c r="B152" s="108" t="s">
        <v>898</v>
      </c>
      <c r="C152" s="108" t="s">
        <v>11</v>
      </c>
      <c r="D152" s="108" t="s">
        <v>507</v>
      </c>
      <c r="E152" s="108" t="s">
        <v>696</v>
      </c>
      <c r="F152" s="108" t="s">
        <v>899</v>
      </c>
      <c r="G152" s="108" t="s">
        <v>561</v>
      </c>
      <c r="H152" s="108" t="s">
        <v>718</v>
      </c>
      <c r="I152" s="108" t="s">
        <v>491</v>
      </c>
      <c r="J152" s="108" t="s">
        <v>897</v>
      </c>
    </row>
    <row r="153" spans="1:10" ht="37" customHeight="1">
      <c r="A153" s="110" t="s">
        <v>162</v>
      </c>
      <c r="B153" s="110" t="s">
        <v>900</v>
      </c>
      <c r="C153" s="110" t="s">
        <v>11</v>
      </c>
      <c r="D153" s="110" t="s">
        <v>508</v>
      </c>
      <c r="E153" s="110" t="s">
        <v>696</v>
      </c>
      <c r="F153" s="110" t="s">
        <v>901</v>
      </c>
      <c r="G153" s="110" t="s">
        <v>561</v>
      </c>
      <c r="H153" s="110" t="s">
        <v>718</v>
      </c>
      <c r="I153" s="110" t="s">
        <v>491</v>
      </c>
      <c r="J153" s="110" t="s">
        <v>897</v>
      </c>
    </row>
  </sheetData>
  <mergeCells count="8">
    <mergeCell ref="B11:G11"/>
    <mergeCell ref="B3:G3"/>
    <mergeCell ref="B2:G2"/>
    <mergeCell ref="B10:G10"/>
    <mergeCell ref="A1:G1"/>
    <mergeCell ref="B9:G9"/>
    <mergeCell ref="B8:G8"/>
    <mergeCell ref="B7:G7"/>
  </mergeCells>
  <phoneticPr fontId="9" type="noConversion"/>
  <pageMargins left="0.25" right="0.25" top="0.4" bottom="0.4" header="0.5" footer="0.5"/>
  <pageSetup paperSize="9" fitToHeight="0" orientation="landscape"/>
  <headerFooter>
    <oddFooter>&amp;L&amp;"Arial"&amp;8 &amp;K64748BKO | Company research&amp;R&amp;8 &amp;K64748BPage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454A4"/>
  </sheetPr>
  <dimension ref="A1:Y780"/>
  <sheetViews>
    <sheetView showGridLines="0" zoomScale="130" zoomScaleNormal="130" workbookViewId="0">
      <pane xSplit="2" ySplit="8" topLeftCell="C156" activePane="bottomRight" state="frozen"/>
      <selection pane="topRight"/>
      <selection pane="bottomLeft"/>
      <selection pane="bottomRight" activeCell="C387" sqref="C387"/>
    </sheetView>
  </sheetViews>
  <sheetFormatPr baseColWidth="10" defaultColWidth="8.83203125" defaultRowHeight="14"/>
  <cols>
    <col min="1" max="1" width="43" customWidth="1"/>
    <col min="2" max="2" width="11" customWidth="1"/>
    <col min="3" max="8" width="14" customWidth="1"/>
    <col min="9" max="9" width="3" customWidth="1"/>
    <col min="10" max="14" width="14" customWidth="1"/>
    <col min="15" max="15" width="3" customWidth="1"/>
    <col min="16" max="23" width="14" customWidth="1"/>
    <col min="24" max="24" width="3" customWidth="1"/>
    <col min="25" max="25" width="49" customWidth="1"/>
  </cols>
  <sheetData>
    <row r="1" spans="1:25" ht="30" customHeight="1">
      <c r="A1" s="141" t="s">
        <v>1046</v>
      </c>
      <c r="B1" s="139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39"/>
      <c r="Y1" s="139"/>
    </row>
    <row r="2" spans="1:25" ht="14" customHeight="1">
      <c r="A2" s="161" t="s">
        <v>1047</v>
      </c>
      <c r="B2" s="161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1"/>
      <c r="Y2" s="161"/>
    </row>
    <row r="3" spans="1:25" ht="14" customHeight="1">
      <c r="A3" s="161" t="s">
        <v>1048</v>
      </c>
      <c r="B3" s="161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1"/>
      <c r="Y3" s="161"/>
    </row>
    <row r="4" spans="1:25" ht="14" customHeight="1">
      <c r="A4" s="260" t="s">
        <v>1540</v>
      </c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1"/>
      <c r="Y4" s="161"/>
    </row>
    <row r="5" spans="1:25" ht="14" customHeight="1">
      <c r="A5" s="260" t="s">
        <v>1541</v>
      </c>
      <c r="B5" s="161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1"/>
      <c r="Y5" s="161"/>
    </row>
    <row r="6" spans="1:25" ht="21" customHeight="1">
      <c r="A6" s="139"/>
      <c r="B6" s="139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39"/>
      <c r="Y6" s="139"/>
    </row>
    <row r="7" spans="1:25" ht="25" customHeight="1">
      <c r="A7" s="142" t="s">
        <v>1049</v>
      </c>
      <c r="B7" s="142"/>
      <c r="C7" s="143"/>
      <c r="D7" s="143"/>
      <c r="E7" s="143"/>
      <c r="F7" s="143"/>
      <c r="G7" s="143"/>
      <c r="H7" s="143"/>
      <c r="I7" s="140"/>
      <c r="J7" s="143"/>
      <c r="K7" s="143"/>
      <c r="L7" s="143"/>
      <c r="M7" s="143"/>
      <c r="N7" s="143"/>
      <c r="O7" s="140"/>
      <c r="P7" s="143"/>
      <c r="Q7" s="143"/>
      <c r="R7" s="143"/>
      <c r="S7" s="143"/>
      <c r="T7" s="143"/>
      <c r="U7" s="143"/>
      <c r="V7" s="143"/>
      <c r="W7" s="143"/>
      <c r="X7" s="139"/>
      <c r="Y7" s="139"/>
    </row>
    <row r="8" spans="1:25" ht="27" customHeight="1">
      <c r="A8" s="148" t="s">
        <v>1050</v>
      </c>
      <c r="B8" s="148" t="s">
        <v>1051</v>
      </c>
      <c r="C8" s="148" t="s">
        <v>1052</v>
      </c>
      <c r="D8" s="148" t="s">
        <v>1053</v>
      </c>
      <c r="E8" s="148" t="s">
        <v>1054</v>
      </c>
      <c r="F8" s="148" t="s">
        <v>1055</v>
      </c>
      <c r="G8" s="148" t="s">
        <v>1056</v>
      </c>
      <c r="H8" s="148" t="s">
        <v>1057</v>
      </c>
      <c r="I8" s="140"/>
      <c r="J8" s="148" t="s">
        <v>7</v>
      </c>
      <c r="K8" s="148" t="s">
        <v>8</v>
      </c>
      <c r="L8" s="148" t="s">
        <v>9</v>
      </c>
      <c r="M8" s="148" t="s">
        <v>10</v>
      </c>
      <c r="N8" s="148" t="s">
        <v>11</v>
      </c>
      <c r="O8" s="140"/>
      <c r="P8" s="148" t="s">
        <v>1058</v>
      </c>
      <c r="Q8" s="148" t="s">
        <v>1059</v>
      </c>
      <c r="R8" s="148" t="s">
        <v>1060</v>
      </c>
      <c r="S8" s="148" t="s">
        <v>1061</v>
      </c>
      <c r="T8" s="148" t="s">
        <v>1062</v>
      </c>
      <c r="U8" s="148" t="s">
        <v>1063</v>
      </c>
      <c r="V8" s="148" t="s">
        <v>1052</v>
      </c>
      <c r="W8" s="148" t="s">
        <v>1053</v>
      </c>
      <c r="X8" s="139"/>
      <c r="Y8" s="139" t="s">
        <v>1064</v>
      </c>
    </row>
    <row r="9" spans="1:25" ht="21" customHeight="1">
      <c r="A9" s="139"/>
      <c r="B9" s="139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39"/>
      <c r="Y9" s="163"/>
    </row>
    <row r="10" spans="1:25" ht="21" customHeight="1">
      <c r="A10" s="139" t="s">
        <v>1065</v>
      </c>
      <c r="B10" s="139" t="s">
        <v>1066</v>
      </c>
      <c r="C10" s="149">
        <f>'Income Statement'!T11</f>
        <v>12472</v>
      </c>
      <c r="D10" s="149">
        <f>'Income Statement'!U11</f>
        <v>13380</v>
      </c>
      <c r="E10" s="140" t="s">
        <v>1067</v>
      </c>
      <c r="F10" s="140" t="s">
        <v>1067</v>
      </c>
      <c r="G10" s="144">
        <f>SUM(C10:D10)</f>
        <v>25852</v>
      </c>
      <c r="H10" s="140" t="s">
        <v>1067</v>
      </c>
      <c r="I10" s="140"/>
      <c r="J10" s="149">
        <f>'Income Statement'!H11</f>
        <v>38655</v>
      </c>
      <c r="K10" s="149">
        <f>'Income Statement'!I11</f>
        <v>43004</v>
      </c>
      <c r="L10" s="149">
        <f>'Income Statement'!J11</f>
        <v>45754</v>
      </c>
      <c r="M10" s="149">
        <f>'Income Statement'!K11</f>
        <v>47061</v>
      </c>
      <c r="N10" s="149">
        <f>'Income Statement'!L11</f>
        <v>47941</v>
      </c>
      <c r="O10" s="140"/>
      <c r="P10" s="149">
        <f>'Income Statement'!P11</f>
        <v>11854</v>
      </c>
      <c r="Q10" s="144">
        <f>$E$204</f>
        <v>11544</v>
      </c>
      <c r="R10" s="149">
        <f>'Income Statement'!Q11</f>
        <v>11129</v>
      </c>
      <c r="S10" s="149">
        <f>'Income Statement'!R11</f>
        <v>12535</v>
      </c>
      <c r="T10" s="149">
        <f>'Income Statement'!S11</f>
        <v>12455</v>
      </c>
      <c r="U10" s="149">
        <f>'Income Statement'!L11-SUM('Income Statement'!Q11:S11)</f>
        <v>11822</v>
      </c>
      <c r="V10" s="149">
        <f>'Income Statement'!T11</f>
        <v>12472</v>
      </c>
      <c r="W10" s="149">
        <f>'Income Statement'!U11</f>
        <v>13380</v>
      </c>
      <c r="X10" s="139"/>
      <c r="Y10" s="163"/>
    </row>
    <row r="11" spans="1:25" ht="21" customHeight="1">
      <c r="A11" s="150" t="s">
        <v>1068</v>
      </c>
      <c r="B11" s="150" t="s">
        <v>1069</v>
      </c>
      <c r="C11" s="151">
        <f>C10/R10-1</f>
        <v>0.12067571210351336</v>
      </c>
      <c r="D11" s="151">
        <f>D10/S10-1</f>
        <v>6.7411248504188226E-2</v>
      </c>
      <c r="E11" s="151" t="s">
        <v>1067</v>
      </c>
      <c r="F11" s="166" t="s">
        <v>1067</v>
      </c>
      <c r="G11" s="151">
        <f>G10/SUM(R10:S10)-1</f>
        <v>9.2461122379986493E-2</v>
      </c>
      <c r="H11" s="151" t="s">
        <v>1067</v>
      </c>
      <c r="I11" s="151"/>
      <c r="J11" s="155">
        <f>'Income Statement'!H11/'Income Statement'!G11-1</f>
        <v>0.17086690494941537</v>
      </c>
      <c r="K11" s="155">
        <f>'Income Statement'!I11/'Income Statement'!H11-1</f>
        <v>0.11250808433579107</v>
      </c>
      <c r="L11" s="155">
        <f>'Income Statement'!J11/'Income Statement'!I11-1</f>
        <v>6.3947539763743011E-2</v>
      </c>
      <c r="M11" s="155">
        <f>'Income Statement'!K11/'Income Statement'!J11-1</f>
        <v>2.8565808453905772E-2</v>
      </c>
      <c r="N11" s="155">
        <f>'Income Statement'!L11/'Income Statement'!K11-1</f>
        <v>1.8699135164998548E-2</v>
      </c>
      <c r="O11" s="151"/>
      <c r="P11" s="151">
        <f>P10/$C$264-1</f>
        <v>-8.2824395549234708E-3</v>
      </c>
      <c r="Q11" s="151">
        <f>Q10/$C$265-1</f>
        <v>6.4061203797584954E-2</v>
      </c>
      <c r="R11" s="151">
        <f>R10/$C$266-1</f>
        <v>-1.513274336283188E-2</v>
      </c>
      <c r="S11" s="151">
        <f>S10/$C$267-1</f>
        <v>1.3912480789452397E-2</v>
      </c>
      <c r="T11" s="151">
        <f>T10/P10-1</f>
        <v>5.070018559136158E-2</v>
      </c>
      <c r="U11" s="151">
        <f>U10/Q10-1</f>
        <v>2.4081774081774032E-2</v>
      </c>
      <c r="V11" s="151">
        <f>V10/R10-1</f>
        <v>0.12067571210351336</v>
      </c>
      <c r="W11" s="151">
        <f>W10/S10-1</f>
        <v>6.7411248504188226E-2</v>
      </c>
      <c r="X11" s="139"/>
      <c r="Y11" s="163"/>
    </row>
    <row r="12" spans="1:25" ht="21" customHeight="1">
      <c r="A12" s="152" t="s">
        <v>1070</v>
      </c>
      <c r="B12" s="152" t="s">
        <v>1066</v>
      </c>
      <c r="C12" s="154">
        <f>$C$209</f>
        <v>12471</v>
      </c>
      <c r="D12" s="154">
        <f>$C$210</f>
        <v>13373</v>
      </c>
      <c r="E12" s="154">
        <f>T12*(1+E17)</f>
        <v>12908.48</v>
      </c>
      <c r="F12" s="154">
        <f>H12-SUM(C12:E12)</f>
        <v>10991.690000000002</v>
      </c>
      <c r="G12" s="154">
        <f>SUM(C12:D12)</f>
        <v>25844</v>
      </c>
      <c r="H12" s="154">
        <f>N12*(1+H17)</f>
        <v>49744.17</v>
      </c>
      <c r="I12" s="140"/>
      <c r="J12" s="226">
        <f>$C$565</f>
        <v>38658</v>
      </c>
      <c r="K12" s="226">
        <f>$C$566</f>
        <v>43046</v>
      </c>
      <c r="L12" s="154">
        <f>$C$200</f>
        <v>45784</v>
      </c>
      <c r="M12" s="154">
        <f>$C$201</f>
        <v>46897</v>
      </c>
      <c r="N12" s="154">
        <f>$C$202</f>
        <v>48062</v>
      </c>
      <c r="O12" s="140"/>
      <c r="P12" s="154">
        <f>$C$203</f>
        <v>11949</v>
      </c>
      <c r="Q12" s="154">
        <f>$C$204</f>
        <v>11404</v>
      </c>
      <c r="R12" s="154">
        <f>$C$205</f>
        <v>11216</v>
      </c>
      <c r="S12" s="154">
        <f>$C$206</f>
        <v>12617</v>
      </c>
      <c r="T12" s="154">
        <f>$C$207</f>
        <v>12412</v>
      </c>
      <c r="U12" s="154">
        <f>$C$208</f>
        <v>11817</v>
      </c>
      <c r="V12" s="154">
        <f>$C$209</f>
        <v>12471</v>
      </c>
      <c r="W12" s="154">
        <f>$C$210</f>
        <v>13373</v>
      </c>
      <c r="X12" s="139"/>
      <c r="Y12" s="163"/>
    </row>
    <row r="13" spans="1:25" ht="21" customHeight="1">
      <c r="A13" s="150" t="s">
        <v>1072</v>
      </c>
      <c r="B13" s="150" t="s">
        <v>1069</v>
      </c>
      <c r="C13" s="151">
        <f>C12/R12-1</f>
        <v>0.11189372325249636</v>
      </c>
      <c r="D13" s="151">
        <f>D12/S12-1</f>
        <v>5.9919156693350351E-2</v>
      </c>
      <c r="E13" s="151">
        <f>E12/T12-1</f>
        <v>4.0000000000000036E-2</v>
      </c>
      <c r="F13" s="151">
        <f>F12/U12-1</f>
        <v>-6.9840907167639688E-2</v>
      </c>
      <c r="G13" s="151">
        <f>G12/SUM(R12:S12)-1</f>
        <v>8.4378802500734373E-2</v>
      </c>
      <c r="H13" s="151">
        <f>H12/N12-1</f>
        <v>3.499999999999992E-2</v>
      </c>
      <c r="I13" s="151"/>
      <c r="J13" s="151" t="s">
        <v>1080</v>
      </c>
      <c r="K13" s="227">
        <f>K12/J12-1</f>
        <v>0.11350820011381857</v>
      </c>
      <c r="L13" s="227">
        <f>L12/K12-1</f>
        <v>6.3606374576034908E-2</v>
      </c>
      <c r="M13" s="151">
        <f>IF(COUNT(M12,L12)=2,M12/L12-1,"未补充")</f>
        <v>2.4309802551109483E-2</v>
      </c>
      <c r="N13" s="151">
        <f>IF(COUNT(N12,M12)=2,N12/M12-1,"未补充")</f>
        <v>2.4841674307525041E-2</v>
      </c>
      <c r="O13" s="151"/>
      <c r="P13" s="151">
        <f>P12/$D$264-1</f>
        <v>3.1903282679874856E-3</v>
      </c>
      <c r="Q13" s="151">
        <f>Q12/$D$265-1</f>
        <v>4.1651443185970027E-2</v>
      </c>
      <c r="R13" s="151">
        <f>R12/$D$266-1</f>
        <v>-1.3355889947467281E-3</v>
      </c>
      <c r="S13" s="151">
        <f>S12/$D$267-1</f>
        <v>2.4689352716640967E-2</v>
      </c>
      <c r="T13" s="151">
        <f>T12/P12-1</f>
        <v>3.8748012385973807E-2</v>
      </c>
      <c r="U13" s="151">
        <f>U12/Q12-1</f>
        <v>3.6215363030515535E-2</v>
      </c>
      <c r="V13" s="151">
        <f>V12/R12-1</f>
        <v>0.11189372325249636</v>
      </c>
      <c r="W13" s="151">
        <f>W12/S12-1</f>
        <v>5.9919156693350351E-2</v>
      </c>
      <c r="X13" s="139"/>
      <c r="Y13" s="163"/>
    </row>
    <row r="14" spans="1:25" ht="34" customHeight="1">
      <c r="A14" s="150" t="s">
        <v>1073</v>
      </c>
      <c r="B14" s="150" t="s">
        <v>1069</v>
      </c>
      <c r="C14" s="151">
        <v>0.1</v>
      </c>
      <c r="D14" s="151">
        <v>0.06</v>
      </c>
      <c r="E14" s="335">
        <f>IF(ISNUMBER('Valuation Inputs'!C89),'Valuation Inputs'!C89,"待定")</f>
        <v>0.04</v>
      </c>
      <c r="F14" s="151" t="s">
        <v>1074</v>
      </c>
      <c r="G14" s="151">
        <v>0.08</v>
      </c>
      <c r="H14" s="151">
        <f>E223</f>
        <v>0.05</v>
      </c>
      <c r="I14" s="151"/>
      <c r="J14" s="227">
        <f>$F$565</f>
        <v>0.16</v>
      </c>
      <c r="K14" s="227">
        <f>$F$566</f>
        <v>0.16</v>
      </c>
      <c r="L14" s="227">
        <f>$F$567</f>
        <v>0.12</v>
      </c>
      <c r="M14" s="151">
        <v>0.12</v>
      </c>
      <c r="N14" s="151">
        <v>0.05</v>
      </c>
      <c r="O14" s="151"/>
      <c r="P14" s="151">
        <v>0.09</v>
      </c>
      <c r="Q14" s="151">
        <v>0.14000000000000001</v>
      </c>
      <c r="R14" s="151">
        <v>0.06</v>
      </c>
      <c r="S14" s="151">
        <v>0.05</v>
      </c>
      <c r="T14" s="151">
        <v>0.06</v>
      </c>
      <c r="U14" s="151">
        <v>0.05</v>
      </c>
      <c r="V14" s="151">
        <v>0.1</v>
      </c>
      <c r="W14" s="151">
        <v>0.06</v>
      </c>
      <c r="X14" s="139"/>
      <c r="Y14" s="163" t="s">
        <v>1075</v>
      </c>
    </row>
    <row r="15" spans="1:25" ht="21" customHeight="1">
      <c r="A15" s="150" t="s">
        <v>1290</v>
      </c>
      <c r="B15" s="150" t="s">
        <v>1077</v>
      </c>
      <c r="C15" s="182">
        <f>C316</f>
        <v>0.02</v>
      </c>
      <c r="D15" s="182">
        <f>D316</f>
        <v>0.01</v>
      </c>
      <c r="E15" s="151">
        <f>E230</f>
        <v>0.01</v>
      </c>
      <c r="F15" s="151" t="s">
        <v>1074</v>
      </c>
      <c r="G15" s="151">
        <v>0.02</v>
      </c>
      <c r="H15" s="151">
        <f>E224</f>
        <v>0.01</v>
      </c>
      <c r="I15" s="151"/>
      <c r="J15" s="155">
        <f>'Operating Metrics'!H53</f>
        <v>0.01</v>
      </c>
      <c r="K15" s="155">
        <f>'Operating Metrics'!I53</f>
        <v>-7.0000000000000007E-2</v>
      </c>
      <c r="L15" s="155">
        <f>'Operating Metrics'!J53</f>
        <v>-0.04</v>
      </c>
      <c r="M15" s="155">
        <f>'Operating Metrics'!K53</f>
        <v>-0.05</v>
      </c>
      <c r="N15" s="155">
        <f>'Operating Metrics'!L53</f>
        <v>-0.02</v>
      </c>
      <c r="O15" s="151"/>
      <c r="P15" s="155">
        <f>'Operating Metrics'!P53</f>
        <v>-0.05</v>
      </c>
      <c r="Q15" s="151" t="s">
        <v>1071</v>
      </c>
      <c r="R15" s="155">
        <f>'Operating Metrics'!Q53</f>
        <v>-0.05</v>
      </c>
      <c r="S15" s="155">
        <f>'Operating Metrics'!R53</f>
        <v>-0.03</v>
      </c>
      <c r="T15" s="155">
        <f>'Operating Metrics'!S53</f>
        <v>0</v>
      </c>
      <c r="U15" s="151" t="s">
        <v>1071</v>
      </c>
      <c r="V15" s="182">
        <f>C316</f>
        <v>0.02</v>
      </c>
      <c r="W15" s="182">
        <f>D316</f>
        <v>0.01</v>
      </c>
      <c r="X15" s="139"/>
      <c r="Y15" s="163" t="s">
        <v>1291</v>
      </c>
    </row>
    <row r="16" spans="1:25" ht="21" customHeight="1">
      <c r="A16" s="150" t="s">
        <v>1078</v>
      </c>
      <c r="B16" s="150" t="s">
        <v>1077</v>
      </c>
      <c r="C16" s="155">
        <f>'Operating Metrics'!T62</f>
        <v>-0.01</v>
      </c>
      <c r="D16" s="155">
        <f>'Operating Metrics'!U62</f>
        <v>-0.01</v>
      </c>
      <c r="E16" s="151">
        <f>E231</f>
        <v>-0.01</v>
      </c>
      <c r="F16" s="151" t="s">
        <v>1074</v>
      </c>
      <c r="G16" s="151">
        <v>-0.01</v>
      </c>
      <c r="H16" s="151">
        <f>E225</f>
        <v>-2.5000000000000001E-2</v>
      </c>
      <c r="I16" s="151"/>
      <c r="J16" s="155">
        <f>'Operating Metrics'!H62</f>
        <v>0</v>
      </c>
      <c r="K16" s="155">
        <f>'Operating Metrics'!I62</f>
        <v>0.02</v>
      </c>
      <c r="L16" s="155">
        <f>'Operating Metrics'!J62</f>
        <v>-0.01</v>
      </c>
      <c r="M16" s="155">
        <f>'Operating Metrics'!K62</f>
        <v>-0.04</v>
      </c>
      <c r="N16" s="155">
        <f>'Operating Metrics'!L62</f>
        <v>-0.01</v>
      </c>
      <c r="O16" s="151"/>
      <c r="P16" s="155">
        <f>'Operating Metrics'!P62</f>
        <v>-0.04</v>
      </c>
      <c r="Q16" s="151" t="s">
        <v>1071</v>
      </c>
      <c r="R16" s="155">
        <f>'Operating Metrics'!Q62</f>
        <v>-0.03</v>
      </c>
      <c r="S16" s="155">
        <f>'Operating Metrics'!R62</f>
        <v>0</v>
      </c>
      <c r="T16" s="155">
        <f>'Operating Metrics'!S62</f>
        <v>0</v>
      </c>
      <c r="U16" s="151" t="s">
        <v>1071</v>
      </c>
      <c r="V16" s="155">
        <f>'Operating Metrics'!T62</f>
        <v>-0.01</v>
      </c>
      <c r="W16" s="155">
        <f>'Operating Metrics'!U62</f>
        <v>-0.01</v>
      </c>
      <c r="X16" s="139"/>
      <c r="Y16" s="163"/>
    </row>
    <row r="17" spans="1:25" ht="21" customHeight="1">
      <c r="A17" s="150" t="s">
        <v>1079</v>
      </c>
      <c r="B17" s="150" t="s">
        <v>1069</v>
      </c>
      <c r="C17" s="151">
        <f>SUM(C14:C16)</f>
        <v>0.11000000000000001</v>
      </c>
      <c r="D17" s="151">
        <f>SUM(D14:D16)</f>
        <v>5.9999999999999991E-2</v>
      </c>
      <c r="E17" s="151">
        <f>SUM(E14:E16)</f>
        <v>0.04</v>
      </c>
      <c r="F17" s="151" t="s">
        <v>1080</v>
      </c>
      <c r="G17" s="151"/>
      <c r="H17" s="151">
        <f>SUM(H14:H16)</f>
        <v>3.5000000000000003E-2</v>
      </c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39"/>
      <c r="Y17" s="163"/>
    </row>
    <row r="18" spans="1:25" ht="34" customHeight="1">
      <c r="A18" s="150" t="s">
        <v>1081</v>
      </c>
      <c r="B18" s="150" t="s">
        <v>1069</v>
      </c>
      <c r="C18" s="151">
        <f>C19/C12</f>
        <v>0.34479993585117474</v>
      </c>
      <c r="D18" s="151">
        <f>D19/D12</f>
        <v>0.35579152022732369</v>
      </c>
      <c r="E18" s="171">
        <f>E301</f>
        <v>0.32696596345967927</v>
      </c>
      <c r="F18" s="171">
        <f>F301</f>
        <v>0.2618746460927463</v>
      </c>
      <c r="G18" s="151">
        <f>G19/G12</f>
        <v>0.35048754062838572</v>
      </c>
      <c r="H18" s="151">
        <f>H19/H12</f>
        <v>0.32480345995744186</v>
      </c>
      <c r="I18" s="151"/>
      <c r="J18" s="227">
        <f>J19/J12</f>
        <v>0.28736613378860781</v>
      </c>
      <c r="K18" s="227">
        <f>K19/K12</f>
        <v>0.28678622868559217</v>
      </c>
      <c r="L18" s="151">
        <f>IF(COUNT(L19,L12)=2,L19/L12,"未补充")</f>
        <v>0.29128079678490304</v>
      </c>
      <c r="M18" s="151">
        <f>IF(COUNT(M19,M12)=2,M19/M12,"未补充")</f>
        <v>0.30033904087681512</v>
      </c>
      <c r="N18" s="151">
        <f>IF(COUNT(N19,N12)=2,N19/N12,"未补充")</f>
        <v>0.31236735882818029</v>
      </c>
      <c r="O18" s="151"/>
      <c r="P18" s="151">
        <f t="shared" ref="P18:W18" si="0">IF(COUNT(P19,P12)=2,P19/P12,"未补充")</f>
        <v>0.30722236170390826</v>
      </c>
      <c r="Q18" s="151">
        <f t="shared" si="0"/>
        <v>0.23974044195019292</v>
      </c>
      <c r="R18" s="151">
        <f t="shared" si="0"/>
        <v>0.33764265335235377</v>
      </c>
      <c r="S18" s="151">
        <f t="shared" si="0"/>
        <v>0.34722992787508916</v>
      </c>
      <c r="T18" s="151">
        <f t="shared" si="0"/>
        <v>0.31880438285530133</v>
      </c>
      <c r="U18" s="151">
        <f t="shared" si="0"/>
        <v>0.24439367013624438</v>
      </c>
      <c r="V18" s="151">
        <f t="shared" si="0"/>
        <v>0.34479993585117474</v>
      </c>
      <c r="W18" s="151">
        <f t="shared" si="0"/>
        <v>0.35579152022732369</v>
      </c>
      <c r="X18" s="139"/>
      <c r="Y18" s="163" t="s">
        <v>1292</v>
      </c>
    </row>
    <row r="19" spans="1:25" ht="21" customHeight="1">
      <c r="A19" s="152" t="s">
        <v>1082</v>
      </c>
      <c r="B19" s="152" t="s">
        <v>1066</v>
      </c>
      <c r="C19" s="154">
        <f>$D$209</f>
        <v>4300</v>
      </c>
      <c r="D19" s="154">
        <f>$D$210</f>
        <v>4758</v>
      </c>
      <c r="E19" s="170">
        <f>E300</f>
        <v>4220.6336000000001</v>
      </c>
      <c r="F19" s="170">
        <f>F300</f>
        <v>2878.4449287111793</v>
      </c>
      <c r="G19" s="154">
        <f>SUM(C19:D19)</f>
        <v>9058</v>
      </c>
      <c r="H19" s="154">
        <f>SUM(C19:F19)</f>
        <v>16157.078528711179</v>
      </c>
      <c r="I19" s="140"/>
      <c r="J19" s="226">
        <f>$D$565</f>
        <v>11109</v>
      </c>
      <c r="K19" s="226">
        <f>$D$566</f>
        <v>12345</v>
      </c>
      <c r="L19" s="154">
        <f>$D$200</f>
        <v>13336</v>
      </c>
      <c r="M19" s="154">
        <f>$D$201</f>
        <v>14085</v>
      </c>
      <c r="N19" s="154">
        <f>$D$202</f>
        <v>15013</v>
      </c>
      <c r="O19" s="140"/>
      <c r="P19" s="154">
        <f>$D$203</f>
        <v>3671</v>
      </c>
      <c r="Q19" s="154">
        <f>$D$204</f>
        <v>2734</v>
      </c>
      <c r="R19" s="154">
        <f>$D$205</f>
        <v>3787</v>
      </c>
      <c r="S19" s="154">
        <f>$D$206</f>
        <v>4381</v>
      </c>
      <c r="T19" s="154">
        <f>$D$207</f>
        <v>3957</v>
      </c>
      <c r="U19" s="154">
        <f>$D$208</f>
        <v>2888</v>
      </c>
      <c r="V19" s="154">
        <f>$D$209</f>
        <v>4300</v>
      </c>
      <c r="W19" s="154">
        <f>$D$210</f>
        <v>4758</v>
      </c>
      <c r="X19" s="139"/>
      <c r="Y19" s="163"/>
    </row>
    <row r="20" spans="1:25" ht="21" customHeight="1">
      <c r="A20" s="150" t="s">
        <v>1083</v>
      </c>
      <c r="B20" s="150" t="s">
        <v>1069</v>
      </c>
      <c r="C20" s="151">
        <f>C19/R19-1</f>
        <v>0.13546342751518359</v>
      </c>
      <c r="D20" s="151">
        <f>D19/S19-1</f>
        <v>8.6053412462907986E-2</v>
      </c>
      <c r="E20" s="151">
        <f>E19/T19-1</f>
        <v>6.6624614607025512E-2</v>
      </c>
      <c r="F20" s="151">
        <f>F19/U19-1</f>
        <v>-3.308542690034888E-3</v>
      </c>
      <c r="G20" s="151">
        <f>G19/SUM(R19:S19)-1</f>
        <v>0.10896180215475026</v>
      </c>
      <c r="H20" s="151">
        <f>H19/N19-1</f>
        <v>7.6205856838152286E-2</v>
      </c>
      <c r="I20" s="151"/>
      <c r="J20" s="151"/>
      <c r="K20" s="151">
        <f>IF(COUNT(K19,J19)=2,K19/J19-1,"未补充")</f>
        <v>0.11126113961652706</v>
      </c>
      <c r="L20" s="151">
        <f>IF(COUNT(L19,K19)=2,L19/K19-1,"未补充")</f>
        <v>8.0275415147833096E-2</v>
      </c>
      <c r="M20" s="151">
        <f>IF(COUNT(M19,L19)=2,M19/L19-1,"未补充")</f>
        <v>5.61637672465507E-2</v>
      </c>
      <c r="N20" s="151">
        <f>IF(COUNT(N19,M19)=2,N19/M19-1,"未补充")</f>
        <v>6.5885694000709982E-2</v>
      </c>
      <c r="O20" s="151"/>
      <c r="P20" s="151">
        <f>P19/$F$264-1</f>
        <v>3.8178733031674295E-2</v>
      </c>
      <c r="Q20" s="151">
        <f>Q19/$F$265-1</f>
        <v>7.9778830963665115E-2</v>
      </c>
      <c r="R20" s="151">
        <f>R19/$F$266-1</f>
        <v>3.952786165248412E-2</v>
      </c>
      <c r="S20" s="151">
        <f>S19/$F$267-1</f>
        <v>8.5211790933861886E-2</v>
      </c>
      <c r="T20" s="151">
        <f>T19/P19-1</f>
        <v>7.7907926995369081E-2</v>
      </c>
      <c r="U20" s="151">
        <f>U19/Q19-1</f>
        <v>5.6327724945135271E-2</v>
      </c>
      <c r="V20" s="151">
        <f>V19/R19-1</f>
        <v>0.13546342751518359</v>
      </c>
      <c r="W20" s="151">
        <f>W19/S19-1</f>
        <v>8.6053412462907986E-2</v>
      </c>
      <c r="X20" s="139"/>
      <c r="Y20" s="163"/>
    </row>
    <row r="21" spans="1:25" ht="21" customHeight="1">
      <c r="A21" s="139" t="s">
        <v>1084</v>
      </c>
      <c r="B21" s="139" t="s">
        <v>1066</v>
      </c>
      <c r="C21" s="149">
        <f>'Income Statement'!T18</f>
        <v>4359</v>
      </c>
      <c r="D21" s="149">
        <f>'Income Statement'!U18</f>
        <v>4672</v>
      </c>
      <c r="E21" s="140" t="s">
        <v>1067</v>
      </c>
      <c r="F21" s="140" t="s">
        <v>1067</v>
      </c>
      <c r="G21" s="144">
        <f>SUM(C21:D21)</f>
        <v>9031</v>
      </c>
      <c r="H21" s="140" t="s">
        <v>1067</v>
      </c>
      <c r="I21" s="140"/>
      <c r="J21" s="149">
        <f>'Income Statement'!H18</f>
        <v>10308</v>
      </c>
      <c r="K21" s="149">
        <f>'Income Statement'!I18</f>
        <v>10909</v>
      </c>
      <c r="L21" s="149">
        <f>'Income Statement'!J18</f>
        <v>11311</v>
      </c>
      <c r="M21" s="149">
        <f>'Income Statement'!K18</f>
        <v>9992</v>
      </c>
      <c r="N21" s="149">
        <f>'Income Statement'!L18</f>
        <v>13762</v>
      </c>
      <c r="O21" s="140"/>
      <c r="P21" s="149">
        <f>'Income Statement'!P18</f>
        <v>2510</v>
      </c>
      <c r="Q21" s="144">
        <f>$F$204</f>
        <v>2709</v>
      </c>
      <c r="R21" s="149">
        <f>'Income Statement'!Q18</f>
        <v>3659</v>
      </c>
      <c r="S21" s="149">
        <f>'Income Statement'!R18</f>
        <v>4280</v>
      </c>
      <c r="T21" s="149">
        <f>'Income Statement'!S18</f>
        <v>3982</v>
      </c>
      <c r="U21" s="149">
        <f>'Income Statement'!L18-SUM('Income Statement'!Q18:S18)</f>
        <v>1841</v>
      </c>
      <c r="V21" s="149">
        <f>'Income Statement'!T18</f>
        <v>4359</v>
      </c>
      <c r="W21" s="149">
        <f>'Income Statement'!U18</f>
        <v>4672</v>
      </c>
      <c r="X21" s="139"/>
      <c r="Y21" s="163"/>
    </row>
    <row r="22" spans="1:25" ht="21" customHeight="1">
      <c r="A22" s="150" t="s">
        <v>1085</v>
      </c>
      <c r="B22" s="150" t="s">
        <v>1069</v>
      </c>
      <c r="C22" s="151">
        <f>C21/C10</f>
        <v>0.34950288646568312</v>
      </c>
      <c r="D22" s="151">
        <f>D21/D10</f>
        <v>0.34917787742899853</v>
      </c>
      <c r="E22" s="151" t="s">
        <v>1067</v>
      </c>
      <c r="F22" s="151" t="s">
        <v>1067</v>
      </c>
      <c r="G22" s="151">
        <f>G21/G10</f>
        <v>0.34933467429986076</v>
      </c>
      <c r="H22" s="151" t="s">
        <v>1067</v>
      </c>
      <c r="I22" s="151"/>
      <c r="J22" s="151">
        <f>IF(COUNT(J21,J10)=2,J21/J10,"未补充")</f>
        <v>0.26666666666666666</v>
      </c>
      <c r="K22" s="151">
        <f>IF(COUNT(K21,K10)=2,K21/K10,"未补充")</f>
        <v>0.25367407683006232</v>
      </c>
      <c r="L22" s="151">
        <f>IF(COUNT(L21,L10)=2,L21/L10,"未补充")</f>
        <v>0.24721335839489444</v>
      </c>
      <c r="M22" s="151">
        <f>IF(COUNT(M21,M10)=2,M21/M10,"未补充")</f>
        <v>0.21232018019166612</v>
      </c>
      <c r="N22" s="151">
        <f>IF(COUNT(N21,N10)=2,N21/N10,"未补充")</f>
        <v>0.28706117936630443</v>
      </c>
      <c r="O22" s="151"/>
      <c r="P22" s="151">
        <f t="shared" ref="P22:W22" si="1">IF(COUNT(P21,P10)=2,P21/P10,"未补充")</f>
        <v>0.21174287160452168</v>
      </c>
      <c r="Q22" s="151">
        <f t="shared" si="1"/>
        <v>0.23466735966735966</v>
      </c>
      <c r="R22" s="151">
        <f t="shared" si="1"/>
        <v>0.32878066313235693</v>
      </c>
      <c r="S22" s="151">
        <f t="shared" si="1"/>
        <v>0.34144395692062224</v>
      </c>
      <c r="T22" s="151">
        <f t="shared" si="1"/>
        <v>0.31971095945403455</v>
      </c>
      <c r="U22" s="151">
        <f t="shared" si="1"/>
        <v>0.15572661140246996</v>
      </c>
      <c r="V22" s="151">
        <f t="shared" si="1"/>
        <v>0.34950288646568312</v>
      </c>
      <c r="W22" s="151">
        <f t="shared" si="1"/>
        <v>0.34917787742899853</v>
      </c>
      <c r="X22" s="139"/>
      <c r="Y22" s="163"/>
    </row>
    <row r="23" spans="1:25" ht="21" customHeight="1">
      <c r="A23" s="139" t="s">
        <v>1086</v>
      </c>
      <c r="B23" s="139" t="s">
        <v>1066</v>
      </c>
      <c r="C23" s="144">
        <f>C19-C21</f>
        <v>-59</v>
      </c>
      <c r="D23" s="144">
        <f>D19-D21</f>
        <v>86</v>
      </c>
      <c r="E23" s="140" t="s">
        <v>1067</v>
      </c>
      <c r="F23" s="140" t="s">
        <v>1067</v>
      </c>
      <c r="G23" s="144">
        <f>SUM(C23:D23)</f>
        <v>27</v>
      </c>
      <c r="H23" s="140" t="s">
        <v>1067</v>
      </c>
      <c r="I23" s="140"/>
      <c r="J23" s="144">
        <f>IF(COUNT(J19,J21)=2,J19-J21,"未补充")</f>
        <v>801</v>
      </c>
      <c r="K23" s="144">
        <f>IF(COUNT(K19,K21)=2,K19-K21,"未补充")</f>
        <v>1436</v>
      </c>
      <c r="L23" s="144">
        <f>IF(COUNT(L19,L21)=2,L19-L21,"未补充")</f>
        <v>2025</v>
      </c>
      <c r="M23" s="144">
        <f>IF(COUNT(M19,M21)=2,M19-M21,"未补充")</f>
        <v>4093</v>
      </c>
      <c r="N23" s="144">
        <f>IF(COUNT(N19,N21)=2,N19-N21,"未补充")</f>
        <v>1251</v>
      </c>
      <c r="O23" s="140"/>
      <c r="P23" s="144">
        <f t="shared" ref="P23:W23" si="2">IF(COUNT(P19,P21)=2,P19-P21,"未补充")</f>
        <v>1161</v>
      </c>
      <c r="Q23" s="144">
        <f t="shared" si="2"/>
        <v>25</v>
      </c>
      <c r="R23" s="144">
        <f t="shared" si="2"/>
        <v>128</v>
      </c>
      <c r="S23" s="144">
        <f t="shared" si="2"/>
        <v>101</v>
      </c>
      <c r="T23" s="144">
        <f t="shared" si="2"/>
        <v>-25</v>
      </c>
      <c r="U23" s="144">
        <f t="shared" si="2"/>
        <v>1047</v>
      </c>
      <c r="V23" s="144">
        <f t="shared" si="2"/>
        <v>-59</v>
      </c>
      <c r="W23" s="144">
        <f t="shared" si="2"/>
        <v>86</v>
      </c>
      <c r="X23" s="139"/>
      <c r="Y23" s="163"/>
    </row>
    <row r="24" spans="1:25" ht="34" customHeight="1">
      <c r="A24" s="139" t="s">
        <v>1087</v>
      </c>
      <c r="B24" s="139" t="s">
        <v>1066</v>
      </c>
      <c r="C24" s="140"/>
      <c r="D24" s="140"/>
      <c r="E24" s="140"/>
      <c r="F24" s="140"/>
      <c r="G24" s="140"/>
      <c r="H24" s="334">
        <f>IF(ISNUMBER('Valuation Inputs'!C101),'Valuation Inputs'!C101,"待定")</f>
        <v>100</v>
      </c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39"/>
      <c r="Y24" s="163" t="s">
        <v>1088</v>
      </c>
    </row>
    <row r="25" spans="1:25" ht="34" customHeight="1">
      <c r="A25" s="152" t="s">
        <v>1089</v>
      </c>
      <c r="B25" s="152" t="s">
        <v>1066</v>
      </c>
      <c r="C25" s="153"/>
      <c r="D25" s="153"/>
      <c r="E25" s="153"/>
      <c r="F25" s="153"/>
      <c r="G25" s="153"/>
      <c r="H25" s="154">
        <f>H19-H24</f>
        <v>16057.078528711179</v>
      </c>
      <c r="I25" s="140"/>
      <c r="J25" s="153"/>
      <c r="K25" s="153"/>
      <c r="L25" s="153"/>
      <c r="M25" s="153"/>
      <c r="N25" s="153"/>
      <c r="O25" s="140"/>
      <c r="P25" s="153"/>
      <c r="Q25" s="153"/>
      <c r="R25" s="153"/>
      <c r="S25" s="153"/>
      <c r="T25" s="153"/>
      <c r="U25" s="153"/>
      <c r="V25" s="153"/>
      <c r="W25" s="153"/>
      <c r="X25" s="139"/>
      <c r="Y25" s="163" t="s">
        <v>1090</v>
      </c>
    </row>
    <row r="26" spans="1:25" ht="21" customHeight="1">
      <c r="A26" s="139"/>
      <c r="B26" s="139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39"/>
      <c r="Y26" s="163"/>
    </row>
    <row r="27" spans="1:25" ht="21" customHeight="1">
      <c r="A27" s="139" t="s">
        <v>1091</v>
      </c>
      <c r="B27" s="139" t="s">
        <v>1066</v>
      </c>
      <c r="C27" s="149">
        <f>'Cash Flow'!T17</f>
        <v>264</v>
      </c>
      <c r="D27" s="149">
        <f>('Cash Flow'!U17-'Cash Flow'!T17)</f>
        <v>266</v>
      </c>
      <c r="E27" s="144">
        <f>(H27-SUM(C27:D27))*T27/(T27+U27)</f>
        <v>303.09523809523807</v>
      </c>
      <c r="F27" s="144">
        <f>H27-SUM(C27:E27)</f>
        <v>266.90476190476193</v>
      </c>
      <c r="G27" s="144">
        <f>SUM(C27:D27)</f>
        <v>530</v>
      </c>
      <c r="H27" s="334">
        <f>IF(ISNUMBER('Valuation Inputs'!C102),'Valuation Inputs'!C102,"待定")</f>
        <v>1100</v>
      </c>
      <c r="I27" s="140"/>
      <c r="J27" s="149">
        <f>'Cash Flow'!H17</f>
        <v>1452</v>
      </c>
      <c r="K27" s="149">
        <f>'Cash Flow'!I17</f>
        <v>1260</v>
      </c>
      <c r="L27" s="149">
        <f>'Cash Flow'!J17</f>
        <v>1128</v>
      </c>
      <c r="M27" s="149">
        <f>'Cash Flow'!K17</f>
        <v>1075</v>
      </c>
      <c r="N27" s="149">
        <f>'Cash Flow'!L17</f>
        <v>1050</v>
      </c>
      <c r="O27" s="140"/>
      <c r="P27" s="149">
        <f>'Cash Flow'!P17-$C$218</f>
        <v>268</v>
      </c>
      <c r="Q27" s="149">
        <f>('Cash Flow'!K17-'Cash Flow'!P17)</f>
        <v>276</v>
      </c>
      <c r="R27" s="149">
        <f>'Cash Flow'!Q17</f>
        <v>267</v>
      </c>
      <c r="S27" s="149">
        <f>('Cash Flow'!R17-'Cash Flow'!Q17)</f>
        <v>279</v>
      </c>
      <c r="T27" s="149">
        <f>('Cash Flow'!S17-'Cash Flow'!R17)</f>
        <v>268</v>
      </c>
      <c r="U27" s="149">
        <f>('Cash Flow'!L17-'Cash Flow'!S17)</f>
        <v>236</v>
      </c>
      <c r="V27" s="149">
        <f>'Cash Flow'!T17</f>
        <v>264</v>
      </c>
      <c r="W27" s="149">
        <f>('Cash Flow'!U17-'Cash Flow'!T17)</f>
        <v>266</v>
      </c>
      <c r="X27" s="139"/>
      <c r="Y27" s="163"/>
    </row>
    <row r="28" spans="1:25" ht="21" customHeight="1">
      <c r="A28" s="139" t="s">
        <v>1092</v>
      </c>
      <c r="B28" s="139" t="s">
        <v>1066</v>
      </c>
      <c r="C28" s="149">
        <f>-'Cash Flow'!T32</f>
        <v>266</v>
      </c>
      <c r="D28" s="149">
        <f>-('Cash Flow'!U32-'Cash Flow'!T32)</f>
        <v>418</v>
      </c>
      <c r="E28" s="144">
        <f>(H28-SUM(C28:D28))*T28/(T28+U28)</f>
        <v>533.55180014695077</v>
      </c>
      <c r="F28" s="144">
        <f>H28-SUM(C28:E28)</f>
        <v>982.44819985304912</v>
      </c>
      <c r="G28" s="144">
        <f>SUM(C28:D28)</f>
        <v>684</v>
      </c>
      <c r="H28" s="144">
        <f>E227</f>
        <v>2200</v>
      </c>
      <c r="I28" s="140"/>
      <c r="J28" s="149">
        <f>-'Cash Flow'!H32</f>
        <v>1367</v>
      </c>
      <c r="K28" s="149">
        <f>-'Cash Flow'!I32</f>
        <v>1484</v>
      </c>
      <c r="L28" s="149">
        <f>-'Cash Flow'!J32</f>
        <v>1852</v>
      </c>
      <c r="M28" s="149">
        <f>-'Cash Flow'!K32</f>
        <v>2064</v>
      </c>
      <c r="N28" s="149">
        <f>-'Cash Flow'!L32</f>
        <v>2112</v>
      </c>
      <c r="O28" s="140"/>
      <c r="P28" s="149">
        <f>-'Cash Flow'!P32-$C$217</f>
        <v>469</v>
      </c>
      <c r="Q28" s="149">
        <f>-('Cash Flow'!K32-'Cash Flow'!P32)</f>
        <v>803</v>
      </c>
      <c r="R28" s="149">
        <f>-'Cash Flow'!Q32</f>
        <v>309</v>
      </c>
      <c r="S28" s="149">
        <f>-('Cash Flow'!R32-'Cash Flow'!Q32)</f>
        <v>442</v>
      </c>
      <c r="T28" s="149">
        <f>-('Cash Flow'!S32-'Cash Flow'!R32)</f>
        <v>479</v>
      </c>
      <c r="U28" s="149">
        <f>-('Cash Flow'!L32-'Cash Flow'!S32)</f>
        <v>882</v>
      </c>
      <c r="V28" s="149">
        <f>-'Cash Flow'!T32</f>
        <v>266</v>
      </c>
      <c r="W28" s="149">
        <f>-('Cash Flow'!U32-'Cash Flow'!T32)</f>
        <v>418</v>
      </c>
      <c r="X28" s="139"/>
      <c r="Y28" s="163"/>
    </row>
    <row r="29" spans="1:25" ht="34" customHeight="1">
      <c r="A29" s="139" t="s">
        <v>1093</v>
      </c>
      <c r="B29" s="139" t="s">
        <v>1066</v>
      </c>
      <c r="C29" s="149">
        <f>'Cash Flow'!T26</f>
        <v>2021</v>
      </c>
      <c r="D29" s="149">
        <f>('Cash Flow'!U26-'Cash Flow'!T26)</f>
        <v>5522</v>
      </c>
      <c r="E29" s="140" t="s">
        <v>1094</v>
      </c>
      <c r="F29" s="140" t="s">
        <v>1094</v>
      </c>
      <c r="G29" s="144">
        <f>SUM(C29:D29)</f>
        <v>7543</v>
      </c>
      <c r="H29" s="144">
        <f>E226</f>
        <v>14600</v>
      </c>
      <c r="I29" s="140"/>
      <c r="J29" s="149">
        <f>'Cash Flow'!H26</f>
        <v>12625</v>
      </c>
      <c r="K29" s="149">
        <f>'Cash Flow'!I26</f>
        <v>11018</v>
      </c>
      <c r="L29" s="149">
        <f>'Cash Flow'!J26</f>
        <v>11599</v>
      </c>
      <c r="M29" s="149">
        <f>'Cash Flow'!K26</f>
        <v>6805</v>
      </c>
      <c r="N29" s="149">
        <f>'Cash Flow'!L26</f>
        <v>7408</v>
      </c>
      <c r="O29" s="140"/>
      <c r="P29" s="149">
        <f>'Cash Flow'!P26-$C$216</f>
        <v>-1259</v>
      </c>
      <c r="Q29" s="149">
        <f>('Cash Flow'!K26-'Cash Flow'!P26)</f>
        <v>3951</v>
      </c>
      <c r="R29" s="149">
        <f>'Cash Flow'!Q26</f>
        <v>-5202</v>
      </c>
      <c r="S29" s="149">
        <f>('Cash Flow'!R26-'Cash Flow'!Q26)</f>
        <v>3811</v>
      </c>
      <c r="T29" s="149">
        <f>('Cash Flow'!S26-'Cash Flow'!R26)</f>
        <v>5043</v>
      </c>
      <c r="U29" s="149">
        <f>('Cash Flow'!L26-'Cash Flow'!S26)</f>
        <v>3756</v>
      </c>
      <c r="V29" s="149">
        <f>'Cash Flow'!T26</f>
        <v>2021</v>
      </c>
      <c r="W29" s="149">
        <f>('Cash Flow'!U26-'Cash Flow'!T26)</f>
        <v>5522</v>
      </c>
      <c r="X29" s="139"/>
      <c r="Y29" s="163" t="s">
        <v>1095</v>
      </c>
    </row>
    <row r="30" spans="1:25" ht="21" customHeight="1">
      <c r="A30" s="152" t="s">
        <v>1096</v>
      </c>
      <c r="B30" s="152" t="s">
        <v>1066</v>
      </c>
      <c r="C30" s="154">
        <f>C29-C28</f>
        <v>1755</v>
      </c>
      <c r="D30" s="154">
        <f>D29-D28</f>
        <v>5104</v>
      </c>
      <c r="E30" s="153" t="s">
        <v>1094</v>
      </c>
      <c r="F30" s="153" t="s">
        <v>1094</v>
      </c>
      <c r="G30" s="154">
        <f>SUM(C30:D30)</f>
        <v>6859</v>
      </c>
      <c r="H30" s="154">
        <f>H29-H28</f>
        <v>12400</v>
      </c>
      <c r="I30" s="140"/>
      <c r="J30" s="154">
        <f>J29-J28</f>
        <v>11258</v>
      </c>
      <c r="K30" s="154">
        <f>K29-K28</f>
        <v>9534</v>
      </c>
      <c r="L30" s="154">
        <f>L29-L28</f>
        <v>9747</v>
      </c>
      <c r="M30" s="154">
        <f>M29-M28</f>
        <v>4741</v>
      </c>
      <c r="N30" s="154">
        <f>N29-N28</f>
        <v>5296</v>
      </c>
      <c r="O30" s="140"/>
      <c r="P30" s="154">
        <f t="shared" ref="P30:W30" si="3">P29-P28</f>
        <v>-1728</v>
      </c>
      <c r="Q30" s="154">
        <f t="shared" si="3"/>
        <v>3148</v>
      </c>
      <c r="R30" s="154">
        <f t="shared" si="3"/>
        <v>-5511</v>
      </c>
      <c r="S30" s="154">
        <f t="shared" si="3"/>
        <v>3369</v>
      </c>
      <c r="T30" s="154">
        <f t="shared" si="3"/>
        <v>4564</v>
      </c>
      <c r="U30" s="154">
        <f t="shared" si="3"/>
        <v>2874</v>
      </c>
      <c r="V30" s="154">
        <f t="shared" si="3"/>
        <v>1755</v>
      </c>
      <c r="W30" s="154">
        <f t="shared" si="3"/>
        <v>5104</v>
      </c>
      <c r="X30" s="139"/>
      <c r="Y30" s="163"/>
    </row>
    <row r="31" spans="1:25" ht="34" customHeight="1">
      <c r="A31" s="150" t="s">
        <v>1097</v>
      </c>
      <c r="B31" s="150" t="s">
        <v>1069</v>
      </c>
      <c r="C31" s="151"/>
      <c r="D31" s="151"/>
      <c r="E31" s="151"/>
      <c r="F31" s="151"/>
      <c r="G31" s="151"/>
      <c r="H31" s="151">
        <f>E229</f>
        <v>0.19900000000000001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39"/>
      <c r="Y31" s="163" t="s">
        <v>1098</v>
      </c>
    </row>
    <row r="32" spans="1:25" ht="21" customHeight="1">
      <c r="A32" s="139"/>
      <c r="B32" s="139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39"/>
      <c r="Y32" s="163"/>
    </row>
    <row r="33" spans="1:25" ht="21" customHeight="1">
      <c r="A33" s="139" t="s">
        <v>1099</v>
      </c>
      <c r="B33" s="139" t="s">
        <v>1066</v>
      </c>
      <c r="C33" s="140"/>
      <c r="D33" s="140"/>
      <c r="E33" s="140"/>
      <c r="F33" s="140"/>
      <c r="G33" s="140"/>
      <c r="H33" s="144">
        <f>H29-G29</f>
        <v>7057</v>
      </c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39"/>
      <c r="Y33" s="163"/>
    </row>
    <row r="34" spans="1:25" ht="21" customHeight="1">
      <c r="A34" s="139" t="s">
        <v>1100</v>
      </c>
      <c r="B34" s="139" t="s">
        <v>1066</v>
      </c>
      <c r="C34" s="140"/>
      <c r="D34" s="140"/>
      <c r="E34" s="140"/>
      <c r="F34" s="140"/>
      <c r="G34" s="140"/>
      <c r="H34" s="144">
        <f>H28-G28</f>
        <v>1516</v>
      </c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39"/>
      <c r="Y34" s="163"/>
    </row>
    <row r="35" spans="1:25" ht="21" customHeight="1">
      <c r="A35" s="139" t="s">
        <v>1101</v>
      </c>
      <c r="B35" s="139" t="s">
        <v>1066</v>
      </c>
      <c r="C35" s="140"/>
      <c r="D35" s="140"/>
      <c r="E35" s="140"/>
      <c r="F35" s="140"/>
      <c r="G35" s="140"/>
      <c r="H35" s="144">
        <f>H33-H34</f>
        <v>5541</v>
      </c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39"/>
      <c r="Y35" s="163"/>
    </row>
    <row r="36" spans="1:25" ht="21" customHeight="1">
      <c r="A36" s="139"/>
      <c r="B36" s="139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39"/>
      <c r="Y36" s="163"/>
    </row>
    <row r="37" spans="1:25" ht="21" customHeight="1">
      <c r="A37" s="139" t="s">
        <v>1102</v>
      </c>
      <c r="B37" s="139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39"/>
      <c r="Y37" s="163"/>
    </row>
    <row r="38" spans="1:25" ht="21" customHeight="1">
      <c r="A38" s="139" t="s">
        <v>1103</v>
      </c>
      <c r="B38" s="139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39"/>
      <c r="Y38" s="163"/>
    </row>
    <row r="39" spans="1:25" ht="21" customHeight="1">
      <c r="A39" s="139"/>
      <c r="B39" s="139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39"/>
      <c r="Y39" s="163"/>
    </row>
    <row r="40" spans="1:25" ht="21" customHeight="1">
      <c r="A40" s="139"/>
      <c r="B40" s="139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39"/>
      <c r="Y40" s="163"/>
    </row>
    <row r="41" spans="1:25" ht="25" customHeight="1">
      <c r="A41" s="142" t="s">
        <v>1104</v>
      </c>
      <c r="B41" s="142"/>
      <c r="C41" s="143"/>
      <c r="D41" s="143"/>
      <c r="E41" s="143"/>
      <c r="F41" s="143"/>
      <c r="G41" s="143"/>
      <c r="H41" s="143"/>
      <c r="I41" s="140"/>
      <c r="J41" s="143"/>
      <c r="K41" s="143"/>
      <c r="L41" s="143"/>
      <c r="M41" s="143"/>
      <c r="N41" s="143"/>
      <c r="O41" s="140"/>
      <c r="P41" s="143"/>
      <c r="Q41" s="143"/>
      <c r="R41" s="143"/>
      <c r="S41" s="143"/>
      <c r="T41" s="143"/>
      <c r="U41" s="143"/>
      <c r="V41" s="143"/>
      <c r="W41" s="143"/>
      <c r="X41" s="139"/>
      <c r="Y41" s="163"/>
    </row>
    <row r="42" spans="1:25" ht="27" customHeight="1">
      <c r="A42" s="148" t="s">
        <v>1050</v>
      </c>
      <c r="B42" s="148" t="s">
        <v>1051</v>
      </c>
      <c r="C42" s="147" t="s">
        <v>1057</v>
      </c>
      <c r="D42" s="147" t="s">
        <v>1105</v>
      </c>
      <c r="E42" s="147" t="s">
        <v>1106</v>
      </c>
      <c r="F42" s="147" t="s">
        <v>1107</v>
      </c>
      <c r="G42" s="147" t="s">
        <v>1108</v>
      </c>
      <c r="H42" s="147" t="s">
        <v>1109</v>
      </c>
      <c r="I42" s="140"/>
      <c r="J42" s="148" t="s">
        <v>7</v>
      </c>
      <c r="K42" s="148" t="s">
        <v>8</v>
      </c>
      <c r="L42" s="148" t="s">
        <v>9</v>
      </c>
      <c r="M42" s="148" t="s">
        <v>10</v>
      </c>
      <c r="N42" s="148" t="s">
        <v>11</v>
      </c>
      <c r="O42" s="140"/>
      <c r="P42" s="148" t="s">
        <v>1058</v>
      </c>
      <c r="Q42" s="148" t="s">
        <v>1059</v>
      </c>
      <c r="R42" s="148" t="s">
        <v>1060</v>
      </c>
      <c r="S42" s="148" t="s">
        <v>1061</v>
      </c>
      <c r="T42" s="148" t="s">
        <v>1062</v>
      </c>
      <c r="U42" s="148" t="s">
        <v>1063</v>
      </c>
      <c r="V42" s="148" t="s">
        <v>1052</v>
      </c>
      <c r="W42" s="148" t="s">
        <v>1053</v>
      </c>
      <c r="X42" s="139"/>
      <c r="Y42" s="163" t="s">
        <v>1064</v>
      </c>
    </row>
    <row r="43" spans="1:25" ht="27" customHeight="1">
      <c r="A43" s="259" t="s">
        <v>1542</v>
      </c>
      <c r="B43" s="139"/>
      <c r="C43" s="263">
        <f>Valuation!C7</f>
        <v>2</v>
      </c>
      <c r="D43" s="214" t="str">
        <f>CHOOSE(C43,"保守","基准","乐观")</f>
        <v>基准</v>
      </c>
      <c r="E43" s="215" t="s">
        <v>1543</v>
      </c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39"/>
      <c r="Y43" s="163" t="s">
        <v>1544</v>
      </c>
    </row>
    <row r="44" spans="1:25" ht="21" customHeight="1">
      <c r="A44" s="139" t="s">
        <v>1110</v>
      </c>
      <c r="B44" s="139" t="s">
        <v>1066</v>
      </c>
      <c r="C44" s="144">
        <f>N12</f>
        <v>48062</v>
      </c>
      <c r="D44" s="144">
        <f>C49</f>
        <v>49744.17</v>
      </c>
      <c r="E44" s="144">
        <f>D49</f>
        <v>49921.378499999999</v>
      </c>
      <c r="F44" s="144">
        <f>E49</f>
        <v>52417.447424999998</v>
      </c>
      <c r="G44" s="144">
        <f>F49</f>
        <v>54776.232559124997</v>
      </c>
      <c r="H44" s="144">
        <f>G49</f>
        <v>57241.163024285619</v>
      </c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39"/>
      <c r="Y44" s="163"/>
    </row>
    <row r="45" spans="1:25" ht="34" customHeight="1">
      <c r="A45" s="150" t="s">
        <v>1073</v>
      </c>
      <c r="B45" s="150" t="s">
        <v>1069</v>
      </c>
      <c r="C45" s="151">
        <f>H14</f>
        <v>0.05</v>
      </c>
      <c r="D45" s="228">
        <f>D513</f>
        <v>0.05</v>
      </c>
      <c r="E45" s="228">
        <f>E513</f>
        <v>0.05</v>
      </c>
      <c r="F45" s="228">
        <f>F513</f>
        <v>4.4999999999999998E-2</v>
      </c>
      <c r="G45" s="228">
        <f>G513</f>
        <v>4.4999999999999998E-2</v>
      </c>
      <c r="H45" s="228">
        <f>H513</f>
        <v>0.04</v>
      </c>
      <c r="I45" s="151"/>
      <c r="J45" s="227">
        <f t="shared" ref="J45:N46" si="4">J14</f>
        <v>0.16</v>
      </c>
      <c r="K45" s="227">
        <f t="shared" si="4"/>
        <v>0.16</v>
      </c>
      <c r="L45" s="227">
        <f t="shared" si="4"/>
        <v>0.12</v>
      </c>
      <c r="M45" s="151">
        <f t="shared" si="4"/>
        <v>0.12</v>
      </c>
      <c r="N45" s="151">
        <f t="shared" si="4"/>
        <v>0.05</v>
      </c>
      <c r="O45" s="151"/>
      <c r="P45" s="151">
        <f t="shared" ref="P45:W46" si="5">P14</f>
        <v>0.09</v>
      </c>
      <c r="Q45" s="151">
        <f t="shared" si="5"/>
        <v>0.14000000000000001</v>
      </c>
      <c r="R45" s="151">
        <f t="shared" si="5"/>
        <v>0.06</v>
      </c>
      <c r="S45" s="151">
        <f t="shared" si="5"/>
        <v>0.05</v>
      </c>
      <c r="T45" s="151">
        <f t="shared" si="5"/>
        <v>0.06</v>
      </c>
      <c r="U45" s="151">
        <f t="shared" si="5"/>
        <v>0.05</v>
      </c>
      <c r="V45" s="151">
        <f t="shared" si="5"/>
        <v>0.1</v>
      </c>
      <c r="W45" s="151">
        <f t="shared" si="5"/>
        <v>0.06</v>
      </c>
      <c r="X45" s="139"/>
      <c r="Y45" s="163" t="s">
        <v>1545</v>
      </c>
    </row>
    <row r="46" spans="1:25" ht="34" customHeight="1">
      <c r="A46" s="150" t="s">
        <v>1076</v>
      </c>
      <c r="B46" s="150" t="s">
        <v>1069</v>
      </c>
      <c r="C46" s="151">
        <f>H15</f>
        <v>0.01</v>
      </c>
      <c r="D46" s="228">
        <f>D520</f>
        <v>0</v>
      </c>
      <c r="E46" s="228">
        <f>E520</f>
        <v>0</v>
      </c>
      <c r="F46" s="228">
        <f>F520</f>
        <v>0</v>
      </c>
      <c r="G46" s="228">
        <f>G520</f>
        <v>0</v>
      </c>
      <c r="H46" s="228">
        <f>H520</f>
        <v>0</v>
      </c>
      <c r="I46" s="151"/>
      <c r="J46" s="151">
        <f t="shared" si="4"/>
        <v>0.01</v>
      </c>
      <c r="K46" s="151">
        <f t="shared" si="4"/>
        <v>-7.0000000000000007E-2</v>
      </c>
      <c r="L46" s="151">
        <f t="shared" si="4"/>
        <v>-0.04</v>
      </c>
      <c r="M46" s="151">
        <f t="shared" si="4"/>
        <v>-0.05</v>
      </c>
      <c r="N46" s="151">
        <f t="shared" si="4"/>
        <v>-0.02</v>
      </c>
      <c r="O46" s="151"/>
      <c r="P46" s="151">
        <f t="shared" si="5"/>
        <v>-0.05</v>
      </c>
      <c r="Q46" s="151" t="str">
        <f t="shared" si="5"/>
        <v>未补充</v>
      </c>
      <c r="R46" s="151">
        <f t="shared" si="5"/>
        <v>-0.05</v>
      </c>
      <c r="S46" s="151">
        <f t="shared" si="5"/>
        <v>-0.03</v>
      </c>
      <c r="T46" s="151">
        <f t="shared" si="5"/>
        <v>0</v>
      </c>
      <c r="U46" s="151" t="str">
        <f t="shared" si="5"/>
        <v>未补充</v>
      </c>
      <c r="V46" s="151">
        <f t="shared" si="5"/>
        <v>0.02</v>
      </c>
      <c r="W46" s="151">
        <f t="shared" si="5"/>
        <v>0.01</v>
      </c>
      <c r="X46" s="139"/>
      <c r="Y46" s="163" t="s">
        <v>1111</v>
      </c>
    </row>
    <row r="47" spans="1:25" ht="34" customHeight="1">
      <c r="A47" s="139" t="s">
        <v>1112</v>
      </c>
      <c r="B47" s="139" t="s">
        <v>1066</v>
      </c>
      <c r="C47" s="144">
        <f>N12*H16</f>
        <v>-1201.55</v>
      </c>
      <c r="D47" s="229">
        <f>-$C$490</f>
        <v>-2200</v>
      </c>
      <c r="E47" s="229">
        <f>0</f>
        <v>0</v>
      </c>
      <c r="F47" s="229">
        <f>0</f>
        <v>0</v>
      </c>
      <c r="G47" s="229">
        <f>0</f>
        <v>0</v>
      </c>
      <c r="H47" s="229">
        <f>0</f>
        <v>0</v>
      </c>
      <c r="I47" s="140"/>
      <c r="J47" s="140" t="s">
        <v>1113</v>
      </c>
      <c r="K47" s="140" t="s">
        <v>1113</v>
      </c>
      <c r="L47" s="140" t="s">
        <v>1113</v>
      </c>
      <c r="M47" s="140" t="s">
        <v>1113</v>
      </c>
      <c r="N47" s="140" t="s">
        <v>1113</v>
      </c>
      <c r="O47" s="140"/>
      <c r="P47" s="140" t="s">
        <v>1113</v>
      </c>
      <c r="Q47" s="140" t="s">
        <v>1113</v>
      </c>
      <c r="R47" s="140" t="s">
        <v>1113</v>
      </c>
      <c r="S47" s="140" t="s">
        <v>1113</v>
      </c>
      <c r="T47" s="140" t="s">
        <v>1113</v>
      </c>
      <c r="U47" s="140" t="s">
        <v>1113</v>
      </c>
      <c r="V47" s="140" t="s">
        <v>1113</v>
      </c>
      <c r="W47" s="140" t="s">
        <v>1113</v>
      </c>
      <c r="X47" s="139"/>
      <c r="Y47" s="163" t="s">
        <v>1546</v>
      </c>
    </row>
    <row r="48" spans="1:25" ht="21" customHeight="1">
      <c r="A48" s="139" t="s">
        <v>1547</v>
      </c>
      <c r="B48" s="139" t="s">
        <v>1066</v>
      </c>
      <c r="C48" s="144">
        <f>C44*(C45+C46)</f>
        <v>2883.7200000000003</v>
      </c>
      <c r="D48" s="213">
        <f>IF(COUNT(D44:D47)=4,(D44+D47)*(D45+D46),"待定")</f>
        <v>2377.2085000000002</v>
      </c>
      <c r="E48" s="213">
        <f>IF(COUNT(E44:E47)=4,(E44+E47)*(E45+E46),"待定")</f>
        <v>2496.068925</v>
      </c>
      <c r="F48" s="213">
        <f>IF(COUNT(F44:F47)=4,(F44+F47)*(F45+F46),"待定")</f>
        <v>2358.7851341249998</v>
      </c>
      <c r="G48" s="213">
        <f>IF(COUNT(G44:G47)=4,(G44+G47)*(G45+G46),"待定")</f>
        <v>2464.9304651606249</v>
      </c>
      <c r="H48" s="213">
        <f>IF(COUNT(H44:H47)=4,(H44+H47)*(H45+H46),"待定")</f>
        <v>2289.6465209714247</v>
      </c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39"/>
      <c r="Y48" s="163" t="s">
        <v>1548</v>
      </c>
    </row>
    <row r="49" spans="1:25" ht="21" customHeight="1">
      <c r="A49" s="152" t="s">
        <v>1070</v>
      </c>
      <c r="B49" s="152" t="s">
        <v>1066</v>
      </c>
      <c r="C49" s="154">
        <f>H12</f>
        <v>49744.17</v>
      </c>
      <c r="D49" s="226">
        <f>IF(COUNT(D44,D47,D48)=3,SUM(D44,D47,D48),"待定")</f>
        <v>49921.378499999999</v>
      </c>
      <c r="E49" s="226">
        <f>IF(COUNT(E44,E47,E48)=3,SUM(E44,E47,E48),"待定")</f>
        <v>52417.447424999998</v>
      </c>
      <c r="F49" s="226">
        <f>IF(COUNT(F44,F47,F48)=3,SUM(F44,F47,F48),"待定")</f>
        <v>54776.232559124997</v>
      </c>
      <c r="G49" s="226">
        <f>IF(COUNT(G44,G47,G48)=3,SUM(G44,G47,G48),"待定")</f>
        <v>57241.163024285619</v>
      </c>
      <c r="H49" s="226">
        <f>IF(COUNT(H44,H47,H48)=3,SUM(H44,H47,H48),"待定")</f>
        <v>59530.809545257041</v>
      </c>
      <c r="I49" s="140"/>
      <c r="J49" s="226">
        <f t="shared" ref="J49:N50" si="6">J12</f>
        <v>38658</v>
      </c>
      <c r="K49" s="226">
        <f t="shared" si="6"/>
        <v>43046</v>
      </c>
      <c r="L49" s="154">
        <f t="shared" si="6"/>
        <v>45784</v>
      </c>
      <c r="M49" s="154">
        <f t="shared" si="6"/>
        <v>46897</v>
      </c>
      <c r="N49" s="154">
        <f t="shared" si="6"/>
        <v>48062</v>
      </c>
      <c r="O49" s="140"/>
      <c r="P49" s="154">
        <f t="shared" ref="P49:W50" si="7">P12</f>
        <v>11949</v>
      </c>
      <c r="Q49" s="154">
        <f t="shared" si="7"/>
        <v>11404</v>
      </c>
      <c r="R49" s="154">
        <f t="shared" si="7"/>
        <v>11216</v>
      </c>
      <c r="S49" s="154">
        <f t="shared" si="7"/>
        <v>12617</v>
      </c>
      <c r="T49" s="154">
        <f t="shared" si="7"/>
        <v>12412</v>
      </c>
      <c r="U49" s="154">
        <f t="shared" si="7"/>
        <v>11817</v>
      </c>
      <c r="V49" s="154">
        <f t="shared" si="7"/>
        <v>12471</v>
      </c>
      <c r="W49" s="154">
        <f t="shared" si="7"/>
        <v>13373</v>
      </c>
      <c r="X49" s="139"/>
      <c r="Y49" s="163"/>
    </row>
    <row r="50" spans="1:25" ht="21" customHeight="1">
      <c r="A50" s="150" t="s">
        <v>1114</v>
      </c>
      <c r="B50" s="150" t="s">
        <v>1069</v>
      </c>
      <c r="C50" s="151">
        <f>H13</f>
        <v>3.499999999999992E-2</v>
      </c>
      <c r="D50" s="151">
        <f>IF(COUNT(D49,D44)=2,D49/D44-1,"待定")</f>
        <v>3.5623973623442051E-3</v>
      </c>
      <c r="E50" s="151">
        <f>IF(COUNT(E49,E44)=2,E49/E44-1,"待定")</f>
        <v>5.0000000000000044E-2</v>
      </c>
      <c r="F50" s="151">
        <f>IF(COUNT(F49,F44)=2,F49/F44-1,"待定")</f>
        <v>4.4999999999999929E-2</v>
      </c>
      <c r="G50" s="151">
        <f>IF(COUNT(G49,G44)=2,G49/G44-1,"待定")</f>
        <v>4.4999999999999929E-2</v>
      </c>
      <c r="H50" s="151">
        <f>IF(COUNT(H49,H44)=2,H49/H44-1,"待定")</f>
        <v>4.0000000000000036E-2</v>
      </c>
      <c r="I50" s="151"/>
      <c r="J50" s="151" t="str">
        <f t="shared" si="6"/>
        <v>n.a.</v>
      </c>
      <c r="K50" s="227">
        <f t="shared" si="6"/>
        <v>0.11350820011381857</v>
      </c>
      <c r="L50" s="227">
        <f t="shared" si="6"/>
        <v>6.3606374576034908E-2</v>
      </c>
      <c r="M50" s="151">
        <f t="shared" si="6"/>
        <v>2.4309802551109483E-2</v>
      </c>
      <c r="N50" s="151">
        <f t="shared" si="6"/>
        <v>2.4841674307525041E-2</v>
      </c>
      <c r="O50" s="151"/>
      <c r="P50" s="151">
        <f t="shared" si="7"/>
        <v>3.1903282679874856E-3</v>
      </c>
      <c r="Q50" s="151">
        <f t="shared" si="7"/>
        <v>4.1651443185970027E-2</v>
      </c>
      <c r="R50" s="151">
        <f t="shared" si="7"/>
        <v>-1.3355889947467281E-3</v>
      </c>
      <c r="S50" s="151">
        <f t="shared" si="7"/>
        <v>2.4689352716640967E-2</v>
      </c>
      <c r="T50" s="151">
        <f t="shared" si="7"/>
        <v>3.8748012385973807E-2</v>
      </c>
      <c r="U50" s="151">
        <f t="shared" si="7"/>
        <v>3.6215363030515535E-2</v>
      </c>
      <c r="V50" s="151">
        <f t="shared" si="7"/>
        <v>0.11189372325249636</v>
      </c>
      <c r="W50" s="151">
        <f t="shared" si="7"/>
        <v>5.9919156693350351E-2</v>
      </c>
      <c r="X50" s="139"/>
      <c r="Y50" s="163"/>
    </row>
    <row r="51" spans="1:25" ht="21" customHeight="1">
      <c r="A51" s="139"/>
      <c r="B51" s="139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39"/>
      <c r="Y51" s="163"/>
    </row>
    <row r="52" spans="1:25" ht="34" customHeight="1">
      <c r="A52" s="150" t="s">
        <v>1115</v>
      </c>
      <c r="B52" s="150" t="s">
        <v>1077</v>
      </c>
      <c r="C52" s="151"/>
      <c r="D52" s="228">
        <f>D515</f>
        <v>3.0000000000000001E-3</v>
      </c>
      <c r="E52" s="228">
        <f>E515</f>
        <v>3.0000000000000001E-3</v>
      </c>
      <c r="F52" s="228">
        <f>F515</f>
        <v>3.0000000000000001E-3</v>
      </c>
      <c r="G52" s="228">
        <f>G515</f>
        <v>3.0000000000000001E-3</v>
      </c>
      <c r="H52" s="228">
        <f>H515</f>
        <v>3.0000000000000001E-3</v>
      </c>
      <c r="I52" s="151"/>
      <c r="J52" s="151" t="s">
        <v>1113</v>
      </c>
      <c r="K52" s="151" t="s">
        <v>1113</v>
      </c>
      <c r="L52" s="151" t="s">
        <v>1113</v>
      </c>
      <c r="M52" s="151" t="s">
        <v>1113</v>
      </c>
      <c r="N52" s="151" t="s">
        <v>1113</v>
      </c>
      <c r="O52" s="151"/>
      <c r="P52" s="151" t="s">
        <v>1113</v>
      </c>
      <c r="Q52" s="151" t="s">
        <v>1113</v>
      </c>
      <c r="R52" s="151" t="s">
        <v>1113</v>
      </c>
      <c r="S52" s="151" t="s">
        <v>1113</v>
      </c>
      <c r="T52" s="151" t="s">
        <v>1113</v>
      </c>
      <c r="U52" s="151" t="s">
        <v>1113</v>
      </c>
      <c r="V52" s="151" t="s">
        <v>1113</v>
      </c>
      <c r="W52" s="151" t="s">
        <v>1113</v>
      </c>
      <c r="X52" s="139"/>
      <c r="Y52" s="163" t="s">
        <v>1549</v>
      </c>
    </row>
    <row r="53" spans="1:25" ht="34" customHeight="1">
      <c r="A53" s="150" t="s">
        <v>1116</v>
      </c>
      <c r="B53" s="150" t="s">
        <v>1077</v>
      </c>
      <c r="C53" s="151"/>
      <c r="D53" s="228">
        <f>$C$495-C54</f>
        <v>1.0402276701988289E-2</v>
      </c>
      <c r="E53" s="228">
        <f>0</f>
        <v>0</v>
      </c>
      <c r="F53" s="228">
        <f>0</f>
        <v>0</v>
      </c>
      <c r="G53" s="228">
        <f>0</f>
        <v>0</v>
      </c>
      <c r="H53" s="228">
        <f>0</f>
        <v>0</v>
      </c>
      <c r="I53" s="151"/>
      <c r="J53" s="151" t="s">
        <v>1113</v>
      </c>
      <c r="K53" s="151" t="s">
        <v>1113</v>
      </c>
      <c r="L53" s="151" t="s">
        <v>1113</v>
      </c>
      <c r="M53" s="151" t="s">
        <v>1113</v>
      </c>
      <c r="N53" s="151" t="s">
        <v>1113</v>
      </c>
      <c r="O53" s="151"/>
      <c r="P53" s="151" t="s">
        <v>1113</v>
      </c>
      <c r="Q53" s="151" t="s">
        <v>1113</v>
      </c>
      <c r="R53" s="151" t="s">
        <v>1113</v>
      </c>
      <c r="S53" s="151" t="s">
        <v>1113</v>
      </c>
      <c r="T53" s="151" t="s">
        <v>1113</v>
      </c>
      <c r="U53" s="151" t="s">
        <v>1113</v>
      </c>
      <c r="V53" s="151" t="s">
        <v>1113</v>
      </c>
      <c r="W53" s="151" t="s">
        <v>1113</v>
      </c>
      <c r="X53" s="139"/>
      <c r="Y53" s="163" t="s">
        <v>1550</v>
      </c>
    </row>
    <row r="54" spans="1:25" ht="21" customHeight="1">
      <c r="A54" s="150" t="s">
        <v>1081</v>
      </c>
      <c r="B54" s="150" t="s">
        <v>1069</v>
      </c>
      <c r="C54" s="151">
        <f>H18</f>
        <v>0.32480345995744186</v>
      </c>
      <c r="D54" s="227">
        <f>IF(COUNT(C54,D52:D53)=3,SUM(C54,D52:D53),"待定")</f>
        <v>0.33820573665943016</v>
      </c>
      <c r="E54" s="227">
        <f>IF(COUNT(D54,E52:E53)=3,SUM(D54,E52:E53),"待定")</f>
        <v>0.34120573665943016</v>
      </c>
      <c r="F54" s="227">
        <f>IF(COUNT(E54,F52:F53)=3,SUM(E54,F52:F53),"待定")</f>
        <v>0.34420573665943016</v>
      </c>
      <c r="G54" s="227">
        <f>IF(COUNT(F54,G52:G53)=3,SUM(F54,G52:G53),"待定")</f>
        <v>0.34720573665943016</v>
      </c>
      <c r="H54" s="227">
        <f>IF(COUNT(G54,H52:H53)=3,SUM(G54,H52:H53),"待定")</f>
        <v>0.35020573665943017</v>
      </c>
      <c r="I54" s="151"/>
      <c r="J54" s="227">
        <f t="shared" ref="J54:N55" si="8">J18</f>
        <v>0.28736613378860781</v>
      </c>
      <c r="K54" s="227">
        <f t="shared" si="8"/>
        <v>0.28678622868559217</v>
      </c>
      <c r="L54" s="151">
        <f t="shared" si="8"/>
        <v>0.29128079678490304</v>
      </c>
      <c r="M54" s="151">
        <f t="shared" si="8"/>
        <v>0.30033904087681512</v>
      </c>
      <c r="N54" s="151">
        <f t="shared" si="8"/>
        <v>0.31236735882818029</v>
      </c>
      <c r="O54" s="151"/>
      <c r="P54" s="151">
        <f t="shared" ref="P54:W55" si="9">P18</f>
        <v>0.30722236170390826</v>
      </c>
      <c r="Q54" s="151">
        <f t="shared" si="9"/>
        <v>0.23974044195019292</v>
      </c>
      <c r="R54" s="151">
        <f t="shared" si="9"/>
        <v>0.33764265335235377</v>
      </c>
      <c r="S54" s="151">
        <f t="shared" si="9"/>
        <v>0.34722992787508916</v>
      </c>
      <c r="T54" s="151">
        <f t="shared" si="9"/>
        <v>0.31880438285530133</v>
      </c>
      <c r="U54" s="151">
        <f t="shared" si="9"/>
        <v>0.24439367013624438</v>
      </c>
      <c r="V54" s="151">
        <f t="shared" si="9"/>
        <v>0.34479993585117474</v>
      </c>
      <c r="W54" s="151">
        <f t="shared" si="9"/>
        <v>0.35579152022732369</v>
      </c>
      <c r="X54" s="139"/>
      <c r="Y54" s="163"/>
    </row>
    <row r="55" spans="1:25" ht="21" customHeight="1">
      <c r="A55" s="152" t="s">
        <v>1082</v>
      </c>
      <c r="B55" s="152" t="s">
        <v>1066</v>
      </c>
      <c r="C55" s="154">
        <f>H19</f>
        <v>16157.078528711179</v>
      </c>
      <c r="D55" s="154">
        <f>IF(COUNT(D49,D54)=2,D49*D54,"待定")</f>
        <v>16883.696590646738</v>
      </c>
      <c r="E55" s="154">
        <f>IF(COUNT(E49,E54)=2,E49*E54,"待定")</f>
        <v>17885.133762454076</v>
      </c>
      <c r="F55" s="154">
        <f>IF(COUNT(F49,F54)=2,F49*F54,"待定")</f>
        <v>18854.293479441883</v>
      </c>
      <c r="G55" s="154">
        <f>IF(COUNT(G49,G54)=2,G49*G54,"待定")</f>
        <v>19874.460175089625</v>
      </c>
      <c r="H55" s="154">
        <f>IF(COUNT(H49,H54)=2,H49*H54,"待定")</f>
        <v>20848.031010728981</v>
      </c>
      <c r="I55" s="140"/>
      <c r="J55" s="226">
        <f t="shared" si="8"/>
        <v>11109</v>
      </c>
      <c r="K55" s="226">
        <f t="shared" si="8"/>
        <v>12345</v>
      </c>
      <c r="L55" s="154">
        <f t="shared" si="8"/>
        <v>13336</v>
      </c>
      <c r="M55" s="154">
        <f t="shared" si="8"/>
        <v>14085</v>
      </c>
      <c r="N55" s="154">
        <f t="shared" si="8"/>
        <v>15013</v>
      </c>
      <c r="O55" s="140"/>
      <c r="P55" s="154">
        <f t="shared" si="9"/>
        <v>3671</v>
      </c>
      <c r="Q55" s="154">
        <f t="shared" si="9"/>
        <v>2734</v>
      </c>
      <c r="R55" s="154">
        <f t="shared" si="9"/>
        <v>3787</v>
      </c>
      <c r="S55" s="154">
        <f t="shared" si="9"/>
        <v>4381</v>
      </c>
      <c r="T55" s="154">
        <f t="shared" si="9"/>
        <v>3957</v>
      </c>
      <c r="U55" s="154">
        <f t="shared" si="9"/>
        <v>2888</v>
      </c>
      <c r="V55" s="154">
        <f t="shared" si="9"/>
        <v>4300</v>
      </c>
      <c r="W55" s="154">
        <f t="shared" si="9"/>
        <v>4758</v>
      </c>
      <c r="X55" s="139"/>
      <c r="Y55" s="163"/>
    </row>
    <row r="56" spans="1:25" ht="21" customHeight="1">
      <c r="A56" s="139" t="s">
        <v>1117</v>
      </c>
      <c r="B56" s="139" t="s">
        <v>1066</v>
      </c>
      <c r="C56" s="144">
        <f>H24</f>
        <v>100</v>
      </c>
      <c r="D56" s="229">
        <f>C56*(1+D522)</f>
        <v>102.49999999999999</v>
      </c>
      <c r="E56" s="229">
        <f>D56*(1+E522)</f>
        <v>105.06249999999997</v>
      </c>
      <c r="F56" s="229">
        <f>E56*(1+F522)</f>
        <v>107.68906249999996</v>
      </c>
      <c r="G56" s="229">
        <f>F56*(1+G522)</f>
        <v>110.38128906249996</v>
      </c>
      <c r="H56" s="229">
        <f>G56*(1+H522)</f>
        <v>113.14082128906244</v>
      </c>
      <c r="I56" s="140"/>
      <c r="J56" s="140" t="s">
        <v>1113</v>
      </c>
      <c r="K56" s="140" t="s">
        <v>1113</v>
      </c>
      <c r="L56" s="140" t="s">
        <v>1113</v>
      </c>
      <c r="M56" s="140" t="s">
        <v>1113</v>
      </c>
      <c r="N56" s="140" t="s">
        <v>1113</v>
      </c>
      <c r="O56" s="140"/>
      <c r="P56" s="140" t="s">
        <v>1113</v>
      </c>
      <c r="Q56" s="140" t="s">
        <v>1113</v>
      </c>
      <c r="R56" s="140" t="s">
        <v>1113</v>
      </c>
      <c r="S56" s="140" t="s">
        <v>1113</v>
      </c>
      <c r="T56" s="140" t="s">
        <v>1113</v>
      </c>
      <c r="U56" s="140" t="s">
        <v>1113</v>
      </c>
      <c r="V56" s="140" t="s">
        <v>1113</v>
      </c>
      <c r="W56" s="140" t="s">
        <v>1113</v>
      </c>
      <c r="X56" s="139"/>
      <c r="Y56" s="163" t="s">
        <v>1551</v>
      </c>
    </row>
    <row r="57" spans="1:25" ht="21" customHeight="1">
      <c r="A57" s="152" t="s">
        <v>1118</v>
      </c>
      <c r="B57" s="152" t="s">
        <v>1066</v>
      </c>
      <c r="C57" s="154">
        <f>H25</f>
        <v>16057.078528711179</v>
      </c>
      <c r="D57" s="154">
        <f>IF(COUNT(D55:D56)=2,D55-D56,"待定")</f>
        <v>16781.196590646738</v>
      </c>
      <c r="E57" s="154">
        <f>IF(COUNT(E55:E56)=2,E55-E56,"待定")</f>
        <v>17780.071262454076</v>
      </c>
      <c r="F57" s="154">
        <f>IF(COUNT(F55:F56)=2,F55-F56,"待定")</f>
        <v>18746.604416941882</v>
      </c>
      <c r="G57" s="154">
        <f>IF(COUNT(G55:G56)=2,G55-G56,"待定")</f>
        <v>19764.078886027124</v>
      </c>
      <c r="H57" s="154">
        <f>IF(COUNT(H55:H56)=2,H55-H56,"待定")</f>
        <v>20734.890189439917</v>
      </c>
      <c r="I57" s="140"/>
      <c r="J57" s="153" t="s">
        <v>1113</v>
      </c>
      <c r="K57" s="153" t="s">
        <v>1113</v>
      </c>
      <c r="L57" s="153" t="s">
        <v>1113</v>
      </c>
      <c r="M57" s="153" t="s">
        <v>1113</v>
      </c>
      <c r="N57" s="153" t="s">
        <v>1113</v>
      </c>
      <c r="O57" s="140"/>
      <c r="P57" s="153" t="s">
        <v>1113</v>
      </c>
      <c r="Q57" s="153" t="s">
        <v>1113</v>
      </c>
      <c r="R57" s="153" t="s">
        <v>1113</v>
      </c>
      <c r="S57" s="153" t="s">
        <v>1113</v>
      </c>
      <c r="T57" s="153" t="s">
        <v>1113</v>
      </c>
      <c r="U57" s="153" t="s">
        <v>1113</v>
      </c>
      <c r="V57" s="153" t="s">
        <v>1113</v>
      </c>
      <c r="W57" s="153" t="s">
        <v>1113</v>
      </c>
      <c r="X57" s="139"/>
      <c r="Y57" s="163"/>
    </row>
    <row r="58" spans="1:25" ht="34" customHeight="1">
      <c r="A58" s="150" t="s">
        <v>1119</v>
      </c>
      <c r="B58" s="150" t="s">
        <v>1069</v>
      </c>
      <c r="C58" s="169">
        <f>C338</f>
        <v>0.22</v>
      </c>
      <c r="D58" s="239">
        <f>D580</f>
        <v>0.22</v>
      </c>
      <c r="E58" s="239">
        <f>E580</f>
        <v>0.22</v>
      </c>
      <c r="F58" s="239">
        <f>F580</f>
        <v>0.22</v>
      </c>
      <c r="G58" s="239">
        <f>G580</f>
        <v>0.22</v>
      </c>
      <c r="H58" s="239">
        <f>H580</f>
        <v>0.22</v>
      </c>
      <c r="I58" s="151"/>
      <c r="J58" s="151" t="s">
        <v>1113</v>
      </c>
      <c r="K58" s="151" t="s">
        <v>1113</v>
      </c>
      <c r="L58" s="151" t="s">
        <v>1113</v>
      </c>
      <c r="M58" s="151" t="s">
        <v>1113</v>
      </c>
      <c r="N58" s="151" t="s">
        <v>1113</v>
      </c>
      <c r="O58" s="151"/>
      <c r="P58" s="151" t="s">
        <v>1113</v>
      </c>
      <c r="Q58" s="151" t="s">
        <v>1113</v>
      </c>
      <c r="R58" s="151" t="s">
        <v>1113</v>
      </c>
      <c r="S58" s="151" t="s">
        <v>1113</v>
      </c>
      <c r="T58" s="151" t="s">
        <v>1113</v>
      </c>
      <c r="U58" s="151" t="s">
        <v>1113</v>
      </c>
      <c r="V58" s="151" t="s">
        <v>1113</v>
      </c>
      <c r="W58" s="151" t="s">
        <v>1113</v>
      </c>
      <c r="X58" s="139"/>
      <c r="Y58" s="163" t="s">
        <v>1361</v>
      </c>
    </row>
    <row r="59" spans="1:25" ht="21" customHeight="1">
      <c r="A59" s="152" t="s">
        <v>1120</v>
      </c>
      <c r="B59" s="152" t="s">
        <v>1066</v>
      </c>
      <c r="C59" s="154">
        <f>IF(COUNT(C57:C58)=2,C57*(1-C58),"待定")</f>
        <v>12524.521252394721</v>
      </c>
      <c r="D59" s="240">
        <f>IF(COUNT(D57,D58)=2,D57*(1-D58),"待定")</f>
        <v>13089.333340704456</v>
      </c>
      <c r="E59" s="240">
        <f>IF(COUNT(E57,E58)=2,E57*(1-E58),"待定")</f>
        <v>13868.45558471418</v>
      </c>
      <c r="F59" s="240">
        <f>IF(COUNT(F57,F58)=2,F57*(1-F58),"待定")</f>
        <v>14622.351445214668</v>
      </c>
      <c r="G59" s="240">
        <f>IF(COUNT(G57,G58)=2,G57*(1-G58),"待定")</f>
        <v>15415.981531101157</v>
      </c>
      <c r="H59" s="240">
        <f>IF(COUNT(H57,H58)=2,H57*(1-H58),"待定")</f>
        <v>16173.214347763136</v>
      </c>
      <c r="I59" s="140"/>
      <c r="J59" s="153" t="s">
        <v>1113</v>
      </c>
      <c r="K59" s="153" t="s">
        <v>1113</v>
      </c>
      <c r="L59" s="153" t="s">
        <v>1113</v>
      </c>
      <c r="M59" s="153" t="s">
        <v>1113</v>
      </c>
      <c r="N59" s="153" t="s">
        <v>1113</v>
      </c>
      <c r="O59" s="140"/>
      <c r="P59" s="153" t="s">
        <v>1113</v>
      </c>
      <c r="Q59" s="153" t="s">
        <v>1113</v>
      </c>
      <c r="R59" s="153" t="s">
        <v>1113</v>
      </c>
      <c r="S59" s="153" t="s">
        <v>1113</v>
      </c>
      <c r="T59" s="153" t="s">
        <v>1113</v>
      </c>
      <c r="U59" s="153" t="s">
        <v>1113</v>
      </c>
      <c r="V59" s="153" t="s">
        <v>1113</v>
      </c>
      <c r="W59" s="153" t="s">
        <v>1113</v>
      </c>
      <c r="X59" s="139"/>
      <c r="Y59" s="163"/>
    </row>
    <row r="60" spans="1:25" ht="21" customHeight="1">
      <c r="A60" s="139"/>
      <c r="B60" s="139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39"/>
      <c r="Y60" s="163"/>
    </row>
    <row r="61" spans="1:25" ht="34" customHeight="1">
      <c r="A61" s="150" t="s">
        <v>1121</v>
      </c>
      <c r="B61" s="150" t="s">
        <v>1069</v>
      </c>
      <c r="C61" s="151">
        <f>C62/C49</f>
        <v>4.4226288226338888E-2</v>
      </c>
      <c r="D61" s="239">
        <f>D581</f>
        <v>0.04</v>
      </c>
      <c r="E61" s="239">
        <f>E581</f>
        <v>3.7999999999999999E-2</v>
      </c>
      <c r="F61" s="239">
        <f>F581</f>
        <v>3.5999999999999997E-2</v>
      </c>
      <c r="G61" s="239">
        <f>G581</f>
        <v>3.5000000000000003E-2</v>
      </c>
      <c r="H61" s="239">
        <f>H581</f>
        <v>3.5000000000000003E-2</v>
      </c>
      <c r="I61" s="151"/>
      <c r="J61" s="151">
        <f>IF(COUNT(J62,J49)=2,J62/J49,"未补充")</f>
        <v>3.5361374101091622E-2</v>
      </c>
      <c r="K61" s="151">
        <f>IF(COUNT(K62,K49)=2,K62/K49,"未补充")</f>
        <v>3.4474747944059844E-2</v>
      </c>
      <c r="L61" s="151">
        <f>IF(COUNT(L62,L49)=2,L62/L49,"未补充")</f>
        <v>4.0450812510920843E-2</v>
      </c>
      <c r="M61" s="151">
        <f>IF(COUNT(M62,M49)=2,M62/M49,"未补充")</f>
        <v>4.4011344009211674E-2</v>
      </c>
      <c r="N61" s="151">
        <f>IF(COUNT(N62,N49)=2,N62/N49,"未补充")</f>
        <v>4.3943239981690314E-2</v>
      </c>
      <c r="O61" s="151"/>
      <c r="P61" s="151">
        <f t="shared" ref="P61:W61" si="10">IF(COUNT(P62,P49)=2,P62/P49,"未补充")</f>
        <v>3.9250146455770359E-2</v>
      </c>
      <c r="Q61" s="151">
        <f t="shared" si="10"/>
        <v>7.0413889863205889E-2</v>
      </c>
      <c r="R61" s="151">
        <f t="shared" si="10"/>
        <v>2.7549928673323822E-2</v>
      </c>
      <c r="S61" s="151">
        <f t="shared" si="10"/>
        <v>3.5032099548228578E-2</v>
      </c>
      <c r="T61" s="151">
        <f t="shared" si="10"/>
        <v>3.8591685465678378E-2</v>
      </c>
      <c r="U61" s="151">
        <f t="shared" si="10"/>
        <v>7.4638233054074632E-2</v>
      </c>
      <c r="V61" s="151">
        <f t="shared" si="10"/>
        <v>2.1329484403816854E-2</v>
      </c>
      <c r="W61" s="151">
        <f t="shared" si="10"/>
        <v>3.1257010394077619E-2</v>
      </c>
      <c r="X61" s="139"/>
      <c r="Y61" s="163" t="s">
        <v>1122</v>
      </c>
    </row>
    <row r="62" spans="1:25" ht="21" customHeight="1">
      <c r="A62" s="152" t="s">
        <v>1092</v>
      </c>
      <c r="B62" s="152" t="s">
        <v>1066</v>
      </c>
      <c r="C62" s="154">
        <f>H28</f>
        <v>2200</v>
      </c>
      <c r="D62" s="154">
        <f>IF(COUNT(D49,D61)=2,D49*D61,"待定")</f>
        <v>1996.8551399999999</v>
      </c>
      <c r="E62" s="154">
        <f>IF(COUNT(E49,E61)=2,E49*E61,"待定")</f>
        <v>1991.8630021499998</v>
      </c>
      <c r="F62" s="154">
        <f>IF(COUNT(F49,F61)=2,F49*F61,"待定")</f>
        <v>1971.9443721284997</v>
      </c>
      <c r="G62" s="154">
        <f>IF(COUNT(G49,G61)=2,G49*G61,"待定")</f>
        <v>2003.4407058499969</v>
      </c>
      <c r="H62" s="154">
        <f>IF(COUNT(H49,H61)=2,H49*H61,"待定")</f>
        <v>2083.5783340839967</v>
      </c>
      <c r="I62" s="140"/>
      <c r="J62" s="154">
        <f>J28</f>
        <v>1367</v>
      </c>
      <c r="K62" s="154">
        <f>K28</f>
        <v>1484</v>
      </c>
      <c r="L62" s="154">
        <f>L28</f>
        <v>1852</v>
      </c>
      <c r="M62" s="154">
        <f>M28</f>
        <v>2064</v>
      </c>
      <c r="N62" s="154">
        <f>N28</f>
        <v>2112</v>
      </c>
      <c r="O62" s="140"/>
      <c r="P62" s="154">
        <f t="shared" ref="P62:W62" si="11">P28</f>
        <v>469</v>
      </c>
      <c r="Q62" s="154">
        <f t="shared" si="11"/>
        <v>803</v>
      </c>
      <c r="R62" s="154">
        <f t="shared" si="11"/>
        <v>309</v>
      </c>
      <c r="S62" s="154">
        <f t="shared" si="11"/>
        <v>442</v>
      </c>
      <c r="T62" s="154">
        <f t="shared" si="11"/>
        <v>479</v>
      </c>
      <c r="U62" s="154">
        <f t="shared" si="11"/>
        <v>882</v>
      </c>
      <c r="V62" s="154">
        <f t="shared" si="11"/>
        <v>266</v>
      </c>
      <c r="W62" s="154">
        <f t="shared" si="11"/>
        <v>418</v>
      </c>
      <c r="X62" s="139"/>
      <c r="Y62" s="163"/>
    </row>
    <row r="63" spans="1:25" ht="34" customHeight="1">
      <c r="A63" s="150" t="s">
        <v>1123</v>
      </c>
      <c r="B63" s="150" t="s">
        <v>1069</v>
      </c>
      <c r="C63" s="151">
        <f>C64/C49</f>
        <v>2.2113144113169444E-2</v>
      </c>
      <c r="D63" s="239">
        <f>D586</f>
        <v>1.9E-2</v>
      </c>
      <c r="E63" s="239">
        <f>E586</f>
        <v>1.9E-2</v>
      </c>
      <c r="F63" s="239">
        <f>F586</f>
        <v>1.9E-2</v>
      </c>
      <c r="G63" s="239">
        <f>G586</f>
        <v>1.9E-2</v>
      </c>
      <c r="H63" s="239">
        <f>H586</f>
        <v>1.9E-2</v>
      </c>
      <c r="I63" s="151"/>
      <c r="J63" s="151">
        <f>IF(COUNT(J64,J49)=2,J64/J49,"未补充")</f>
        <v>3.7560142790625486E-2</v>
      </c>
      <c r="K63" s="151">
        <f>IF(COUNT(K64,K49)=2,K64/K49,"未补充")</f>
        <v>2.9271012405333828E-2</v>
      </c>
      <c r="L63" s="151">
        <f>IF(COUNT(L64,L49)=2,L64/L49,"未补充")</f>
        <v>2.4637427922418312E-2</v>
      </c>
      <c r="M63" s="151">
        <f>IF(COUNT(M64,M49)=2,M64/M49,"未补充")</f>
        <v>2.292257500479775E-2</v>
      </c>
      <c r="N63" s="151">
        <f>IF(COUNT(N64,N49)=2,N64/N49,"未补充")</f>
        <v>2.1846781240897173E-2</v>
      </c>
      <c r="O63" s="151"/>
      <c r="P63" s="151">
        <f t="shared" ref="P63:W63" si="12">IF(COUNT(P64,P49)=2,P64/P49,"未补充")</f>
        <v>2.242865511758306E-2</v>
      </c>
      <c r="Q63" s="151">
        <f t="shared" si="12"/>
        <v>2.4202034373903895E-2</v>
      </c>
      <c r="R63" s="151">
        <f t="shared" si="12"/>
        <v>2.3805278174037089E-2</v>
      </c>
      <c r="S63" s="151">
        <f t="shared" si="12"/>
        <v>2.2113022113022112E-2</v>
      </c>
      <c r="T63" s="151">
        <f t="shared" si="12"/>
        <v>2.1592007734450532E-2</v>
      </c>
      <c r="U63" s="151">
        <f t="shared" si="12"/>
        <v>1.9971227892019973E-2</v>
      </c>
      <c r="V63" s="151">
        <f t="shared" si="12"/>
        <v>2.1169112340630264E-2</v>
      </c>
      <c r="W63" s="151">
        <f t="shared" si="12"/>
        <v>1.9890824796231211E-2</v>
      </c>
      <c r="X63" s="139"/>
      <c r="Y63" s="163" t="s">
        <v>1124</v>
      </c>
    </row>
    <row r="64" spans="1:25" ht="21" customHeight="1">
      <c r="A64" s="152" t="s">
        <v>1091</v>
      </c>
      <c r="B64" s="152" t="s">
        <v>1066</v>
      </c>
      <c r="C64" s="154">
        <f>H27</f>
        <v>1100</v>
      </c>
      <c r="D64" s="154">
        <f>IF(COUNT(D49,D63)=2,D49*D63,"待定")</f>
        <v>948.5061915</v>
      </c>
      <c r="E64" s="154">
        <f>IF(COUNT(E49,E63)=2,E49*E63,"待定")</f>
        <v>995.93150107499991</v>
      </c>
      <c r="F64" s="154">
        <f>IF(COUNT(F49,F63)=2,F49*F63,"待定")</f>
        <v>1040.7484186233748</v>
      </c>
      <c r="G64" s="154">
        <f>IF(COUNT(G49,G63)=2,G49*G63,"待定")</f>
        <v>1087.5820974614267</v>
      </c>
      <c r="H64" s="154">
        <f>IF(COUNT(H49,H63)=2,H49*H63,"待定")</f>
        <v>1131.0853813598837</v>
      </c>
      <c r="I64" s="140"/>
      <c r="J64" s="154">
        <f>J27</f>
        <v>1452</v>
      </c>
      <c r="K64" s="154">
        <f>K27</f>
        <v>1260</v>
      </c>
      <c r="L64" s="154">
        <f>L27</f>
        <v>1128</v>
      </c>
      <c r="M64" s="154">
        <f>M27</f>
        <v>1075</v>
      </c>
      <c r="N64" s="154">
        <f>N27</f>
        <v>1050</v>
      </c>
      <c r="O64" s="140"/>
      <c r="P64" s="154">
        <f t="shared" ref="P64:W64" si="13">P27</f>
        <v>268</v>
      </c>
      <c r="Q64" s="154">
        <f t="shared" si="13"/>
        <v>276</v>
      </c>
      <c r="R64" s="154">
        <f t="shared" si="13"/>
        <v>267</v>
      </c>
      <c r="S64" s="154">
        <f t="shared" si="13"/>
        <v>279</v>
      </c>
      <c r="T64" s="154">
        <f t="shared" si="13"/>
        <v>268</v>
      </c>
      <c r="U64" s="154">
        <f t="shared" si="13"/>
        <v>236</v>
      </c>
      <c r="V64" s="154">
        <f t="shared" si="13"/>
        <v>264</v>
      </c>
      <c r="W64" s="154">
        <f t="shared" si="13"/>
        <v>266</v>
      </c>
      <c r="X64" s="139"/>
      <c r="Y64" s="163"/>
    </row>
    <row r="65" spans="1:25" ht="21" customHeight="1">
      <c r="A65" s="139"/>
      <c r="B65" s="139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39"/>
      <c r="Y65" s="163"/>
    </row>
    <row r="66" spans="1:25" ht="34" customHeight="1">
      <c r="A66" s="150" t="s">
        <v>1552</v>
      </c>
      <c r="B66" s="150" t="s">
        <v>1069</v>
      </c>
      <c r="C66" s="156"/>
      <c r="D66" s="239">
        <f>D587</f>
        <v>0.1</v>
      </c>
      <c r="E66" s="239">
        <f>E587</f>
        <v>0.1</v>
      </c>
      <c r="F66" s="239">
        <f>F587</f>
        <v>0.1</v>
      </c>
      <c r="G66" s="239">
        <f>G587</f>
        <v>0.1</v>
      </c>
      <c r="H66" s="239">
        <f>H587</f>
        <v>0.1</v>
      </c>
      <c r="I66" s="151"/>
      <c r="J66" s="151" t="s">
        <v>1113</v>
      </c>
      <c r="K66" s="151" t="s">
        <v>1113</v>
      </c>
      <c r="L66" s="151" t="s">
        <v>1113</v>
      </c>
      <c r="M66" s="151" t="s">
        <v>1113</v>
      </c>
      <c r="N66" s="151" t="s">
        <v>1113</v>
      </c>
      <c r="O66" s="151"/>
      <c r="P66" s="151" t="s">
        <v>1113</v>
      </c>
      <c r="Q66" s="151" t="s">
        <v>1113</v>
      </c>
      <c r="R66" s="151" t="s">
        <v>1113</v>
      </c>
      <c r="S66" s="151" t="s">
        <v>1113</v>
      </c>
      <c r="T66" s="151" t="s">
        <v>1113</v>
      </c>
      <c r="U66" s="151" t="s">
        <v>1113</v>
      </c>
      <c r="V66" s="151" t="s">
        <v>1113</v>
      </c>
      <c r="W66" s="151" t="s">
        <v>1113</v>
      </c>
      <c r="X66" s="139"/>
      <c r="Y66" s="163" t="s">
        <v>1553</v>
      </c>
    </row>
    <row r="67" spans="1:25" ht="21" customHeight="1">
      <c r="A67" s="139" t="s">
        <v>1554</v>
      </c>
      <c r="B67" s="139" t="s">
        <v>1066</v>
      </c>
      <c r="C67" s="157"/>
      <c r="D67" s="144" t="s">
        <v>1555</v>
      </c>
      <c r="E67" s="144" t="s">
        <v>1555</v>
      </c>
      <c r="F67" s="144" t="s">
        <v>1555</v>
      </c>
      <c r="G67" s="144" t="s">
        <v>1555</v>
      </c>
      <c r="H67" s="144" t="s">
        <v>1555</v>
      </c>
      <c r="I67" s="140"/>
      <c r="J67" s="140" t="s">
        <v>1113</v>
      </c>
      <c r="K67" s="140" t="s">
        <v>1113</v>
      </c>
      <c r="L67" s="140" t="s">
        <v>1113</v>
      </c>
      <c r="M67" s="140" t="s">
        <v>1113</v>
      </c>
      <c r="N67" s="140" t="s">
        <v>1113</v>
      </c>
      <c r="O67" s="140"/>
      <c r="P67" s="140" t="s">
        <v>1113</v>
      </c>
      <c r="Q67" s="140" t="s">
        <v>1113</v>
      </c>
      <c r="R67" s="140" t="s">
        <v>1113</v>
      </c>
      <c r="S67" s="140" t="s">
        <v>1113</v>
      </c>
      <c r="T67" s="140" t="s">
        <v>1113</v>
      </c>
      <c r="U67" s="140" t="s">
        <v>1113</v>
      </c>
      <c r="V67" s="140" t="s">
        <v>1113</v>
      </c>
      <c r="W67" s="140" t="s">
        <v>1113</v>
      </c>
      <c r="X67" s="139"/>
      <c r="Y67" s="163" t="s">
        <v>1556</v>
      </c>
    </row>
    <row r="68" spans="1:25" ht="21" customHeight="1">
      <c r="A68" s="139" t="s">
        <v>1557</v>
      </c>
      <c r="B68" s="139" t="s">
        <v>1066</v>
      </c>
      <c r="C68" s="144" t="str">
        <f t="shared" ref="C68:H68" si="14">IF(COUNT(C49,C66)=2,C49*C66,"待定")</f>
        <v>待定</v>
      </c>
      <c r="D68" s="144">
        <f t="shared" si="14"/>
        <v>4992.1378500000001</v>
      </c>
      <c r="E68" s="144">
        <f t="shared" si="14"/>
        <v>5241.7447425</v>
      </c>
      <c r="F68" s="144">
        <f t="shared" si="14"/>
        <v>5477.6232559125001</v>
      </c>
      <c r="G68" s="144">
        <f t="shared" si="14"/>
        <v>5724.1163024285624</v>
      </c>
      <c r="H68" s="144">
        <f t="shared" si="14"/>
        <v>5953.0809545257043</v>
      </c>
      <c r="I68" s="140"/>
      <c r="J68" s="140" t="s">
        <v>1113</v>
      </c>
      <c r="K68" s="140" t="s">
        <v>1113</v>
      </c>
      <c r="L68" s="140" t="s">
        <v>1113</v>
      </c>
      <c r="M68" s="140" t="s">
        <v>1113</v>
      </c>
      <c r="N68" s="140" t="s">
        <v>1113</v>
      </c>
      <c r="O68" s="140"/>
      <c r="P68" s="140" t="s">
        <v>1113</v>
      </c>
      <c r="Q68" s="140" t="s">
        <v>1113</v>
      </c>
      <c r="R68" s="140" t="s">
        <v>1113</v>
      </c>
      <c r="S68" s="140" t="s">
        <v>1113</v>
      </c>
      <c r="T68" s="140" t="s">
        <v>1113</v>
      </c>
      <c r="U68" s="140" t="s">
        <v>1113</v>
      </c>
      <c r="V68" s="140" t="s">
        <v>1113</v>
      </c>
      <c r="W68" s="140" t="s">
        <v>1113</v>
      </c>
      <c r="X68" s="139"/>
      <c r="Y68" s="163" t="s">
        <v>1558</v>
      </c>
    </row>
    <row r="69" spans="1:25" ht="21" customHeight="1">
      <c r="A69" s="152" t="s">
        <v>1362</v>
      </c>
      <c r="B69" s="152" t="s">
        <v>1066</v>
      </c>
      <c r="C69" s="193">
        <f>C386</f>
        <v>300</v>
      </c>
      <c r="D69" s="240">
        <f>D48*D587</f>
        <v>237.72085000000004</v>
      </c>
      <c r="E69" s="240">
        <f>E48*E587</f>
        <v>249.60689250000001</v>
      </c>
      <c r="F69" s="240">
        <f>F48*F587</f>
        <v>235.87851341249998</v>
      </c>
      <c r="G69" s="240">
        <f>G48*G587</f>
        <v>246.49304651606249</v>
      </c>
      <c r="H69" s="240">
        <f>H48*H587</f>
        <v>228.96465209714248</v>
      </c>
      <c r="I69" s="140"/>
      <c r="J69" s="153" t="s">
        <v>1113</v>
      </c>
      <c r="K69" s="153" t="s">
        <v>1113</v>
      </c>
      <c r="L69" s="153" t="s">
        <v>1113</v>
      </c>
      <c r="M69" s="153" t="s">
        <v>1113</v>
      </c>
      <c r="N69" s="153" t="s">
        <v>1113</v>
      </c>
      <c r="O69" s="140"/>
      <c r="P69" s="153" t="s">
        <v>1113</v>
      </c>
      <c r="Q69" s="153" t="s">
        <v>1113</v>
      </c>
      <c r="R69" s="153" t="s">
        <v>1113</v>
      </c>
      <c r="S69" s="153" t="s">
        <v>1113</v>
      </c>
      <c r="T69" s="153" t="s">
        <v>1113</v>
      </c>
      <c r="U69" s="153" t="s">
        <v>1113</v>
      </c>
      <c r="V69" s="153" t="s">
        <v>1113</v>
      </c>
      <c r="W69" s="153" t="s">
        <v>1113</v>
      </c>
      <c r="X69" s="139"/>
      <c r="Y69" s="163" t="s">
        <v>1363</v>
      </c>
    </row>
    <row r="70" spans="1:25" ht="21" customHeight="1">
      <c r="A70" s="139"/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39"/>
      <c r="Y70" s="163"/>
    </row>
    <row r="71" spans="1:25" ht="34" customHeight="1">
      <c r="A71" s="139" t="s">
        <v>1125</v>
      </c>
      <c r="B71" s="139" t="s">
        <v>1066</v>
      </c>
      <c r="C71" s="194">
        <f>SUM(C388:C389)+SUM(C392:C393)</f>
        <v>200</v>
      </c>
      <c r="D71" s="241">
        <f>-D49*D588+D589</f>
        <v>-299.52827100000002</v>
      </c>
      <c r="E71" s="241">
        <f>-E49*E588+E589</f>
        <v>-314.50468454999998</v>
      </c>
      <c r="F71" s="241">
        <f>-F49*F588+F589</f>
        <v>-328.65739535475001</v>
      </c>
      <c r="G71" s="241">
        <f>-G49*G588+G589</f>
        <v>-343.44697814571373</v>
      </c>
      <c r="H71" s="241">
        <f>-H49*H588+H589</f>
        <v>-357.18485727154223</v>
      </c>
      <c r="I71" s="140"/>
      <c r="J71" s="140" t="s">
        <v>1113</v>
      </c>
      <c r="K71" s="140" t="s">
        <v>1113</v>
      </c>
      <c r="L71" s="140" t="s">
        <v>1113</v>
      </c>
      <c r="M71" s="140" t="s">
        <v>1113</v>
      </c>
      <c r="N71" s="140" t="s">
        <v>1113</v>
      </c>
      <c r="O71" s="140"/>
      <c r="P71" s="140" t="s">
        <v>1113</v>
      </c>
      <c r="Q71" s="140" t="s">
        <v>1113</v>
      </c>
      <c r="R71" s="140" t="s">
        <v>1113</v>
      </c>
      <c r="S71" s="140" t="s">
        <v>1113</v>
      </c>
      <c r="T71" s="140" t="s">
        <v>1113</v>
      </c>
      <c r="U71" s="140" t="s">
        <v>1113</v>
      </c>
      <c r="V71" s="140" t="s">
        <v>1113</v>
      </c>
      <c r="W71" s="140" t="s">
        <v>1113</v>
      </c>
      <c r="X71" s="139"/>
      <c r="Y71" s="163" t="s">
        <v>1364</v>
      </c>
    </row>
    <row r="72" spans="1:25" ht="34" customHeight="1">
      <c r="A72" s="152" t="s">
        <v>1126</v>
      </c>
      <c r="B72" s="152" t="s">
        <v>1066</v>
      </c>
      <c r="C72" s="154">
        <f t="shared" ref="C72:H72" si="15">IF(COUNT(C59,C62,C64,C69,C71)=5,C59-C62+C64-C69+C71,"待定")</f>
        <v>11324.521252394721</v>
      </c>
      <c r="D72" s="240">
        <f t="shared" si="15"/>
        <v>11503.735271204458</v>
      </c>
      <c r="E72" s="240">
        <f t="shared" si="15"/>
        <v>12308.41250658918</v>
      </c>
      <c r="F72" s="240">
        <f t="shared" si="15"/>
        <v>13126.619582942292</v>
      </c>
      <c r="G72" s="240">
        <f t="shared" si="15"/>
        <v>13910.182898050811</v>
      </c>
      <c r="H72" s="240">
        <f t="shared" si="15"/>
        <v>14634.571885670339</v>
      </c>
      <c r="I72" s="140"/>
      <c r="J72" s="153" t="s">
        <v>1113</v>
      </c>
      <c r="K72" s="153" t="s">
        <v>1113</v>
      </c>
      <c r="L72" s="153" t="s">
        <v>1113</v>
      </c>
      <c r="M72" s="153" t="s">
        <v>1113</v>
      </c>
      <c r="N72" s="153" t="s">
        <v>1113</v>
      </c>
      <c r="O72" s="140"/>
      <c r="P72" s="153" t="s">
        <v>1113</v>
      </c>
      <c r="Q72" s="153" t="s">
        <v>1113</v>
      </c>
      <c r="R72" s="153" t="s">
        <v>1113</v>
      </c>
      <c r="S72" s="153" t="s">
        <v>1113</v>
      </c>
      <c r="T72" s="153" t="s">
        <v>1113</v>
      </c>
      <c r="U72" s="153" t="s">
        <v>1113</v>
      </c>
      <c r="V72" s="153" t="s">
        <v>1113</v>
      </c>
      <c r="W72" s="153" t="s">
        <v>1113</v>
      </c>
      <c r="X72" s="139"/>
      <c r="Y72" s="163" t="s">
        <v>1559</v>
      </c>
    </row>
    <row r="73" spans="1:25" ht="21" customHeight="1">
      <c r="A73" s="184" t="s">
        <v>1293</v>
      </c>
      <c r="B73" s="184" t="s">
        <v>1066</v>
      </c>
      <c r="C73" s="185">
        <f>C346</f>
        <v>11424.521252394719</v>
      </c>
      <c r="D73" s="186"/>
      <c r="E73" s="186"/>
      <c r="F73" s="186"/>
      <c r="G73" s="186"/>
      <c r="H73" s="186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39"/>
      <c r="Y73" s="163" t="s">
        <v>1365</v>
      </c>
    </row>
    <row r="74" spans="1:25" ht="21" customHeight="1">
      <c r="A74" s="261" t="s">
        <v>1560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39"/>
      <c r="Y74" s="163"/>
    </row>
    <row r="75" spans="1:25" ht="21" customHeight="1">
      <c r="A75" s="139" t="s">
        <v>1127</v>
      </c>
      <c r="B75" s="139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39"/>
      <c r="Y75" s="163"/>
    </row>
    <row r="76" spans="1:25" ht="21" customHeight="1">
      <c r="A76" s="139"/>
      <c r="B76" s="139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39"/>
      <c r="Y76" s="163"/>
    </row>
    <row r="77" spans="1:25" ht="21" customHeight="1">
      <c r="A77" s="139"/>
      <c r="B77" s="139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39"/>
      <c r="Y77" s="163"/>
    </row>
    <row r="78" spans="1:25" ht="21" customHeight="1">
      <c r="A78" s="139"/>
      <c r="B78" s="139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39"/>
      <c r="Y78" s="163"/>
    </row>
    <row r="79" spans="1:25" ht="25" customHeight="1">
      <c r="A79" s="142" t="s">
        <v>1128</v>
      </c>
      <c r="B79" s="142"/>
      <c r="C79" s="143"/>
      <c r="D79" s="143"/>
      <c r="E79" s="143"/>
      <c r="F79" s="143"/>
      <c r="G79" s="143"/>
      <c r="H79" s="143"/>
      <c r="I79" s="140"/>
      <c r="J79" s="143"/>
      <c r="K79" s="143"/>
      <c r="L79" s="143"/>
      <c r="M79" s="143"/>
      <c r="N79" s="143"/>
      <c r="O79" s="140"/>
      <c r="P79" s="143"/>
      <c r="Q79" s="143"/>
      <c r="R79" s="143"/>
      <c r="S79" s="143"/>
      <c r="T79" s="143"/>
      <c r="U79" s="143"/>
      <c r="V79" s="143"/>
      <c r="W79" s="143"/>
      <c r="X79" s="139"/>
      <c r="Y79" s="163"/>
    </row>
    <row r="80" spans="1:25" ht="27" customHeight="1">
      <c r="A80" s="148" t="s">
        <v>1050</v>
      </c>
      <c r="B80" s="148" t="s">
        <v>1051</v>
      </c>
      <c r="C80" s="148" t="s">
        <v>1057</v>
      </c>
      <c r="D80" s="148" t="s">
        <v>1105</v>
      </c>
      <c r="E80" s="148" t="s">
        <v>1106</v>
      </c>
      <c r="F80" s="148" t="s">
        <v>1107</v>
      </c>
      <c r="G80" s="148" t="s">
        <v>1108</v>
      </c>
      <c r="H80" s="148" t="s">
        <v>1109</v>
      </c>
      <c r="I80" s="140"/>
      <c r="J80" s="148" t="s">
        <v>7</v>
      </c>
      <c r="K80" s="148" t="s">
        <v>8</v>
      </c>
      <c r="L80" s="148" t="s">
        <v>9</v>
      </c>
      <c r="M80" s="148" t="s">
        <v>10</v>
      </c>
      <c r="N80" s="148" t="s">
        <v>11</v>
      </c>
      <c r="O80" s="140"/>
      <c r="P80" s="148" t="s">
        <v>1058</v>
      </c>
      <c r="Q80" s="148" t="s">
        <v>1059</v>
      </c>
      <c r="R80" s="148" t="s">
        <v>1060</v>
      </c>
      <c r="S80" s="148" t="s">
        <v>1061</v>
      </c>
      <c r="T80" s="148" t="s">
        <v>1062</v>
      </c>
      <c r="U80" s="148" t="s">
        <v>1063</v>
      </c>
      <c r="V80" s="148" t="s">
        <v>1052</v>
      </c>
      <c r="W80" s="148" t="s">
        <v>1053</v>
      </c>
      <c r="X80" s="139"/>
      <c r="Y80" s="163" t="s">
        <v>1064</v>
      </c>
    </row>
    <row r="81" spans="1:25" ht="21" customHeight="1">
      <c r="A81" s="139"/>
      <c r="B81" s="139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39"/>
      <c r="Y81" s="163"/>
    </row>
    <row r="82" spans="1:25" ht="25" customHeight="1">
      <c r="A82" s="142" t="s">
        <v>42</v>
      </c>
      <c r="B82" s="142"/>
      <c r="C82" s="143"/>
      <c r="D82" s="143"/>
      <c r="E82" s="143"/>
      <c r="F82" s="143"/>
      <c r="G82" s="143"/>
      <c r="H82" s="143"/>
      <c r="I82" s="140"/>
      <c r="J82" s="143"/>
      <c r="K82" s="143"/>
      <c r="L82" s="143"/>
      <c r="M82" s="143"/>
      <c r="N82" s="143"/>
      <c r="O82" s="140"/>
      <c r="P82" s="143"/>
      <c r="Q82" s="143"/>
      <c r="R82" s="143"/>
      <c r="S82" s="143"/>
      <c r="T82" s="143"/>
      <c r="U82" s="143"/>
      <c r="V82" s="143"/>
      <c r="W82" s="143"/>
      <c r="X82" s="139"/>
      <c r="Y82" s="163"/>
    </row>
    <row r="83" spans="1:25" ht="21" customHeight="1">
      <c r="A83" s="139" t="s">
        <v>1129</v>
      </c>
      <c r="B83" s="139" t="s">
        <v>1066</v>
      </c>
      <c r="C83" s="140" t="s">
        <v>1130</v>
      </c>
      <c r="D83" s="140" t="s">
        <v>1130</v>
      </c>
      <c r="E83" s="140" t="s">
        <v>1130</v>
      </c>
      <c r="F83" s="140" t="s">
        <v>1130</v>
      </c>
      <c r="G83" s="140" t="s">
        <v>1130</v>
      </c>
      <c r="H83" s="140" t="s">
        <v>1130</v>
      </c>
      <c r="I83" s="140"/>
      <c r="J83" s="140" t="s">
        <v>1131</v>
      </c>
      <c r="K83" s="140" t="s">
        <v>1131</v>
      </c>
      <c r="L83" s="149">
        <f>Segments!J13</f>
        <v>10152</v>
      </c>
      <c r="M83" s="149">
        <f>Segments!K13</f>
        <v>10278</v>
      </c>
      <c r="N83" s="149">
        <f>Segments!L13</f>
        <v>10833</v>
      </c>
      <c r="O83" s="140"/>
      <c r="P83" s="140" t="s">
        <v>1131</v>
      </c>
      <c r="Q83" s="140" t="s">
        <v>1131</v>
      </c>
      <c r="R83" s="149">
        <f>Segments!Q13</f>
        <v>2481</v>
      </c>
      <c r="S83" s="149">
        <f>Segments!R13</f>
        <v>3008</v>
      </c>
      <c r="T83" s="149">
        <f>Segments!S13</f>
        <v>2818</v>
      </c>
      <c r="U83" s="149">
        <f>Segments!L13-SUM(Segments!Q13:S13)</f>
        <v>2526</v>
      </c>
      <c r="V83" s="149">
        <f>Segments!T13</f>
        <v>2807</v>
      </c>
      <c r="W83" s="149">
        <f>Segments!U13</f>
        <v>3087</v>
      </c>
      <c r="X83" s="139"/>
      <c r="Y83" s="163" t="s">
        <v>1132</v>
      </c>
    </row>
    <row r="84" spans="1:25" ht="21" customHeight="1">
      <c r="A84" s="150" t="s">
        <v>1133</v>
      </c>
      <c r="B84" s="150" t="s">
        <v>1069</v>
      </c>
      <c r="C84" s="151"/>
      <c r="D84" s="151"/>
      <c r="E84" s="151"/>
      <c r="F84" s="151"/>
      <c r="G84" s="151"/>
      <c r="H84" s="151"/>
      <c r="I84" s="151"/>
      <c r="J84" s="151"/>
      <c r="K84" s="151" t="str">
        <f>IF(COUNT(K83,J83)=2,K83/J83-1,"未重述/补充")</f>
        <v>未重述/补充</v>
      </c>
      <c r="L84" s="151" t="str">
        <f>IF(COUNT(L83,K83)=2,L83/K83-1,"未重述/补充")</f>
        <v>未重述/补充</v>
      </c>
      <c r="M84" s="151">
        <f>IF(COUNT(M83,L83)=2,M83/L83-1,"未重述/补充")</f>
        <v>1.2411347517730542E-2</v>
      </c>
      <c r="N84" s="151">
        <f>IF(COUNT(N83,M83)=2,N83/M83-1,"未重述/补充")</f>
        <v>5.399883245767656E-2</v>
      </c>
      <c r="O84" s="151"/>
      <c r="P84" s="151"/>
      <c r="Q84" s="151"/>
      <c r="R84" s="151"/>
      <c r="S84" s="151"/>
      <c r="T84" s="151"/>
      <c r="U84" s="151"/>
      <c r="V84" s="151">
        <f>V83/R83-1</f>
        <v>0.13139862958484483</v>
      </c>
      <c r="W84" s="151">
        <f>W83/S83-1</f>
        <v>2.6263297872340496E-2</v>
      </c>
      <c r="X84" s="139"/>
      <c r="Y84" s="163"/>
    </row>
    <row r="85" spans="1:25" ht="21" customHeight="1">
      <c r="A85" s="139" t="s">
        <v>1134</v>
      </c>
      <c r="B85" s="139" t="s">
        <v>1066</v>
      </c>
      <c r="C85" s="140" t="s">
        <v>1130</v>
      </c>
      <c r="D85" s="140" t="s">
        <v>1130</v>
      </c>
      <c r="E85" s="140" t="s">
        <v>1130</v>
      </c>
      <c r="F85" s="140" t="s">
        <v>1130</v>
      </c>
      <c r="G85" s="140" t="s">
        <v>1130</v>
      </c>
      <c r="H85" s="140" t="s">
        <v>1130</v>
      </c>
      <c r="I85" s="140"/>
      <c r="J85" s="140" t="s">
        <v>1131</v>
      </c>
      <c r="K85" s="140" t="s">
        <v>1131</v>
      </c>
      <c r="L85" s="149">
        <f>Segments!J34</f>
        <v>10838</v>
      </c>
      <c r="M85" s="149">
        <f>Segments!K34</f>
        <v>10958</v>
      </c>
      <c r="N85" s="149">
        <f>Segments!L34</f>
        <v>11513</v>
      </c>
      <c r="O85" s="140"/>
      <c r="P85" s="140" t="s">
        <v>1131</v>
      </c>
      <c r="Q85" s="140" t="s">
        <v>1131</v>
      </c>
      <c r="R85" s="149">
        <f>Segments!Q34</f>
        <v>2657</v>
      </c>
      <c r="S85" s="149">
        <f>Segments!R34</f>
        <v>3176</v>
      </c>
      <c r="T85" s="149">
        <f>Segments!S34</f>
        <v>2996</v>
      </c>
      <c r="U85" s="149">
        <f>Segments!L34-SUM(Segments!Q34:S34)</f>
        <v>2684</v>
      </c>
      <c r="V85" s="149">
        <f>Segments!T34</f>
        <v>3012</v>
      </c>
      <c r="W85" s="149">
        <f>Segments!U34</f>
        <v>3240</v>
      </c>
      <c r="X85" s="139"/>
      <c r="Y85" s="163"/>
    </row>
    <row r="86" spans="1:25" ht="21" customHeight="1">
      <c r="A86" s="139" t="s">
        <v>1135</v>
      </c>
      <c r="B86" s="139" t="s">
        <v>1066</v>
      </c>
      <c r="C86" s="140" t="s">
        <v>1130</v>
      </c>
      <c r="D86" s="140" t="s">
        <v>1130</v>
      </c>
      <c r="E86" s="140" t="s">
        <v>1130</v>
      </c>
      <c r="F86" s="140" t="s">
        <v>1130</v>
      </c>
      <c r="G86" s="140" t="s">
        <v>1130</v>
      </c>
      <c r="H86" s="140" t="s">
        <v>1130</v>
      </c>
      <c r="I86" s="140"/>
      <c r="J86" s="140" t="s">
        <v>1131</v>
      </c>
      <c r="K86" s="140" t="s">
        <v>1131</v>
      </c>
      <c r="L86" s="149">
        <f>Segments!J45</f>
        <v>4323</v>
      </c>
      <c r="M86" s="149">
        <f>Segments!K45</f>
        <v>4255</v>
      </c>
      <c r="N86" s="149">
        <f>Segments!L45</f>
        <v>4298</v>
      </c>
      <c r="O86" s="140"/>
      <c r="P86" s="140" t="s">
        <v>1131</v>
      </c>
      <c r="Q86" s="140" t="s">
        <v>1131</v>
      </c>
      <c r="R86" s="149">
        <f>Segments!Q45</f>
        <v>1065</v>
      </c>
      <c r="S86" s="149">
        <f>Segments!R45</f>
        <v>1325</v>
      </c>
      <c r="T86" s="149">
        <f>Segments!S45</f>
        <v>1097</v>
      </c>
      <c r="U86" s="149">
        <f>Segments!L45-SUM(Segments!Q45:S45)</f>
        <v>811</v>
      </c>
      <c r="V86" s="149">
        <f>Segments!T45</f>
        <v>1259</v>
      </c>
      <c r="W86" s="149">
        <f>Segments!U45</f>
        <v>1309</v>
      </c>
      <c r="X86" s="139"/>
      <c r="Y86" s="163"/>
    </row>
    <row r="87" spans="1:25" ht="21" customHeight="1">
      <c r="A87" s="150" t="s">
        <v>1136</v>
      </c>
      <c r="B87" s="150" t="s">
        <v>1069</v>
      </c>
      <c r="C87" s="151"/>
      <c r="D87" s="151"/>
      <c r="E87" s="151"/>
      <c r="F87" s="151"/>
      <c r="G87" s="151"/>
      <c r="H87" s="151"/>
      <c r="I87" s="151"/>
      <c r="J87" s="151" t="str">
        <f>IF(COUNT(J85,J86)=2,J86/J85,"未重述/补充")</f>
        <v>未重述/补充</v>
      </c>
      <c r="K87" s="151" t="str">
        <f>IF(COUNT(K85,K86)=2,K86/K85,"未重述/补充")</f>
        <v>未重述/补充</v>
      </c>
      <c r="L87" s="151">
        <f>IF(COUNT(L85,L86)=2,L86/L85,"未重述/补充")</f>
        <v>0.39887433105739067</v>
      </c>
      <c r="M87" s="151">
        <f>IF(COUNT(M85,M86)=2,M86/M85,"未重述/补充")</f>
        <v>0.38830078481474722</v>
      </c>
      <c r="N87" s="151">
        <f>IF(COUNT(N85,N86)=2,N86/N85,"未重述/补充")</f>
        <v>0.37331711977764265</v>
      </c>
      <c r="O87" s="151"/>
      <c r="P87" s="151" t="str">
        <f t="shared" ref="P87:W87" si="16">IF(COUNT(P85,P86)=2,P86/P85,"未重述/补充")</f>
        <v>未重述/补充</v>
      </c>
      <c r="Q87" s="151" t="str">
        <f t="shared" si="16"/>
        <v>未重述/补充</v>
      </c>
      <c r="R87" s="151">
        <f t="shared" si="16"/>
        <v>0.40082800150545728</v>
      </c>
      <c r="S87" s="151">
        <f t="shared" si="16"/>
        <v>0.41719143576826195</v>
      </c>
      <c r="T87" s="151">
        <f t="shared" si="16"/>
        <v>0.36615487316421896</v>
      </c>
      <c r="U87" s="151">
        <f t="shared" si="16"/>
        <v>0.30216095380029806</v>
      </c>
      <c r="V87" s="151">
        <f t="shared" si="16"/>
        <v>0.41799468791500666</v>
      </c>
      <c r="W87" s="151">
        <f t="shared" si="16"/>
        <v>0.40401234567901234</v>
      </c>
      <c r="X87" s="139"/>
      <c r="Y87" s="163" t="s">
        <v>1137</v>
      </c>
    </row>
    <row r="88" spans="1:25" ht="21" customHeight="1">
      <c r="A88" s="139" t="s">
        <v>1091</v>
      </c>
      <c r="B88" s="139" t="s">
        <v>1066</v>
      </c>
      <c r="C88" s="140" t="s">
        <v>1130</v>
      </c>
      <c r="D88" s="140" t="s">
        <v>1130</v>
      </c>
      <c r="E88" s="140" t="s">
        <v>1130</v>
      </c>
      <c r="F88" s="140" t="s">
        <v>1130</v>
      </c>
      <c r="G88" s="140" t="s">
        <v>1130</v>
      </c>
      <c r="H88" s="140" t="s">
        <v>1130</v>
      </c>
      <c r="I88" s="140"/>
      <c r="J88" s="140" t="s">
        <v>1131</v>
      </c>
      <c r="K88" s="140" t="s">
        <v>1131</v>
      </c>
      <c r="L88" s="149">
        <f>Segments!J55</f>
        <v>187</v>
      </c>
      <c r="M88" s="149">
        <f>Segments!K55</f>
        <v>181</v>
      </c>
      <c r="N88" s="149">
        <f>Segments!L55</f>
        <v>173</v>
      </c>
      <c r="O88" s="140"/>
      <c r="P88" s="140" t="s">
        <v>1131</v>
      </c>
      <c r="Q88" s="140" t="s">
        <v>1131</v>
      </c>
      <c r="R88" s="149">
        <f>Segments!Q55</f>
        <v>44</v>
      </c>
      <c r="S88" s="149">
        <f>Segments!R55</f>
        <v>55</v>
      </c>
      <c r="T88" s="149">
        <f>Segments!S55</f>
        <v>40</v>
      </c>
      <c r="U88" s="149">
        <f>Segments!L55-SUM(Segments!Q55:S55)</f>
        <v>34</v>
      </c>
      <c r="V88" s="149">
        <f>Segments!T55</f>
        <v>48</v>
      </c>
      <c r="W88" s="149">
        <f>Segments!U55</f>
        <v>51</v>
      </c>
      <c r="X88" s="139"/>
      <c r="Y88" s="163"/>
    </row>
    <row r="89" spans="1:25" ht="21" customHeight="1">
      <c r="A89" s="139" t="s">
        <v>1092</v>
      </c>
      <c r="B89" s="139" t="s">
        <v>1066</v>
      </c>
      <c r="C89" s="140" t="s">
        <v>1130</v>
      </c>
      <c r="D89" s="140" t="s">
        <v>1130</v>
      </c>
      <c r="E89" s="140" t="s">
        <v>1130</v>
      </c>
      <c r="F89" s="140" t="s">
        <v>1130</v>
      </c>
      <c r="G89" s="140" t="s">
        <v>1130</v>
      </c>
      <c r="H89" s="140" t="s">
        <v>1130</v>
      </c>
      <c r="I89" s="140"/>
      <c r="J89" s="140" t="s">
        <v>1131</v>
      </c>
      <c r="K89" s="140" t="s">
        <v>1131</v>
      </c>
      <c r="L89" s="149">
        <f>Segments!J65</f>
        <v>235</v>
      </c>
      <c r="M89" s="149">
        <f>Segments!K65</f>
        <v>222</v>
      </c>
      <c r="N89" s="149">
        <f>Segments!L65</f>
        <v>237</v>
      </c>
      <c r="O89" s="140"/>
      <c r="P89" s="140" t="s">
        <v>1131</v>
      </c>
      <c r="Q89" s="140" t="s">
        <v>1131</v>
      </c>
      <c r="R89" s="149">
        <f>Segments!Q65</f>
        <v>41</v>
      </c>
      <c r="S89" s="149">
        <f>Segments!R65</f>
        <v>49</v>
      </c>
      <c r="T89" s="149">
        <f>Segments!S65</f>
        <v>66</v>
      </c>
      <c r="U89" s="149">
        <f>Segments!L65-SUM(Segments!Q65:S65)</f>
        <v>81</v>
      </c>
      <c r="V89" s="149">
        <f>Segments!T65</f>
        <v>53</v>
      </c>
      <c r="W89" s="149">
        <f>Segments!U65</f>
        <v>47</v>
      </c>
      <c r="X89" s="139"/>
      <c r="Y89" s="163"/>
    </row>
    <row r="90" spans="1:25" ht="21" customHeight="1">
      <c r="A90" s="150" t="s">
        <v>1138</v>
      </c>
      <c r="B90" s="150" t="s">
        <v>1069</v>
      </c>
      <c r="C90" s="151" t="s">
        <v>1130</v>
      </c>
      <c r="D90" s="151" t="s">
        <v>1130</v>
      </c>
      <c r="E90" s="151" t="s">
        <v>1130</v>
      </c>
      <c r="F90" s="151" t="s">
        <v>1130</v>
      </c>
      <c r="G90" s="151" t="s">
        <v>1130</v>
      </c>
      <c r="H90" s="151" t="s">
        <v>1130</v>
      </c>
      <c r="I90" s="151"/>
      <c r="J90" s="155">
        <f>'Operating Metrics'!H19</f>
        <v>0.09</v>
      </c>
      <c r="K90" s="155">
        <f>'Operating Metrics'!I19</f>
        <v>0.03</v>
      </c>
      <c r="L90" s="155">
        <f>'Operating Metrics'!J19</f>
        <v>-0.02</v>
      </c>
      <c r="M90" s="155">
        <f>'Operating Metrics'!K19</f>
        <v>0</v>
      </c>
      <c r="N90" s="155">
        <f>'Operating Metrics'!L19</f>
        <v>0.03</v>
      </c>
      <c r="O90" s="151"/>
      <c r="P90" s="155">
        <f>'Operating Metrics'!P19</f>
        <v>-0.02</v>
      </c>
      <c r="Q90" s="151" t="s">
        <v>1131</v>
      </c>
      <c r="R90" s="155">
        <f>'Operating Metrics'!Q19</f>
        <v>0.03</v>
      </c>
      <c r="S90" s="155">
        <f>'Operating Metrics'!R19</f>
        <v>0.03</v>
      </c>
      <c r="T90" s="155">
        <f>'Operating Metrics'!S19</f>
        <v>0.04</v>
      </c>
      <c r="U90" s="151" t="s">
        <v>1131</v>
      </c>
      <c r="V90" s="155">
        <f>'Operating Metrics'!T19</f>
        <v>0.02</v>
      </c>
      <c r="W90" s="155">
        <f>'Operating Metrics'!U19</f>
        <v>0.04</v>
      </c>
      <c r="X90" s="139"/>
      <c r="Y90" s="163"/>
    </row>
    <row r="91" spans="1:25" ht="21" customHeight="1">
      <c r="A91" s="150" t="s">
        <v>1139</v>
      </c>
      <c r="B91" s="150" t="s">
        <v>1069</v>
      </c>
      <c r="C91" s="151" t="s">
        <v>1130</v>
      </c>
      <c r="D91" s="151" t="s">
        <v>1130</v>
      </c>
      <c r="E91" s="151" t="s">
        <v>1130</v>
      </c>
      <c r="F91" s="151" t="s">
        <v>1130</v>
      </c>
      <c r="G91" s="151" t="s">
        <v>1130</v>
      </c>
      <c r="H91" s="151" t="s">
        <v>1130</v>
      </c>
      <c r="I91" s="151"/>
      <c r="J91" s="155">
        <f>'Operating Metrics'!H28</f>
        <v>0.12</v>
      </c>
      <c r="K91" s="155">
        <f>'Operating Metrics'!I28</f>
        <v>0.02</v>
      </c>
      <c r="L91" s="155">
        <f>'Operating Metrics'!J28</f>
        <v>0</v>
      </c>
      <c r="M91" s="155">
        <f>'Operating Metrics'!K28</f>
        <v>-0.01</v>
      </c>
      <c r="N91" s="155">
        <f>'Operating Metrics'!L28</f>
        <v>0.03</v>
      </c>
      <c r="O91" s="151"/>
      <c r="P91" s="155">
        <f>'Operating Metrics'!P28</f>
        <v>-7.0000000000000007E-2</v>
      </c>
      <c r="Q91" s="151" t="s">
        <v>1131</v>
      </c>
      <c r="R91" s="155">
        <f>'Operating Metrics'!Q28</f>
        <v>0.01</v>
      </c>
      <c r="S91" s="155">
        <f>'Operating Metrics'!R28</f>
        <v>0.02</v>
      </c>
      <c r="T91" s="155">
        <f>'Operating Metrics'!S28</f>
        <v>0.03</v>
      </c>
      <c r="U91" s="151" t="s">
        <v>1131</v>
      </c>
      <c r="V91" s="155">
        <f>'Operating Metrics'!T28</f>
        <v>0.05</v>
      </c>
      <c r="W91" s="155">
        <f>'Operating Metrics'!U28</f>
        <v>0.01</v>
      </c>
      <c r="X91" s="139"/>
      <c r="Y91" s="163"/>
    </row>
    <row r="92" spans="1:25" ht="21" customHeight="1">
      <c r="A92" s="150" t="s">
        <v>1140</v>
      </c>
      <c r="B92" s="150" t="s">
        <v>1069</v>
      </c>
      <c r="C92" s="151" t="s">
        <v>1130</v>
      </c>
      <c r="D92" s="151" t="s">
        <v>1130</v>
      </c>
      <c r="E92" s="151" t="s">
        <v>1130</v>
      </c>
      <c r="F92" s="151" t="s">
        <v>1130</v>
      </c>
      <c r="G92" s="151" t="s">
        <v>1130</v>
      </c>
      <c r="H92" s="151" t="s">
        <v>1130</v>
      </c>
      <c r="I92" s="151"/>
      <c r="J92" s="155">
        <f>'Operating Metrics'!H47</f>
        <v>0.06</v>
      </c>
      <c r="K92" s="155">
        <f>'Operating Metrics'!I47</f>
        <v>0.16</v>
      </c>
      <c r="L92" s="155">
        <f>'Operating Metrics'!J47</f>
        <v>0.19</v>
      </c>
      <c r="M92" s="155">
        <f>'Operating Metrics'!K47</f>
        <v>0.17</v>
      </c>
      <c r="N92" s="155">
        <f>'Operating Metrics'!L47</f>
        <v>0.02</v>
      </c>
      <c r="O92" s="151"/>
      <c r="P92" s="155">
        <f>'Operating Metrics'!P47</f>
        <v>0.09</v>
      </c>
      <c r="Q92" s="151" t="s">
        <v>1131</v>
      </c>
      <c r="R92" s="155">
        <f>'Operating Metrics'!Q47</f>
        <v>0.06</v>
      </c>
      <c r="S92" s="155">
        <f>'Operating Metrics'!R47</f>
        <v>0.03</v>
      </c>
      <c r="T92" s="155">
        <f>'Operating Metrics'!S47</f>
        <v>0.04</v>
      </c>
      <c r="U92" s="151" t="s">
        <v>1131</v>
      </c>
      <c r="V92" s="155">
        <f>'Operating Metrics'!T47</f>
        <v>0.05</v>
      </c>
      <c r="W92" s="155">
        <f>'Operating Metrics'!U47</f>
        <v>0.01</v>
      </c>
      <c r="X92" s="139"/>
      <c r="Y92" s="163"/>
    </row>
    <row r="93" spans="1:25" ht="21" customHeight="1">
      <c r="A93" s="150" t="s">
        <v>1141</v>
      </c>
      <c r="B93" s="150" t="s">
        <v>1069</v>
      </c>
      <c r="C93" s="151" t="s">
        <v>1130</v>
      </c>
      <c r="D93" s="151" t="s">
        <v>1130</v>
      </c>
      <c r="E93" s="151" t="s">
        <v>1130</v>
      </c>
      <c r="F93" s="151" t="s">
        <v>1130</v>
      </c>
      <c r="G93" s="151" t="s">
        <v>1130</v>
      </c>
      <c r="H93" s="151" t="s">
        <v>1130</v>
      </c>
      <c r="I93" s="151"/>
      <c r="J93" s="155">
        <f>'Operating Metrics'!H56</f>
        <v>0.01</v>
      </c>
      <c r="K93" s="155">
        <f>'Operating Metrics'!I56</f>
        <v>-0.14000000000000001</v>
      </c>
      <c r="L93" s="155">
        <f>'Operating Metrics'!J56</f>
        <v>-0.12</v>
      </c>
      <c r="M93" s="155">
        <f>'Operating Metrics'!K56</f>
        <v>-0.16</v>
      </c>
      <c r="N93" s="155">
        <f>'Operating Metrics'!L56</f>
        <v>0</v>
      </c>
      <c r="O93" s="151"/>
      <c r="P93" s="155">
        <f>'Operating Metrics'!P56</f>
        <v>-0.1</v>
      </c>
      <c r="Q93" s="151" t="s">
        <v>1131</v>
      </c>
      <c r="R93" s="155">
        <f>'Operating Metrics'!Q56</f>
        <v>-0.06</v>
      </c>
      <c r="S93" s="155">
        <f>'Operating Metrics'!R56</f>
        <v>0.01</v>
      </c>
      <c r="T93" s="155">
        <f>'Operating Metrics'!S56</f>
        <v>0.03</v>
      </c>
      <c r="U93" s="151" t="s">
        <v>1131</v>
      </c>
      <c r="V93" s="155">
        <f>'Operating Metrics'!T56</f>
        <v>0.06</v>
      </c>
      <c r="W93" s="155">
        <f>'Operating Metrics'!U56</f>
        <v>0.02</v>
      </c>
      <c r="X93" s="139"/>
      <c r="Y93" s="163"/>
    </row>
    <row r="94" spans="1:25" ht="21" customHeight="1">
      <c r="A94" s="150" t="s">
        <v>1142</v>
      </c>
      <c r="B94" s="150" t="s">
        <v>1069</v>
      </c>
      <c r="C94" s="151" t="s">
        <v>1130</v>
      </c>
      <c r="D94" s="151" t="s">
        <v>1130</v>
      </c>
      <c r="E94" s="151" t="s">
        <v>1130</v>
      </c>
      <c r="F94" s="151" t="s">
        <v>1130</v>
      </c>
      <c r="G94" s="151" t="s">
        <v>1130</v>
      </c>
      <c r="H94" s="151" t="s">
        <v>1130</v>
      </c>
      <c r="I94" s="151"/>
      <c r="J94" s="155">
        <f>'Operating Metrics'!H65</f>
        <v>0</v>
      </c>
      <c r="K94" s="155">
        <f>'Operating Metrics'!I65</f>
        <v>0</v>
      </c>
      <c r="L94" s="155">
        <f>'Operating Metrics'!J65</f>
        <v>0</v>
      </c>
      <c r="M94" s="155">
        <f>'Operating Metrics'!K65</f>
        <v>0</v>
      </c>
      <c r="N94" s="155">
        <f>'Operating Metrics'!L65</f>
        <v>-0.01</v>
      </c>
      <c r="O94" s="151"/>
      <c r="P94" s="155">
        <f>'Operating Metrics'!P65</f>
        <v>0</v>
      </c>
      <c r="Q94" s="151" t="s">
        <v>1131</v>
      </c>
      <c r="R94" s="155">
        <f>'Operating Metrics'!Q65</f>
        <v>0</v>
      </c>
      <c r="S94" s="155">
        <f>'Operating Metrics'!R65</f>
        <v>0</v>
      </c>
      <c r="T94" s="155">
        <f>'Operating Metrics'!S65</f>
        <v>0</v>
      </c>
      <c r="U94" s="151" t="s">
        <v>1131</v>
      </c>
      <c r="V94" s="155">
        <f>'Operating Metrics'!T65</f>
        <v>-0.03</v>
      </c>
      <c r="W94" s="155">
        <f>'Operating Metrics'!U65</f>
        <v>-0.03</v>
      </c>
      <c r="X94" s="139"/>
      <c r="Y94" s="163"/>
    </row>
    <row r="95" spans="1:25" ht="21" customHeight="1">
      <c r="A95" s="139"/>
      <c r="B95" s="139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39"/>
      <c r="Y95" s="163"/>
    </row>
    <row r="96" spans="1:25" ht="25" customHeight="1">
      <c r="A96" s="142" t="s">
        <v>1143</v>
      </c>
      <c r="B96" s="142"/>
      <c r="C96" s="143"/>
      <c r="D96" s="143"/>
      <c r="E96" s="143"/>
      <c r="F96" s="143"/>
      <c r="G96" s="143"/>
      <c r="H96" s="143"/>
      <c r="I96" s="140"/>
      <c r="J96" s="143"/>
      <c r="K96" s="143"/>
      <c r="L96" s="143"/>
      <c r="M96" s="143"/>
      <c r="N96" s="143"/>
      <c r="O96" s="140"/>
      <c r="P96" s="143"/>
      <c r="Q96" s="143"/>
      <c r="R96" s="143"/>
      <c r="S96" s="143"/>
      <c r="T96" s="143"/>
      <c r="U96" s="143"/>
      <c r="V96" s="143"/>
      <c r="W96" s="143"/>
      <c r="X96" s="139"/>
      <c r="Y96" s="163"/>
    </row>
    <row r="97" spans="1:25" ht="21" customHeight="1">
      <c r="A97" s="139" t="s">
        <v>1129</v>
      </c>
      <c r="B97" s="139" t="s">
        <v>1066</v>
      </c>
      <c r="C97" s="140" t="s">
        <v>1130</v>
      </c>
      <c r="D97" s="140" t="s">
        <v>1130</v>
      </c>
      <c r="E97" s="140" t="s">
        <v>1130</v>
      </c>
      <c r="F97" s="140" t="s">
        <v>1130</v>
      </c>
      <c r="G97" s="140" t="s">
        <v>1130</v>
      </c>
      <c r="H97" s="140" t="s">
        <v>1130</v>
      </c>
      <c r="I97" s="140"/>
      <c r="J97" s="140" t="s">
        <v>1131</v>
      </c>
      <c r="K97" s="140" t="s">
        <v>1131</v>
      </c>
      <c r="L97" s="149">
        <f>Segments!J14</f>
        <v>5834</v>
      </c>
      <c r="M97" s="149">
        <f>Segments!K14</f>
        <v>6471</v>
      </c>
      <c r="N97" s="149">
        <f>Segments!L14</f>
        <v>6331</v>
      </c>
      <c r="O97" s="140"/>
      <c r="P97" s="140" t="s">
        <v>1131</v>
      </c>
      <c r="Q97" s="140" t="s">
        <v>1131</v>
      </c>
      <c r="R97" s="149">
        <f>Segments!Q14</f>
        <v>1477</v>
      </c>
      <c r="S97" s="149">
        <f>Segments!R14</f>
        <v>1587</v>
      </c>
      <c r="T97" s="149">
        <f>Segments!S14</f>
        <v>1572</v>
      </c>
      <c r="U97" s="149">
        <f>Segments!L14-SUM(Segments!Q14:S14)</f>
        <v>1695</v>
      </c>
      <c r="V97" s="149">
        <f>Segments!T14</f>
        <v>1678</v>
      </c>
      <c r="W97" s="149">
        <f>Segments!U14</f>
        <v>1839</v>
      </c>
      <c r="X97" s="139"/>
      <c r="Y97" s="163" t="s">
        <v>1132</v>
      </c>
    </row>
    <row r="98" spans="1:25" ht="21" customHeight="1">
      <c r="A98" s="150" t="s">
        <v>1133</v>
      </c>
      <c r="B98" s="150" t="s">
        <v>1069</v>
      </c>
      <c r="C98" s="151"/>
      <c r="D98" s="151"/>
      <c r="E98" s="151"/>
      <c r="F98" s="151"/>
      <c r="G98" s="151"/>
      <c r="H98" s="151"/>
      <c r="I98" s="151"/>
      <c r="J98" s="151"/>
      <c r="K98" s="151" t="str">
        <f>IF(COUNT(K97,J97)=2,K97/J97-1,"未重述/补充")</f>
        <v>未重述/补充</v>
      </c>
      <c r="L98" s="151" t="str">
        <f>IF(COUNT(L97,K97)=2,L97/K97-1,"未重述/补充")</f>
        <v>未重述/补充</v>
      </c>
      <c r="M98" s="151">
        <f>IF(COUNT(M97,L97)=2,M97/L97-1,"未重述/补充")</f>
        <v>0.10918752142612265</v>
      </c>
      <c r="N98" s="151">
        <f>IF(COUNT(N97,M97)=2,N97/M97-1,"未重述/补充")</f>
        <v>-2.1634986864472294E-2</v>
      </c>
      <c r="O98" s="151"/>
      <c r="P98" s="151"/>
      <c r="Q98" s="151"/>
      <c r="R98" s="151"/>
      <c r="S98" s="151"/>
      <c r="T98" s="151"/>
      <c r="U98" s="151"/>
      <c r="V98" s="151">
        <f>V97/R97-1</f>
        <v>0.13608666215301279</v>
      </c>
      <c r="W98" s="151">
        <f>W97/S97-1</f>
        <v>0.1587901701323251</v>
      </c>
      <c r="X98" s="139"/>
      <c r="Y98" s="163"/>
    </row>
    <row r="99" spans="1:25" ht="21" customHeight="1">
      <c r="A99" s="139" t="s">
        <v>1134</v>
      </c>
      <c r="B99" s="139" t="s">
        <v>1066</v>
      </c>
      <c r="C99" s="140" t="s">
        <v>1130</v>
      </c>
      <c r="D99" s="140" t="s">
        <v>1130</v>
      </c>
      <c r="E99" s="140" t="s">
        <v>1130</v>
      </c>
      <c r="F99" s="140" t="s">
        <v>1130</v>
      </c>
      <c r="G99" s="140" t="s">
        <v>1130</v>
      </c>
      <c r="H99" s="140" t="s">
        <v>1130</v>
      </c>
      <c r="I99" s="140"/>
      <c r="J99" s="140" t="s">
        <v>1131</v>
      </c>
      <c r="K99" s="140" t="s">
        <v>1131</v>
      </c>
      <c r="L99" s="149">
        <f>Segments!J35</f>
        <v>5834</v>
      </c>
      <c r="M99" s="149">
        <f>Segments!K35</f>
        <v>6471</v>
      </c>
      <c r="N99" s="149">
        <f>Segments!L35</f>
        <v>6334</v>
      </c>
      <c r="O99" s="140"/>
      <c r="P99" s="140" t="s">
        <v>1131</v>
      </c>
      <c r="Q99" s="140" t="s">
        <v>1131</v>
      </c>
      <c r="R99" s="149">
        <f>Segments!Q35</f>
        <v>1477</v>
      </c>
      <c r="S99" s="149">
        <f>Segments!R35</f>
        <v>1587</v>
      </c>
      <c r="T99" s="149">
        <f>Segments!S35</f>
        <v>1573</v>
      </c>
      <c r="U99" s="149">
        <f>Segments!L35-SUM(Segments!Q35:S35)</f>
        <v>1697</v>
      </c>
      <c r="V99" s="149">
        <f>Segments!T35</f>
        <v>1678</v>
      </c>
      <c r="W99" s="149">
        <f>Segments!U35</f>
        <v>1839</v>
      </c>
      <c r="X99" s="139"/>
      <c r="Y99" s="163"/>
    </row>
    <row r="100" spans="1:25" ht="21" customHeight="1">
      <c r="A100" s="139" t="s">
        <v>1135</v>
      </c>
      <c r="B100" s="139" t="s">
        <v>1066</v>
      </c>
      <c r="C100" s="140" t="s">
        <v>1130</v>
      </c>
      <c r="D100" s="140" t="s">
        <v>1130</v>
      </c>
      <c r="E100" s="140" t="s">
        <v>1130</v>
      </c>
      <c r="F100" s="140" t="s">
        <v>1130</v>
      </c>
      <c r="G100" s="140" t="s">
        <v>1130</v>
      </c>
      <c r="H100" s="140" t="s">
        <v>1130</v>
      </c>
      <c r="I100" s="140"/>
      <c r="J100" s="140" t="s">
        <v>1131</v>
      </c>
      <c r="K100" s="140" t="s">
        <v>1131</v>
      </c>
      <c r="L100" s="149">
        <f>Segments!J46</f>
        <v>3436</v>
      </c>
      <c r="M100" s="149">
        <f>Segments!K46</f>
        <v>3792</v>
      </c>
      <c r="N100" s="149">
        <f>Segments!L46</f>
        <v>3742</v>
      </c>
      <c r="O100" s="140"/>
      <c r="P100" s="140" t="s">
        <v>1131</v>
      </c>
      <c r="Q100" s="140" t="s">
        <v>1131</v>
      </c>
      <c r="R100" s="149">
        <f>Segments!Q46</f>
        <v>904</v>
      </c>
      <c r="S100" s="149">
        <f>Segments!R46</f>
        <v>957</v>
      </c>
      <c r="T100" s="149">
        <f>Segments!S46</f>
        <v>897</v>
      </c>
      <c r="U100" s="149">
        <f>Segments!L46-SUM(Segments!Q46:S46)</f>
        <v>984</v>
      </c>
      <c r="V100" s="149">
        <f>Segments!T46</f>
        <v>1038</v>
      </c>
      <c r="W100" s="149">
        <f>Segments!U46</f>
        <v>1177</v>
      </c>
      <c r="X100" s="139"/>
      <c r="Y100" s="163"/>
    </row>
    <row r="101" spans="1:25" ht="21" customHeight="1">
      <c r="A101" s="150" t="s">
        <v>1136</v>
      </c>
      <c r="B101" s="150" t="s">
        <v>1069</v>
      </c>
      <c r="C101" s="151"/>
      <c r="D101" s="151"/>
      <c r="E101" s="151"/>
      <c r="F101" s="151"/>
      <c r="G101" s="151"/>
      <c r="H101" s="151"/>
      <c r="I101" s="151"/>
      <c r="J101" s="151" t="str">
        <f>IF(COUNT(J99,J100)=2,J100/J99,"未重述/补充")</f>
        <v>未重述/补充</v>
      </c>
      <c r="K101" s="151" t="str">
        <f>IF(COUNT(K99,K100)=2,K100/K99,"未重述/补充")</f>
        <v>未重述/补充</v>
      </c>
      <c r="L101" s="151">
        <f>IF(COUNT(L99,L100)=2,L100/L99,"未重述/补充")</f>
        <v>0.58896126157010631</v>
      </c>
      <c r="M101" s="151">
        <f>IF(COUNT(M99,M100)=2,M100/M99,"未重述/补充")</f>
        <v>0.58599907278627728</v>
      </c>
      <c r="N101" s="151">
        <f>IF(COUNT(N99,N100)=2,N100/N99,"未重述/补充")</f>
        <v>0.59077991790337858</v>
      </c>
      <c r="O101" s="151"/>
      <c r="P101" s="151" t="str">
        <f t="shared" ref="P101:W101" si="17">IF(COUNT(P99,P100)=2,P100/P99,"未重述/补充")</f>
        <v>未重述/补充</v>
      </c>
      <c r="Q101" s="151" t="str">
        <f t="shared" si="17"/>
        <v>未重述/补充</v>
      </c>
      <c r="R101" s="151">
        <f t="shared" si="17"/>
        <v>0.6120514556533514</v>
      </c>
      <c r="S101" s="151">
        <f t="shared" si="17"/>
        <v>0.60302457466918713</v>
      </c>
      <c r="T101" s="151">
        <f t="shared" si="17"/>
        <v>0.57024793388429751</v>
      </c>
      <c r="U101" s="151">
        <f t="shared" si="17"/>
        <v>0.57984678845020621</v>
      </c>
      <c r="V101" s="151">
        <f t="shared" si="17"/>
        <v>0.61859356376638852</v>
      </c>
      <c r="W101" s="151">
        <f t="shared" si="17"/>
        <v>0.64002175095160418</v>
      </c>
      <c r="X101" s="139"/>
      <c r="Y101" s="163" t="s">
        <v>1137</v>
      </c>
    </row>
    <row r="102" spans="1:25" ht="21" customHeight="1">
      <c r="A102" s="139" t="s">
        <v>1091</v>
      </c>
      <c r="B102" s="139" t="s">
        <v>1066</v>
      </c>
      <c r="C102" s="140" t="s">
        <v>1130</v>
      </c>
      <c r="D102" s="140" t="s">
        <v>1130</v>
      </c>
      <c r="E102" s="140" t="s">
        <v>1130</v>
      </c>
      <c r="F102" s="140" t="s">
        <v>1130</v>
      </c>
      <c r="G102" s="140" t="s">
        <v>1130</v>
      </c>
      <c r="H102" s="140" t="s">
        <v>1130</v>
      </c>
      <c r="I102" s="140"/>
      <c r="J102" s="140" t="s">
        <v>1131</v>
      </c>
      <c r="K102" s="140" t="s">
        <v>1131</v>
      </c>
      <c r="L102" s="149">
        <f>Segments!J56</f>
        <v>48</v>
      </c>
      <c r="M102" s="149">
        <f>Segments!K56</f>
        <v>29</v>
      </c>
      <c r="N102" s="149">
        <f>Segments!L56</f>
        <v>32</v>
      </c>
      <c r="O102" s="140"/>
      <c r="P102" s="140" t="s">
        <v>1131</v>
      </c>
      <c r="Q102" s="140" t="s">
        <v>1131</v>
      </c>
      <c r="R102" s="149">
        <f>Segments!Q56</f>
        <v>7</v>
      </c>
      <c r="S102" s="149">
        <f>Segments!R56</f>
        <v>8</v>
      </c>
      <c r="T102" s="149">
        <f>Segments!S56</f>
        <v>8</v>
      </c>
      <c r="U102" s="149">
        <f>Segments!L56-SUM(Segments!Q56:S56)</f>
        <v>9</v>
      </c>
      <c r="V102" s="149">
        <f>Segments!T56</f>
        <v>8</v>
      </c>
      <c r="W102" s="149">
        <f>Segments!U56</f>
        <v>9</v>
      </c>
      <c r="X102" s="139"/>
      <c r="Y102" s="163"/>
    </row>
    <row r="103" spans="1:25" ht="21" customHeight="1">
      <c r="A103" s="139" t="s">
        <v>1092</v>
      </c>
      <c r="B103" s="139" t="s">
        <v>1066</v>
      </c>
      <c r="C103" s="140" t="s">
        <v>1130</v>
      </c>
      <c r="D103" s="140" t="s">
        <v>1130</v>
      </c>
      <c r="E103" s="140" t="s">
        <v>1130</v>
      </c>
      <c r="F103" s="140" t="s">
        <v>1130</v>
      </c>
      <c r="G103" s="140" t="s">
        <v>1130</v>
      </c>
      <c r="H103" s="140" t="s">
        <v>1130</v>
      </c>
      <c r="I103" s="140"/>
      <c r="J103" s="140" t="s">
        <v>1131</v>
      </c>
      <c r="K103" s="140" t="s">
        <v>1131</v>
      </c>
      <c r="L103" s="149">
        <f>Segments!J66</f>
        <v>1</v>
      </c>
      <c r="M103" s="149">
        <f>Segments!K66</f>
        <v>1</v>
      </c>
      <c r="N103" s="149">
        <f>Segments!L66</f>
        <v>2</v>
      </c>
      <c r="O103" s="140"/>
      <c r="P103" s="140" t="s">
        <v>1131</v>
      </c>
      <c r="Q103" s="140" t="s">
        <v>1131</v>
      </c>
      <c r="R103" s="149">
        <f>Segments!Q66</f>
        <v>0</v>
      </c>
      <c r="S103" s="149">
        <f>Segments!R66</f>
        <v>1</v>
      </c>
      <c r="T103" s="149">
        <f>Segments!S66</f>
        <v>0</v>
      </c>
      <c r="U103" s="149">
        <f>Segments!L66-SUM(Segments!Q66:S66)</f>
        <v>1</v>
      </c>
      <c r="V103" s="149">
        <f>Segments!T66</f>
        <v>0</v>
      </c>
      <c r="W103" s="149">
        <f>Segments!U66</f>
        <v>0</v>
      </c>
      <c r="X103" s="139"/>
      <c r="Y103" s="163"/>
    </row>
    <row r="104" spans="1:25" ht="21" customHeight="1">
      <c r="A104" s="150" t="s">
        <v>1138</v>
      </c>
      <c r="B104" s="150" t="s">
        <v>1069</v>
      </c>
      <c r="C104" s="151" t="s">
        <v>1130</v>
      </c>
      <c r="D104" s="151" t="s">
        <v>1130</v>
      </c>
      <c r="E104" s="151" t="s">
        <v>1130</v>
      </c>
      <c r="F104" s="151" t="s">
        <v>1130</v>
      </c>
      <c r="G104" s="151" t="s">
        <v>1130</v>
      </c>
      <c r="H104" s="151" t="s">
        <v>1130</v>
      </c>
      <c r="I104" s="151"/>
      <c r="J104" s="155">
        <f>'Operating Metrics'!H20</f>
        <v>0.06</v>
      </c>
      <c r="K104" s="155">
        <f>'Operating Metrics'!I20</f>
        <v>0.06</v>
      </c>
      <c r="L104" s="155">
        <f>'Operating Metrics'!J20</f>
        <v>0.05</v>
      </c>
      <c r="M104" s="155">
        <f>'Operating Metrics'!K20</f>
        <v>0.03</v>
      </c>
      <c r="N104" s="155">
        <f>'Operating Metrics'!L20</f>
        <v>0</v>
      </c>
      <c r="O104" s="151"/>
      <c r="P104" s="155">
        <f>'Operating Metrics'!P20</f>
        <v>0</v>
      </c>
      <c r="Q104" s="151" t="s">
        <v>1131</v>
      </c>
      <c r="R104" s="155">
        <f>'Operating Metrics'!Q20</f>
        <v>0</v>
      </c>
      <c r="S104" s="155">
        <f>'Operating Metrics'!R20</f>
        <v>-0.02</v>
      </c>
      <c r="T104" s="155">
        <f>'Operating Metrics'!S20</f>
        <v>0</v>
      </c>
      <c r="U104" s="151" t="s">
        <v>1131</v>
      </c>
      <c r="V104" s="155">
        <f>'Operating Metrics'!T20</f>
        <v>0.01</v>
      </c>
      <c r="W104" s="155">
        <f>'Operating Metrics'!U20</f>
        <v>0.03</v>
      </c>
      <c r="X104" s="139"/>
      <c r="Y104" s="163"/>
    </row>
    <row r="105" spans="1:25" ht="21" customHeight="1">
      <c r="A105" s="150" t="s">
        <v>1139</v>
      </c>
      <c r="B105" s="150" t="s">
        <v>1069</v>
      </c>
      <c r="C105" s="151" t="s">
        <v>1130</v>
      </c>
      <c r="D105" s="151" t="s">
        <v>1130</v>
      </c>
      <c r="E105" s="151" t="s">
        <v>1130</v>
      </c>
      <c r="F105" s="151" t="s">
        <v>1130</v>
      </c>
      <c r="G105" s="151" t="s">
        <v>1130</v>
      </c>
      <c r="H105" s="151" t="s">
        <v>1130</v>
      </c>
      <c r="I105" s="151"/>
      <c r="J105" s="155">
        <f>'Operating Metrics'!H29</f>
        <v>0.06</v>
      </c>
      <c r="K105" s="155">
        <f>'Operating Metrics'!I29</f>
        <v>7.0000000000000007E-2</v>
      </c>
      <c r="L105" s="155">
        <f>'Operating Metrics'!J29</f>
        <v>0.06</v>
      </c>
      <c r="M105" s="155">
        <f>'Operating Metrics'!K29</f>
        <v>0.03</v>
      </c>
      <c r="N105" s="155">
        <f>'Operating Metrics'!L29</f>
        <v>-0.01</v>
      </c>
      <c r="O105" s="151"/>
      <c r="P105" s="155">
        <f>'Operating Metrics'!P29</f>
        <v>0.02</v>
      </c>
      <c r="Q105" s="151" t="s">
        <v>1131</v>
      </c>
      <c r="R105" s="155">
        <f>'Operating Metrics'!Q29</f>
        <v>-0.03</v>
      </c>
      <c r="S105" s="155">
        <f>'Operating Metrics'!R29</f>
        <v>-0.01</v>
      </c>
      <c r="T105" s="155">
        <f>'Operating Metrics'!S29</f>
        <v>-0.03</v>
      </c>
      <c r="U105" s="151" t="s">
        <v>1131</v>
      </c>
      <c r="V105" s="155">
        <f>'Operating Metrics'!T29</f>
        <v>7.0000000000000007E-2</v>
      </c>
      <c r="W105" s="155">
        <f>'Operating Metrics'!U29</f>
        <v>0.01</v>
      </c>
      <c r="X105" s="139"/>
      <c r="Y105" s="163"/>
    </row>
    <row r="106" spans="1:25" ht="21" customHeight="1">
      <c r="A106" s="150" t="s">
        <v>1140</v>
      </c>
      <c r="B106" s="150" t="s">
        <v>1069</v>
      </c>
      <c r="C106" s="151" t="s">
        <v>1130</v>
      </c>
      <c r="D106" s="151" t="s">
        <v>1130</v>
      </c>
      <c r="E106" s="151" t="s">
        <v>1130</v>
      </c>
      <c r="F106" s="151" t="s">
        <v>1130</v>
      </c>
      <c r="G106" s="151" t="s">
        <v>1130</v>
      </c>
      <c r="H106" s="151" t="s">
        <v>1130</v>
      </c>
      <c r="I106" s="151"/>
      <c r="J106" s="155">
        <f>'Operating Metrics'!H49</f>
        <v>0.12</v>
      </c>
      <c r="K106" s="155">
        <f>'Operating Metrics'!I49</f>
        <v>0.17</v>
      </c>
      <c r="L106" s="155">
        <f>'Operating Metrics'!J49</f>
        <v>0.16</v>
      </c>
      <c r="M106" s="155">
        <f>'Operating Metrics'!K49</f>
        <v>0.21</v>
      </c>
      <c r="N106" s="155">
        <f>'Operating Metrics'!L49</f>
        <v>0.11</v>
      </c>
      <c r="O106" s="151"/>
      <c r="P106" s="155">
        <f>'Operating Metrics'!P49</f>
        <v>0.21</v>
      </c>
      <c r="Q106" s="151" t="s">
        <v>1131</v>
      </c>
      <c r="R106" s="155">
        <f>'Operating Metrics'!Q49</f>
        <v>0.16</v>
      </c>
      <c r="S106" s="155">
        <f>'Operating Metrics'!R49</f>
        <v>0.15</v>
      </c>
      <c r="T106" s="155">
        <f>'Operating Metrics'!S49</f>
        <v>7.0000000000000007E-2</v>
      </c>
      <c r="U106" s="151" t="s">
        <v>1131</v>
      </c>
      <c r="V106" s="155">
        <f>'Operating Metrics'!T49</f>
        <v>0.01</v>
      </c>
      <c r="W106" s="155">
        <f>'Operating Metrics'!U49</f>
        <v>0.03</v>
      </c>
      <c r="X106" s="139"/>
      <c r="Y106" s="163"/>
    </row>
    <row r="107" spans="1:25" ht="21" customHeight="1">
      <c r="A107" s="150" t="s">
        <v>1141</v>
      </c>
      <c r="B107" s="150" t="s">
        <v>1069</v>
      </c>
      <c r="C107" s="151" t="s">
        <v>1130</v>
      </c>
      <c r="D107" s="151" t="s">
        <v>1130</v>
      </c>
      <c r="E107" s="151" t="s">
        <v>1130</v>
      </c>
      <c r="F107" s="151" t="s">
        <v>1130</v>
      </c>
      <c r="G107" s="151" t="s">
        <v>1130</v>
      </c>
      <c r="H107" s="151" t="s">
        <v>1130</v>
      </c>
      <c r="I107" s="151"/>
      <c r="J107" s="155">
        <f>'Operating Metrics'!H58</f>
        <v>0</v>
      </c>
      <c r="K107" s="155">
        <f>'Operating Metrics'!I58</f>
        <v>-0.05</v>
      </c>
      <c r="L107" s="155">
        <f>'Operating Metrics'!J58</f>
        <v>-0.03</v>
      </c>
      <c r="M107" s="155">
        <f>'Operating Metrics'!K58</f>
        <v>-0.14000000000000001</v>
      </c>
      <c r="N107" s="155">
        <f>'Operating Metrics'!L58</f>
        <v>-0.12</v>
      </c>
      <c r="O107" s="151"/>
      <c r="P107" s="155">
        <f>'Operating Metrics'!P58</f>
        <v>-0.2</v>
      </c>
      <c r="Q107" s="151" t="s">
        <v>1131</v>
      </c>
      <c r="R107" s="155">
        <f>'Operating Metrics'!Q58</f>
        <v>-0.16</v>
      </c>
      <c r="S107" s="155">
        <f>'Operating Metrics'!R58</f>
        <v>-0.17</v>
      </c>
      <c r="T107" s="155">
        <f>'Operating Metrics'!S58</f>
        <v>-0.08</v>
      </c>
      <c r="U107" s="151" t="s">
        <v>1131</v>
      </c>
      <c r="V107" s="155">
        <f>'Operating Metrics'!T58</f>
        <v>0.05</v>
      </c>
      <c r="W107" s="155">
        <f>'Operating Metrics'!U58</f>
        <v>0.11</v>
      </c>
      <c r="X107" s="139"/>
      <c r="Y107" s="163"/>
    </row>
    <row r="108" spans="1:25" ht="21" customHeight="1">
      <c r="A108" s="150" t="s">
        <v>1142</v>
      </c>
      <c r="B108" s="150" t="s">
        <v>1069</v>
      </c>
      <c r="C108" s="151" t="s">
        <v>1130</v>
      </c>
      <c r="D108" s="151" t="s">
        <v>1130</v>
      </c>
      <c r="E108" s="151" t="s">
        <v>1130</v>
      </c>
      <c r="F108" s="151" t="s">
        <v>1130</v>
      </c>
      <c r="G108" s="151" t="s">
        <v>1130</v>
      </c>
      <c r="H108" s="151" t="s">
        <v>1130</v>
      </c>
      <c r="I108" s="151"/>
      <c r="J108" s="155">
        <f>'Operating Metrics'!H67</f>
        <v>0</v>
      </c>
      <c r="K108" s="155">
        <f>'Operating Metrics'!I67</f>
        <v>0</v>
      </c>
      <c r="L108" s="155">
        <f>'Operating Metrics'!J67</f>
        <v>0</v>
      </c>
      <c r="M108" s="155">
        <f>'Operating Metrics'!K67</f>
        <v>0</v>
      </c>
      <c r="N108" s="155">
        <f>'Operating Metrics'!L67</f>
        <v>0</v>
      </c>
      <c r="O108" s="151"/>
      <c r="P108" s="155">
        <f>'Operating Metrics'!P67</f>
        <v>0</v>
      </c>
      <c r="Q108" s="151" t="s">
        <v>1131</v>
      </c>
      <c r="R108" s="155">
        <f>'Operating Metrics'!Q67</f>
        <v>0</v>
      </c>
      <c r="S108" s="155">
        <f>'Operating Metrics'!R67</f>
        <v>0</v>
      </c>
      <c r="T108" s="155">
        <f>'Operating Metrics'!S67</f>
        <v>0</v>
      </c>
      <c r="U108" s="151" t="s">
        <v>1131</v>
      </c>
      <c r="V108" s="155">
        <f>'Operating Metrics'!T67</f>
        <v>0</v>
      </c>
      <c r="W108" s="155">
        <f>'Operating Metrics'!U67</f>
        <v>0</v>
      </c>
      <c r="X108" s="139"/>
      <c r="Y108" s="163"/>
    </row>
    <row r="109" spans="1:25" ht="21" customHeight="1">
      <c r="A109" s="139"/>
      <c r="B109" s="139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39"/>
      <c r="Y109" s="163"/>
    </row>
    <row r="110" spans="1:25" ht="25" customHeight="1">
      <c r="A110" s="142" t="s">
        <v>1144</v>
      </c>
      <c r="B110" s="142"/>
      <c r="C110" s="143"/>
      <c r="D110" s="143"/>
      <c r="E110" s="143"/>
      <c r="F110" s="143"/>
      <c r="G110" s="143"/>
      <c r="H110" s="143"/>
      <c r="I110" s="140"/>
      <c r="J110" s="143"/>
      <c r="K110" s="143"/>
      <c r="L110" s="143"/>
      <c r="M110" s="143"/>
      <c r="N110" s="143"/>
      <c r="O110" s="140"/>
      <c r="P110" s="143"/>
      <c r="Q110" s="143"/>
      <c r="R110" s="143"/>
      <c r="S110" s="143"/>
      <c r="T110" s="143"/>
      <c r="U110" s="143"/>
      <c r="V110" s="143"/>
      <c r="W110" s="143"/>
      <c r="X110" s="139"/>
      <c r="Y110" s="163"/>
    </row>
    <row r="111" spans="1:25" ht="21" customHeight="1">
      <c r="A111" s="139" t="s">
        <v>1129</v>
      </c>
      <c r="B111" s="139" t="s">
        <v>1066</v>
      </c>
      <c r="C111" s="140" t="s">
        <v>1130</v>
      </c>
      <c r="D111" s="140" t="s">
        <v>1130</v>
      </c>
      <c r="E111" s="140" t="s">
        <v>1130</v>
      </c>
      <c r="F111" s="140" t="s">
        <v>1130</v>
      </c>
      <c r="G111" s="140" t="s">
        <v>1130</v>
      </c>
      <c r="H111" s="140" t="s">
        <v>1130</v>
      </c>
      <c r="I111" s="140"/>
      <c r="J111" s="140" t="s">
        <v>1131</v>
      </c>
      <c r="K111" s="140" t="s">
        <v>1131</v>
      </c>
      <c r="L111" s="149">
        <f>Segments!J15</f>
        <v>16965</v>
      </c>
      <c r="M111" s="149">
        <f>Segments!K15</f>
        <v>18860</v>
      </c>
      <c r="N111" s="149">
        <f>Segments!L15</f>
        <v>19579</v>
      </c>
      <c r="O111" s="140"/>
      <c r="P111" s="140" t="s">
        <v>1131</v>
      </c>
      <c r="Q111" s="140" t="s">
        <v>1131</v>
      </c>
      <c r="R111" s="149">
        <f>Segments!Q15</f>
        <v>4359</v>
      </c>
      <c r="S111" s="149">
        <f>Segments!R15</f>
        <v>5028</v>
      </c>
      <c r="T111" s="149">
        <f>Segments!S15</f>
        <v>5249</v>
      </c>
      <c r="U111" s="149">
        <f>Segments!L15-SUM(Segments!Q15:S15)</f>
        <v>4943</v>
      </c>
      <c r="V111" s="149">
        <f>Segments!T15</f>
        <v>4891</v>
      </c>
      <c r="W111" s="149">
        <f>Segments!U15</f>
        <v>5405</v>
      </c>
      <c r="X111" s="139"/>
      <c r="Y111" s="163" t="s">
        <v>1132</v>
      </c>
    </row>
    <row r="112" spans="1:25" ht="21" customHeight="1">
      <c r="A112" s="150" t="s">
        <v>1133</v>
      </c>
      <c r="B112" s="150" t="s">
        <v>1069</v>
      </c>
      <c r="C112" s="151"/>
      <c r="D112" s="151"/>
      <c r="E112" s="151"/>
      <c r="F112" s="151"/>
      <c r="G112" s="151"/>
      <c r="H112" s="151"/>
      <c r="I112" s="151"/>
      <c r="J112" s="151"/>
      <c r="K112" s="151" t="str">
        <f>IF(COUNT(K111,J111)=2,K111/J111-1,"未重述/补充")</f>
        <v>未重述/补充</v>
      </c>
      <c r="L112" s="151" t="str">
        <f>IF(COUNT(L111,K111)=2,L111/K111-1,"未重述/补充")</f>
        <v>未重述/补充</v>
      </c>
      <c r="M112" s="151">
        <f>IF(COUNT(M111,L111)=2,M111/L111-1,"未重述/补充")</f>
        <v>0.11170055997642203</v>
      </c>
      <c r="N112" s="151">
        <f>IF(COUNT(N111,M111)=2,N111/M111-1,"未重述/补充")</f>
        <v>3.8123011664899176E-2</v>
      </c>
      <c r="O112" s="151"/>
      <c r="P112" s="151"/>
      <c r="Q112" s="151"/>
      <c r="R112" s="151"/>
      <c r="S112" s="151"/>
      <c r="T112" s="151"/>
      <c r="U112" s="151"/>
      <c r="V112" s="151">
        <f>V111/R111-1</f>
        <v>0.122046340903877</v>
      </c>
      <c r="W112" s="151">
        <f>W111/S111-1</f>
        <v>7.498011137629268E-2</v>
      </c>
      <c r="X112" s="139"/>
      <c r="Y112" s="163"/>
    </row>
    <row r="113" spans="1:25" ht="21" customHeight="1">
      <c r="A113" s="139" t="s">
        <v>1134</v>
      </c>
      <c r="B113" s="139" t="s">
        <v>1066</v>
      </c>
      <c r="C113" s="140" t="s">
        <v>1130</v>
      </c>
      <c r="D113" s="140" t="s">
        <v>1130</v>
      </c>
      <c r="E113" s="140" t="s">
        <v>1130</v>
      </c>
      <c r="F113" s="140" t="s">
        <v>1130</v>
      </c>
      <c r="G113" s="140" t="s">
        <v>1130</v>
      </c>
      <c r="H113" s="140" t="s">
        <v>1130</v>
      </c>
      <c r="I113" s="140"/>
      <c r="J113" s="140" t="s">
        <v>1131</v>
      </c>
      <c r="K113" s="140" t="s">
        <v>1131</v>
      </c>
      <c r="L113" s="149">
        <f>Segments!J36</f>
        <v>16973</v>
      </c>
      <c r="M113" s="149">
        <f>Segments!K36</f>
        <v>18869</v>
      </c>
      <c r="N113" s="149">
        <f>Segments!L36</f>
        <v>19586</v>
      </c>
      <c r="O113" s="140"/>
      <c r="P113" s="140" t="s">
        <v>1131</v>
      </c>
      <c r="Q113" s="140" t="s">
        <v>1131</v>
      </c>
      <c r="R113" s="149">
        <f>Segments!Q36</f>
        <v>4361</v>
      </c>
      <c r="S113" s="149">
        <f>Segments!R36</f>
        <v>5029</v>
      </c>
      <c r="T113" s="149">
        <f>Segments!S36</f>
        <v>5253</v>
      </c>
      <c r="U113" s="149">
        <f>Segments!L36-SUM(Segments!Q36:S36)</f>
        <v>4943</v>
      </c>
      <c r="V113" s="149">
        <f>Segments!T36</f>
        <v>4893</v>
      </c>
      <c r="W113" s="149">
        <f>Segments!U36</f>
        <v>5408</v>
      </c>
      <c r="X113" s="139"/>
      <c r="Y113" s="163"/>
    </row>
    <row r="114" spans="1:25" ht="21" customHeight="1">
      <c r="A114" s="139" t="s">
        <v>1135</v>
      </c>
      <c r="B114" s="139" t="s">
        <v>1066</v>
      </c>
      <c r="C114" s="140" t="s">
        <v>1130</v>
      </c>
      <c r="D114" s="140" t="s">
        <v>1130</v>
      </c>
      <c r="E114" s="140" t="s">
        <v>1130</v>
      </c>
      <c r="F114" s="140" t="s">
        <v>1130</v>
      </c>
      <c r="G114" s="140" t="s">
        <v>1130</v>
      </c>
      <c r="H114" s="140" t="s">
        <v>1130</v>
      </c>
      <c r="I114" s="140"/>
      <c r="J114" s="140" t="s">
        <v>1131</v>
      </c>
      <c r="K114" s="140" t="s">
        <v>1131</v>
      </c>
      <c r="L114" s="149">
        <f>Segments!J47</f>
        <v>4634</v>
      </c>
      <c r="M114" s="149">
        <f>Segments!K47</f>
        <v>4556</v>
      </c>
      <c r="N114" s="149">
        <f>Segments!L47</f>
        <v>5070</v>
      </c>
      <c r="O114" s="140"/>
      <c r="P114" s="140" t="s">
        <v>1131</v>
      </c>
      <c r="Q114" s="140" t="s">
        <v>1131</v>
      </c>
      <c r="R114" s="149">
        <f>Segments!Q47</f>
        <v>1341</v>
      </c>
      <c r="S114" s="149">
        <f>Segments!R47</f>
        <v>1621</v>
      </c>
      <c r="T114" s="149">
        <f>Segments!S47</f>
        <v>1681</v>
      </c>
      <c r="U114" s="149">
        <f>Segments!L47-SUM(Segments!Q47:S47)</f>
        <v>427</v>
      </c>
      <c r="V114" s="149">
        <f>Segments!T47</f>
        <v>1606</v>
      </c>
      <c r="W114" s="149">
        <f>Segments!U47</f>
        <v>1695</v>
      </c>
      <c r="X114" s="139"/>
      <c r="Y114" s="163"/>
    </row>
    <row r="115" spans="1:25" ht="21" customHeight="1">
      <c r="A115" s="150" t="s">
        <v>1136</v>
      </c>
      <c r="B115" s="150" t="s">
        <v>1069</v>
      </c>
      <c r="C115" s="151"/>
      <c r="D115" s="151"/>
      <c r="E115" s="151"/>
      <c r="F115" s="151"/>
      <c r="G115" s="151"/>
      <c r="H115" s="151"/>
      <c r="I115" s="151"/>
      <c r="J115" s="151" t="str">
        <f>IF(COUNT(J113,J114)=2,J114/J113,"未重述/补充")</f>
        <v>未重述/补充</v>
      </c>
      <c r="K115" s="151" t="str">
        <f>IF(COUNT(K113,K114)=2,K114/K113,"未重述/补充")</f>
        <v>未重述/补充</v>
      </c>
      <c r="L115" s="151">
        <f>IF(COUNT(L113,L114)=2,L114/L113,"未重述/补充")</f>
        <v>0.27302185824544867</v>
      </c>
      <c r="M115" s="151">
        <f>IF(COUNT(M113,M114)=2,M114/M113,"未重述/补充")</f>
        <v>0.24145423710848482</v>
      </c>
      <c r="N115" s="151">
        <f>IF(COUNT(N113,N114)=2,N114/N113,"未重述/补充")</f>
        <v>0.25885836822219954</v>
      </c>
      <c r="O115" s="151"/>
      <c r="P115" s="151" t="str">
        <f t="shared" ref="P115:W115" si="18">IF(COUNT(P113,P114)=2,P114/P113,"未重述/补充")</f>
        <v>未重述/补充</v>
      </c>
      <c r="Q115" s="151" t="str">
        <f t="shared" si="18"/>
        <v>未重述/补充</v>
      </c>
      <c r="R115" s="151">
        <f t="shared" si="18"/>
        <v>0.30749828021096076</v>
      </c>
      <c r="S115" s="151">
        <f t="shared" si="18"/>
        <v>0.32233048319745478</v>
      </c>
      <c r="T115" s="151">
        <f t="shared" si="18"/>
        <v>0.32000761469636396</v>
      </c>
      <c r="U115" s="151">
        <f t="shared" si="18"/>
        <v>8.6384786566862229E-2</v>
      </c>
      <c r="V115" s="151">
        <f t="shared" si="18"/>
        <v>0.32822399346004494</v>
      </c>
      <c r="W115" s="151">
        <f t="shared" si="18"/>
        <v>0.31342455621301774</v>
      </c>
      <c r="X115" s="139"/>
      <c r="Y115" s="163" t="s">
        <v>1137</v>
      </c>
    </row>
    <row r="116" spans="1:25" ht="21" customHeight="1">
      <c r="A116" s="139" t="s">
        <v>1091</v>
      </c>
      <c r="B116" s="139" t="s">
        <v>1066</v>
      </c>
      <c r="C116" s="140" t="s">
        <v>1130</v>
      </c>
      <c r="D116" s="140" t="s">
        <v>1130</v>
      </c>
      <c r="E116" s="140" t="s">
        <v>1130</v>
      </c>
      <c r="F116" s="140" t="s">
        <v>1130</v>
      </c>
      <c r="G116" s="140" t="s">
        <v>1130</v>
      </c>
      <c r="H116" s="140" t="s">
        <v>1130</v>
      </c>
      <c r="I116" s="140"/>
      <c r="J116" s="140" t="s">
        <v>1131</v>
      </c>
      <c r="K116" s="140" t="s">
        <v>1131</v>
      </c>
      <c r="L116" s="149">
        <f>Segments!J57</f>
        <v>310</v>
      </c>
      <c r="M116" s="149">
        <f>Segments!K57</f>
        <v>325</v>
      </c>
      <c r="N116" s="149">
        <f>Segments!L57</f>
        <v>326</v>
      </c>
      <c r="O116" s="140"/>
      <c r="P116" s="140" t="s">
        <v>1131</v>
      </c>
      <c r="Q116" s="140" t="s">
        <v>1131</v>
      </c>
      <c r="R116" s="149">
        <f>Segments!Q57</f>
        <v>81</v>
      </c>
      <c r="S116" s="149">
        <f>Segments!R57</f>
        <v>81</v>
      </c>
      <c r="T116" s="149">
        <f>Segments!S57</f>
        <v>83</v>
      </c>
      <c r="U116" s="149">
        <f>Segments!L57-SUM(Segments!Q57:S57)</f>
        <v>81</v>
      </c>
      <c r="V116" s="149">
        <f>Segments!T57</f>
        <v>99</v>
      </c>
      <c r="W116" s="149">
        <f>Segments!U57</f>
        <v>92</v>
      </c>
      <c r="X116" s="139"/>
      <c r="Y116" s="163"/>
    </row>
    <row r="117" spans="1:25" ht="21" customHeight="1">
      <c r="A117" s="139" t="s">
        <v>1092</v>
      </c>
      <c r="B117" s="139" t="s">
        <v>1066</v>
      </c>
      <c r="C117" s="140" t="s">
        <v>1130</v>
      </c>
      <c r="D117" s="140" t="s">
        <v>1130</v>
      </c>
      <c r="E117" s="140" t="s">
        <v>1130</v>
      </c>
      <c r="F117" s="140" t="s">
        <v>1130</v>
      </c>
      <c r="G117" s="140" t="s">
        <v>1130</v>
      </c>
      <c r="H117" s="140" t="s">
        <v>1130</v>
      </c>
      <c r="I117" s="140"/>
      <c r="J117" s="140" t="s">
        <v>1131</v>
      </c>
      <c r="K117" s="140" t="s">
        <v>1131</v>
      </c>
      <c r="L117" s="149">
        <f>Segments!J67</f>
        <v>412</v>
      </c>
      <c r="M117" s="149">
        <f>Segments!K67</f>
        <v>602</v>
      </c>
      <c r="N117" s="149">
        <f>Segments!L67</f>
        <v>669</v>
      </c>
      <c r="O117" s="140"/>
      <c r="P117" s="140" t="s">
        <v>1131</v>
      </c>
      <c r="Q117" s="140" t="s">
        <v>1131</v>
      </c>
      <c r="R117" s="149">
        <f>Segments!Q67</f>
        <v>115</v>
      </c>
      <c r="S117" s="149">
        <f>Segments!R67</f>
        <v>154</v>
      </c>
      <c r="T117" s="149">
        <f>Segments!S67</f>
        <v>176</v>
      </c>
      <c r="U117" s="149">
        <f>Segments!L67-SUM(Segments!Q67:S67)</f>
        <v>224</v>
      </c>
      <c r="V117" s="149">
        <f>Segments!T67</f>
        <v>83</v>
      </c>
      <c r="W117" s="149">
        <f>Segments!U67</f>
        <v>179</v>
      </c>
      <c r="X117" s="139"/>
      <c r="Y117" s="163"/>
    </row>
    <row r="118" spans="1:25" ht="21" customHeight="1">
      <c r="A118" s="150" t="s">
        <v>1138</v>
      </c>
      <c r="B118" s="150" t="s">
        <v>1069</v>
      </c>
      <c r="C118" s="151" t="s">
        <v>1130</v>
      </c>
      <c r="D118" s="151" t="s">
        <v>1130</v>
      </c>
      <c r="E118" s="151" t="s">
        <v>1130</v>
      </c>
      <c r="F118" s="151" t="s">
        <v>1130</v>
      </c>
      <c r="G118" s="151" t="s">
        <v>1130</v>
      </c>
      <c r="H118" s="151" t="s">
        <v>1130</v>
      </c>
      <c r="I118" s="151"/>
      <c r="J118" s="155">
        <f>'Operating Metrics'!H21</f>
        <v>0.05</v>
      </c>
      <c r="K118" s="155">
        <f>'Operating Metrics'!I21</f>
        <v>0.02</v>
      </c>
      <c r="L118" s="155">
        <f>'Operating Metrics'!J21</f>
        <v>-0.01</v>
      </c>
      <c r="M118" s="155">
        <f>'Operating Metrics'!K21</f>
        <v>0</v>
      </c>
      <c r="N118" s="155">
        <f>'Operating Metrics'!L21</f>
        <v>-0.01</v>
      </c>
      <c r="O118" s="151"/>
      <c r="P118" s="155">
        <f>'Operating Metrics'!P21</f>
        <v>0</v>
      </c>
      <c r="Q118" s="151" t="s">
        <v>1131</v>
      </c>
      <c r="R118" s="155">
        <f>'Operating Metrics'!Q21</f>
        <v>-0.03</v>
      </c>
      <c r="S118" s="155">
        <f>'Operating Metrics'!R21</f>
        <v>-0.01</v>
      </c>
      <c r="T118" s="155">
        <f>'Operating Metrics'!S21</f>
        <v>0</v>
      </c>
      <c r="U118" s="151" t="s">
        <v>1131</v>
      </c>
      <c r="V118" s="155">
        <f>'Operating Metrics'!T21</f>
        <v>0.04</v>
      </c>
      <c r="W118" s="155">
        <f>'Operating Metrics'!U21</f>
        <v>0.03</v>
      </c>
      <c r="X118" s="139"/>
      <c r="Y118" s="163"/>
    </row>
    <row r="119" spans="1:25" ht="21" customHeight="1">
      <c r="A119" s="150" t="s">
        <v>1139</v>
      </c>
      <c r="B119" s="150" t="s">
        <v>1069</v>
      </c>
      <c r="C119" s="151" t="s">
        <v>1130</v>
      </c>
      <c r="D119" s="151" t="s">
        <v>1130</v>
      </c>
      <c r="E119" s="151" t="s">
        <v>1130</v>
      </c>
      <c r="F119" s="151" t="s">
        <v>1130</v>
      </c>
      <c r="G119" s="151" t="s">
        <v>1130</v>
      </c>
      <c r="H119" s="151" t="s">
        <v>1130</v>
      </c>
      <c r="I119" s="151"/>
      <c r="J119" s="155">
        <f>'Operating Metrics'!H31</f>
        <v>7.0000000000000007E-2</v>
      </c>
      <c r="K119" s="155">
        <f>'Operating Metrics'!I31</f>
        <v>0.01</v>
      </c>
      <c r="L119" s="155">
        <f>'Operating Metrics'!J31</f>
        <v>-0.01</v>
      </c>
      <c r="M119" s="155">
        <f>'Operating Metrics'!K31</f>
        <v>0.01</v>
      </c>
      <c r="N119" s="155">
        <f>'Operating Metrics'!L31</f>
        <v>-0.01</v>
      </c>
      <c r="O119" s="151"/>
      <c r="P119" s="155">
        <f>'Operating Metrics'!P31</f>
        <v>0.01</v>
      </c>
      <c r="Q119" s="151" t="s">
        <v>1131</v>
      </c>
      <c r="R119" s="155">
        <f>'Operating Metrics'!Q31</f>
        <v>-0.04</v>
      </c>
      <c r="S119" s="155">
        <f>'Operating Metrics'!R31</f>
        <v>0</v>
      </c>
      <c r="T119" s="155">
        <f>'Operating Metrics'!S31</f>
        <v>-0.02</v>
      </c>
      <c r="U119" s="151" t="s">
        <v>1131</v>
      </c>
      <c r="V119" s="155">
        <f>'Operating Metrics'!T31</f>
        <v>0.11</v>
      </c>
      <c r="W119" s="155">
        <f>'Operating Metrics'!U31</f>
        <v>0.03</v>
      </c>
      <c r="X119" s="139"/>
      <c r="Y119" s="163"/>
    </row>
    <row r="120" spans="1:25" ht="21" customHeight="1">
      <c r="A120" s="150" t="s">
        <v>1140</v>
      </c>
      <c r="B120" s="150" t="s">
        <v>1069</v>
      </c>
      <c r="C120" s="151" t="s">
        <v>1130</v>
      </c>
      <c r="D120" s="151" t="s">
        <v>1130</v>
      </c>
      <c r="E120" s="151" t="s">
        <v>1130</v>
      </c>
      <c r="F120" s="151" t="s">
        <v>1130</v>
      </c>
      <c r="G120" s="151" t="s">
        <v>1130</v>
      </c>
      <c r="H120" s="151" t="s">
        <v>1130</v>
      </c>
      <c r="I120" s="151"/>
      <c r="J120" s="155">
        <f>'Operating Metrics'!H50</f>
        <v>7.0000000000000007E-2</v>
      </c>
      <c r="K120" s="155">
        <f>'Operating Metrics'!I50</f>
        <v>0.12</v>
      </c>
      <c r="L120" s="155">
        <f>'Operating Metrics'!J50</f>
        <v>0.08</v>
      </c>
      <c r="M120" s="155">
        <f>'Operating Metrics'!K50</f>
        <v>0.1</v>
      </c>
      <c r="N120" s="155">
        <f>'Operating Metrics'!L50</f>
        <v>0.05</v>
      </c>
      <c r="O120" s="151"/>
      <c r="P120" s="155">
        <f>'Operating Metrics'!P50</f>
        <v>0.11</v>
      </c>
      <c r="Q120" s="151" t="s">
        <v>1131</v>
      </c>
      <c r="R120" s="155">
        <f>'Operating Metrics'!Q50</f>
        <v>0.08</v>
      </c>
      <c r="S120" s="155">
        <f>'Operating Metrics'!R50</f>
        <v>0.03</v>
      </c>
      <c r="T120" s="155">
        <f>'Operating Metrics'!S50</f>
        <v>0.06</v>
      </c>
      <c r="U120" s="151" t="s">
        <v>1131</v>
      </c>
      <c r="V120" s="155">
        <f>'Operating Metrics'!T50</f>
        <v>0.01</v>
      </c>
      <c r="W120" s="155">
        <f>'Operating Metrics'!U50</f>
        <v>0.04</v>
      </c>
      <c r="X120" s="139"/>
      <c r="Y120" s="163"/>
    </row>
    <row r="121" spans="1:25" ht="21" customHeight="1">
      <c r="A121" s="150" t="s">
        <v>1141</v>
      </c>
      <c r="B121" s="150" t="s">
        <v>1069</v>
      </c>
      <c r="C121" s="151" t="s">
        <v>1130</v>
      </c>
      <c r="D121" s="151" t="s">
        <v>1130</v>
      </c>
      <c r="E121" s="151" t="s">
        <v>1130</v>
      </c>
      <c r="F121" s="151" t="s">
        <v>1130</v>
      </c>
      <c r="G121" s="151" t="s">
        <v>1130</v>
      </c>
      <c r="H121" s="151" t="s">
        <v>1130</v>
      </c>
      <c r="I121" s="151"/>
      <c r="J121" s="155">
        <f>'Operating Metrics'!H59</f>
        <v>0</v>
      </c>
      <c r="K121" s="155">
        <f>'Operating Metrics'!I59</f>
        <v>0</v>
      </c>
      <c r="L121" s="155">
        <f>'Operating Metrics'!J59</f>
        <v>0</v>
      </c>
      <c r="M121" s="155">
        <f>'Operating Metrics'!K59</f>
        <v>0</v>
      </c>
      <c r="N121" s="155">
        <f>'Operating Metrics'!L59</f>
        <v>0</v>
      </c>
      <c r="O121" s="151"/>
      <c r="P121" s="155">
        <f>'Operating Metrics'!P59</f>
        <v>0</v>
      </c>
      <c r="Q121" s="151" t="s">
        <v>1131</v>
      </c>
      <c r="R121" s="155">
        <f>'Operating Metrics'!Q59</f>
        <v>0</v>
      </c>
      <c r="S121" s="155">
        <f>'Operating Metrics'!R59</f>
        <v>0</v>
      </c>
      <c r="T121" s="155">
        <f>'Operating Metrics'!S59</f>
        <v>0</v>
      </c>
      <c r="U121" s="151" t="s">
        <v>1131</v>
      </c>
      <c r="V121" s="155">
        <f>'Operating Metrics'!T59</f>
        <v>0</v>
      </c>
      <c r="W121" s="155">
        <f>'Operating Metrics'!U59</f>
        <v>0</v>
      </c>
      <c r="X121" s="139"/>
      <c r="Y121" s="163"/>
    </row>
    <row r="122" spans="1:25" ht="21" customHeight="1">
      <c r="A122" s="150" t="s">
        <v>1142</v>
      </c>
      <c r="B122" s="150" t="s">
        <v>1069</v>
      </c>
      <c r="C122" s="151" t="s">
        <v>1130</v>
      </c>
      <c r="D122" s="151" t="s">
        <v>1130</v>
      </c>
      <c r="E122" s="151" t="s">
        <v>1130</v>
      </c>
      <c r="F122" s="151" t="s">
        <v>1130</v>
      </c>
      <c r="G122" s="151" t="s">
        <v>1130</v>
      </c>
      <c r="H122" s="151" t="s">
        <v>1130</v>
      </c>
      <c r="I122" s="151"/>
      <c r="J122" s="155">
        <f>'Operating Metrics'!H68</f>
        <v>0</v>
      </c>
      <c r="K122" s="155">
        <f>'Operating Metrics'!I68</f>
        <v>0.06</v>
      </c>
      <c r="L122" s="155">
        <f>'Operating Metrics'!J68</f>
        <v>0</v>
      </c>
      <c r="M122" s="155">
        <f>'Operating Metrics'!K68</f>
        <v>0</v>
      </c>
      <c r="N122" s="155">
        <f>'Operating Metrics'!L68</f>
        <v>0</v>
      </c>
      <c r="O122" s="151"/>
      <c r="P122" s="155">
        <f>'Operating Metrics'!P68</f>
        <v>0</v>
      </c>
      <c r="Q122" s="151" t="s">
        <v>1131</v>
      </c>
      <c r="R122" s="155">
        <f>'Operating Metrics'!Q68</f>
        <v>0</v>
      </c>
      <c r="S122" s="155">
        <f>'Operating Metrics'!R68</f>
        <v>0</v>
      </c>
      <c r="T122" s="155">
        <f>'Operating Metrics'!S68</f>
        <v>0</v>
      </c>
      <c r="U122" s="151" t="s">
        <v>1131</v>
      </c>
      <c r="V122" s="155">
        <f>'Operating Metrics'!T68</f>
        <v>0</v>
      </c>
      <c r="W122" s="155">
        <f>'Operating Metrics'!U68</f>
        <v>0</v>
      </c>
      <c r="X122" s="139"/>
      <c r="Y122" s="163"/>
    </row>
    <row r="123" spans="1:25" ht="21" customHeight="1">
      <c r="A123" s="139"/>
      <c r="B123" s="139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39"/>
      <c r="Y123" s="163"/>
    </row>
    <row r="124" spans="1:25" ht="25" customHeight="1">
      <c r="A124" s="142" t="s">
        <v>1145</v>
      </c>
      <c r="B124" s="142"/>
      <c r="C124" s="143"/>
      <c r="D124" s="143"/>
      <c r="E124" s="143"/>
      <c r="F124" s="143"/>
      <c r="G124" s="143"/>
      <c r="H124" s="143"/>
      <c r="I124" s="140"/>
      <c r="J124" s="143"/>
      <c r="K124" s="143"/>
      <c r="L124" s="143"/>
      <c r="M124" s="143"/>
      <c r="N124" s="143"/>
      <c r="O124" s="140"/>
      <c r="P124" s="143"/>
      <c r="Q124" s="143"/>
      <c r="R124" s="143"/>
      <c r="S124" s="143"/>
      <c r="T124" s="143"/>
      <c r="U124" s="143"/>
      <c r="V124" s="143"/>
      <c r="W124" s="143"/>
      <c r="X124" s="139"/>
      <c r="Y124" s="163"/>
    </row>
    <row r="125" spans="1:25" ht="21" customHeight="1">
      <c r="A125" s="139" t="s">
        <v>1129</v>
      </c>
      <c r="B125" s="139" t="s">
        <v>1066</v>
      </c>
      <c r="C125" s="140" t="s">
        <v>1130</v>
      </c>
      <c r="D125" s="140" t="s">
        <v>1130</v>
      </c>
      <c r="E125" s="140" t="s">
        <v>1130</v>
      </c>
      <c r="F125" s="140" t="s">
        <v>1130</v>
      </c>
      <c r="G125" s="140" t="s">
        <v>1130</v>
      </c>
      <c r="H125" s="140" t="s">
        <v>1130</v>
      </c>
      <c r="I125" s="140"/>
      <c r="J125" s="140" t="s">
        <v>1131</v>
      </c>
      <c r="K125" s="140" t="s">
        <v>1131</v>
      </c>
      <c r="L125" s="149">
        <f>Segments!J16</f>
        <v>4811</v>
      </c>
      <c r="M125" s="149">
        <f>Segments!K16</f>
        <v>5127</v>
      </c>
      <c r="N125" s="149">
        <f>Segments!L16</f>
        <v>5328</v>
      </c>
      <c r="O125" s="140"/>
      <c r="P125" s="140" t="s">
        <v>1131</v>
      </c>
      <c r="Q125" s="140" t="s">
        <v>1131</v>
      </c>
      <c r="R125" s="149">
        <f>Segments!Q16</f>
        <v>1325</v>
      </c>
      <c r="S125" s="149">
        <f>Segments!R16</f>
        <v>1464</v>
      </c>
      <c r="T125" s="149">
        <f>Segments!S16</f>
        <v>1438</v>
      </c>
      <c r="U125" s="149">
        <f>Segments!L16-SUM(Segments!Q16:S16)</f>
        <v>1101</v>
      </c>
      <c r="V125" s="149">
        <f>Segments!T16</f>
        <v>1426</v>
      </c>
      <c r="W125" s="149">
        <f>Segments!U16</f>
        <v>1487</v>
      </c>
      <c r="X125" s="139"/>
      <c r="Y125" s="163" t="s">
        <v>1132</v>
      </c>
    </row>
    <row r="126" spans="1:25" ht="21" customHeight="1">
      <c r="A126" s="150" t="s">
        <v>1133</v>
      </c>
      <c r="B126" s="150" t="s">
        <v>1069</v>
      </c>
      <c r="C126" s="151"/>
      <c r="D126" s="151"/>
      <c r="E126" s="151"/>
      <c r="F126" s="151"/>
      <c r="G126" s="151"/>
      <c r="H126" s="151"/>
      <c r="I126" s="151"/>
      <c r="J126" s="151"/>
      <c r="K126" s="151" t="str">
        <f>IF(COUNT(K125,J125)=2,K125/J125-1,"未重述/补充")</f>
        <v>未重述/补充</v>
      </c>
      <c r="L126" s="151" t="str">
        <f>IF(COUNT(L125,K125)=2,L125/K125-1,"未重述/补充")</f>
        <v>未重述/补充</v>
      </c>
      <c r="M126" s="151">
        <f>IF(COUNT(M125,L125)=2,M125/L125-1,"未重述/补充")</f>
        <v>6.5682810226564081E-2</v>
      </c>
      <c r="N126" s="151">
        <f>IF(COUNT(N125,M125)=2,N125/M125-1,"未重述/补充")</f>
        <v>3.9204212990052723E-2</v>
      </c>
      <c r="O126" s="151"/>
      <c r="P126" s="151"/>
      <c r="Q126" s="151"/>
      <c r="R126" s="151"/>
      <c r="S126" s="151"/>
      <c r="T126" s="151"/>
      <c r="U126" s="151"/>
      <c r="V126" s="151">
        <f>V125/R125-1</f>
        <v>7.6226415094339695E-2</v>
      </c>
      <c r="W126" s="151">
        <f>W125/S125-1</f>
        <v>1.5710382513661303E-2</v>
      </c>
      <c r="X126" s="139"/>
      <c r="Y126" s="163"/>
    </row>
    <row r="127" spans="1:25" ht="21" customHeight="1">
      <c r="A127" s="139" t="s">
        <v>1134</v>
      </c>
      <c r="B127" s="139" t="s">
        <v>1066</v>
      </c>
      <c r="C127" s="140" t="s">
        <v>1130</v>
      </c>
      <c r="D127" s="140" t="s">
        <v>1130</v>
      </c>
      <c r="E127" s="140" t="s">
        <v>1130</v>
      </c>
      <c r="F127" s="140" t="s">
        <v>1130</v>
      </c>
      <c r="G127" s="140" t="s">
        <v>1130</v>
      </c>
      <c r="H127" s="140" t="s">
        <v>1130</v>
      </c>
      <c r="I127" s="140"/>
      <c r="J127" s="140" t="s">
        <v>1131</v>
      </c>
      <c r="K127" s="140" t="s">
        <v>1131</v>
      </c>
      <c r="L127" s="149">
        <f>Segments!J37</f>
        <v>5542</v>
      </c>
      <c r="M127" s="149">
        <f>Segments!K37</f>
        <v>5594</v>
      </c>
      <c r="N127" s="149">
        <f>Segments!L37</f>
        <v>5638</v>
      </c>
      <c r="O127" s="140"/>
      <c r="P127" s="140" t="s">
        <v>1131</v>
      </c>
      <c r="Q127" s="140" t="s">
        <v>1131</v>
      </c>
      <c r="R127" s="149">
        <f>Segments!Q37</f>
        <v>1421</v>
      </c>
      <c r="S127" s="149">
        <f>Segments!R37</f>
        <v>1572</v>
      </c>
      <c r="T127" s="149">
        <f>Segments!S37</f>
        <v>1506</v>
      </c>
      <c r="U127" s="149">
        <f>Segments!L37-SUM(Segments!Q37:S37)</f>
        <v>1139</v>
      </c>
      <c r="V127" s="149">
        <f>Segments!T37</f>
        <v>1508</v>
      </c>
      <c r="W127" s="149">
        <f>Segments!U37</f>
        <v>1581</v>
      </c>
      <c r="X127" s="139"/>
      <c r="Y127" s="163"/>
    </row>
    <row r="128" spans="1:25" ht="21" customHeight="1">
      <c r="A128" s="139" t="s">
        <v>1135</v>
      </c>
      <c r="B128" s="139" t="s">
        <v>1066</v>
      </c>
      <c r="C128" s="140" t="s">
        <v>1130</v>
      </c>
      <c r="D128" s="140" t="s">
        <v>1130</v>
      </c>
      <c r="E128" s="140" t="s">
        <v>1130</v>
      </c>
      <c r="F128" s="140" t="s">
        <v>1130</v>
      </c>
      <c r="G128" s="140" t="s">
        <v>1130</v>
      </c>
      <c r="H128" s="140" t="s">
        <v>1130</v>
      </c>
      <c r="I128" s="140"/>
      <c r="J128" s="140" t="s">
        <v>1131</v>
      </c>
      <c r="K128" s="140" t="s">
        <v>1131</v>
      </c>
      <c r="L128" s="149">
        <f>Segments!J48</f>
        <v>2057</v>
      </c>
      <c r="M128" s="149">
        <f>Segments!K48</f>
        <v>2156</v>
      </c>
      <c r="N128" s="149">
        <f>Segments!L48</f>
        <v>2042</v>
      </c>
      <c r="O128" s="140"/>
      <c r="P128" s="140" t="s">
        <v>1131</v>
      </c>
      <c r="Q128" s="140" t="s">
        <v>1131</v>
      </c>
      <c r="R128" s="149">
        <f>Segments!Q48</f>
        <v>624</v>
      </c>
      <c r="S128" s="149">
        <f>Segments!R48</f>
        <v>647</v>
      </c>
      <c r="T128" s="149">
        <f>Segments!S48</f>
        <v>521</v>
      </c>
      <c r="U128" s="149">
        <f>Segments!L48-SUM(Segments!Q48:S48)</f>
        <v>250</v>
      </c>
      <c r="V128" s="149">
        <f>Segments!T48</f>
        <v>536</v>
      </c>
      <c r="W128" s="149">
        <f>Segments!U48</f>
        <v>656</v>
      </c>
      <c r="X128" s="139"/>
      <c r="Y128" s="163"/>
    </row>
    <row r="129" spans="1:25" ht="21" customHeight="1">
      <c r="A129" s="150" t="s">
        <v>1136</v>
      </c>
      <c r="B129" s="150" t="s">
        <v>1069</v>
      </c>
      <c r="C129" s="151"/>
      <c r="D129" s="151"/>
      <c r="E129" s="151"/>
      <c r="F129" s="151"/>
      <c r="G129" s="151"/>
      <c r="H129" s="151"/>
      <c r="I129" s="151"/>
      <c r="J129" s="151" t="str">
        <f>IF(COUNT(J127,J128)=2,J128/J127,"未重述/补充")</f>
        <v>未重述/补充</v>
      </c>
      <c r="K129" s="151" t="str">
        <f>IF(COUNT(K127,K128)=2,K128/K127,"未重述/补充")</f>
        <v>未重述/补充</v>
      </c>
      <c r="L129" s="151">
        <f>IF(COUNT(L127,L128)=2,L128/L127,"未重述/补充")</f>
        <v>0.37116564417177916</v>
      </c>
      <c r="M129" s="151">
        <f>IF(COUNT(M127,M128)=2,M128/M127,"未重述/补充")</f>
        <v>0.3854129424383268</v>
      </c>
      <c r="N129" s="151">
        <f>IF(COUNT(N127,N128)=2,N128/N127,"未重述/补充")</f>
        <v>0.3621851720468251</v>
      </c>
      <c r="O129" s="151"/>
      <c r="P129" s="151" t="str">
        <f t="shared" ref="P129:W129" si="19">IF(COUNT(P127,P128)=2,P128/P127,"未重述/补充")</f>
        <v>未重述/补充</v>
      </c>
      <c r="Q129" s="151" t="str">
        <f t="shared" si="19"/>
        <v>未重述/补充</v>
      </c>
      <c r="R129" s="151">
        <f t="shared" si="19"/>
        <v>0.43912737508796623</v>
      </c>
      <c r="S129" s="151">
        <f t="shared" si="19"/>
        <v>0.41157760814249361</v>
      </c>
      <c r="T129" s="151">
        <f t="shared" si="19"/>
        <v>0.34594953519256311</v>
      </c>
      <c r="U129" s="151">
        <f t="shared" si="19"/>
        <v>0.21949078138718173</v>
      </c>
      <c r="V129" s="151">
        <f t="shared" si="19"/>
        <v>0.35543766578249336</v>
      </c>
      <c r="W129" s="151">
        <f t="shared" si="19"/>
        <v>0.41492726122707146</v>
      </c>
      <c r="X129" s="139"/>
      <c r="Y129" s="163" t="s">
        <v>1137</v>
      </c>
    </row>
    <row r="130" spans="1:25" ht="21" customHeight="1">
      <c r="A130" s="139" t="s">
        <v>1091</v>
      </c>
      <c r="B130" s="139" t="s">
        <v>1066</v>
      </c>
      <c r="C130" s="140" t="s">
        <v>1130</v>
      </c>
      <c r="D130" s="140" t="s">
        <v>1130</v>
      </c>
      <c r="E130" s="140" t="s">
        <v>1130</v>
      </c>
      <c r="F130" s="140" t="s">
        <v>1130</v>
      </c>
      <c r="G130" s="140" t="s">
        <v>1130</v>
      </c>
      <c r="H130" s="140" t="s">
        <v>1130</v>
      </c>
      <c r="I130" s="140"/>
      <c r="J130" s="140" t="s">
        <v>1131</v>
      </c>
      <c r="K130" s="140" t="s">
        <v>1131</v>
      </c>
      <c r="L130" s="149">
        <f>Segments!J58</f>
        <v>50</v>
      </c>
      <c r="M130" s="149">
        <f>Segments!K58</f>
        <v>45</v>
      </c>
      <c r="N130" s="149">
        <f>Segments!L58</f>
        <v>47</v>
      </c>
      <c r="O130" s="140"/>
      <c r="P130" s="140" t="s">
        <v>1131</v>
      </c>
      <c r="Q130" s="140" t="s">
        <v>1131</v>
      </c>
      <c r="R130" s="149">
        <f>Segments!Q58</f>
        <v>12</v>
      </c>
      <c r="S130" s="149">
        <f>Segments!R58</f>
        <v>10</v>
      </c>
      <c r="T130" s="149">
        <f>Segments!S58</f>
        <v>12</v>
      </c>
      <c r="U130" s="149">
        <f>Segments!L58-SUM(Segments!Q58:S58)</f>
        <v>13</v>
      </c>
      <c r="V130" s="149">
        <f>Segments!T58</f>
        <v>11</v>
      </c>
      <c r="W130" s="149">
        <f>Segments!U58</f>
        <v>12</v>
      </c>
      <c r="X130" s="139"/>
      <c r="Y130" s="163"/>
    </row>
    <row r="131" spans="1:25" ht="21" customHeight="1">
      <c r="A131" s="139" t="s">
        <v>1092</v>
      </c>
      <c r="B131" s="139" t="s">
        <v>1066</v>
      </c>
      <c r="C131" s="140" t="s">
        <v>1130</v>
      </c>
      <c r="D131" s="140" t="s">
        <v>1130</v>
      </c>
      <c r="E131" s="140" t="s">
        <v>1130</v>
      </c>
      <c r="F131" s="140" t="s">
        <v>1130</v>
      </c>
      <c r="G131" s="140" t="s">
        <v>1130</v>
      </c>
      <c r="H131" s="140" t="s">
        <v>1130</v>
      </c>
      <c r="I131" s="140"/>
      <c r="J131" s="140" t="s">
        <v>1131</v>
      </c>
      <c r="K131" s="140" t="s">
        <v>1131</v>
      </c>
      <c r="L131" s="149">
        <f>Segments!J68</f>
        <v>23</v>
      </c>
      <c r="M131" s="149">
        <f>Segments!K68</f>
        <v>18</v>
      </c>
      <c r="N131" s="149">
        <f>Segments!L68</f>
        <v>72</v>
      </c>
      <c r="O131" s="140"/>
      <c r="P131" s="140" t="s">
        <v>1131</v>
      </c>
      <c r="Q131" s="140" t="s">
        <v>1131</v>
      </c>
      <c r="R131" s="149">
        <f>Segments!Q68</f>
        <v>1</v>
      </c>
      <c r="S131" s="149">
        <f>Segments!R68</f>
        <v>4</v>
      </c>
      <c r="T131" s="149">
        <f>Segments!S68</f>
        <v>12</v>
      </c>
      <c r="U131" s="149">
        <f>Segments!L68-SUM(Segments!Q68:S68)</f>
        <v>55</v>
      </c>
      <c r="V131" s="149">
        <f>Segments!T68</f>
        <v>1</v>
      </c>
      <c r="W131" s="149">
        <f>Segments!U68</f>
        <v>0</v>
      </c>
      <c r="X131" s="139"/>
      <c r="Y131" s="163"/>
    </row>
    <row r="132" spans="1:25" ht="21" customHeight="1">
      <c r="A132" s="150" t="s">
        <v>1138</v>
      </c>
      <c r="B132" s="150" t="s">
        <v>1069</v>
      </c>
      <c r="C132" s="151" t="s">
        <v>1130</v>
      </c>
      <c r="D132" s="151" t="s">
        <v>1130</v>
      </c>
      <c r="E132" s="151" t="s">
        <v>1130</v>
      </c>
      <c r="F132" s="151" t="s">
        <v>1130</v>
      </c>
      <c r="G132" s="151" t="s">
        <v>1130</v>
      </c>
      <c r="H132" s="151" t="s">
        <v>1130</v>
      </c>
      <c r="I132" s="151"/>
      <c r="J132" s="155">
        <f>'Operating Metrics'!H23</f>
        <v>0.1</v>
      </c>
      <c r="K132" s="155">
        <f>'Operating Metrics'!I23</f>
        <v>0.06</v>
      </c>
      <c r="L132" s="155">
        <f>'Operating Metrics'!J23</f>
        <v>0.03</v>
      </c>
      <c r="M132" s="155">
        <f>'Operating Metrics'!K23</f>
        <v>0.01</v>
      </c>
      <c r="N132" s="155">
        <f>'Operating Metrics'!L23</f>
        <v>0</v>
      </c>
      <c r="O132" s="151"/>
      <c r="P132" s="155">
        <f>'Operating Metrics'!P23</f>
        <v>-0.02</v>
      </c>
      <c r="Q132" s="151" t="s">
        <v>1131</v>
      </c>
      <c r="R132" s="155">
        <f>'Operating Metrics'!Q23</f>
        <v>0.06</v>
      </c>
      <c r="S132" s="155">
        <f>'Operating Metrics'!R23</f>
        <v>-0.03</v>
      </c>
      <c r="T132" s="155">
        <f>'Operating Metrics'!S23</f>
        <v>-0.01</v>
      </c>
      <c r="U132" s="151" t="s">
        <v>1131</v>
      </c>
      <c r="V132" s="155">
        <f>'Operating Metrics'!T23</f>
        <v>0.05</v>
      </c>
      <c r="W132" s="155">
        <f>'Operating Metrics'!U23</f>
        <v>0.08</v>
      </c>
      <c r="X132" s="139"/>
      <c r="Y132" s="163"/>
    </row>
    <row r="133" spans="1:25" ht="21" customHeight="1">
      <c r="A133" s="150" t="s">
        <v>1139</v>
      </c>
      <c r="B133" s="150" t="s">
        <v>1069</v>
      </c>
      <c r="C133" s="151" t="s">
        <v>1130</v>
      </c>
      <c r="D133" s="151" t="s">
        <v>1130</v>
      </c>
      <c r="E133" s="151" t="s">
        <v>1130</v>
      </c>
      <c r="F133" s="151" t="s">
        <v>1130</v>
      </c>
      <c r="G133" s="151" t="s">
        <v>1130</v>
      </c>
      <c r="H133" s="151" t="s">
        <v>1130</v>
      </c>
      <c r="I133" s="151"/>
      <c r="J133" s="155">
        <f>'Operating Metrics'!H32</f>
        <v>0.11</v>
      </c>
      <c r="K133" s="155">
        <f>'Operating Metrics'!I32</f>
        <v>0.08</v>
      </c>
      <c r="L133" s="155">
        <f>'Operating Metrics'!J32</f>
        <v>0</v>
      </c>
      <c r="M133" s="155">
        <f>'Operating Metrics'!K32</f>
        <v>0.03</v>
      </c>
      <c r="N133" s="155">
        <f>'Operating Metrics'!L32</f>
        <v>0</v>
      </c>
      <c r="O133" s="151"/>
      <c r="P133" s="155">
        <f>'Operating Metrics'!P32</f>
        <v>-0.03</v>
      </c>
      <c r="Q133" s="151" t="s">
        <v>1131</v>
      </c>
      <c r="R133" s="155">
        <f>'Operating Metrics'!Q32</f>
        <v>0.02</v>
      </c>
      <c r="S133" s="155">
        <f>'Operating Metrics'!R32</f>
        <v>-0.05</v>
      </c>
      <c r="T133" s="155">
        <f>'Operating Metrics'!S32</f>
        <v>-0.01</v>
      </c>
      <c r="U133" s="151" t="s">
        <v>1131</v>
      </c>
      <c r="V133" s="155">
        <f>'Operating Metrics'!T32</f>
        <v>0.1</v>
      </c>
      <c r="W133" s="155">
        <f>'Operating Metrics'!U32</f>
        <v>0.1</v>
      </c>
      <c r="X133" s="139"/>
      <c r="Y133" s="163"/>
    </row>
    <row r="134" spans="1:25" ht="21" customHeight="1">
      <c r="A134" s="150" t="s">
        <v>1140</v>
      </c>
      <c r="B134" s="150" t="s">
        <v>1069</v>
      </c>
      <c r="C134" s="151" t="s">
        <v>1130</v>
      </c>
      <c r="D134" s="151" t="s">
        <v>1130</v>
      </c>
      <c r="E134" s="151" t="s">
        <v>1130</v>
      </c>
      <c r="F134" s="151" t="s">
        <v>1130</v>
      </c>
      <c r="G134" s="151" t="s">
        <v>1130</v>
      </c>
      <c r="H134" s="151" t="s">
        <v>1130</v>
      </c>
      <c r="I134" s="151"/>
      <c r="J134" s="155">
        <f>'Operating Metrics'!H45</f>
        <v>-0.02</v>
      </c>
      <c r="K134" s="155">
        <f>'Operating Metrics'!I45</f>
        <v>0.03</v>
      </c>
      <c r="L134" s="155">
        <f>'Operating Metrics'!J45</f>
        <v>0.05</v>
      </c>
      <c r="M134" s="155">
        <f>'Operating Metrics'!K45</f>
        <v>0.02</v>
      </c>
      <c r="N134" s="155">
        <f>'Operating Metrics'!L45</f>
        <v>0.04</v>
      </c>
      <c r="O134" s="151"/>
      <c r="P134" s="155">
        <f>'Operating Metrics'!P45</f>
        <v>7.0000000000000007E-2</v>
      </c>
      <c r="Q134" s="151" t="s">
        <v>1131</v>
      </c>
      <c r="R134" s="155">
        <f>'Operating Metrics'!Q45</f>
        <v>-0.01</v>
      </c>
      <c r="S134" s="155">
        <f>'Operating Metrics'!R45</f>
        <v>0.1</v>
      </c>
      <c r="T134" s="155">
        <f>'Operating Metrics'!S45</f>
        <v>0.08</v>
      </c>
      <c r="U134" s="151" t="s">
        <v>1131</v>
      </c>
      <c r="V134" s="155">
        <f>'Operating Metrics'!T45</f>
        <v>-0.06</v>
      </c>
      <c r="W134" s="155">
        <f>'Operating Metrics'!U45</f>
        <v>-0.09</v>
      </c>
      <c r="X134" s="139"/>
      <c r="Y134" s="163"/>
    </row>
    <row r="135" spans="1:25" ht="21" customHeight="1">
      <c r="A135" s="150" t="s">
        <v>1141</v>
      </c>
      <c r="B135" s="150" t="s">
        <v>1069</v>
      </c>
      <c r="C135" s="151" t="s">
        <v>1130</v>
      </c>
      <c r="D135" s="151" t="s">
        <v>1130</v>
      </c>
      <c r="E135" s="151" t="s">
        <v>1130</v>
      </c>
      <c r="F135" s="151" t="s">
        <v>1130</v>
      </c>
      <c r="G135" s="151" t="s">
        <v>1130</v>
      </c>
      <c r="H135" s="151" t="s">
        <v>1130</v>
      </c>
      <c r="I135" s="151"/>
      <c r="J135" s="155">
        <f>'Operating Metrics'!H54</f>
        <v>0.03</v>
      </c>
      <c r="K135" s="155">
        <f>'Operating Metrics'!I54</f>
        <v>-0.09</v>
      </c>
      <c r="L135" s="155">
        <f>'Operating Metrics'!J54</f>
        <v>-0.05</v>
      </c>
      <c r="M135" s="155">
        <f>'Operating Metrics'!K54</f>
        <v>-0.03</v>
      </c>
      <c r="N135" s="155">
        <f>'Operating Metrics'!L54</f>
        <v>-0.03</v>
      </c>
      <c r="O135" s="151"/>
      <c r="P135" s="155">
        <f>'Operating Metrics'!P54</f>
        <v>-7.0000000000000007E-2</v>
      </c>
      <c r="Q135" s="151" t="s">
        <v>1131</v>
      </c>
      <c r="R135" s="155">
        <f>'Operating Metrics'!Q54</f>
        <v>-0.06</v>
      </c>
      <c r="S135" s="155">
        <f>'Operating Metrics'!R54</f>
        <v>-0.02</v>
      </c>
      <c r="T135" s="155">
        <f>'Operating Metrics'!S54</f>
        <v>0.04</v>
      </c>
      <c r="U135" s="151" t="s">
        <v>1131</v>
      </c>
      <c r="V135" s="155">
        <f>'Operating Metrics'!T54</f>
        <v>0.02</v>
      </c>
      <c r="W135" s="155">
        <f>'Operating Metrics'!U54</f>
        <v>-0.01</v>
      </c>
      <c r="X135" s="139"/>
      <c r="Y135" s="163"/>
    </row>
    <row r="136" spans="1:25" ht="21" customHeight="1">
      <c r="A136" s="150" t="s">
        <v>1142</v>
      </c>
      <c r="B136" s="150" t="s">
        <v>1069</v>
      </c>
      <c r="C136" s="151" t="s">
        <v>1130</v>
      </c>
      <c r="D136" s="151" t="s">
        <v>1130</v>
      </c>
      <c r="E136" s="151" t="s">
        <v>1130</v>
      </c>
      <c r="F136" s="151" t="s">
        <v>1130</v>
      </c>
      <c r="G136" s="151" t="s">
        <v>1130</v>
      </c>
      <c r="H136" s="151" t="s">
        <v>1130</v>
      </c>
      <c r="I136" s="151"/>
      <c r="J136" s="155">
        <f>'Operating Metrics'!H63</f>
        <v>0</v>
      </c>
      <c r="K136" s="155">
        <f>'Operating Metrics'!I63</f>
        <v>0</v>
      </c>
      <c r="L136" s="155">
        <f>'Operating Metrics'!J63</f>
        <v>0.01</v>
      </c>
      <c r="M136" s="155">
        <f>'Operating Metrics'!K63</f>
        <v>0</v>
      </c>
      <c r="N136" s="155">
        <f>'Operating Metrics'!L63</f>
        <v>-0.01</v>
      </c>
      <c r="O136" s="151"/>
      <c r="P136" s="155">
        <f>'Operating Metrics'!P63</f>
        <v>0</v>
      </c>
      <c r="Q136" s="151" t="s">
        <v>1131</v>
      </c>
      <c r="R136" s="155">
        <f>'Operating Metrics'!Q63</f>
        <v>-0.05</v>
      </c>
      <c r="S136" s="155">
        <f>'Operating Metrics'!R63</f>
        <v>0</v>
      </c>
      <c r="T136" s="155">
        <f>'Operating Metrics'!S63</f>
        <v>0</v>
      </c>
      <c r="U136" s="151" t="s">
        <v>1131</v>
      </c>
      <c r="V136" s="155">
        <f>'Operating Metrics'!T63</f>
        <v>0</v>
      </c>
      <c r="W136" s="155">
        <f>'Operating Metrics'!U63</f>
        <v>0</v>
      </c>
      <c r="X136" s="139"/>
      <c r="Y136" s="163"/>
    </row>
    <row r="137" spans="1:25" ht="21" customHeight="1">
      <c r="A137" s="139"/>
      <c r="B137" s="139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39"/>
      <c r="Y137" s="163"/>
    </row>
    <row r="138" spans="1:25" ht="25" customHeight="1">
      <c r="A138" s="142" t="s">
        <v>1146</v>
      </c>
      <c r="B138" s="142"/>
      <c r="C138" s="143"/>
      <c r="D138" s="143"/>
      <c r="E138" s="143"/>
      <c r="F138" s="143"/>
      <c r="G138" s="143"/>
      <c r="H138" s="143"/>
      <c r="I138" s="140"/>
      <c r="J138" s="143"/>
      <c r="K138" s="143"/>
      <c r="L138" s="143"/>
      <c r="M138" s="143"/>
      <c r="N138" s="143"/>
      <c r="O138" s="140"/>
      <c r="P138" s="143"/>
      <c r="Q138" s="143"/>
      <c r="R138" s="143"/>
      <c r="S138" s="143"/>
      <c r="T138" s="143"/>
      <c r="U138" s="143"/>
      <c r="V138" s="143"/>
      <c r="W138" s="143"/>
      <c r="X138" s="139"/>
      <c r="Y138" s="163"/>
    </row>
    <row r="139" spans="1:25" ht="21" customHeight="1">
      <c r="A139" s="139" t="s">
        <v>1129</v>
      </c>
      <c r="B139" s="139" t="s">
        <v>1066</v>
      </c>
      <c r="C139" s="140" t="s">
        <v>1130</v>
      </c>
      <c r="D139" s="140" t="s">
        <v>1130</v>
      </c>
      <c r="E139" s="140" t="s">
        <v>1130</v>
      </c>
      <c r="F139" s="140" t="s">
        <v>1130</v>
      </c>
      <c r="G139" s="140" t="s">
        <v>1130</v>
      </c>
      <c r="H139" s="140" t="s">
        <v>1130</v>
      </c>
      <c r="I139" s="140"/>
      <c r="J139" s="140" t="s">
        <v>1131</v>
      </c>
      <c r="K139" s="140" t="s">
        <v>1131</v>
      </c>
      <c r="L139" s="149">
        <f>Segments!J17</f>
        <v>7852</v>
      </c>
      <c r="M139" s="149">
        <f>Segments!K17</f>
        <v>6215</v>
      </c>
      <c r="N139" s="149">
        <f>Segments!L17</f>
        <v>5726</v>
      </c>
      <c r="O139" s="140"/>
      <c r="P139" s="140" t="s">
        <v>1131</v>
      </c>
      <c r="Q139" s="140" t="s">
        <v>1131</v>
      </c>
      <c r="R139" s="149">
        <f>Segments!Q17</f>
        <v>1461</v>
      </c>
      <c r="S139" s="149">
        <f>Segments!R17</f>
        <v>1409</v>
      </c>
      <c r="T139" s="149">
        <f>Segments!S17</f>
        <v>1344</v>
      </c>
      <c r="U139" s="149">
        <f>Segments!L17-SUM(Segments!Q17:S17)</f>
        <v>1512</v>
      </c>
      <c r="V139" s="149">
        <f>Segments!T17</f>
        <v>1638</v>
      </c>
      <c r="W139" s="149">
        <f>Segments!U17</f>
        <v>1525</v>
      </c>
      <c r="X139" s="139"/>
      <c r="Y139" s="163" t="s">
        <v>1132</v>
      </c>
    </row>
    <row r="140" spans="1:25" ht="21" customHeight="1">
      <c r="A140" s="150" t="s">
        <v>1133</v>
      </c>
      <c r="B140" s="150" t="s">
        <v>1069</v>
      </c>
      <c r="C140" s="151"/>
      <c r="D140" s="151"/>
      <c r="E140" s="151"/>
      <c r="F140" s="151"/>
      <c r="G140" s="151"/>
      <c r="H140" s="151"/>
      <c r="I140" s="151"/>
      <c r="J140" s="151"/>
      <c r="K140" s="151" t="str">
        <f>IF(COUNT(K139,J139)=2,K139/J139-1,"未重述/补充")</f>
        <v>未重述/补充</v>
      </c>
      <c r="L140" s="151" t="str">
        <f>IF(COUNT(L139,K139)=2,L139/K139-1,"未重述/补充")</f>
        <v>未重述/补充</v>
      </c>
      <c r="M140" s="151">
        <f>IF(COUNT(M139,L139)=2,M139/L139-1,"未重述/补充")</f>
        <v>-0.20848191543555783</v>
      </c>
      <c r="N140" s="151">
        <f>IF(COUNT(N139,M139)=2,N139/M139-1,"未重述/补充")</f>
        <v>-7.86806114239742E-2</v>
      </c>
      <c r="O140" s="151"/>
      <c r="P140" s="151"/>
      <c r="Q140" s="151"/>
      <c r="R140" s="151"/>
      <c r="S140" s="151"/>
      <c r="T140" s="151"/>
      <c r="U140" s="151"/>
      <c r="V140" s="151">
        <f>V139/R139-1</f>
        <v>0.12114989733059556</v>
      </c>
      <c r="W140" s="151">
        <f>W139/S139-1</f>
        <v>8.2327892122072477E-2</v>
      </c>
      <c r="X140" s="139"/>
      <c r="Y140" s="163"/>
    </row>
    <row r="141" spans="1:25" ht="21" customHeight="1">
      <c r="A141" s="139" t="s">
        <v>1134</v>
      </c>
      <c r="B141" s="139" t="s">
        <v>1066</v>
      </c>
      <c r="C141" s="140" t="s">
        <v>1130</v>
      </c>
      <c r="D141" s="140" t="s">
        <v>1130</v>
      </c>
      <c r="E141" s="140" t="s">
        <v>1130</v>
      </c>
      <c r="F141" s="140" t="s">
        <v>1130</v>
      </c>
      <c r="G141" s="140" t="s">
        <v>1130</v>
      </c>
      <c r="H141" s="140" t="s">
        <v>1130</v>
      </c>
      <c r="I141" s="140"/>
      <c r="J141" s="140" t="s">
        <v>1131</v>
      </c>
      <c r="K141" s="140" t="s">
        <v>1131</v>
      </c>
      <c r="L141" s="149">
        <f>Segments!J38</f>
        <v>7860</v>
      </c>
      <c r="M141" s="149">
        <f>Segments!K38</f>
        <v>6223</v>
      </c>
      <c r="N141" s="149">
        <f>Segments!L38</f>
        <v>5735</v>
      </c>
      <c r="O141" s="140"/>
      <c r="P141" s="140" t="s">
        <v>1131</v>
      </c>
      <c r="Q141" s="140" t="s">
        <v>1131</v>
      </c>
      <c r="R141" s="149">
        <f>Segments!Q38</f>
        <v>1463</v>
      </c>
      <c r="S141" s="149">
        <f>Segments!R38</f>
        <v>1411</v>
      </c>
      <c r="T141" s="149">
        <f>Segments!S38</f>
        <v>1346</v>
      </c>
      <c r="U141" s="149">
        <f>Segments!L38-SUM(Segments!Q38:S38)</f>
        <v>1515</v>
      </c>
      <c r="V141" s="149">
        <f>Segments!T38</f>
        <v>1640</v>
      </c>
      <c r="W141" s="149">
        <f>Segments!U38</f>
        <v>1527</v>
      </c>
      <c r="X141" s="139"/>
      <c r="Y141" s="163"/>
    </row>
    <row r="142" spans="1:25" ht="21" customHeight="1">
      <c r="A142" s="139" t="s">
        <v>1135</v>
      </c>
      <c r="B142" s="139" t="s">
        <v>1066</v>
      </c>
      <c r="C142" s="140" t="s">
        <v>1130</v>
      </c>
      <c r="D142" s="140" t="s">
        <v>1130</v>
      </c>
      <c r="E142" s="140" t="s">
        <v>1130</v>
      </c>
      <c r="F142" s="140" t="s">
        <v>1130</v>
      </c>
      <c r="G142" s="140" t="s">
        <v>1130</v>
      </c>
      <c r="H142" s="140" t="s">
        <v>1130</v>
      </c>
      <c r="I142" s="140"/>
      <c r="J142" s="140" t="s">
        <v>1131</v>
      </c>
      <c r="K142" s="140" t="s">
        <v>1131</v>
      </c>
      <c r="L142" s="149">
        <f>Segments!J49</f>
        <v>578</v>
      </c>
      <c r="M142" s="149">
        <f>Segments!K49</f>
        <v>496</v>
      </c>
      <c r="N142" s="149">
        <f>Segments!L49</f>
        <v>426</v>
      </c>
      <c r="O142" s="140"/>
      <c r="P142" s="140" t="s">
        <v>1131</v>
      </c>
      <c r="Q142" s="140" t="s">
        <v>1131</v>
      </c>
      <c r="R142" s="149">
        <f>Segments!Q49</f>
        <v>119</v>
      </c>
      <c r="S142" s="149">
        <f>Segments!R49</f>
        <v>59</v>
      </c>
      <c r="T142" s="149">
        <f>Segments!S49</f>
        <v>57</v>
      </c>
      <c r="U142" s="149">
        <f>Segments!L49-SUM(Segments!Q49:S49)</f>
        <v>191</v>
      </c>
      <c r="V142" s="149">
        <f>Segments!T49</f>
        <v>191</v>
      </c>
      <c r="W142" s="149">
        <f>Segments!U49</f>
        <v>91</v>
      </c>
      <c r="X142" s="139"/>
      <c r="Y142" s="163"/>
    </row>
    <row r="143" spans="1:25" ht="21" customHeight="1">
      <c r="A143" s="150" t="s">
        <v>1136</v>
      </c>
      <c r="B143" s="150" t="s">
        <v>1069</v>
      </c>
      <c r="C143" s="151"/>
      <c r="D143" s="151"/>
      <c r="E143" s="151"/>
      <c r="F143" s="151"/>
      <c r="G143" s="151"/>
      <c r="H143" s="151"/>
      <c r="I143" s="151"/>
      <c r="J143" s="151" t="str">
        <f>IF(COUNT(J141,J142)=2,J142/J141,"未重述/补充")</f>
        <v>未重述/补充</v>
      </c>
      <c r="K143" s="151" t="str">
        <f>IF(COUNT(K141,K142)=2,K142/K141,"未重述/补充")</f>
        <v>未重述/补充</v>
      </c>
      <c r="L143" s="151">
        <f>IF(COUNT(L141,L142)=2,L142/L141,"未重述/补充")</f>
        <v>7.3536895674300259E-2</v>
      </c>
      <c r="M143" s="151">
        <f>IF(COUNT(M141,M142)=2,M142/M141,"未重述/补充")</f>
        <v>7.9704322673951472E-2</v>
      </c>
      <c r="N143" s="151">
        <f>IF(COUNT(N141,N142)=2,N142/N141,"未重述/补充")</f>
        <v>7.4280732345248471E-2</v>
      </c>
      <c r="O143" s="151"/>
      <c r="P143" s="151" t="str">
        <f t="shared" ref="P143:W143" si="20">IF(COUNT(P141,P142)=2,P142/P141,"未重述/补充")</f>
        <v>未重述/补充</v>
      </c>
      <c r="Q143" s="151" t="str">
        <f t="shared" si="20"/>
        <v>未重述/补充</v>
      </c>
      <c r="R143" s="151">
        <f t="shared" si="20"/>
        <v>8.1339712918660281E-2</v>
      </c>
      <c r="S143" s="151">
        <f t="shared" si="20"/>
        <v>4.1814316087880936E-2</v>
      </c>
      <c r="T143" s="151">
        <f t="shared" si="20"/>
        <v>4.234769687964339E-2</v>
      </c>
      <c r="U143" s="151">
        <f t="shared" si="20"/>
        <v>0.12607260726072608</v>
      </c>
      <c r="V143" s="151">
        <f t="shared" si="20"/>
        <v>0.11646341463414635</v>
      </c>
      <c r="W143" s="151">
        <f t="shared" si="20"/>
        <v>5.9593975114603799E-2</v>
      </c>
      <c r="X143" s="139"/>
      <c r="Y143" s="163" t="s">
        <v>1137</v>
      </c>
    </row>
    <row r="144" spans="1:25" ht="21" customHeight="1">
      <c r="A144" s="139" t="s">
        <v>1091</v>
      </c>
      <c r="B144" s="139" t="s">
        <v>1066</v>
      </c>
      <c r="C144" s="140" t="s">
        <v>1130</v>
      </c>
      <c r="D144" s="140" t="s">
        <v>1130</v>
      </c>
      <c r="E144" s="140" t="s">
        <v>1130</v>
      </c>
      <c r="F144" s="140" t="s">
        <v>1130</v>
      </c>
      <c r="G144" s="140" t="s">
        <v>1130</v>
      </c>
      <c r="H144" s="140" t="s">
        <v>1130</v>
      </c>
      <c r="I144" s="140"/>
      <c r="J144" s="140" t="s">
        <v>1131</v>
      </c>
      <c r="K144" s="140" t="s">
        <v>1131</v>
      </c>
      <c r="L144" s="149">
        <f>Segments!J59</f>
        <v>389</v>
      </c>
      <c r="M144" s="149">
        <f>Segments!K59</f>
        <v>319</v>
      </c>
      <c r="N144" s="149">
        <f>Segments!L59</f>
        <v>313</v>
      </c>
      <c r="O144" s="140"/>
      <c r="P144" s="140" t="s">
        <v>1131</v>
      </c>
      <c r="Q144" s="140" t="s">
        <v>1131</v>
      </c>
      <c r="R144" s="149">
        <f>Segments!Q59</f>
        <v>76</v>
      </c>
      <c r="S144" s="149">
        <f>Segments!R59</f>
        <v>76</v>
      </c>
      <c r="T144" s="149">
        <f>Segments!S59</f>
        <v>78</v>
      </c>
      <c r="U144" s="149">
        <f>Segments!L59-SUM(Segments!Q59:S59)</f>
        <v>83</v>
      </c>
      <c r="V144" s="149">
        <f>Segments!T59</f>
        <v>83</v>
      </c>
      <c r="W144" s="149">
        <f>Segments!U59</f>
        <v>86</v>
      </c>
      <c r="X144" s="139"/>
      <c r="Y144" s="163"/>
    </row>
    <row r="145" spans="1:25" ht="21" customHeight="1">
      <c r="A145" s="139" t="s">
        <v>1092</v>
      </c>
      <c r="B145" s="139" t="s">
        <v>1066</v>
      </c>
      <c r="C145" s="140" t="s">
        <v>1130</v>
      </c>
      <c r="D145" s="140" t="s">
        <v>1130</v>
      </c>
      <c r="E145" s="140" t="s">
        <v>1130</v>
      </c>
      <c r="F145" s="140" t="s">
        <v>1130</v>
      </c>
      <c r="G145" s="140" t="s">
        <v>1130</v>
      </c>
      <c r="H145" s="140" t="s">
        <v>1130</v>
      </c>
      <c r="I145" s="140"/>
      <c r="J145" s="140" t="s">
        <v>1131</v>
      </c>
      <c r="K145" s="140" t="s">
        <v>1131</v>
      </c>
      <c r="L145" s="149">
        <f>Segments!J69</f>
        <v>843</v>
      </c>
      <c r="M145" s="149">
        <f>Segments!K69</f>
        <v>734</v>
      </c>
      <c r="N145" s="149">
        <f>Segments!L69</f>
        <v>547</v>
      </c>
      <c r="O145" s="140"/>
      <c r="P145" s="140" t="s">
        <v>1131</v>
      </c>
      <c r="Q145" s="140" t="s">
        <v>1131</v>
      </c>
      <c r="R145" s="149">
        <f>Segments!Q69</f>
        <v>105</v>
      </c>
      <c r="S145" s="149">
        <f>Segments!R69</f>
        <v>119</v>
      </c>
      <c r="T145" s="149">
        <f>Segments!S69</f>
        <v>105</v>
      </c>
      <c r="U145" s="149">
        <f>Segments!L69-SUM(Segments!Q69:S69)</f>
        <v>218</v>
      </c>
      <c r="V145" s="149">
        <f>Segments!T69</f>
        <v>74</v>
      </c>
      <c r="W145" s="149">
        <f>Segments!U69</f>
        <v>91</v>
      </c>
      <c r="X145" s="139"/>
      <c r="Y145" s="163"/>
    </row>
    <row r="146" spans="1:25" ht="21" customHeight="1">
      <c r="A146" s="150" t="s">
        <v>1138</v>
      </c>
      <c r="B146" s="150" t="s">
        <v>1069</v>
      </c>
      <c r="C146" s="151" t="s">
        <v>1130</v>
      </c>
      <c r="D146" s="151" t="s">
        <v>1130</v>
      </c>
      <c r="E146" s="151" t="s">
        <v>1130</v>
      </c>
      <c r="F146" s="151" t="s">
        <v>1130</v>
      </c>
      <c r="G146" s="151" t="s">
        <v>1130</v>
      </c>
      <c r="H146" s="151" t="s">
        <v>1130</v>
      </c>
      <c r="I146" s="151"/>
      <c r="J146" s="155">
        <f>'Operating Metrics'!H22</f>
        <v>0.11</v>
      </c>
      <c r="K146" s="155">
        <f>'Operating Metrics'!I22</f>
        <v>0.12</v>
      </c>
      <c r="L146" s="155">
        <f>'Operating Metrics'!J22</f>
        <v>-0.01</v>
      </c>
      <c r="M146" s="155">
        <f>'Operating Metrics'!K22</f>
        <v>-0.23</v>
      </c>
      <c r="N146" s="155">
        <f>'Operating Metrics'!L22</f>
        <v>-0.08</v>
      </c>
      <c r="O146" s="151"/>
      <c r="P146" s="155">
        <f>'Operating Metrics'!P22</f>
        <v>-0.31</v>
      </c>
      <c r="Q146" s="151" t="s">
        <v>1131</v>
      </c>
      <c r="R146" s="155">
        <f>'Operating Metrics'!Q22</f>
        <v>-0.17</v>
      </c>
      <c r="S146" s="155">
        <f>'Operating Metrics'!R22</f>
        <v>-0.05</v>
      </c>
      <c r="T146" s="155">
        <f>'Operating Metrics'!S22</f>
        <v>0.02</v>
      </c>
      <c r="U146" s="151" t="s">
        <v>1131</v>
      </c>
      <c r="V146" s="155">
        <f>'Operating Metrics'!T22</f>
        <v>0.01</v>
      </c>
      <c r="W146" s="155">
        <f>'Operating Metrics'!U22</f>
        <v>0.05</v>
      </c>
      <c r="X146" s="139"/>
      <c r="Y146" s="163"/>
    </row>
    <row r="147" spans="1:25" ht="21" customHeight="1">
      <c r="A147" s="150" t="s">
        <v>1139</v>
      </c>
      <c r="B147" s="150" t="s">
        <v>1069</v>
      </c>
      <c r="C147" s="151" t="s">
        <v>1130</v>
      </c>
      <c r="D147" s="151" t="s">
        <v>1130</v>
      </c>
      <c r="E147" s="151" t="s">
        <v>1130</v>
      </c>
      <c r="F147" s="151" t="s">
        <v>1130</v>
      </c>
      <c r="G147" s="151" t="s">
        <v>1130</v>
      </c>
      <c r="H147" s="151" t="s">
        <v>1130</v>
      </c>
      <c r="I147" s="151"/>
      <c r="J147" s="155" t="str">
        <f>'Operating Metrics'!H30</f>
        <v>N/A</v>
      </c>
      <c r="K147" s="155" t="str">
        <f>'Operating Metrics'!I30</f>
        <v>N/A</v>
      </c>
      <c r="L147" s="155" t="str">
        <f>'Operating Metrics'!J30</f>
        <v>N/A</v>
      </c>
      <c r="M147" s="155" t="str">
        <f>'Operating Metrics'!K30</f>
        <v>N/A</v>
      </c>
      <c r="N147" s="155" t="str">
        <f>'Operating Metrics'!L30</f>
        <v>N/A</v>
      </c>
      <c r="O147" s="151"/>
      <c r="P147" s="155" t="str">
        <f>'Operating Metrics'!P30</f>
        <v>N/A</v>
      </c>
      <c r="Q147" s="151" t="s">
        <v>1131</v>
      </c>
      <c r="R147" s="155" t="str">
        <f>'Operating Metrics'!Q30</f>
        <v>N/A</v>
      </c>
      <c r="S147" s="155" t="str">
        <f>'Operating Metrics'!R30</f>
        <v>N/A</v>
      </c>
      <c r="T147" s="155" t="str">
        <f>'Operating Metrics'!S30</f>
        <v>N/A</v>
      </c>
      <c r="U147" s="151" t="s">
        <v>1131</v>
      </c>
      <c r="V147" s="155" t="str">
        <f>'Operating Metrics'!T30</f>
        <v>N/A</v>
      </c>
      <c r="W147" s="155" t="str">
        <f>'Operating Metrics'!U30</f>
        <v>N/A</v>
      </c>
      <c r="X147" s="139"/>
      <c r="Y147" s="163"/>
    </row>
    <row r="148" spans="1:25" ht="21" customHeight="1">
      <c r="A148" s="150" t="s">
        <v>1140</v>
      </c>
      <c r="B148" s="150" t="s">
        <v>1069</v>
      </c>
      <c r="C148" s="151" t="s">
        <v>1130</v>
      </c>
      <c r="D148" s="151" t="s">
        <v>1130</v>
      </c>
      <c r="E148" s="151" t="s">
        <v>1130</v>
      </c>
      <c r="F148" s="151" t="s">
        <v>1130</v>
      </c>
      <c r="G148" s="151" t="s">
        <v>1130</v>
      </c>
      <c r="H148" s="151" t="s">
        <v>1130</v>
      </c>
      <c r="I148" s="151"/>
      <c r="J148" s="155">
        <f>'Operating Metrics'!H46</f>
        <v>0.02</v>
      </c>
      <c r="K148" s="155">
        <f>'Operating Metrics'!I46</f>
        <v>7.0000000000000007E-2</v>
      </c>
      <c r="L148" s="155">
        <f>'Operating Metrics'!J46</f>
        <v>0.08</v>
      </c>
      <c r="M148" s="155">
        <f>'Operating Metrics'!K46</f>
        <v>0.05</v>
      </c>
      <c r="N148" s="155">
        <f>'Operating Metrics'!L46</f>
        <v>0.02</v>
      </c>
      <c r="O148" s="151"/>
      <c r="P148" s="155">
        <f>'Operating Metrics'!P46</f>
        <v>0.04</v>
      </c>
      <c r="Q148" s="151" t="s">
        <v>1131</v>
      </c>
      <c r="R148" s="155">
        <f>'Operating Metrics'!Q46</f>
        <v>0.03</v>
      </c>
      <c r="S148" s="155">
        <f>'Operating Metrics'!R46</f>
        <v>0</v>
      </c>
      <c r="T148" s="155">
        <f>'Operating Metrics'!S46</f>
        <v>0.01</v>
      </c>
      <c r="U148" s="151" t="s">
        <v>1131</v>
      </c>
      <c r="V148" s="155">
        <f>'Operating Metrics'!T46</f>
        <v>-0.01</v>
      </c>
      <c r="W148" s="155">
        <f>'Operating Metrics'!U46</f>
        <v>0.02</v>
      </c>
      <c r="X148" s="139"/>
      <c r="Y148" s="163"/>
    </row>
    <row r="149" spans="1:25" ht="21" customHeight="1">
      <c r="A149" s="150" t="s">
        <v>1141</v>
      </c>
      <c r="B149" s="150" t="s">
        <v>1069</v>
      </c>
      <c r="C149" s="151" t="s">
        <v>1130</v>
      </c>
      <c r="D149" s="151" t="s">
        <v>1130</v>
      </c>
      <c r="E149" s="151" t="s">
        <v>1130</v>
      </c>
      <c r="F149" s="151" t="s">
        <v>1130</v>
      </c>
      <c r="G149" s="151" t="s">
        <v>1130</v>
      </c>
      <c r="H149" s="151" t="s">
        <v>1130</v>
      </c>
      <c r="I149" s="151"/>
      <c r="J149" s="155">
        <f>'Operating Metrics'!H55</f>
        <v>0.02</v>
      </c>
      <c r="K149" s="155">
        <f>'Operating Metrics'!I55</f>
        <v>-0.09</v>
      </c>
      <c r="L149" s="155">
        <f>'Operating Metrics'!J55</f>
        <v>-7.0000000000000007E-2</v>
      </c>
      <c r="M149" s="155">
        <f>'Operating Metrics'!K55</f>
        <v>-0.02</v>
      </c>
      <c r="N149" s="155">
        <f>'Operating Metrics'!L55</f>
        <v>-0.02</v>
      </c>
      <c r="O149" s="151"/>
      <c r="P149" s="155">
        <f>'Operating Metrics'!P55</f>
        <v>-0.01</v>
      </c>
      <c r="Q149" s="151" t="s">
        <v>1131</v>
      </c>
      <c r="R149" s="155">
        <f>'Operating Metrics'!Q55</f>
        <v>-0.03</v>
      </c>
      <c r="S149" s="155">
        <f>'Operating Metrics'!R55</f>
        <v>-0.04</v>
      </c>
      <c r="T149" s="155">
        <f>'Operating Metrics'!S55</f>
        <v>-0.02</v>
      </c>
      <c r="U149" s="151" t="s">
        <v>1131</v>
      </c>
      <c r="V149" s="155">
        <f>'Operating Metrics'!T55</f>
        <v>0.04</v>
      </c>
      <c r="W149" s="155">
        <f>'Operating Metrics'!U55</f>
        <v>0</v>
      </c>
      <c r="X149" s="139"/>
      <c r="Y149" s="163"/>
    </row>
    <row r="150" spans="1:25" ht="21" customHeight="1">
      <c r="A150" s="150" t="s">
        <v>1142</v>
      </c>
      <c r="B150" s="150" t="s">
        <v>1069</v>
      </c>
      <c r="C150" s="151" t="s">
        <v>1130</v>
      </c>
      <c r="D150" s="151" t="s">
        <v>1130</v>
      </c>
      <c r="E150" s="151" t="s">
        <v>1130</v>
      </c>
      <c r="F150" s="151" t="s">
        <v>1130</v>
      </c>
      <c r="G150" s="151" t="s">
        <v>1130</v>
      </c>
      <c r="H150" s="151" t="s">
        <v>1130</v>
      </c>
      <c r="I150" s="151"/>
      <c r="J150" s="155">
        <f>'Operating Metrics'!H64</f>
        <v>0</v>
      </c>
      <c r="K150" s="155">
        <f>'Operating Metrics'!I64</f>
        <v>0</v>
      </c>
      <c r="L150" s="155">
        <f>'Operating Metrics'!J64</f>
        <v>-0.08</v>
      </c>
      <c r="M150" s="155">
        <f>'Operating Metrics'!K64</f>
        <v>-0.28000000000000003</v>
      </c>
      <c r="N150" s="155">
        <f>'Operating Metrics'!L64</f>
        <v>-7.0000000000000007E-2</v>
      </c>
      <c r="O150" s="151"/>
      <c r="P150" s="155">
        <f>'Operating Metrics'!P64</f>
        <v>-0.32</v>
      </c>
      <c r="Q150" s="151" t="s">
        <v>1131</v>
      </c>
      <c r="R150" s="155">
        <f>'Operating Metrics'!Q64</f>
        <v>-0.18</v>
      </c>
      <c r="S150" s="155">
        <f>'Operating Metrics'!R64</f>
        <v>-0.03</v>
      </c>
      <c r="T150" s="155">
        <f>'Operating Metrics'!S64</f>
        <v>-0.02</v>
      </c>
      <c r="U150" s="151" t="s">
        <v>1131</v>
      </c>
      <c r="V150" s="155">
        <f>'Operating Metrics'!T64</f>
        <v>-0.02</v>
      </c>
      <c r="W150" s="155">
        <f>'Operating Metrics'!U64</f>
        <v>-0.02</v>
      </c>
      <c r="X150" s="139"/>
      <c r="Y150" s="163"/>
    </row>
    <row r="151" spans="1:25" ht="21" customHeight="1">
      <c r="A151" s="139"/>
      <c r="B151" s="139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39"/>
      <c r="Y151" s="163"/>
    </row>
    <row r="152" spans="1:25" ht="25" customHeight="1">
      <c r="A152" s="142" t="s">
        <v>77</v>
      </c>
      <c r="B152" s="142"/>
      <c r="C152" s="143"/>
      <c r="D152" s="143"/>
      <c r="E152" s="143"/>
      <c r="F152" s="143"/>
      <c r="G152" s="143"/>
      <c r="H152" s="143"/>
      <c r="I152" s="140"/>
      <c r="J152" s="143"/>
      <c r="K152" s="143"/>
      <c r="L152" s="143"/>
      <c r="M152" s="143"/>
      <c r="N152" s="143"/>
      <c r="O152" s="140"/>
      <c r="P152" s="143"/>
      <c r="Q152" s="143"/>
      <c r="R152" s="143"/>
      <c r="S152" s="143"/>
      <c r="T152" s="143"/>
      <c r="U152" s="143"/>
      <c r="V152" s="143"/>
      <c r="W152" s="143"/>
      <c r="X152" s="139"/>
      <c r="Y152" s="163"/>
    </row>
    <row r="153" spans="1:25" ht="21" customHeight="1">
      <c r="A153" s="139" t="s">
        <v>1129</v>
      </c>
      <c r="B153" s="139" t="s">
        <v>1066</v>
      </c>
      <c r="C153" s="140" t="s">
        <v>1130</v>
      </c>
      <c r="D153" s="140" t="s">
        <v>1130</v>
      </c>
      <c r="E153" s="140" t="s">
        <v>1130</v>
      </c>
      <c r="F153" s="140" t="s">
        <v>1130</v>
      </c>
      <c r="G153" s="140" t="s">
        <v>1130</v>
      </c>
      <c r="H153" s="140" t="s">
        <v>1130</v>
      </c>
      <c r="I153" s="140"/>
      <c r="J153" s="140" t="s">
        <v>1131</v>
      </c>
      <c r="K153" s="140" t="s">
        <v>1131</v>
      </c>
      <c r="L153" s="149">
        <f>Segments!J18</f>
        <v>140</v>
      </c>
      <c r="M153" s="149">
        <f>Segments!K18</f>
        <v>110</v>
      </c>
      <c r="N153" s="149">
        <f>Segments!L18</f>
        <v>144</v>
      </c>
      <c r="O153" s="140"/>
      <c r="P153" s="140" t="s">
        <v>1131</v>
      </c>
      <c r="Q153" s="140" t="s">
        <v>1131</v>
      </c>
      <c r="R153" s="149">
        <f>Segments!Q18</f>
        <v>26</v>
      </c>
      <c r="S153" s="149">
        <f>Segments!R18</f>
        <v>39</v>
      </c>
      <c r="T153" s="149">
        <f>Segments!S18</f>
        <v>34</v>
      </c>
      <c r="U153" s="149">
        <f>Segments!L18-SUM(Segments!Q18:S18)</f>
        <v>45</v>
      </c>
      <c r="V153" s="149">
        <f>Segments!T18</f>
        <v>32</v>
      </c>
      <c r="W153" s="149">
        <f>Segments!U18</f>
        <v>37</v>
      </c>
      <c r="X153" s="139"/>
      <c r="Y153" s="163" t="s">
        <v>1132</v>
      </c>
    </row>
    <row r="154" spans="1:25" ht="21" customHeight="1">
      <c r="A154" s="150" t="s">
        <v>1133</v>
      </c>
      <c r="B154" s="150" t="s">
        <v>1069</v>
      </c>
      <c r="C154" s="151"/>
      <c r="D154" s="151"/>
      <c r="E154" s="151"/>
      <c r="F154" s="151"/>
      <c r="G154" s="151"/>
      <c r="H154" s="151"/>
      <c r="I154" s="151"/>
      <c r="J154" s="151"/>
      <c r="K154" s="151" t="str">
        <f>IF(COUNT(K153,J153)=2,K153/J153-1,"未重述/补充")</f>
        <v>未重述/补充</v>
      </c>
      <c r="L154" s="151" t="str">
        <f>IF(COUNT(L153,K153)=2,L153/K153-1,"未重述/补充")</f>
        <v>未重述/补充</v>
      </c>
      <c r="M154" s="151">
        <f>IF(COUNT(M153,L153)=2,M153/L153-1,"未重述/补充")</f>
        <v>-0.2142857142857143</v>
      </c>
      <c r="N154" s="151">
        <f>IF(COUNT(N153,M153)=2,N153/M153-1,"未重述/补充")</f>
        <v>0.30909090909090908</v>
      </c>
      <c r="O154" s="151"/>
      <c r="P154" s="151"/>
      <c r="Q154" s="151"/>
      <c r="R154" s="151"/>
      <c r="S154" s="151"/>
      <c r="T154" s="151"/>
      <c r="U154" s="151"/>
      <c r="V154" s="151">
        <f>V153/R153-1</f>
        <v>0.23076923076923084</v>
      </c>
      <c r="W154" s="151">
        <f>W153/S153-1</f>
        <v>-5.1282051282051322E-2</v>
      </c>
      <c r="X154" s="139"/>
      <c r="Y154" s="163"/>
    </row>
    <row r="155" spans="1:25" ht="21" customHeight="1">
      <c r="A155" s="139" t="s">
        <v>1134</v>
      </c>
      <c r="B155" s="139" t="s">
        <v>1066</v>
      </c>
      <c r="C155" s="140" t="s">
        <v>1130</v>
      </c>
      <c r="D155" s="140" t="s">
        <v>1130</v>
      </c>
      <c r="E155" s="140" t="s">
        <v>1130</v>
      </c>
      <c r="F155" s="140" t="s">
        <v>1130</v>
      </c>
      <c r="G155" s="140" t="s">
        <v>1130</v>
      </c>
      <c r="H155" s="140" t="s">
        <v>1130</v>
      </c>
      <c r="I155" s="140"/>
      <c r="J155" s="140" t="s">
        <v>1131</v>
      </c>
      <c r="K155" s="140" t="s">
        <v>1131</v>
      </c>
      <c r="L155" s="149">
        <f>Segments!J39</f>
        <v>140</v>
      </c>
      <c r="M155" s="149">
        <f>Segments!K39</f>
        <v>110</v>
      </c>
      <c r="N155" s="149">
        <f>Segments!L39</f>
        <v>144</v>
      </c>
      <c r="O155" s="140"/>
      <c r="P155" s="140" t="s">
        <v>1131</v>
      </c>
      <c r="Q155" s="140" t="s">
        <v>1131</v>
      </c>
      <c r="R155" s="149">
        <f>Segments!Q39</f>
        <v>26</v>
      </c>
      <c r="S155" s="149">
        <f>Segments!R39</f>
        <v>39</v>
      </c>
      <c r="T155" s="149">
        <f>Segments!S39</f>
        <v>34</v>
      </c>
      <c r="U155" s="149">
        <f>Segments!L39-SUM(Segments!Q39:S39)</f>
        <v>45</v>
      </c>
      <c r="V155" s="149">
        <f>Segments!T39</f>
        <v>32</v>
      </c>
      <c r="W155" s="149">
        <f>Segments!U39</f>
        <v>37</v>
      </c>
      <c r="X155" s="139"/>
      <c r="Y155" s="163"/>
    </row>
    <row r="156" spans="1:25" ht="21" customHeight="1">
      <c r="A156" s="139" t="s">
        <v>1135</v>
      </c>
      <c r="B156" s="139" t="s">
        <v>1066</v>
      </c>
      <c r="C156" s="140" t="s">
        <v>1130</v>
      </c>
      <c r="D156" s="140" t="s">
        <v>1130</v>
      </c>
      <c r="E156" s="140" t="s">
        <v>1130</v>
      </c>
      <c r="F156" s="140" t="s">
        <v>1130</v>
      </c>
      <c r="G156" s="140" t="s">
        <v>1130</v>
      </c>
      <c r="H156" s="140" t="s">
        <v>1130</v>
      </c>
      <c r="I156" s="140"/>
      <c r="J156" s="140" t="s">
        <v>1131</v>
      </c>
      <c r="K156" s="140" t="s">
        <v>1131</v>
      </c>
      <c r="L156" s="149">
        <f>Segments!J50</f>
        <v>-3717</v>
      </c>
      <c r="M156" s="149">
        <f>Segments!K50</f>
        <v>-5263</v>
      </c>
      <c r="N156" s="149">
        <f>Segments!L50</f>
        <v>-1816</v>
      </c>
      <c r="O156" s="140"/>
      <c r="P156" s="140" t="s">
        <v>1131</v>
      </c>
      <c r="Q156" s="140" t="s">
        <v>1131</v>
      </c>
      <c r="R156" s="149">
        <f>Segments!Q50</f>
        <v>-394</v>
      </c>
      <c r="S156" s="149">
        <f>Segments!R50</f>
        <v>-329</v>
      </c>
      <c r="T156" s="149">
        <f>Segments!S50</f>
        <v>-271</v>
      </c>
      <c r="U156" s="149">
        <f>Segments!L50-SUM(Segments!Q50:S50)</f>
        <v>-822</v>
      </c>
      <c r="V156" s="149">
        <f>Segments!T50</f>
        <v>-271</v>
      </c>
      <c r="W156" s="149">
        <f>Segments!U50</f>
        <v>-256</v>
      </c>
      <c r="X156" s="139"/>
      <c r="Y156" s="163"/>
    </row>
    <row r="157" spans="1:25" ht="21" customHeight="1">
      <c r="A157" s="150" t="s">
        <v>1136</v>
      </c>
      <c r="B157" s="150" t="s">
        <v>1069</v>
      </c>
      <c r="C157" s="151"/>
      <c r="D157" s="151"/>
      <c r="E157" s="151"/>
      <c r="F157" s="151"/>
      <c r="G157" s="151"/>
      <c r="H157" s="151"/>
      <c r="I157" s="151"/>
      <c r="J157" s="151" t="str">
        <f>IF(COUNT(J155,J156)=2,J156/J155,"未重述/补充")</f>
        <v>未重述/补充</v>
      </c>
      <c r="K157" s="151" t="str">
        <f>IF(COUNT(K155,K156)=2,K156/K155,"未重述/补充")</f>
        <v>未重述/补充</v>
      </c>
      <c r="L157" s="151">
        <f>IF(COUNT(L155,L156)=2,L156/L155,"未重述/补充")</f>
        <v>-26.55</v>
      </c>
      <c r="M157" s="151">
        <f>IF(COUNT(M155,M156)=2,M156/M155,"未重述/补充")</f>
        <v>-47.845454545454544</v>
      </c>
      <c r="N157" s="151">
        <f>IF(COUNT(N155,N156)=2,N156/N155,"未重述/补充")</f>
        <v>-12.611111111111111</v>
      </c>
      <c r="O157" s="151"/>
      <c r="P157" s="151" t="str">
        <f t="shared" ref="P157:W157" si="21">IF(COUNT(P155,P156)=2,P156/P155,"未重述/补充")</f>
        <v>未重述/补充</v>
      </c>
      <c r="Q157" s="151" t="str">
        <f t="shared" si="21"/>
        <v>未重述/补充</v>
      </c>
      <c r="R157" s="151">
        <f t="shared" si="21"/>
        <v>-15.153846153846153</v>
      </c>
      <c r="S157" s="151">
        <f t="shared" si="21"/>
        <v>-8.4358974358974361</v>
      </c>
      <c r="T157" s="151">
        <f t="shared" si="21"/>
        <v>-7.9705882352941178</v>
      </c>
      <c r="U157" s="151">
        <f t="shared" si="21"/>
        <v>-18.266666666666666</v>
      </c>
      <c r="V157" s="151">
        <f t="shared" si="21"/>
        <v>-8.46875</v>
      </c>
      <c r="W157" s="151">
        <f t="shared" si="21"/>
        <v>-6.9189189189189193</v>
      </c>
      <c r="X157" s="139"/>
      <c r="Y157" s="163" t="s">
        <v>1137</v>
      </c>
    </row>
    <row r="158" spans="1:25" ht="21" customHeight="1">
      <c r="A158" s="139" t="s">
        <v>1091</v>
      </c>
      <c r="B158" s="139" t="s">
        <v>1066</v>
      </c>
      <c r="C158" s="140" t="s">
        <v>1130</v>
      </c>
      <c r="D158" s="140" t="s">
        <v>1130</v>
      </c>
      <c r="E158" s="140" t="s">
        <v>1130</v>
      </c>
      <c r="F158" s="140" t="s">
        <v>1130</v>
      </c>
      <c r="G158" s="140" t="s">
        <v>1130</v>
      </c>
      <c r="H158" s="140" t="s">
        <v>1130</v>
      </c>
      <c r="I158" s="140"/>
      <c r="J158" s="140" t="s">
        <v>1131</v>
      </c>
      <c r="K158" s="140" t="s">
        <v>1131</v>
      </c>
      <c r="L158" s="149">
        <f>Segments!J60</f>
        <v>144</v>
      </c>
      <c r="M158" s="149">
        <f>Segments!K60</f>
        <v>176</v>
      </c>
      <c r="N158" s="149">
        <f>Segments!L60</f>
        <v>159</v>
      </c>
      <c r="O158" s="140"/>
      <c r="P158" s="140" t="s">
        <v>1131</v>
      </c>
      <c r="Q158" s="140" t="s">
        <v>1131</v>
      </c>
      <c r="R158" s="149">
        <f>Segments!Q60</f>
        <v>47</v>
      </c>
      <c r="S158" s="149">
        <f>Segments!R60</f>
        <v>49</v>
      </c>
      <c r="T158" s="149">
        <f>Segments!S60</f>
        <v>47</v>
      </c>
      <c r="U158" s="149">
        <f>Segments!L60-SUM(Segments!Q60:S60)</f>
        <v>16</v>
      </c>
      <c r="V158" s="149">
        <f>Segments!T60</f>
        <v>15</v>
      </c>
      <c r="W158" s="149">
        <f>Segments!U60</f>
        <v>16</v>
      </c>
      <c r="X158" s="139"/>
      <c r="Y158" s="163"/>
    </row>
    <row r="159" spans="1:25" ht="21" customHeight="1">
      <c r="A159" s="139" t="s">
        <v>1092</v>
      </c>
      <c r="B159" s="139" t="s">
        <v>1066</v>
      </c>
      <c r="C159" s="140" t="s">
        <v>1130</v>
      </c>
      <c r="D159" s="140" t="s">
        <v>1130</v>
      </c>
      <c r="E159" s="140" t="s">
        <v>1130</v>
      </c>
      <c r="F159" s="140" t="s">
        <v>1130</v>
      </c>
      <c r="G159" s="140" t="s">
        <v>1130</v>
      </c>
      <c r="H159" s="140" t="s">
        <v>1130</v>
      </c>
      <c r="I159" s="140"/>
      <c r="J159" s="140" t="s">
        <v>1131</v>
      </c>
      <c r="K159" s="140" t="s">
        <v>1131</v>
      </c>
      <c r="L159" s="149">
        <f>Segments!J70</f>
        <v>338</v>
      </c>
      <c r="M159" s="149">
        <f>Segments!K70</f>
        <v>487</v>
      </c>
      <c r="N159" s="149">
        <f>Segments!L70</f>
        <v>585</v>
      </c>
      <c r="O159" s="140"/>
      <c r="P159" s="140" t="s">
        <v>1131</v>
      </c>
      <c r="Q159" s="140" t="s">
        <v>1131</v>
      </c>
      <c r="R159" s="149">
        <f>Segments!Q70</f>
        <v>47</v>
      </c>
      <c r="S159" s="149">
        <f>Segments!R70</f>
        <v>115</v>
      </c>
      <c r="T159" s="149">
        <f>Segments!S70</f>
        <v>120</v>
      </c>
      <c r="U159" s="149">
        <f>Segments!L70-SUM(Segments!Q70:S70)</f>
        <v>303</v>
      </c>
      <c r="V159" s="149">
        <f>Segments!T70</f>
        <v>55</v>
      </c>
      <c r="W159" s="149">
        <f>Segments!U70</f>
        <v>101</v>
      </c>
      <c r="X159" s="139"/>
      <c r="Y159" s="163"/>
    </row>
    <row r="160" spans="1:25" ht="21" customHeight="1">
      <c r="A160" s="150" t="s">
        <v>1138</v>
      </c>
      <c r="B160" s="150" t="s">
        <v>1069</v>
      </c>
      <c r="C160" s="151" t="s">
        <v>1130</v>
      </c>
      <c r="D160" s="151" t="s">
        <v>1130</v>
      </c>
      <c r="E160" s="151" t="s">
        <v>1130</v>
      </c>
      <c r="F160" s="151" t="s">
        <v>1130</v>
      </c>
      <c r="G160" s="151" t="s">
        <v>1130</v>
      </c>
      <c r="H160" s="151" t="s">
        <v>1130</v>
      </c>
      <c r="I160" s="151"/>
      <c r="J160" s="151" t="s">
        <v>1080</v>
      </c>
      <c r="K160" s="151" t="s">
        <v>1080</v>
      </c>
      <c r="L160" s="151" t="s">
        <v>1080</v>
      </c>
      <c r="M160" s="151" t="s">
        <v>1080</v>
      </c>
      <c r="N160" s="151" t="s">
        <v>1080</v>
      </c>
      <c r="O160" s="151"/>
      <c r="P160" s="151" t="s">
        <v>1080</v>
      </c>
      <c r="Q160" s="151" t="s">
        <v>1080</v>
      </c>
      <c r="R160" s="151" t="s">
        <v>1080</v>
      </c>
      <c r="S160" s="151" t="s">
        <v>1080</v>
      </c>
      <c r="T160" s="151" t="s">
        <v>1080</v>
      </c>
      <c r="U160" s="151" t="s">
        <v>1080</v>
      </c>
      <c r="V160" s="151" t="s">
        <v>1080</v>
      </c>
      <c r="W160" s="151" t="s">
        <v>1080</v>
      </c>
      <c r="X160" s="139"/>
      <c r="Y160" s="163"/>
    </row>
    <row r="161" spans="1:25" ht="21" customHeight="1">
      <c r="A161" s="150" t="s">
        <v>1139</v>
      </c>
      <c r="B161" s="150" t="s">
        <v>1069</v>
      </c>
      <c r="C161" s="151" t="s">
        <v>1130</v>
      </c>
      <c r="D161" s="151" t="s">
        <v>1130</v>
      </c>
      <c r="E161" s="151" t="s">
        <v>1130</v>
      </c>
      <c r="F161" s="151" t="s">
        <v>1130</v>
      </c>
      <c r="G161" s="151" t="s">
        <v>1130</v>
      </c>
      <c r="H161" s="151" t="s">
        <v>1130</v>
      </c>
      <c r="I161" s="151"/>
      <c r="J161" s="151" t="s">
        <v>1080</v>
      </c>
      <c r="K161" s="151" t="s">
        <v>1080</v>
      </c>
      <c r="L161" s="151" t="s">
        <v>1080</v>
      </c>
      <c r="M161" s="151" t="s">
        <v>1080</v>
      </c>
      <c r="N161" s="151" t="s">
        <v>1080</v>
      </c>
      <c r="O161" s="151"/>
      <c r="P161" s="151" t="s">
        <v>1080</v>
      </c>
      <c r="Q161" s="151" t="s">
        <v>1080</v>
      </c>
      <c r="R161" s="151" t="s">
        <v>1080</v>
      </c>
      <c r="S161" s="151" t="s">
        <v>1080</v>
      </c>
      <c r="T161" s="151" t="s">
        <v>1080</v>
      </c>
      <c r="U161" s="151" t="s">
        <v>1080</v>
      </c>
      <c r="V161" s="151" t="s">
        <v>1080</v>
      </c>
      <c r="W161" s="151" t="s">
        <v>1080</v>
      </c>
      <c r="X161" s="139"/>
      <c r="Y161" s="163"/>
    </row>
    <row r="162" spans="1:25" ht="21" customHeight="1">
      <c r="A162" s="150" t="s">
        <v>1140</v>
      </c>
      <c r="B162" s="150" t="s">
        <v>1069</v>
      </c>
      <c r="C162" s="151" t="s">
        <v>1130</v>
      </c>
      <c r="D162" s="151" t="s">
        <v>1130</v>
      </c>
      <c r="E162" s="151" t="s">
        <v>1130</v>
      </c>
      <c r="F162" s="151" t="s">
        <v>1130</v>
      </c>
      <c r="G162" s="151" t="s">
        <v>1130</v>
      </c>
      <c r="H162" s="151" t="s">
        <v>1130</v>
      </c>
      <c r="I162" s="151"/>
      <c r="J162" s="151" t="s">
        <v>1080</v>
      </c>
      <c r="K162" s="151" t="s">
        <v>1080</v>
      </c>
      <c r="L162" s="151" t="s">
        <v>1080</v>
      </c>
      <c r="M162" s="151" t="s">
        <v>1080</v>
      </c>
      <c r="N162" s="151" t="s">
        <v>1080</v>
      </c>
      <c r="O162" s="151"/>
      <c r="P162" s="151" t="s">
        <v>1080</v>
      </c>
      <c r="Q162" s="151" t="s">
        <v>1080</v>
      </c>
      <c r="R162" s="151" t="s">
        <v>1080</v>
      </c>
      <c r="S162" s="151" t="s">
        <v>1080</v>
      </c>
      <c r="T162" s="151" t="s">
        <v>1080</v>
      </c>
      <c r="U162" s="151" t="s">
        <v>1080</v>
      </c>
      <c r="V162" s="151" t="s">
        <v>1080</v>
      </c>
      <c r="W162" s="151" t="s">
        <v>1080</v>
      </c>
      <c r="X162" s="139"/>
      <c r="Y162" s="163"/>
    </row>
    <row r="163" spans="1:25" ht="21" customHeight="1">
      <c r="A163" s="150" t="s">
        <v>1141</v>
      </c>
      <c r="B163" s="150" t="s">
        <v>1069</v>
      </c>
      <c r="C163" s="151" t="s">
        <v>1130</v>
      </c>
      <c r="D163" s="151" t="s">
        <v>1130</v>
      </c>
      <c r="E163" s="151" t="s">
        <v>1130</v>
      </c>
      <c r="F163" s="151" t="s">
        <v>1130</v>
      </c>
      <c r="G163" s="151" t="s">
        <v>1130</v>
      </c>
      <c r="H163" s="151" t="s">
        <v>1130</v>
      </c>
      <c r="I163" s="151"/>
      <c r="J163" s="151" t="s">
        <v>1080</v>
      </c>
      <c r="K163" s="151" t="s">
        <v>1080</v>
      </c>
      <c r="L163" s="151" t="s">
        <v>1080</v>
      </c>
      <c r="M163" s="151" t="s">
        <v>1080</v>
      </c>
      <c r="N163" s="151" t="s">
        <v>1080</v>
      </c>
      <c r="O163" s="151"/>
      <c r="P163" s="151" t="s">
        <v>1080</v>
      </c>
      <c r="Q163" s="151" t="s">
        <v>1080</v>
      </c>
      <c r="R163" s="151" t="s">
        <v>1080</v>
      </c>
      <c r="S163" s="151" t="s">
        <v>1080</v>
      </c>
      <c r="T163" s="151" t="s">
        <v>1080</v>
      </c>
      <c r="U163" s="151" t="s">
        <v>1080</v>
      </c>
      <c r="V163" s="151" t="s">
        <v>1080</v>
      </c>
      <c r="W163" s="151" t="s">
        <v>1080</v>
      </c>
      <c r="X163" s="139"/>
      <c r="Y163" s="163"/>
    </row>
    <row r="164" spans="1:25" ht="21" customHeight="1">
      <c r="A164" s="150" t="s">
        <v>1142</v>
      </c>
      <c r="B164" s="150" t="s">
        <v>1069</v>
      </c>
      <c r="C164" s="151" t="s">
        <v>1130</v>
      </c>
      <c r="D164" s="151" t="s">
        <v>1130</v>
      </c>
      <c r="E164" s="151" t="s">
        <v>1130</v>
      </c>
      <c r="F164" s="151" t="s">
        <v>1130</v>
      </c>
      <c r="G164" s="151" t="s">
        <v>1130</v>
      </c>
      <c r="H164" s="151" t="s">
        <v>1130</v>
      </c>
      <c r="I164" s="151"/>
      <c r="J164" s="151" t="s">
        <v>1080</v>
      </c>
      <c r="K164" s="151" t="s">
        <v>1080</v>
      </c>
      <c r="L164" s="151" t="s">
        <v>1080</v>
      </c>
      <c r="M164" s="151" t="s">
        <v>1080</v>
      </c>
      <c r="N164" s="151" t="s">
        <v>1080</v>
      </c>
      <c r="O164" s="151"/>
      <c r="P164" s="151" t="s">
        <v>1080</v>
      </c>
      <c r="Q164" s="151" t="s">
        <v>1080</v>
      </c>
      <c r="R164" s="151" t="s">
        <v>1080</v>
      </c>
      <c r="S164" s="151" t="s">
        <v>1080</v>
      </c>
      <c r="T164" s="151" t="s">
        <v>1080</v>
      </c>
      <c r="U164" s="151" t="s">
        <v>1080</v>
      </c>
      <c r="V164" s="151" t="s">
        <v>1080</v>
      </c>
      <c r="W164" s="151" t="s">
        <v>1080</v>
      </c>
      <c r="X164" s="139"/>
      <c r="Y164" s="163"/>
    </row>
    <row r="165" spans="1:25" ht="21" customHeight="1">
      <c r="A165" s="139"/>
      <c r="B165" s="139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39"/>
      <c r="Y165" s="163"/>
    </row>
    <row r="166" spans="1:25" ht="21" customHeight="1">
      <c r="A166" s="139"/>
      <c r="B166" s="139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39"/>
      <c r="Y166" s="139"/>
    </row>
    <row r="167" spans="1:25" ht="21" customHeight="1">
      <c r="A167" s="139"/>
      <c r="B167" s="139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39"/>
      <c r="Y167" s="139"/>
    </row>
    <row r="168" spans="1:25" ht="25" customHeight="1">
      <c r="A168" s="142" t="s">
        <v>1561</v>
      </c>
      <c r="B168" s="142"/>
      <c r="C168" s="143"/>
      <c r="D168" s="143"/>
      <c r="E168" s="143"/>
      <c r="F168" s="143"/>
      <c r="G168" s="143"/>
      <c r="H168" s="143"/>
      <c r="I168" s="140"/>
      <c r="J168" s="143"/>
      <c r="K168" s="143"/>
      <c r="L168" s="143"/>
      <c r="M168" s="143"/>
      <c r="N168" s="143"/>
      <c r="O168" s="140"/>
      <c r="P168" s="143"/>
      <c r="Q168" s="143"/>
      <c r="R168" s="143"/>
      <c r="S168" s="143"/>
      <c r="T168" s="143"/>
      <c r="U168" s="143"/>
      <c r="V168" s="143"/>
      <c r="W168" s="143"/>
      <c r="X168" s="139"/>
      <c r="Y168" s="139"/>
    </row>
    <row r="169" spans="1:25" ht="21" customHeight="1">
      <c r="A169" s="164" t="s">
        <v>1147</v>
      </c>
      <c r="B169" s="164" t="s">
        <v>1051</v>
      </c>
      <c r="C169" s="165" t="s">
        <v>1148</v>
      </c>
      <c r="D169" s="165" t="s">
        <v>1149</v>
      </c>
      <c r="E169" s="165"/>
      <c r="F169" s="165" t="s">
        <v>1150</v>
      </c>
      <c r="G169" s="165" t="s">
        <v>1151</v>
      </c>
      <c r="H169" s="165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39"/>
      <c r="Y169" s="139"/>
    </row>
    <row r="170" spans="1:25" ht="21" customHeight="1">
      <c r="A170" s="139" t="s">
        <v>1152</v>
      </c>
      <c r="B170" s="139" t="s">
        <v>1153</v>
      </c>
      <c r="C170" s="140" t="s">
        <v>1154</v>
      </c>
      <c r="D170" s="140" t="s">
        <v>1155</v>
      </c>
      <c r="E170" s="140"/>
      <c r="F170" s="140" t="s">
        <v>1156</v>
      </c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39"/>
      <c r="Y170" s="139"/>
    </row>
    <row r="171" spans="1:25" ht="21" customHeight="1">
      <c r="A171" s="139" t="s">
        <v>1157</v>
      </c>
      <c r="B171" s="139" t="s">
        <v>1158</v>
      </c>
      <c r="C171" s="140" t="s">
        <v>1562</v>
      </c>
      <c r="D171" s="140" t="s">
        <v>1563</v>
      </c>
      <c r="E171" s="140"/>
      <c r="F171" s="140" t="s">
        <v>1564</v>
      </c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39"/>
      <c r="Y171" s="139"/>
    </row>
    <row r="172" spans="1:25" ht="21" customHeight="1">
      <c r="A172" s="139" t="s">
        <v>1160</v>
      </c>
      <c r="B172" s="139" t="s">
        <v>1161</v>
      </c>
      <c r="C172" s="160">
        <v>2031</v>
      </c>
      <c r="D172" s="140" t="s">
        <v>1159</v>
      </c>
      <c r="E172" s="140"/>
      <c r="F172" s="140" t="s">
        <v>1162</v>
      </c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39"/>
      <c r="Y172" s="139"/>
    </row>
    <row r="173" spans="1:25" ht="21" customHeight="1">
      <c r="A173" s="139" t="s">
        <v>1163</v>
      </c>
      <c r="B173" s="139" t="s">
        <v>1069</v>
      </c>
      <c r="C173" s="145">
        <v>5.0999999999999997E-2</v>
      </c>
      <c r="D173" s="140" t="s">
        <v>1164</v>
      </c>
      <c r="E173" s="140"/>
      <c r="F173" s="140" t="s">
        <v>1165</v>
      </c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39"/>
      <c r="Y173" s="139"/>
    </row>
    <row r="174" spans="1:25" ht="21" customHeight="1">
      <c r="A174" s="139" t="s">
        <v>1166</v>
      </c>
      <c r="B174" s="139" t="s">
        <v>1069</v>
      </c>
      <c r="C174" s="146" t="s">
        <v>1565</v>
      </c>
      <c r="D174" s="140" t="s">
        <v>1566</v>
      </c>
      <c r="E174" s="140"/>
      <c r="F174" s="140" t="s">
        <v>1167</v>
      </c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39"/>
      <c r="Y174" s="139"/>
    </row>
    <row r="175" spans="1:25" ht="21" customHeight="1">
      <c r="A175" s="139" t="s">
        <v>1168</v>
      </c>
      <c r="B175" s="139" t="s">
        <v>1169</v>
      </c>
      <c r="C175" s="157" t="s">
        <v>1565</v>
      </c>
      <c r="D175" s="140" t="s">
        <v>1566</v>
      </c>
      <c r="E175" s="140"/>
      <c r="F175" s="140" t="s">
        <v>1170</v>
      </c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39"/>
      <c r="Y175" s="139"/>
    </row>
    <row r="176" spans="1:25" ht="21" customHeight="1">
      <c r="A176" s="139" t="s">
        <v>1171</v>
      </c>
      <c r="B176" s="139" t="s">
        <v>1069</v>
      </c>
      <c r="C176" s="146" t="s">
        <v>1565</v>
      </c>
      <c r="D176" s="140" t="s">
        <v>1566</v>
      </c>
      <c r="E176" s="140"/>
      <c r="F176" s="140" t="s">
        <v>1172</v>
      </c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39"/>
      <c r="Y176" s="139"/>
    </row>
    <row r="177" spans="1:25" ht="21" customHeight="1">
      <c r="A177" s="139" t="s">
        <v>1173</v>
      </c>
      <c r="B177" s="139" t="s">
        <v>1069</v>
      </c>
      <c r="C177" s="146" t="s">
        <v>1565</v>
      </c>
      <c r="D177" s="140" t="s">
        <v>1566</v>
      </c>
      <c r="E177" s="140"/>
      <c r="F177" s="140" t="s">
        <v>1174</v>
      </c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39"/>
      <c r="Y177" s="139"/>
    </row>
    <row r="178" spans="1:25" ht="21" customHeight="1">
      <c r="A178" s="139" t="s">
        <v>1175</v>
      </c>
      <c r="B178" s="139" t="s">
        <v>1069</v>
      </c>
      <c r="C178" s="146" t="s">
        <v>1565</v>
      </c>
      <c r="D178" s="140" t="s">
        <v>1566</v>
      </c>
      <c r="E178" s="140"/>
      <c r="F178" s="140" t="s">
        <v>1176</v>
      </c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39"/>
      <c r="Y178" s="139"/>
    </row>
    <row r="179" spans="1:25" ht="21" customHeight="1">
      <c r="A179" s="139" t="s">
        <v>1177</v>
      </c>
      <c r="B179" s="139" t="s">
        <v>1069</v>
      </c>
      <c r="C179" s="330">
        <f>IF(ISNUMBER('Valuation Inputs'!C137),'Valuation Inputs'!C137,"待定")</f>
        <v>0.1</v>
      </c>
      <c r="D179" s="140" t="s">
        <v>1567</v>
      </c>
      <c r="E179" s="140"/>
      <c r="F179" s="269" t="s">
        <v>1959</v>
      </c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39"/>
      <c r="Y179" s="139"/>
    </row>
    <row r="180" spans="1:25" ht="21" customHeight="1">
      <c r="A180" s="139" t="s">
        <v>1178</v>
      </c>
      <c r="B180" s="139" t="s">
        <v>1069</v>
      </c>
      <c r="C180" s="146" t="s">
        <v>1565</v>
      </c>
      <c r="D180" s="140" t="s">
        <v>1566</v>
      </c>
      <c r="E180" s="140"/>
      <c r="F180" s="140" t="s">
        <v>1568</v>
      </c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39"/>
      <c r="Y180" s="139"/>
    </row>
    <row r="181" spans="1:25" ht="21" customHeight="1">
      <c r="A181" s="139" t="s">
        <v>1179</v>
      </c>
      <c r="B181" s="139" t="s">
        <v>1066</v>
      </c>
      <c r="C181" s="157" t="s">
        <v>1565</v>
      </c>
      <c r="D181" s="140" t="s">
        <v>1566</v>
      </c>
      <c r="E181" s="140"/>
      <c r="F181" s="140" t="s">
        <v>1180</v>
      </c>
      <c r="G181" s="149">
        <f>'Balance Sheet'!U24</f>
        <v>20782</v>
      </c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39"/>
      <c r="Y181" s="139"/>
    </row>
    <row r="182" spans="1:25" ht="21" customHeight="1">
      <c r="A182" s="139" t="s">
        <v>1181</v>
      </c>
      <c r="B182" s="139" t="s">
        <v>1066</v>
      </c>
      <c r="C182" s="157" t="s">
        <v>1565</v>
      </c>
      <c r="D182" s="140" t="s">
        <v>1566</v>
      </c>
      <c r="E182" s="140"/>
      <c r="F182" s="140" t="s">
        <v>1182</v>
      </c>
      <c r="G182" s="149">
        <f>SUM('Balance Sheet'!U14:U15)+'Balance Sheet'!U17</f>
        <v>16371</v>
      </c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39"/>
      <c r="Y182" s="139"/>
    </row>
    <row r="183" spans="1:25" ht="21" customHeight="1">
      <c r="A183" s="139" t="s">
        <v>1183</v>
      </c>
      <c r="B183" s="139" t="s">
        <v>1066</v>
      </c>
      <c r="C183" s="157" t="s">
        <v>1565</v>
      </c>
      <c r="D183" s="140" t="s">
        <v>1566</v>
      </c>
      <c r="E183" s="140"/>
      <c r="F183" s="140" t="s">
        <v>1184</v>
      </c>
      <c r="G183" s="149">
        <f>SUM('Balance Sheet'!U37:U38)+'Balance Sheet'!U43</f>
        <v>43543</v>
      </c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39"/>
      <c r="Y183" s="139"/>
    </row>
    <row r="184" spans="1:25" ht="21" customHeight="1">
      <c r="A184" s="139" t="s">
        <v>1185</v>
      </c>
      <c r="B184" s="139" t="s">
        <v>1066</v>
      </c>
      <c r="C184" s="157" t="s">
        <v>1565</v>
      </c>
      <c r="D184" s="140" t="s">
        <v>1566</v>
      </c>
      <c r="E184" s="140"/>
      <c r="F184" s="140" t="s">
        <v>1186</v>
      </c>
      <c r="G184" s="149">
        <f>'Balance Sheet'!U54</f>
        <v>2165</v>
      </c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39"/>
      <c r="Y184" s="139"/>
    </row>
    <row r="185" spans="1:25" ht="21" customHeight="1">
      <c r="A185" s="139" t="s">
        <v>1187</v>
      </c>
      <c r="B185" s="139" t="s">
        <v>1066</v>
      </c>
      <c r="C185" s="157" t="s">
        <v>1565</v>
      </c>
      <c r="D185" s="140" t="s">
        <v>1566</v>
      </c>
      <c r="E185" s="140"/>
      <c r="F185" s="140" t="s">
        <v>1569</v>
      </c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39"/>
      <c r="Y185" s="139"/>
    </row>
    <row r="186" spans="1:25" ht="21" customHeight="1">
      <c r="A186" s="139" t="s">
        <v>1188</v>
      </c>
      <c r="B186" s="139" t="s">
        <v>1189</v>
      </c>
      <c r="C186" s="157" t="s">
        <v>1565</v>
      </c>
      <c r="D186" s="140" t="s">
        <v>1566</v>
      </c>
      <c r="E186" s="140"/>
      <c r="F186" s="140" t="s">
        <v>1570</v>
      </c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39"/>
      <c r="Y186" s="139"/>
    </row>
    <row r="187" spans="1:25" ht="21" customHeight="1">
      <c r="A187" s="139"/>
      <c r="B187" s="139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39"/>
      <c r="Y187" s="139"/>
    </row>
    <row r="188" spans="1:25" ht="21" customHeight="1">
      <c r="A188" s="139" t="s">
        <v>1190</v>
      </c>
      <c r="B188" s="139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39"/>
      <c r="Y188" s="139"/>
    </row>
    <row r="189" spans="1:25" ht="21" customHeight="1">
      <c r="A189" s="139" t="s">
        <v>1191</v>
      </c>
      <c r="B189" s="139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39"/>
      <c r="Y189" s="139"/>
    </row>
    <row r="190" spans="1:25" ht="21" customHeight="1">
      <c r="A190" s="139" t="s">
        <v>1192</v>
      </c>
      <c r="B190" s="139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39"/>
      <c r="Y190" s="139"/>
    </row>
    <row r="191" spans="1:25" ht="21" customHeight="1">
      <c r="A191" s="139" t="s">
        <v>1193</v>
      </c>
      <c r="B191" s="139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39"/>
      <c r="Y191" s="139"/>
    </row>
    <row r="192" spans="1:25" ht="21" customHeight="1">
      <c r="A192" s="139"/>
      <c r="B192" s="139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39"/>
      <c r="Y192" s="139"/>
    </row>
    <row r="193" spans="1:25" ht="21" customHeight="1">
      <c r="A193" s="139" t="s">
        <v>1194</v>
      </c>
      <c r="B193" s="139"/>
      <c r="C193" s="140" t="s">
        <v>1195</v>
      </c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39"/>
      <c r="Y193" s="139"/>
    </row>
    <row r="194" spans="1:25" ht="21" customHeight="1">
      <c r="A194" s="139"/>
      <c r="B194" s="139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39"/>
      <c r="Y194" s="139"/>
    </row>
    <row r="195" spans="1:25" ht="21" customHeight="1">
      <c r="A195" s="139"/>
      <c r="B195" s="139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39"/>
      <c r="Y195" s="139"/>
    </row>
    <row r="196" spans="1:25" ht="21" customHeight="1">
      <c r="A196" s="139"/>
      <c r="B196" s="139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39"/>
      <c r="Y196" s="139"/>
    </row>
    <row r="197" spans="1:25" ht="21" customHeight="1">
      <c r="A197" s="139"/>
      <c r="B197" s="139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39"/>
      <c r="Y197" s="139"/>
    </row>
    <row r="198" spans="1:25" ht="25" customHeight="1">
      <c r="A198" s="142" t="s">
        <v>1196</v>
      </c>
      <c r="B198" s="142"/>
      <c r="C198" s="143"/>
      <c r="D198" s="143"/>
      <c r="E198" s="143"/>
      <c r="F198" s="143"/>
      <c r="G198" s="143"/>
      <c r="H198" s="143"/>
      <c r="I198" s="140"/>
      <c r="J198" s="143"/>
      <c r="K198" s="143"/>
      <c r="L198" s="143"/>
      <c r="M198" s="143"/>
      <c r="N198" s="143"/>
      <c r="O198" s="140"/>
      <c r="P198" s="143"/>
      <c r="Q198" s="143"/>
      <c r="R198" s="143"/>
      <c r="S198" s="143"/>
      <c r="T198" s="143"/>
      <c r="U198" s="143"/>
      <c r="V198" s="143"/>
      <c r="W198" s="143"/>
      <c r="X198" s="139"/>
      <c r="Y198" s="139"/>
    </row>
    <row r="199" spans="1:25" ht="21" customHeight="1">
      <c r="A199" s="164" t="s">
        <v>980</v>
      </c>
      <c r="B199" s="164" t="s">
        <v>1149</v>
      </c>
      <c r="C199" s="165" t="s">
        <v>1197</v>
      </c>
      <c r="D199" s="165" t="s">
        <v>1198</v>
      </c>
      <c r="E199" s="165" t="s">
        <v>1199</v>
      </c>
      <c r="F199" s="165" t="s">
        <v>1200</v>
      </c>
      <c r="G199" s="165" t="s">
        <v>1201</v>
      </c>
      <c r="H199" s="165" t="s">
        <v>1202</v>
      </c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39"/>
      <c r="Y199" s="139"/>
    </row>
    <row r="200" spans="1:25" ht="21" customHeight="1">
      <c r="A200" s="139" t="s">
        <v>9</v>
      </c>
      <c r="B200" s="139" t="s">
        <v>1203</v>
      </c>
      <c r="C200" s="144">
        <v>45784</v>
      </c>
      <c r="D200" s="144">
        <v>13336</v>
      </c>
      <c r="E200" s="140"/>
      <c r="F200" s="140"/>
      <c r="G200" s="140" t="s">
        <v>10</v>
      </c>
      <c r="H200" s="140" t="s">
        <v>1204</v>
      </c>
      <c r="I200" s="140"/>
      <c r="J200" s="140" t="s">
        <v>1205</v>
      </c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39"/>
      <c r="Y200" s="139"/>
    </row>
    <row r="201" spans="1:25" ht="21" customHeight="1">
      <c r="A201" s="139" t="s">
        <v>10</v>
      </c>
      <c r="B201" s="139" t="s">
        <v>1203</v>
      </c>
      <c r="C201" s="144">
        <v>46897</v>
      </c>
      <c r="D201" s="144">
        <v>14085</v>
      </c>
      <c r="E201" s="140"/>
      <c r="F201" s="140"/>
      <c r="G201" s="140" t="s">
        <v>11</v>
      </c>
      <c r="H201" s="140" t="s">
        <v>1206</v>
      </c>
      <c r="I201" s="140"/>
      <c r="J201" s="140" t="s">
        <v>1207</v>
      </c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39"/>
      <c r="Y201" s="139"/>
    </row>
    <row r="202" spans="1:25" ht="21" customHeight="1">
      <c r="A202" s="139" t="s">
        <v>11</v>
      </c>
      <c r="B202" s="139" t="s">
        <v>1203</v>
      </c>
      <c r="C202" s="144">
        <v>48062</v>
      </c>
      <c r="D202" s="144">
        <v>15013</v>
      </c>
      <c r="E202" s="140"/>
      <c r="F202" s="140"/>
      <c r="G202" s="140" t="s">
        <v>11</v>
      </c>
      <c r="H202" s="140" t="s">
        <v>1208</v>
      </c>
      <c r="I202" s="140"/>
      <c r="J202" s="140" t="s">
        <v>1207</v>
      </c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39"/>
      <c r="Y202" s="139"/>
    </row>
    <row r="203" spans="1:25" ht="21" customHeight="1">
      <c r="A203" s="139" t="s">
        <v>1209</v>
      </c>
      <c r="B203" s="139" t="s">
        <v>1203</v>
      </c>
      <c r="C203" s="144">
        <v>11949</v>
      </c>
      <c r="D203" s="144">
        <v>3671</v>
      </c>
      <c r="E203" s="140"/>
      <c r="F203" s="140"/>
      <c r="G203" s="140" t="s">
        <v>1210</v>
      </c>
      <c r="H203" s="140" t="s">
        <v>1211</v>
      </c>
      <c r="I203" s="140"/>
      <c r="J203" s="140" t="s">
        <v>1212</v>
      </c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39"/>
      <c r="Y203" s="139"/>
    </row>
    <row r="204" spans="1:25" ht="21" customHeight="1">
      <c r="A204" s="139" t="s">
        <v>1213</v>
      </c>
      <c r="B204" s="139" t="s">
        <v>1203</v>
      </c>
      <c r="C204" s="144">
        <v>11404</v>
      </c>
      <c r="D204" s="144">
        <v>2734</v>
      </c>
      <c r="E204" s="144">
        <v>11544</v>
      </c>
      <c r="F204" s="144">
        <v>2709</v>
      </c>
      <c r="G204" s="140" t="s">
        <v>11</v>
      </c>
      <c r="H204" s="140" t="s">
        <v>1214</v>
      </c>
      <c r="I204" s="140"/>
      <c r="J204" s="140" t="s">
        <v>1207</v>
      </c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39"/>
      <c r="Y204" s="139"/>
    </row>
    <row r="205" spans="1:25" ht="21" customHeight="1">
      <c r="A205" s="139" t="s">
        <v>1215</v>
      </c>
      <c r="B205" s="139" t="s">
        <v>1203</v>
      </c>
      <c r="C205" s="144">
        <v>11216</v>
      </c>
      <c r="D205" s="144">
        <v>3787</v>
      </c>
      <c r="E205" s="140"/>
      <c r="F205" s="140"/>
      <c r="G205" s="140" t="s">
        <v>1216</v>
      </c>
      <c r="H205" s="140" t="s">
        <v>1217</v>
      </c>
      <c r="I205" s="140"/>
      <c r="J205" s="140" t="s">
        <v>1218</v>
      </c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39"/>
      <c r="Y205" s="139"/>
    </row>
    <row r="206" spans="1:25" ht="21" customHeight="1">
      <c r="A206" s="139" t="s">
        <v>1219</v>
      </c>
      <c r="B206" s="139" t="s">
        <v>1203</v>
      </c>
      <c r="C206" s="144">
        <v>12617</v>
      </c>
      <c r="D206" s="144">
        <v>4381</v>
      </c>
      <c r="E206" s="140"/>
      <c r="F206" s="140"/>
      <c r="G206" s="140" t="s">
        <v>1220</v>
      </c>
      <c r="H206" s="140" t="s">
        <v>1221</v>
      </c>
      <c r="I206" s="140"/>
      <c r="J206" s="140" t="s">
        <v>1222</v>
      </c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39"/>
      <c r="Y206" s="139"/>
    </row>
    <row r="207" spans="1:25" ht="21" customHeight="1">
      <c r="A207" s="139" t="s">
        <v>1223</v>
      </c>
      <c r="B207" s="139" t="s">
        <v>1203</v>
      </c>
      <c r="C207" s="144">
        <v>12412</v>
      </c>
      <c r="D207" s="144">
        <v>3957</v>
      </c>
      <c r="E207" s="140"/>
      <c r="F207" s="140"/>
      <c r="G207" s="140" t="s">
        <v>1224</v>
      </c>
      <c r="H207" s="140" t="s">
        <v>1225</v>
      </c>
      <c r="I207" s="140"/>
      <c r="J207" s="140" t="s">
        <v>1226</v>
      </c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39"/>
      <c r="Y207" s="139"/>
    </row>
    <row r="208" spans="1:25" ht="21" customHeight="1">
      <c r="A208" s="139" t="s">
        <v>1227</v>
      </c>
      <c r="B208" s="139" t="s">
        <v>1203</v>
      </c>
      <c r="C208" s="144">
        <v>11817</v>
      </c>
      <c r="D208" s="144">
        <v>2888</v>
      </c>
      <c r="E208" s="140"/>
      <c r="F208" s="140"/>
      <c r="G208" s="140" t="s">
        <v>11</v>
      </c>
      <c r="H208" s="140" t="s">
        <v>1228</v>
      </c>
      <c r="I208" s="140"/>
      <c r="J208" s="140" t="s">
        <v>1207</v>
      </c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39"/>
      <c r="Y208" s="139"/>
    </row>
    <row r="209" spans="1:25" ht="21" customHeight="1">
      <c r="A209" s="139" t="s">
        <v>1229</v>
      </c>
      <c r="B209" s="139" t="s">
        <v>1203</v>
      </c>
      <c r="C209" s="144">
        <v>12471</v>
      </c>
      <c r="D209" s="144">
        <v>4300</v>
      </c>
      <c r="E209" s="140"/>
      <c r="F209" s="140"/>
      <c r="G209" s="140" t="s">
        <v>1216</v>
      </c>
      <c r="H209" s="140" t="s">
        <v>1230</v>
      </c>
      <c r="I209" s="140"/>
      <c r="J209" s="140" t="s">
        <v>1218</v>
      </c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39"/>
      <c r="Y209" s="139"/>
    </row>
    <row r="210" spans="1:25" ht="21" customHeight="1">
      <c r="A210" s="139" t="s">
        <v>1231</v>
      </c>
      <c r="B210" s="139" t="s">
        <v>1203</v>
      </c>
      <c r="C210" s="144">
        <v>13373</v>
      </c>
      <c r="D210" s="144">
        <v>4758</v>
      </c>
      <c r="E210" s="140"/>
      <c r="F210" s="140"/>
      <c r="G210" s="140" t="s">
        <v>1220</v>
      </c>
      <c r="H210" s="140" t="s">
        <v>1232</v>
      </c>
      <c r="I210" s="140"/>
      <c r="J210" s="140" t="s">
        <v>1222</v>
      </c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39"/>
      <c r="Y210" s="139"/>
    </row>
    <row r="211" spans="1:25" ht="21" customHeight="1">
      <c r="A211" s="139"/>
      <c r="B211" s="139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39"/>
      <c r="Y211" s="139"/>
    </row>
    <row r="212" spans="1:25" ht="21" customHeight="1">
      <c r="A212" s="139"/>
      <c r="B212" s="139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39"/>
      <c r="Y212" s="139"/>
    </row>
    <row r="213" spans="1:25" ht="21" customHeight="1">
      <c r="A213" s="139" t="s">
        <v>1233</v>
      </c>
      <c r="B213" s="139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39"/>
      <c r="Y213" s="139"/>
    </row>
    <row r="214" spans="1:25" ht="21" customHeight="1">
      <c r="A214" s="139" t="s">
        <v>1571</v>
      </c>
      <c r="B214" s="139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39"/>
      <c r="Y214" s="139"/>
    </row>
    <row r="215" spans="1:25" ht="21" customHeight="1">
      <c r="A215" s="139"/>
      <c r="B215" s="139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39"/>
      <c r="Y215" s="139"/>
    </row>
    <row r="216" spans="1:25" ht="21" customHeight="1">
      <c r="A216" s="139" t="s">
        <v>1234</v>
      </c>
      <c r="B216" s="139"/>
      <c r="C216" s="144">
        <v>4113</v>
      </c>
      <c r="D216" s="140"/>
      <c r="E216" s="140"/>
      <c r="F216" s="140"/>
      <c r="G216" s="140"/>
      <c r="H216" s="140"/>
      <c r="I216" s="140"/>
      <c r="J216" s="140" t="s">
        <v>1235</v>
      </c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39"/>
      <c r="Y216" s="139"/>
    </row>
    <row r="217" spans="1:25" ht="21" customHeight="1">
      <c r="A217" s="139" t="s">
        <v>1236</v>
      </c>
      <c r="B217" s="139"/>
      <c r="C217" s="144">
        <v>792</v>
      </c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39"/>
      <c r="Y217" s="139"/>
    </row>
    <row r="218" spans="1:25" ht="21" customHeight="1">
      <c r="A218" s="139" t="s">
        <v>1237</v>
      </c>
      <c r="B218" s="139"/>
      <c r="C218" s="144">
        <v>531</v>
      </c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39"/>
      <c r="Y218" s="139"/>
    </row>
    <row r="219" spans="1:25" ht="21" customHeight="1">
      <c r="A219" s="139"/>
      <c r="B219" s="139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39"/>
      <c r="Y219" s="139"/>
    </row>
    <row r="220" spans="1:25" ht="21" customHeight="1">
      <c r="A220" s="139"/>
      <c r="B220" s="139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39"/>
      <c r="Y220" s="139"/>
    </row>
    <row r="221" spans="1:25" ht="25" customHeight="1">
      <c r="A221" s="142" t="s">
        <v>1238</v>
      </c>
      <c r="B221" s="142"/>
      <c r="C221" s="143"/>
      <c r="D221" s="143"/>
      <c r="E221" s="143"/>
      <c r="F221" s="143"/>
      <c r="G221" s="143"/>
      <c r="H221" s="143"/>
      <c r="I221" s="140"/>
      <c r="J221" s="143"/>
      <c r="K221" s="143"/>
      <c r="L221" s="143"/>
      <c r="M221" s="143"/>
      <c r="N221" s="143"/>
      <c r="O221" s="140"/>
      <c r="P221" s="143"/>
      <c r="Q221" s="143"/>
      <c r="R221" s="143"/>
      <c r="S221" s="143"/>
      <c r="T221" s="143"/>
      <c r="U221" s="143"/>
      <c r="V221" s="143"/>
      <c r="W221" s="143"/>
      <c r="X221" s="139"/>
      <c r="Y221" s="139"/>
    </row>
    <row r="222" spans="1:25" ht="21" customHeight="1">
      <c r="A222" s="164" t="s">
        <v>1147</v>
      </c>
      <c r="B222" s="164" t="s">
        <v>1051</v>
      </c>
      <c r="C222" s="165" t="s">
        <v>1239</v>
      </c>
      <c r="D222" s="165" t="s">
        <v>1240</v>
      </c>
      <c r="E222" s="165" t="s">
        <v>1241</v>
      </c>
      <c r="F222" s="165" t="s">
        <v>1149</v>
      </c>
      <c r="G222" s="165" t="s">
        <v>1201</v>
      </c>
      <c r="H222" s="165" t="s">
        <v>1242</v>
      </c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39"/>
      <c r="Y222" s="139"/>
    </row>
    <row r="223" spans="1:25" ht="21" customHeight="1">
      <c r="A223" s="139" t="s">
        <v>1243</v>
      </c>
      <c r="B223" s="139" t="s">
        <v>1069</v>
      </c>
      <c r="C223" s="145">
        <v>0.05</v>
      </c>
      <c r="D223" s="145">
        <v>0.05</v>
      </c>
      <c r="E223" s="330">
        <f>IF(ISNUMBER('Valuation Inputs'!C80),'Valuation Inputs'!C80,"待定")</f>
        <v>0.05</v>
      </c>
      <c r="F223" s="140" t="s">
        <v>1244</v>
      </c>
      <c r="G223" s="140" t="s">
        <v>1245</v>
      </c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39"/>
      <c r="Y223" s="139"/>
    </row>
    <row r="224" spans="1:25" ht="21" customHeight="1">
      <c r="A224" s="139" t="s">
        <v>1246</v>
      </c>
      <c r="B224" s="139" t="s">
        <v>1077</v>
      </c>
      <c r="C224" s="145">
        <v>0.01</v>
      </c>
      <c r="D224" s="145">
        <v>0.01</v>
      </c>
      <c r="E224" s="330">
        <f>IF(ISNUMBER('Valuation Inputs'!C81),'Valuation Inputs'!C81,"待定")</f>
        <v>0.01</v>
      </c>
      <c r="F224" s="140" t="s">
        <v>1244</v>
      </c>
      <c r="G224" s="140" t="s">
        <v>1245</v>
      </c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39"/>
      <c r="Y224" s="139"/>
    </row>
    <row r="225" spans="1:25" ht="21" customHeight="1">
      <c r="A225" s="139" t="s">
        <v>1247</v>
      </c>
      <c r="B225" s="139" t="s">
        <v>1077</v>
      </c>
      <c r="C225" s="145">
        <v>-0.03</v>
      </c>
      <c r="D225" s="145">
        <v>-0.02</v>
      </c>
      <c r="E225" s="330">
        <f>IF(ISNUMBER('Valuation Inputs'!C82),'Valuation Inputs'!C82,"待定")</f>
        <v>-2.5000000000000001E-2</v>
      </c>
      <c r="F225" s="140" t="s">
        <v>1248</v>
      </c>
      <c r="G225" s="140" t="s">
        <v>1245</v>
      </c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39"/>
      <c r="Y225" s="139"/>
    </row>
    <row r="226" spans="1:25" ht="21" customHeight="1">
      <c r="A226" s="139" t="s">
        <v>1249</v>
      </c>
      <c r="B226" s="139" t="s">
        <v>1066</v>
      </c>
      <c r="C226" s="144">
        <v>14600</v>
      </c>
      <c r="D226" s="144">
        <v>14600</v>
      </c>
      <c r="E226" s="334">
        <f>IF(ISNUMBER('Valuation Inputs'!C83),'Valuation Inputs'!C83,"待定")</f>
        <v>14600</v>
      </c>
      <c r="F226" s="140" t="s">
        <v>1244</v>
      </c>
      <c r="G226" s="140" t="s">
        <v>1245</v>
      </c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39"/>
      <c r="Y226" s="139"/>
    </row>
    <row r="227" spans="1:25" ht="21" customHeight="1">
      <c r="A227" s="139" t="s">
        <v>1250</v>
      </c>
      <c r="B227" s="139" t="s">
        <v>1066</v>
      </c>
      <c r="C227" s="144">
        <v>2200</v>
      </c>
      <c r="D227" s="144">
        <v>2200</v>
      </c>
      <c r="E227" s="334">
        <f>IF(ISNUMBER('Valuation Inputs'!C84),'Valuation Inputs'!C84,"待定")</f>
        <v>2200</v>
      </c>
      <c r="F227" s="140" t="s">
        <v>1244</v>
      </c>
      <c r="G227" s="140" t="s">
        <v>1245</v>
      </c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39"/>
      <c r="Y227" s="139"/>
    </row>
    <row r="228" spans="1:25" ht="21" customHeight="1">
      <c r="A228" s="139" t="s">
        <v>1251</v>
      </c>
      <c r="B228" s="139" t="s">
        <v>1066</v>
      </c>
      <c r="C228" s="144">
        <v>12400</v>
      </c>
      <c r="D228" s="144">
        <v>12400</v>
      </c>
      <c r="E228" s="334">
        <f>IF(ISNUMBER('Valuation Inputs'!C85),'Valuation Inputs'!C85,"待定")</f>
        <v>12400</v>
      </c>
      <c r="F228" s="140" t="s">
        <v>1244</v>
      </c>
      <c r="G228" s="140" t="s">
        <v>1245</v>
      </c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39"/>
      <c r="Y228" s="139"/>
    </row>
    <row r="229" spans="1:25" ht="21" customHeight="1">
      <c r="A229" s="139" t="s">
        <v>1252</v>
      </c>
      <c r="B229" s="139" t="s">
        <v>1069</v>
      </c>
      <c r="C229" s="145">
        <v>0.19900000000000001</v>
      </c>
      <c r="D229" s="145">
        <v>0.19900000000000001</v>
      </c>
      <c r="E229" s="330">
        <f>IF(ISNUMBER('Valuation Inputs'!C86),'Valuation Inputs'!C86,"待定")</f>
        <v>0.19900000000000001</v>
      </c>
      <c r="F229" s="140" t="s">
        <v>1244</v>
      </c>
      <c r="G229" s="140" t="s">
        <v>1245</v>
      </c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39"/>
      <c r="Y229" s="139"/>
    </row>
    <row r="230" spans="1:25" ht="21" customHeight="1">
      <c r="A230" s="139" t="s">
        <v>1253</v>
      </c>
      <c r="B230" s="139" t="s">
        <v>1077</v>
      </c>
      <c r="C230" s="145">
        <v>0.01</v>
      </c>
      <c r="D230" s="145">
        <v>0.01</v>
      </c>
      <c r="E230" s="330">
        <f>IF(ISNUMBER('Valuation Inputs'!C87),'Valuation Inputs'!C87,"待定")</f>
        <v>0.01</v>
      </c>
      <c r="F230" s="140" t="s">
        <v>1244</v>
      </c>
      <c r="G230" s="140" t="s">
        <v>1245</v>
      </c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39"/>
      <c r="Y230" s="139"/>
    </row>
    <row r="231" spans="1:25" ht="21" customHeight="1">
      <c r="A231" s="139" t="s">
        <v>1254</v>
      </c>
      <c r="B231" s="139" t="s">
        <v>1077</v>
      </c>
      <c r="C231" s="145">
        <v>-0.01</v>
      </c>
      <c r="D231" s="145">
        <v>-0.01</v>
      </c>
      <c r="E231" s="330">
        <f>IF(ISNUMBER('Valuation Inputs'!C88),'Valuation Inputs'!C88,"待定")</f>
        <v>-0.01</v>
      </c>
      <c r="F231" s="140" t="s">
        <v>1244</v>
      </c>
      <c r="G231" s="140" t="s">
        <v>1245</v>
      </c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39"/>
      <c r="Y231" s="139"/>
    </row>
    <row r="232" spans="1:25" ht="21" customHeight="1">
      <c r="A232" s="139"/>
      <c r="B232" s="139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39"/>
      <c r="Y232" s="139"/>
    </row>
    <row r="233" spans="1:25" ht="21" customHeight="1">
      <c r="A233" s="139" t="s">
        <v>1255</v>
      </c>
      <c r="B233" s="139" t="s">
        <v>1069</v>
      </c>
      <c r="C233" s="140"/>
      <c r="D233" s="140"/>
      <c r="E233" s="159">
        <f>E14</f>
        <v>0.04</v>
      </c>
      <c r="F233" s="140"/>
      <c r="G233" s="140"/>
      <c r="H233" s="140"/>
      <c r="I233" s="140"/>
      <c r="J233" s="140" t="s">
        <v>1256</v>
      </c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39"/>
      <c r="Y233" s="139"/>
    </row>
    <row r="234" spans="1:25" ht="21" customHeight="1">
      <c r="A234" s="139" t="s">
        <v>1294</v>
      </c>
      <c r="B234" s="139" t="s">
        <v>1069</v>
      </c>
      <c r="C234" s="140"/>
      <c r="D234" s="140"/>
      <c r="E234" s="159">
        <f>E18</f>
        <v>0.32696596345967927</v>
      </c>
      <c r="F234" s="140"/>
      <c r="G234" s="140"/>
      <c r="H234" s="140"/>
      <c r="I234" s="140"/>
      <c r="J234" s="140" t="s">
        <v>1295</v>
      </c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39"/>
      <c r="Y234" s="139"/>
    </row>
    <row r="235" spans="1:25" ht="21" customHeight="1">
      <c r="A235" s="139" t="s">
        <v>1296</v>
      </c>
      <c r="B235" s="139" t="s">
        <v>1069</v>
      </c>
      <c r="C235" s="140"/>
      <c r="D235" s="140"/>
      <c r="E235" s="159">
        <f>F18</f>
        <v>0.2618746460927463</v>
      </c>
      <c r="F235" s="140"/>
      <c r="G235" s="140"/>
      <c r="H235" s="140"/>
      <c r="I235" s="140"/>
      <c r="J235" s="140" t="s">
        <v>1297</v>
      </c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39"/>
      <c r="Y235" s="139"/>
    </row>
    <row r="236" spans="1:25" ht="21" customHeight="1">
      <c r="A236" s="139" t="s">
        <v>1257</v>
      </c>
      <c r="B236" s="139" t="s">
        <v>1066</v>
      </c>
      <c r="C236" s="140"/>
      <c r="D236" s="140"/>
      <c r="E236" s="159">
        <f>H27</f>
        <v>1100</v>
      </c>
      <c r="F236" s="140"/>
      <c r="G236" s="140"/>
      <c r="H236" s="140"/>
      <c r="I236" s="140"/>
      <c r="J236" s="140" t="s">
        <v>1258</v>
      </c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39"/>
      <c r="Y236" s="139"/>
    </row>
    <row r="237" spans="1:25" ht="21" customHeight="1">
      <c r="A237" s="139" t="s">
        <v>1259</v>
      </c>
      <c r="B237" s="139" t="s">
        <v>1066</v>
      </c>
      <c r="C237" s="140"/>
      <c r="D237" s="140"/>
      <c r="E237" s="159">
        <f>H24</f>
        <v>100</v>
      </c>
      <c r="F237" s="140"/>
      <c r="G237" s="140"/>
      <c r="H237" s="140"/>
      <c r="I237" s="140"/>
      <c r="J237" s="140" t="s">
        <v>1260</v>
      </c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39"/>
      <c r="Y237" s="139"/>
    </row>
    <row r="238" spans="1:25" ht="21" customHeight="1">
      <c r="A238" s="139"/>
      <c r="B238" s="139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39"/>
      <c r="Y238" s="139"/>
    </row>
    <row r="239" spans="1:25" ht="21" customHeight="1">
      <c r="A239" s="139" t="s">
        <v>1261</v>
      </c>
      <c r="B239" s="139"/>
      <c r="C239" s="140" t="s">
        <v>1262</v>
      </c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39"/>
      <c r="Y239" s="139"/>
    </row>
    <row r="240" spans="1:25" ht="21" customHeight="1">
      <c r="A240" s="139" t="s">
        <v>1263</v>
      </c>
      <c r="B240" s="139"/>
      <c r="C240" s="140" t="s">
        <v>1264</v>
      </c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39"/>
      <c r="Y240" s="139"/>
    </row>
    <row r="241" spans="1:25" ht="21" customHeight="1">
      <c r="A241" s="139"/>
      <c r="B241" s="139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39"/>
      <c r="Y241" s="139"/>
    </row>
    <row r="242" spans="1:25" ht="21" customHeight="1">
      <c r="A242" s="139"/>
      <c r="B242" s="139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39"/>
      <c r="Y242" s="139"/>
    </row>
    <row r="243" spans="1:25" ht="21" customHeight="1">
      <c r="A243" s="139"/>
      <c r="B243" s="139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39"/>
      <c r="Y243" s="139"/>
    </row>
    <row r="244" spans="1:25" ht="25" customHeight="1">
      <c r="A244" s="142" t="s">
        <v>1265</v>
      </c>
      <c r="B244" s="142"/>
      <c r="C244" s="143"/>
      <c r="D244" s="143"/>
      <c r="E244" s="143"/>
      <c r="F244" s="143"/>
      <c r="G244" s="143"/>
      <c r="H244" s="143"/>
      <c r="I244" s="140"/>
      <c r="J244" s="143"/>
      <c r="K244" s="143"/>
      <c r="L244" s="143"/>
      <c r="M244" s="143"/>
      <c r="N244" s="143"/>
      <c r="O244" s="140"/>
      <c r="P244" s="143"/>
      <c r="Q244" s="143"/>
      <c r="R244" s="143"/>
      <c r="S244" s="143"/>
      <c r="T244" s="143"/>
      <c r="U244" s="143"/>
      <c r="V244" s="143"/>
      <c r="W244" s="143"/>
      <c r="X244" s="139"/>
      <c r="Y244" s="139"/>
    </row>
    <row r="245" spans="1:25" ht="21" customHeight="1">
      <c r="A245" s="139"/>
      <c r="B245" s="139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39"/>
      <c r="Y245" s="139"/>
    </row>
    <row r="246" spans="1:25" ht="21" customHeight="1">
      <c r="A246" s="139" t="s">
        <v>1266</v>
      </c>
      <c r="B246" s="139" t="s">
        <v>1066</v>
      </c>
      <c r="C246" s="158">
        <f>G12-25844</f>
        <v>0</v>
      </c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39"/>
      <c r="Y246" s="139"/>
    </row>
    <row r="247" spans="1:25" ht="21" customHeight="1">
      <c r="A247" s="139" t="s">
        <v>1267</v>
      </c>
      <c r="B247" s="139" t="s">
        <v>1066</v>
      </c>
      <c r="C247" s="158">
        <f>G19-9058</f>
        <v>0</v>
      </c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39"/>
      <c r="Y247" s="139"/>
    </row>
    <row r="248" spans="1:25" ht="21" customHeight="1">
      <c r="A248" s="139" t="s">
        <v>1268</v>
      </c>
      <c r="B248" s="139" t="s">
        <v>1066</v>
      </c>
      <c r="C248" s="158">
        <f>SUM(C12:F12)-H12</f>
        <v>0</v>
      </c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39"/>
      <c r="Y248" s="139"/>
    </row>
    <row r="249" spans="1:25" ht="21" customHeight="1">
      <c r="A249" s="139" t="s">
        <v>1269</v>
      </c>
      <c r="B249" s="139" t="s">
        <v>1066</v>
      </c>
      <c r="C249" s="158">
        <f>SUM(C28:F28)-H28</f>
        <v>0</v>
      </c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39"/>
      <c r="Y249" s="139"/>
    </row>
    <row r="250" spans="1:25" ht="21" customHeight="1">
      <c r="A250" s="139" t="s">
        <v>1270</v>
      </c>
      <c r="B250" s="139" t="s">
        <v>1066</v>
      </c>
      <c r="C250" s="158">
        <f>SUM(C27:F27)-H27</f>
        <v>0</v>
      </c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39"/>
      <c r="Y250" s="139"/>
    </row>
    <row r="251" spans="1:25" ht="21" customHeight="1">
      <c r="A251" s="139" t="s">
        <v>1271</v>
      </c>
      <c r="B251" s="139" t="s">
        <v>1066</v>
      </c>
      <c r="C251" s="158">
        <f>H30-E228</f>
        <v>0</v>
      </c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39"/>
      <c r="Y251" s="139"/>
    </row>
    <row r="252" spans="1:25" ht="21" customHeight="1">
      <c r="A252" s="139"/>
      <c r="B252" s="139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39"/>
      <c r="Y252" s="139"/>
    </row>
    <row r="253" spans="1:25" ht="21" customHeight="1">
      <c r="A253" s="139" t="s">
        <v>1298</v>
      </c>
      <c r="B253" s="139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39"/>
      <c r="Y253" s="139"/>
    </row>
    <row r="254" spans="1:25" ht="21" customHeight="1">
      <c r="A254" s="139" t="s">
        <v>1572</v>
      </c>
      <c r="B254" s="139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39"/>
      <c r="Y254" s="139"/>
    </row>
    <row r="255" spans="1:25" ht="21" customHeight="1">
      <c r="A255" s="139" t="s">
        <v>1272</v>
      </c>
      <c r="B255" s="139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39"/>
      <c r="Y255" s="139"/>
    </row>
    <row r="256" spans="1:25" ht="21" customHeight="1">
      <c r="A256" s="139"/>
      <c r="B256" s="139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39"/>
      <c r="Y256" s="139"/>
    </row>
    <row r="257" spans="1:25" ht="21" customHeight="1">
      <c r="A257" s="139" t="s">
        <v>1273</v>
      </c>
      <c r="B257" s="139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39"/>
      <c r="Y257" s="139"/>
    </row>
    <row r="258" spans="1:25" ht="21" customHeight="1">
      <c r="A258" s="139" t="s">
        <v>1274</v>
      </c>
      <c r="B258" s="139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39"/>
      <c r="Y258" s="139"/>
    </row>
    <row r="259" spans="1:25" ht="21" customHeight="1">
      <c r="A259" s="139" t="s">
        <v>1275</v>
      </c>
      <c r="B259" s="139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39"/>
      <c r="Y259" s="139"/>
    </row>
    <row r="260" spans="1:25" ht="21" customHeight="1">
      <c r="A260" s="139"/>
      <c r="B260" s="139"/>
      <c r="C260" s="140" t="s">
        <v>1276</v>
      </c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39"/>
      <c r="Y260" s="139"/>
    </row>
    <row r="261" spans="1:25" ht="21" customHeight="1">
      <c r="A261" s="139"/>
      <c r="B261" s="139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39"/>
      <c r="Y261" s="139"/>
    </row>
    <row r="262" spans="1:25" ht="25" customHeight="1">
      <c r="A262" s="142" t="s">
        <v>1277</v>
      </c>
      <c r="B262" s="142"/>
      <c r="C262" s="143"/>
      <c r="D262" s="143"/>
      <c r="E262" s="143"/>
      <c r="F262" s="143"/>
      <c r="G262" s="143"/>
      <c r="H262" s="143"/>
      <c r="I262" s="140"/>
      <c r="J262" s="143"/>
      <c r="K262" s="143"/>
      <c r="L262" s="143"/>
      <c r="M262" s="143"/>
      <c r="N262" s="143"/>
      <c r="O262" s="140"/>
      <c r="P262" s="143"/>
      <c r="Q262" s="143"/>
      <c r="R262" s="143"/>
      <c r="S262" s="143"/>
      <c r="T262" s="143"/>
      <c r="U262" s="143"/>
      <c r="V262" s="143"/>
      <c r="W262" s="143"/>
      <c r="X262" s="139"/>
      <c r="Y262" s="139"/>
    </row>
    <row r="263" spans="1:25" ht="21" customHeight="1">
      <c r="A263" s="139" t="s">
        <v>980</v>
      </c>
      <c r="B263" s="139" t="s">
        <v>1149</v>
      </c>
      <c r="C263" s="140" t="s">
        <v>1278</v>
      </c>
      <c r="D263" s="140" t="s">
        <v>1197</v>
      </c>
      <c r="E263" s="140" t="s">
        <v>1279</v>
      </c>
      <c r="F263" s="140" t="s">
        <v>1198</v>
      </c>
      <c r="G263" s="140" t="s">
        <v>1201</v>
      </c>
      <c r="H263" s="140" t="s">
        <v>1280</v>
      </c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39"/>
      <c r="Y263" s="139"/>
    </row>
    <row r="264" spans="1:25" ht="21" customHeight="1">
      <c r="A264" s="139" t="s">
        <v>1281</v>
      </c>
      <c r="B264" s="139" t="s">
        <v>1203</v>
      </c>
      <c r="C264" s="144">
        <v>11953</v>
      </c>
      <c r="D264" s="144">
        <v>11911</v>
      </c>
      <c r="E264" s="144">
        <v>3270</v>
      </c>
      <c r="F264" s="144">
        <v>3536</v>
      </c>
      <c r="G264" s="140" t="s">
        <v>1210</v>
      </c>
      <c r="H264" s="140" t="s">
        <v>1282</v>
      </c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39"/>
      <c r="Y264" s="139"/>
    </row>
    <row r="265" spans="1:25" ht="21" customHeight="1">
      <c r="A265" s="139" t="s">
        <v>1283</v>
      </c>
      <c r="B265" s="139" t="s">
        <v>1203</v>
      </c>
      <c r="C265" s="144">
        <v>10849</v>
      </c>
      <c r="D265" s="144">
        <v>10948</v>
      </c>
      <c r="E265" s="144">
        <v>2273</v>
      </c>
      <c r="F265" s="144">
        <v>2532</v>
      </c>
      <c r="G265" s="140" t="s">
        <v>10</v>
      </c>
      <c r="H265" s="140" t="s">
        <v>1284</v>
      </c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39"/>
      <c r="Y265" s="139"/>
    </row>
    <row r="266" spans="1:25" ht="21" customHeight="1">
      <c r="A266" s="139" t="s">
        <v>1285</v>
      </c>
      <c r="B266" s="139" t="s">
        <v>1203</v>
      </c>
      <c r="C266" s="144">
        <v>11300</v>
      </c>
      <c r="D266" s="144">
        <v>11231</v>
      </c>
      <c r="E266" s="144">
        <v>2141</v>
      </c>
      <c r="F266" s="144">
        <v>3643</v>
      </c>
      <c r="G266" s="140" t="s">
        <v>1286</v>
      </c>
      <c r="H266" s="140" t="s">
        <v>1287</v>
      </c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39"/>
      <c r="Y266" s="139"/>
    </row>
    <row r="267" spans="1:25" ht="21" customHeight="1">
      <c r="A267" s="139" t="s">
        <v>1288</v>
      </c>
      <c r="B267" s="139" t="s">
        <v>1203</v>
      </c>
      <c r="C267" s="144">
        <v>12363</v>
      </c>
      <c r="D267" s="144">
        <v>12313</v>
      </c>
      <c r="E267" s="144">
        <v>2632</v>
      </c>
      <c r="F267" s="144">
        <v>4037</v>
      </c>
      <c r="G267" s="140" t="s">
        <v>1289</v>
      </c>
      <c r="H267" s="140" t="s">
        <v>1282</v>
      </c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39"/>
      <c r="Y267" s="139"/>
    </row>
    <row r="268" spans="1:25" ht="21" customHeight="1">
      <c r="A268" s="139"/>
      <c r="B268" s="139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39"/>
      <c r="Y268" s="139"/>
    </row>
    <row r="269" spans="1:25" ht="21" customHeight="1">
      <c r="A269" s="139"/>
      <c r="B269" s="139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39"/>
      <c r="Y269" s="139"/>
    </row>
    <row r="270" spans="1:25" ht="21" customHeight="1">
      <c r="A270" s="139"/>
      <c r="B270" s="139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39"/>
      <c r="Y270" s="139"/>
    </row>
    <row r="271" spans="1:25" ht="21" customHeight="1">
      <c r="A271" s="139"/>
      <c r="B271" s="139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39"/>
      <c r="Y271" s="139"/>
    </row>
    <row r="272" spans="1:25" ht="21" customHeight="1">
      <c r="A272" s="139"/>
      <c r="B272" s="139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39"/>
      <c r="Y272" s="139"/>
    </row>
    <row r="273" spans="1:25" ht="21" customHeight="1">
      <c r="A273" s="139"/>
      <c r="B273" s="139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39"/>
      <c r="Y273" s="139"/>
    </row>
    <row r="274" spans="1:25" ht="21" customHeight="1">
      <c r="A274" s="139"/>
      <c r="B274" s="139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39"/>
      <c r="Y274" s="139"/>
    </row>
    <row r="275" spans="1:25" ht="25" customHeight="1">
      <c r="A275" s="187" t="s">
        <v>1299</v>
      </c>
      <c r="B275" s="172"/>
      <c r="C275" s="173"/>
      <c r="D275" s="173"/>
      <c r="E275" s="173"/>
      <c r="F275" s="173"/>
      <c r="G275" s="173"/>
      <c r="H275" s="173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7"/>
      <c r="Y275" s="167"/>
    </row>
    <row r="276" spans="1:25" ht="21" customHeight="1">
      <c r="A276" s="188" t="s">
        <v>1050</v>
      </c>
      <c r="B276" s="174" t="s">
        <v>1051</v>
      </c>
      <c r="C276" s="175"/>
      <c r="D276" s="175"/>
      <c r="E276" s="175" t="s">
        <v>1054</v>
      </c>
      <c r="F276" s="175" t="s">
        <v>1055</v>
      </c>
      <c r="G276" s="175"/>
      <c r="H276" s="175"/>
      <c r="I276" s="168"/>
      <c r="J276" s="175" t="s">
        <v>1052</v>
      </c>
      <c r="K276" s="175" t="s">
        <v>1053</v>
      </c>
      <c r="L276" s="175" t="s">
        <v>1056</v>
      </c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7"/>
      <c r="Y276" s="167"/>
    </row>
    <row r="277" spans="1:25" ht="21" customHeight="1">
      <c r="A277" s="189"/>
      <c r="B277" s="167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7"/>
      <c r="Y277" s="167"/>
    </row>
    <row r="278" spans="1:25" ht="21" customHeight="1">
      <c r="A278" s="189" t="s">
        <v>1300</v>
      </c>
      <c r="B278" s="167" t="s">
        <v>1066</v>
      </c>
      <c r="C278" s="168"/>
      <c r="D278" s="168"/>
      <c r="E278" s="176">
        <f>T12</f>
        <v>12412</v>
      </c>
      <c r="F278" s="176">
        <f>U12</f>
        <v>11817</v>
      </c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7"/>
      <c r="Y278" s="167"/>
    </row>
    <row r="279" spans="1:25" ht="21" customHeight="1">
      <c r="A279" s="189" t="s">
        <v>1301</v>
      </c>
      <c r="B279" s="167" t="s">
        <v>1066</v>
      </c>
      <c r="C279" s="168"/>
      <c r="D279" s="168"/>
      <c r="E279" s="176">
        <f>T19</f>
        <v>3957</v>
      </c>
      <c r="F279" s="176">
        <f>U19</f>
        <v>2888</v>
      </c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7"/>
      <c r="Y279" s="167"/>
    </row>
    <row r="280" spans="1:25" ht="21" customHeight="1">
      <c r="A280" s="189" t="s">
        <v>1302</v>
      </c>
      <c r="B280" s="167" t="s">
        <v>1069</v>
      </c>
      <c r="C280" s="168"/>
      <c r="D280" s="168"/>
      <c r="E280" s="177">
        <f>E279/E278</f>
        <v>0.31880438285530133</v>
      </c>
      <c r="F280" s="177">
        <f>F279/F278</f>
        <v>0.24439367013624438</v>
      </c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7"/>
      <c r="Y280" s="167"/>
    </row>
    <row r="281" spans="1:25" ht="21" customHeight="1">
      <c r="A281" s="189"/>
      <c r="B281" s="167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7"/>
      <c r="Y281" s="167"/>
    </row>
    <row r="282" spans="1:25" ht="21" customHeight="1">
      <c r="A282" s="189" t="s">
        <v>1303</v>
      </c>
      <c r="B282" s="167" t="s">
        <v>1066</v>
      </c>
      <c r="C282" s="168"/>
      <c r="D282" s="168"/>
      <c r="E282" s="176">
        <f>E12</f>
        <v>12908.48</v>
      </c>
      <c r="F282" s="176">
        <f>F12</f>
        <v>10991.690000000002</v>
      </c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7"/>
      <c r="Y282" s="167"/>
    </row>
    <row r="283" spans="1:25" ht="32" customHeight="1">
      <c r="A283" s="189" t="s">
        <v>1304</v>
      </c>
      <c r="B283" s="167" t="s">
        <v>1066</v>
      </c>
      <c r="C283" s="168"/>
      <c r="D283" s="168"/>
      <c r="E283" s="176">
        <f>-E16*E278</f>
        <v>124.12</v>
      </c>
      <c r="F283" s="176">
        <f>-H16*N12+G16*SUM(R12:S12)+E16*T12</f>
        <v>839.09999999999991</v>
      </c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7"/>
      <c r="Y283" s="167"/>
    </row>
    <row r="284" spans="1:25" ht="21" customHeight="1">
      <c r="A284" s="190" t="s">
        <v>1305</v>
      </c>
      <c r="B284" s="178" t="s">
        <v>1066</v>
      </c>
      <c r="C284" s="179"/>
      <c r="D284" s="179"/>
      <c r="E284" s="180">
        <f>E282+E283</f>
        <v>13032.6</v>
      </c>
      <c r="F284" s="180">
        <f>F282+F283</f>
        <v>11830.790000000003</v>
      </c>
      <c r="G284" s="179"/>
      <c r="H284" s="179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7"/>
      <c r="Y284" s="167"/>
    </row>
    <row r="285" spans="1:25" ht="21" customHeight="1">
      <c r="A285" s="189"/>
      <c r="B285" s="167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7"/>
      <c r="Y285" s="167"/>
    </row>
    <row r="286" spans="1:25" ht="21" customHeight="1">
      <c r="A286" s="189" t="s">
        <v>1306</v>
      </c>
      <c r="B286" s="167" t="s">
        <v>1077</v>
      </c>
      <c r="C286" s="168"/>
      <c r="D286" s="168"/>
      <c r="E286" s="330">
        <f>IF(ISNUMBER('Valuation Inputs'!E94),'Valuation Inputs'!E94,"待定")</f>
        <v>4.0000000000000001E-3</v>
      </c>
      <c r="F286" s="330">
        <f>IF(ISNUMBER('Valuation Inputs'!F94),'Valuation Inputs'!F94,"待定")</f>
        <v>4.0000000000000001E-3</v>
      </c>
      <c r="G286" s="168"/>
      <c r="H286" s="168"/>
      <c r="I286" s="168"/>
      <c r="J286" s="177">
        <v>6.8999999999999999E-3</v>
      </c>
      <c r="K286" s="177">
        <v>2.3999999999999998E-3</v>
      </c>
      <c r="L286" s="177">
        <v>4.4999999999999997E-3</v>
      </c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7"/>
      <c r="Y286" s="167"/>
    </row>
    <row r="287" spans="1:25" ht="21" customHeight="1">
      <c r="A287" s="189" t="s">
        <v>1307</v>
      </c>
      <c r="B287" s="167" t="s">
        <v>1077</v>
      </c>
      <c r="C287" s="168"/>
      <c r="D287" s="168"/>
      <c r="E287" s="330">
        <f>IF(ISNUMBER('Valuation Inputs'!E95),'Valuation Inputs'!E95,"待定")</f>
        <v>2E-3</v>
      </c>
      <c r="F287" s="330">
        <f>IF(ISNUMBER('Valuation Inputs'!F95),'Valuation Inputs'!F95,"待定")</f>
        <v>2E-3</v>
      </c>
      <c r="G287" s="168"/>
      <c r="H287" s="168"/>
      <c r="I287" s="168"/>
      <c r="J287" s="177">
        <v>-2.3E-3</v>
      </c>
      <c r="K287" s="177">
        <v>4.1999999999999997E-3</v>
      </c>
      <c r="L287" s="177">
        <v>1E-3</v>
      </c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7"/>
      <c r="Y287" s="167"/>
    </row>
    <row r="288" spans="1:25" ht="32" customHeight="1">
      <c r="A288" s="189" t="s">
        <v>1308</v>
      </c>
      <c r="B288" s="167" t="s">
        <v>1069</v>
      </c>
      <c r="C288" s="168"/>
      <c r="D288" s="168"/>
      <c r="E288" s="330">
        <f>IF(ISNUMBER('Valuation Inputs'!E96),'Valuation Inputs'!E96,"待定")</f>
        <v>0.1</v>
      </c>
      <c r="F288" s="330">
        <f>IF(ISNUMBER('Valuation Inputs'!F96),'Valuation Inputs'!F96,"待定")</f>
        <v>0.1</v>
      </c>
      <c r="G288" s="168"/>
      <c r="H288" s="168"/>
      <c r="I288" s="168"/>
      <c r="J288" s="168" t="s">
        <v>940</v>
      </c>
      <c r="K288" s="168" t="s">
        <v>940</v>
      </c>
      <c r="L288" s="168" t="s">
        <v>940</v>
      </c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7"/>
      <c r="Y288" s="167"/>
    </row>
    <row r="289" spans="1:25" ht="21" customHeight="1">
      <c r="A289" s="189"/>
      <c r="B289" s="167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7"/>
      <c r="Y289" s="167"/>
    </row>
    <row r="290" spans="1:25" ht="21" customHeight="1">
      <c r="A290" s="189" t="s">
        <v>1309</v>
      </c>
      <c r="B290" s="167"/>
      <c r="C290" s="168"/>
      <c r="D290" s="168"/>
      <c r="E290" s="168" t="s">
        <v>1310</v>
      </c>
      <c r="F290" s="168" t="s">
        <v>1310</v>
      </c>
      <c r="G290" s="168"/>
      <c r="H290" s="168"/>
      <c r="I290" s="168"/>
      <c r="J290" s="168" t="s">
        <v>1203</v>
      </c>
      <c r="K290" s="168" t="s">
        <v>1203</v>
      </c>
      <c r="L290" s="168" t="s">
        <v>1203</v>
      </c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7"/>
      <c r="Y290" s="167"/>
    </row>
    <row r="291" spans="1:25" ht="21" customHeight="1">
      <c r="A291" s="189"/>
      <c r="B291" s="167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7"/>
      <c r="Y291" s="167"/>
    </row>
    <row r="292" spans="1:25" ht="21" customHeight="1">
      <c r="A292" s="189"/>
      <c r="B292" s="167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7"/>
      <c r="Y292" s="167"/>
    </row>
    <row r="293" spans="1:25" ht="21" customHeight="1">
      <c r="A293" s="189"/>
      <c r="B293" s="167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7"/>
      <c r="Y293" s="167"/>
    </row>
    <row r="294" spans="1:25" ht="21" customHeight="1">
      <c r="A294" s="189" t="s">
        <v>1311</v>
      </c>
      <c r="B294" s="167" t="s">
        <v>1066</v>
      </c>
      <c r="C294" s="168"/>
      <c r="D294" s="168"/>
      <c r="E294" s="176">
        <f>E279</f>
        <v>3957</v>
      </c>
      <c r="F294" s="176">
        <f>F279</f>
        <v>2888</v>
      </c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7"/>
      <c r="Y294" s="167"/>
    </row>
    <row r="295" spans="1:25" ht="21" customHeight="1">
      <c r="A295" s="189" t="s">
        <v>1312</v>
      </c>
      <c r="B295" s="167" t="s">
        <v>1066</v>
      </c>
      <c r="C295" s="168"/>
      <c r="D295" s="168"/>
      <c r="E295" s="176">
        <f>(E284-E278)*E280</f>
        <v>197.85000000000011</v>
      </c>
      <c r="F295" s="176">
        <f>(F284-F278)*F280</f>
        <v>3.3701887111794679</v>
      </c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7"/>
      <c r="Y295" s="167"/>
    </row>
    <row r="296" spans="1:25" ht="21" customHeight="1">
      <c r="A296" s="189" t="s">
        <v>1313</v>
      </c>
      <c r="B296" s="167" t="s">
        <v>1066</v>
      </c>
      <c r="C296" s="168"/>
      <c r="D296" s="168"/>
      <c r="E296" s="176">
        <f>E284*E286</f>
        <v>52.130400000000002</v>
      </c>
      <c r="F296" s="176">
        <f>F284*F286</f>
        <v>47.323160000000009</v>
      </c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7"/>
      <c r="Y296" s="167"/>
    </row>
    <row r="297" spans="1:25" ht="21" customHeight="1">
      <c r="A297" s="189" t="s">
        <v>1314</v>
      </c>
      <c r="B297" s="167" t="s">
        <v>1066</v>
      </c>
      <c r="C297" s="168"/>
      <c r="D297" s="168"/>
      <c r="E297" s="176">
        <f>E284*E287</f>
        <v>26.065200000000001</v>
      </c>
      <c r="F297" s="176">
        <f>F284*F287</f>
        <v>23.661580000000004</v>
      </c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7"/>
      <c r="Y297" s="167"/>
    </row>
    <row r="298" spans="1:25" ht="21" customHeight="1">
      <c r="A298" s="189" t="s">
        <v>1315</v>
      </c>
      <c r="B298" s="167" t="s">
        <v>1066</v>
      </c>
      <c r="C298" s="168"/>
      <c r="D298" s="168"/>
      <c r="E298" s="176">
        <f>-E283*E288</f>
        <v>-12.412000000000001</v>
      </c>
      <c r="F298" s="176">
        <f>-F283*F288</f>
        <v>-83.91</v>
      </c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7"/>
      <c r="Y298" s="167"/>
    </row>
    <row r="299" spans="1:25" ht="21" customHeight="1">
      <c r="A299" s="189"/>
      <c r="B299" s="167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7"/>
      <c r="Y299" s="167"/>
    </row>
    <row r="300" spans="1:25" ht="21" customHeight="1">
      <c r="A300" s="190" t="s">
        <v>1316</v>
      </c>
      <c r="B300" s="178" t="s">
        <v>1066</v>
      </c>
      <c r="C300" s="179"/>
      <c r="D300" s="179"/>
      <c r="E300" s="180">
        <f>SUM(E294:E298)</f>
        <v>4220.6336000000001</v>
      </c>
      <c r="F300" s="180">
        <f>SUM(F294:F298)</f>
        <v>2878.4449287111793</v>
      </c>
      <c r="G300" s="179"/>
      <c r="H300" s="179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7"/>
      <c r="Y300" s="167"/>
    </row>
    <row r="301" spans="1:25" ht="21" customHeight="1">
      <c r="A301" s="190" t="s">
        <v>1317</v>
      </c>
      <c r="B301" s="178" t="s">
        <v>1069</v>
      </c>
      <c r="C301" s="179"/>
      <c r="D301" s="179"/>
      <c r="E301" s="181">
        <f>E300/E282</f>
        <v>0.32696596345967927</v>
      </c>
      <c r="F301" s="181">
        <f>F300/F282</f>
        <v>0.2618746460927463</v>
      </c>
      <c r="G301" s="179"/>
      <c r="H301" s="179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7"/>
      <c r="Y301" s="167"/>
    </row>
    <row r="302" spans="1:25" ht="21" customHeight="1">
      <c r="A302" s="189" t="s">
        <v>1083</v>
      </c>
      <c r="B302" s="167" t="s">
        <v>1069</v>
      </c>
      <c r="C302" s="168"/>
      <c r="D302" s="168"/>
      <c r="E302" s="177">
        <f>E300/E279-1</f>
        <v>6.6624614607025512E-2</v>
      </c>
      <c r="F302" s="177">
        <f>F300/F279-1</f>
        <v>-3.308542690034888E-3</v>
      </c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7"/>
      <c r="Y302" s="167"/>
    </row>
    <row r="303" spans="1:25" ht="21" customHeight="1">
      <c r="A303" s="189"/>
      <c r="B303" s="167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7"/>
      <c r="Y303" s="167"/>
    </row>
    <row r="304" spans="1:25" ht="21" customHeight="1">
      <c r="A304" s="167" t="s">
        <v>1318</v>
      </c>
      <c r="B304" s="167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7"/>
      <c r="Y304" s="167"/>
    </row>
    <row r="305" spans="1:25" ht="21" customHeight="1">
      <c r="A305" s="167" t="s">
        <v>1319</v>
      </c>
      <c r="B305" s="167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7"/>
      <c r="Y305" s="167"/>
    </row>
    <row r="306" spans="1:25" ht="21" customHeight="1">
      <c r="A306" s="167" t="s">
        <v>1320</v>
      </c>
      <c r="B306" s="167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7"/>
      <c r="Y306" s="167"/>
    </row>
    <row r="307" spans="1:25" ht="21" customHeight="1">
      <c r="A307" s="167" t="s">
        <v>1321</v>
      </c>
      <c r="B307" s="167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7"/>
      <c r="Y307" s="167"/>
    </row>
    <row r="308" spans="1:25" ht="21" customHeight="1">
      <c r="A308" s="167" t="s">
        <v>1322</v>
      </c>
      <c r="B308" s="167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7"/>
      <c r="Y308" s="167"/>
    </row>
    <row r="309" spans="1:25" ht="21" customHeight="1">
      <c r="A309" s="167" t="s">
        <v>1323</v>
      </c>
      <c r="B309" s="167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7"/>
      <c r="Y309" s="167"/>
    </row>
    <row r="310" spans="1:25" ht="21" customHeight="1">
      <c r="A310" s="189"/>
      <c r="B310" s="167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7"/>
      <c r="Y310" s="167"/>
    </row>
    <row r="311" spans="1:25" ht="21" customHeight="1">
      <c r="A311" s="167" t="s">
        <v>1324</v>
      </c>
      <c r="B311" s="167"/>
      <c r="C311" s="168" t="s">
        <v>1325</v>
      </c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7"/>
      <c r="Y311" s="167"/>
    </row>
    <row r="312" spans="1:25" ht="21" customHeight="1">
      <c r="A312" s="189"/>
      <c r="B312" s="167"/>
      <c r="C312" s="168" t="s">
        <v>1326</v>
      </c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7"/>
      <c r="Y312" s="167"/>
    </row>
    <row r="313" spans="1:25" ht="21" customHeight="1">
      <c r="A313" s="189"/>
      <c r="B313" s="167"/>
      <c r="C313" s="168" t="s">
        <v>1327</v>
      </c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7"/>
      <c r="Y313" s="167"/>
    </row>
    <row r="314" spans="1:25" ht="21" customHeight="1">
      <c r="A314" s="189"/>
      <c r="B314" s="167"/>
      <c r="C314" s="168" t="s">
        <v>1328</v>
      </c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7"/>
      <c r="Y314" s="167"/>
    </row>
    <row r="315" spans="1:25" ht="21" customHeight="1">
      <c r="A315" s="189"/>
      <c r="B315" s="167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7"/>
      <c r="Y315" s="167"/>
    </row>
    <row r="316" spans="1:25" ht="21" customHeight="1">
      <c r="A316" s="189" t="s">
        <v>1329</v>
      </c>
      <c r="B316" s="167" t="s">
        <v>1077</v>
      </c>
      <c r="C316" s="177">
        <v>0.02</v>
      </c>
      <c r="D316" s="177">
        <v>0.01</v>
      </c>
      <c r="E316" s="168"/>
      <c r="F316" s="168" t="s">
        <v>1203</v>
      </c>
      <c r="G316" s="168"/>
      <c r="H316" s="168"/>
      <c r="I316" s="168"/>
      <c r="J316" s="168" t="s">
        <v>1330</v>
      </c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7"/>
      <c r="Y316" s="167"/>
    </row>
    <row r="317" spans="1:25" ht="21" customHeight="1">
      <c r="A317" s="189"/>
      <c r="B317" s="167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7"/>
      <c r="Y317" s="167"/>
    </row>
    <row r="318" spans="1:25" ht="21" customHeight="1">
      <c r="A318" s="189"/>
      <c r="B318" s="167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7"/>
      <c r="Y318" s="167"/>
    </row>
    <row r="319" spans="1:25" ht="21" customHeight="1">
      <c r="A319" s="189"/>
      <c r="B319" s="167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7"/>
      <c r="Y319" s="167"/>
    </row>
    <row r="320" spans="1:25" ht="21" customHeight="1">
      <c r="A320" s="189"/>
      <c r="B320" s="167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7"/>
      <c r="Y320" s="167"/>
    </row>
    <row r="321" spans="1:25" ht="21" customHeight="1">
      <c r="A321" s="189"/>
      <c r="B321" s="167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7"/>
      <c r="Y321" s="167"/>
    </row>
    <row r="322" spans="1:25" ht="21" customHeight="1">
      <c r="A322" s="189"/>
      <c r="B322" s="167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7"/>
      <c r="Y322" s="167"/>
    </row>
    <row r="323" spans="1:25" ht="21" customHeight="1">
      <c r="A323" s="189"/>
      <c r="B323" s="167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7"/>
      <c r="Y323" s="167"/>
    </row>
    <row r="324" spans="1:25" ht="21" customHeight="1">
      <c r="A324" s="189"/>
      <c r="B324" s="167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7"/>
      <c r="Y324" s="167"/>
    </row>
    <row r="325" spans="1:25" ht="25" customHeight="1">
      <c r="A325" s="187" t="s">
        <v>1331</v>
      </c>
      <c r="B325" s="172"/>
      <c r="C325" s="173"/>
      <c r="D325" s="173"/>
      <c r="E325" s="173"/>
      <c r="F325" s="173"/>
      <c r="G325" s="173"/>
      <c r="H325" s="173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7"/>
      <c r="Y325" s="167"/>
    </row>
    <row r="326" spans="1:25" ht="21" customHeight="1">
      <c r="A326" s="188" t="s">
        <v>1050</v>
      </c>
      <c r="B326" s="174" t="s">
        <v>1051</v>
      </c>
      <c r="C326" s="175" t="s">
        <v>1057</v>
      </c>
      <c r="D326" s="175"/>
      <c r="E326" s="175"/>
      <c r="F326" s="175"/>
      <c r="G326" s="175"/>
      <c r="H326" s="175"/>
      <c r="I326" s="168"/>
      <c r="J326" s="175" t="s">
        <v>1332</v>
      </c>
      <c r="K326" s="175" t="s">
        <v>1056</v>
      </c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7"/>
      <c r="Y326" s="167"/>
    </row>
    <row r="327" spans="1:25" ht="21" customHeight="1">
      <c r="A327" s="189"/>
      <c r="B327" s="167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7"/>
      <c r="Y327" s="167"/>
    </row>
    <row r="328" spans="1:25" ht="21" customHeight="1">
      <c r="A328" s="189" t="s">
        <v>1082</v>
      </c>
      <c r="B328" s="167" t="s">
        <v>1066</v>
      </c>
      <c r="C328" s="176">
        <f>H19</f>
        <v>16157.078528711179</v>
      </c>
      <c r="D328" s="168"/>
      <c r="E328" s="168"/>
      <c r="F328" s="168"/>
      <c r="G328" s="168"/>
      <c r="H328" s="168"/>
      <c r="I328" s="168"/>
      <c r="J328" s="176">
        <f>N19</f>
        <v>15013</v>
      </c>
      <c r="K328" s="176">
        <f>G19</f>
        <v>9058</v>
      </c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7"/>
      <c r="Y328" s="167"/>
    </row>
    <row r="329" spans="1:25" ht="32" customHeight="1">
      <c r="A329" s="189" t="s">
        <v>1333</v>
      </c>
      <c r="B329" s="167" t="s">
        <v>1066</v>
      </c>
      <c r="C329" s="254">
        <f>C602+C56</f>
        <v>17807.078528711179</v>
      </c>
      <c r="D329" s="168"/>
      <c r="E329" s="168"/>
      <c r="F329" s="168"/>
      <c r="G329" s="168"/>
      <c r="H329" s="168"/>
      <c r="I329" s="168"/>
      <c r="J329" s="176">
        <v>16366</v>
      </c>
      <c r="K329" s="176">
        <v>9905</v>
      </c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7"/>
      <c r="Y329" s="167"/>
    </row>
    <row r="330" spans="1:25" ht="32" customHeight="1">
      <c r="A330" s="189" t="s">
        <v>1334</v>
      </c>
      <c r="B330" s="167" t="s">
        <v>1066</v>
      </c>
      <c r="C330" s="254">
        <f>C329*C331</f>
        <v>3543.6086272135249</v>
      </c>
      <c r="D330" s="168"/>
      <c r="E330" s="168"/>
      <c r="F330" s="168"/>
      <c r="G330" s="168"/>
      <c r="H330" s="168"/>
      <c r="I330" s="168"/>
      <c r="J330" s="176">
        <v>3371</v>
      </c>
      <c r="K330" s="176">
        <v>1971</v>
      </c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7"/>
      <c r="Y330" s="167"/>
    </row>
    <row r="331" spans="1:25" ht="21" customHeight="1">
      <c r="A331" s="189" t="s">
        <v>1335</v>
      </c>
      <c r="B331" s="167" t="s">
        <v>1069</v>
      </c>
      <c r="C331" s="177">
        <f>H31</f>
        <v>0.19900000000000001</v>
      </c>
      <c r="D331" s="168"/>
      <c r="E331" s="168"/>
      <c r="F331" s="168"/>
      <c r="G331" s="168"/>
      <c r="H331" s="168"/>
      <c r="I331" s="168"/>
      <c r="J331" s="177">
        <f>J330/J329</f>
        <v>0.20597580349505071</v>
      </c>
      <c r="K331" s="177">
        <f>K330/K329</f>
        <v>0.19899040888440181</v>
      </c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7"/>
      <c r="Y331" s="167"/>
    </row>
    <row r="332" spans="1:25" ht="32" customHeight="1">
      <c r="A332" s="189" t="s">
        <v>1336</v>
      </c>
      <c r="B332" s="167" t="s">
        <v>1066</v>
      </c>
      <c r="C332" s="254">
        <f>C599</f>
        <v>2100</v>
      </c>
      <c r="D332" s="168"/>
      <c r="E332" s="168"/>
      <c r="F332" s="168"/>
      <c r="G332" s="168"/>
      <c r="H332" s="168"/>
      <c r="I332" s="168"/>
      <c r="J332" s="176">
        <v>2052</v>
      </c>
      <c r="K332" s="176">
        <v>1010</v>
      </c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7"/>
      <c r="Y332" s="167"/>
    </row>
    <row r="333" spans="1:25" ht="32" customHeight="1">
      <c r="A333" s="189" t="s">
        <v>1337</v>
      </c>
      <c r="B333" s="167" t="s">
        <v>1066</v>
      </c>
      <c r="C333" s="254">
        <f>C329-C332</f>
        <v>15707.078528711179</v>
      </c>
      <c r="D333" s="168"/>
      <c r="E333" s="168"/>
      <c r="F333" s="168"/>
      <c r="G333" s="168"/>
      <c r="H333" s="168"/>
      <c r="I333" s="168"/>
      <c r="J333" s="176">
        <f>J329-J332</f>
        <v>14314</v>
      </c>
      <c r="K333" s="176">
        <f>K329-K332</f>
        <v>8895</v>
      </c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7"/>
      <c r="Y333" s="167"/>
    </row>
    <row r="334" spans="1:25" ht="32" customHeight="1">
      <c r="A334" s="189" t="s">
        <v>1338</v>
      </c>
      <c r="B334" s="167" t="s">
        <v>1069</v>
      </c>
      <c r="C334" s="341">
        <f>IF(ISNUMBER('Valuation Inputs'!C136),'Valuation Inputs'!C136,"待定")</f>
        <v>0</v>
      </c>
      <c r="D334" s="168"/>
      <c r="E334" s="168"/>
      <c r="F334" s="168"/>
      <c r="G334" s="168"/>
      <c r="H334" s="168"/>
      <c r="I334" s="168"/>
      <c r="J334" s="183">
        <f>$C$334</f>
        <v>0</v>
      </c>
      <c r="K334" s="183">
        <f>$C$334</f>
        <v>0</v>
      </c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7"/>
      <c r="Y334" s="167"/>
    </row>
    <row r="335" spans="1:25" ht="32" customHeight="1">
      <c r="A335" s="189" t="s">
        <v>1339</v>
      </c>
      <c r="B335" s="167" t="s">
        <v>1069</v>
      </c>
      <c r="C335" s="255">
        <f>C330/C333</f>
        <v>0.22560583884113874</v>
      </c>
      <c r="D335" s="168"/>
      <c r="E335" s="168"/>
      <c r="F335" s="168"/>
      <c r="G335" s="168"/>
      <c r="H335" s="168"/>
      <c r="I335" s="168"/>
      <c r="J335" s="177">
        <f>(J330-J332*J334)/J333</f>
        <v>0.23550370266871595</v>
      </c>
      <c r="K335" s="177">
        <f>(K330-K332*K334)/K333</f>
        <v>0.22158516020236088</v>
      </c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7"/>
      <c r="Y335" s="167"/>
    </row>
    <row r="336" spans="1:25" ht="21" customHeight="1">
      <c r="A336" s="189"/>
      <c r="B336" s="167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7"/>
      <c r="Y336" s="167"/>
    </row>
    <row r="337" spans="1:25" ht="21" customHeight="1">
      <c r="A337" s="189"/>
      <c r="B337" s="167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7"/>
      <c r="Y337" s="167"/>
    </row>
    <row r="338" spans="1:25" ht="32" customHeight="1">
      <c r="A338" s="190" t="s">
        <v>1573</v>
      </c>
      <c r="B338" s="178" t="s">
        <v>1069</v>
      </c>
      <c r="C338" s="336">
        <f>IF(ISNUMBER('Valuation Inputs'!C103),'Valuation Inputs'!C103,"待定")</f>
        <v>0.22</v>
      </c>
      <c r="D338" s="179"/>
      <c r="E338" s="179"/>
      <c r="F338" s="179" t="s">
        <v>1340</v>
      </c>
      <c r="G338" s="179"/>
      <c r="H338" s="179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7"/>
      <c r="Y338" s="167"/>
    </row>
    <row r="339" spans="1:25" ht="21" customHeight="1">
      <c r="A339" s="189"/>
      <c r="B339" s="167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7"/>
      <c r="Y339" s="167"/>
    </row>
    <row r="340" spans="1:25" ht="32" customHeight="1">
      <c r="A340" s="189" t="s">
        <v>1574</v>
      </c>
      <c r="B340" s="167" t="s">
        <v>1066</v>
      </c>
      <c r="C340" s="176">
        <f>H25</f>
        <v>16057.078528711179</v>
      </c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7"/>
      <c r="Y340" s="167"/>
    </row>
    <row r="341" spans="1:25" ht="21" customHeight="1">
      <c r="A341" s="189" t="s">
        <v>1341</v>
      </c>
      <c r="B341" s="167" t="s">
        <v>1066</v>
      </c>
      <c r="C341" s="176">
        <f>C340*C338</f>
        <v>3532.5572763164596</v>
      </c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7"/>
      <c r="Y341" s="167"/>
    </row>
    <row r="342" spans="1:25" ht="21" customHeight="1">
      <c r="A342" s="190" t="s">
        <v>1342</v>
      </c>
      <c r="B342" s="178" t="s">
        <v>1066</v>
      </c>
      <c r="C342" s="180">
        <f>C340-C341</f>
        <v>12524.521252394719</v>
      </c>
      <c r="D342" s="179"/>
      <c r="E342" s="179"/>
      <c r="F342" s="179"/>
      <c r="G342" s="179"/>
      <c r="H342" s="179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7"/>
      <c r="Y342" s="167"/>
    </row>
    <row r="343" spans="1:25" ht="21" customHeight="1">
      <c r="A343" s="189"/>
      <c r="B343" s="167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7"/>
      <c r="Y343" s="167"/>
    </row>
    <row r="344" spans="1:25" ht="21" customHeight="1">
      <c r="A344" s="189" t="s">
        <v>1343</v>
      </c>
      <c r="B344" s="167" t="s">
        <v>1066</v>
      </c>
      <c r="C344" s="176">
        <f>H27</f>
        <v>1100</v>
      </c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7"/>
      <c r="Y344" s="167"/>
    </row>
    <row r="345" spans="1:25" ht="21" customHeight="1">
      <c r="A345" s="189" t="s">
        <v>1344</v>
      </c>
      <c r="B345" s="167" t="s">
        <v>1066</v>
      </c>
      <c r="C345" s="176">
        <f>H28</f>
        <v>2200</v>
      </c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7"/>
      <c r="Y345" s="167"/>
    </row>
    <row r="346" spans="1:25" ht="21" customHeight="1">
      <c r="A346" s="190" t="s">
        <v>1293</v>
      </c>
      <c r="B346" s="178" t="s">
        <v>1066</v>
      </c>
      <c r="C346" s="180">
        <f>C342+C344-C345</f>
        <v>11424.521252394719</v>
      </c>
      <c r="D346" s="179"/>
      <c r="E346" s="179"/>
      <c r="F346" s="179"/>
      <c r="G346" s="179"/>
      <c r="H346" s="179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7"/>
      <c r="Y346" s="167"/>
    </row>
    <row r="347" spans="1:25" ht="32" customHeight="1">
      <c r="A347" s="189" t="s">
        <v>1366</v>
      </c>
      <c r="B347" s="167" t="s">
        <v>1066</v>
      </c>
      <c r="C347" s="176">
        <f>C69</f>
        <v>300</v>
      </c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7"/>
      <c r="Y347" s="167"/>
    </row>
    <row r="348" spans="1:25" ht="32" customHeight="1">
      <c r="A348" s="189" t="s">
        <v>1367</v>
      </c>
      <c r="B348" s="167" t="s">
        <v>1066</v>
      </c>
      <c r="C348" s="176">
        <f>IF(ISNUMBER(C71),C71,"待推导")</f>
        <v>200</v>
      </c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7"/>
      <c r="Y348" s="167"/>
    </row>
    <row r="349" spans="1:25" ht="21" customHeight="1">
      <c r="A349" s="190" t="s">
        <v>1126</v>
      </c>
      <c r="B349" s="178" t="s">
        <v>1066</v>
      </c>
      <c r="C349" s="180">
        <f>C72</f>
        <v>11324.521252394721</v>
      </c>
      <c r="D349" s="179"/>
      <c r="E349" s="179"/>
      <c r="F349" s="179"/>
      <c r="G349" s="179"/>
      <c r="H349" s="179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7"/>
      <c r="Y349" s="167"/>
    </row>
    <row r="350" spans="1:25" ht="21" customHeight="1">
      <c r="A350" s="189"/>
      <c r="B350" s="167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7"/>
      <c r="Y350" s="167"/>
    </row>
    <row r="351" spans="1:25" ht="21" customHeight="1">
      <c r="A351" s="189" t="s">
        <v>1345</v>
      </c>
      <c r="B351" s="167" t="s">
        <v>1066</v>
      </c>
      <c r="C351" s="176">
        <f>H30</f>
        <v>12400</v>
      </c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7"/>
      <c r="Y351" s="167"/>
    </row>
    <row r="352" spans="1:25" ht="32" customHeight="1">
      <c r="A352" s="189" t="s">
        <v>1346</v>
      </c>
      <c r="B352" s="167" t="s">
        <v>1066</v>
      </c>
      <c r="C352" s="176">
        <f>C351-C346</f>
        <v>975.47874760528066</v>
      </c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7"/>
      <c r="Y352" s="167"/>
    </row>
    <row r="353" spans="1:25" ht="21" customHeight="1">
      <c r="A353" s="189"/>
      <c r="B353" s="167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7"/>
      <c r="Y353" s="167"/>
    </row>
    <row r="354" spans="1:25" ht="21" customHeight="1">
      <c r="A354" s="167" t="s">
        <v>1347</v>
      </c>
      <c r="B354" s="167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7"/>
      <c r="Y354" s="167"/>
    </row>
    <row r="355" spans="1:25" ht="21" customHeight="1">
      <c r="A355" s="167" t="s">
        <v>1348</v>
      </c>
      <c r="B355" s="167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7"/>
      <c r="Y355" s="167"/>
    </row>
    <row r="356" spans="1:25" ht="21" customHeight="1">
      <c r="A356" s="167" t="s">
        <v>1349</v>
      </c>
      <c r="B356" s="167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7"/>
      <c r="Y356" s="167"/>
    </row>
    <row r="357" spans="1:25" ht="21" customHeight="1">
      <c r="A357" s="167" t="s">
        <v>1368</v>
      </c>
      <c r="B357" s="167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7"/>
      <c r="Y357" s="167"/>
    </row>
    <row r="358" spans="1:25" ht="21" customHeight="1">
      <c r="A358" s="167" t="s">
        <v>1369</v>
      </c>
      <c r="B358" s="167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7"/>
      <c r="Y358" s="167"/>
    </row>
    <row r="359" spans="1:25" ht="21" customHeight="1">
      <c r="A359" s="167" t="s">
        <v>1350</v>
      </c>
      <c r="B359" s="167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7"/>
      <c r="Y359" s="167"/>
    </row>
    <row r="360" spans="1:25" ht="21" customHeight="1">
      <c r="A360" s="189"/>
      <c r="B360" s="167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7"/>
      <c r="Y360" s="167"/>
    </row>
    <row r="361" spans="1:25" ht="21" customHeight="1">
      <c r="A361" s="189" t="s">
        <v>1351</v>
      </c>
      <c r="B361" s="167"/>
      <c r="C361" s="168"/>
      <c r="D361" s="168"/>
      <c r="E361" s="168"/>
      <c r="F361" s="168"/>
      <c r="G361" s="168"/>
      <c r="H361" s="168"/>
      <c r="I361" s="168"/>
      <c r="J361" s="168" t="s">
        <v>1332</v>
      </c>
      <c r="K361" s="168" t="s">
        <v>1056</v>
      </c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7"/>
      <c r="Y361" s="167"/>
    </row>
    <row r="362" spans="1:25" ht="32" customHeight="1">
      <c r="A362" s="189" t="s">
        <v>1352</v>
      </c>
      <c r="B362" s="167" t="s">
        <v>1066</v>
      </c>
      <c r="C362" s="168"/>
      <c r="D362" s="168"/>
      <c r="E362" s="168"/>
      <c r="F362" s="168"/>
      <c r="G362" s="168"/>
      <c r="H362" s="168"/>
      <c r="I362" s="168"/>
      <c r="J362" s="176">
        <f>'Cash Flow'!L25</f>
        <v>-7208</v>
      </c>
      <c r="K362" s="176">
        <f>'Cash Flow'!U25</f>
        <v>-1267</v>
      </c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7"/>
      <c r="Y362" s="167"/>
    </row>
    <row r="363" spans="1:25" ht="21" customHeight="1">
      <c r="A363" s="189" t="s">
        <v>1353</v>
      </c>
      <c r="B363" s="167" t="s">
        <v>1066</v>
      </c>
      <c r="C363" s="168"/>
      <c r="D363" s="168"/>
      <c r="E363" s="168"/>
      <c r="F363" s="168"/>
      <c r="G363" s="168"/>
      <c r="H363" s="168"/>
      <c r="I363" s="168"/>
      <c r="J363" s="176">
        <f>'Cash Flow'!L19</f>
        <v>517</v>
      </c>
      <c r="K363" s="176">
        <f>'Cash Flow'!U19</f>
        <v>353</v>
      </c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7"/>
      <c r="Y363" s="167"/>
    </row>
    <row r="364" spans="1:25" ht="21" customHeight="1">
      <c r="A364" s="189" t="s">
        <v>1354</v>
      </c>
      <c r="B364" s="167" t="s">
        <v>1066</v>
      </c>
      <c r="C364" s="168"/>
      <c r="D364" s="168"/>
      <c r="E364" s="168"/>
      <c r="F364" s="168"/>
      <c r="G364" s="168"/>
      <c r="H364" s="168"/>
      <c r="I364" s="168"/>
      <c r="J364" s="176">
        <f>'Cash Flow'!L18</f>
        <v>279</v>
      </c>
      <c r="K364" s="176">
        <f>'Cash Flow'!U18</f>
        <v>117</v>
      </c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7"/>
      <c r="Y364" s="167"/>
    </row>
    <row r="365" spans="1:25" ht="32" customHeight="1">
      <c r="A365" s="189" t="s">
        <v>1355</v>
      </c>
      <c r="B365" s="167" t="s">
        <v>1066</v>
      </c>
      <c r="C365" s="168"/>
      <c r="D365" s="168"/>
      <c r="E365" s="168"/>
      <c r="F365" s="168"/>
      <c r="G365" s="168"/>
      <c r="H365" s="168"/>
      <c r="I365" s="168"/>
      <c r="J365" s="176">
        <f>'Income Statement'!L23+'Cash Flow'!L20</f>
        <v>993</v>
      </c>
      <c r="K365" s="176">
        <f>SUM('Income Statement'!T23:U23)+'Cash Flow'!U20</f>
        <v>468</v>
      </c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7"/>
      <c r="Y365" s="167"/>
    </row>
    <row r="366" spans="1:25" ht="21" customHeight="1">
      <c r="A366" s="189"/>
      <c r="B366" s="167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7"/>
      <c r="Y366" s="167"/>
    </row>
    <row r="367" spans="1:25" ht="21" customHeight="1">
      <c r="A367" s="167" t="s">
        <v>1370</v>
      </c>
      <c r="B367" s="167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7"/>
      <c r="Y367" s="167"/>
    </row>
    <row r="368" spans="1:25" ht="21" customHeight="1">
      <c r="A368" s="189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7"/>
      <c r="Y368" s="167"/>
    </row>
    <row r="369" spans="1:25" ht="21" customHeight="1">
      <c r="A369" s="167" t="s">
        <v>1356</v>
      </c>
      <c r="B369" s="167"/>
      <c r="C369" s="168" t="s">
        <v>1357</v>
      </c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7"/>
      <c r="Y369" s="167"/>
    </row>
    <row r="370" spans="1:25" ht="21" customHeight="1">
      <c r="A370" s="189"/>
      <c r="B370" s="167"/>
      <c r="C370" s="168" t="s">
        <v>1358</v>
      </c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7"/>
      <c r="Y370" s="167"/>
    </row>
    <row r="371" spans="1:25" ht="21" customHeight="1">
      <c r="A371" s="189"/>
      <c r="B371" s="167"/>
      <c r="C371" s="168" t="s">
        <v>1359</v>
      </c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7"/>
      <c r="Y371" s="167"/>
    </row>
    <row r="372" spans="1:25" ht="21" customHeight="1">
      <c r="A372" s="189"/>
      <c r="B372" s="167"/>
      <c r="C372" s="168" t="s">
        <v>1360</v>
      </c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7"/>
      <c r="Y372" s="167"/>
    </row>
    <row r="373" spans="1:25" ht="21" customHeight="1">
      <c r="A373" s="189"/>
      <c r="B373" s="167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7"/>
      <c r="Y373" s="167"/>
    </row>
    <row r="374" spans="1:25" ht="21" customHeight="1">
      <c r="A374" s="189"/>
      <c r="B374" s="167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7"/>
      <c r="Y374" s="167"/>
    </row>
    <row r="375" spans="1:25" ht="21" customHeight="1">
      <c r="A375" s="189"/>
      <c r="B375" s="167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7"/>
      <c r="Y375" s="167"/>
    </row>
    <row r="378" spans="1:25" ht="25" customHeight="1">
      <c r="A378" s="205" t="s">
        <v>1371</v>
      </c>
      <c r="B378" s="195"/>
      <c r="C378" s="196"/>
      <c r="D378" s="196"/>
      <c r="E378" s="196"/>
      <c r="F378" s="196"/>
      <c r="G378" s="196"/>
      <c r="H378" s="196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  <c r="U378" s="192"/>
      <c r="V378" s="192"/>
      <c r="W378" s="192"/>
      <c r="X378" s="191"/>
      <c r="Y378" s="191"/>
    </row>
    <row r="379" spans="1:25" ht="21" customHeight="1">
      <c r="A379" s="206" t="s">
        <v>1050</v>
      </c>
      <c r="B379" s="197" t="s">
        <v>1051</v>
      </c>
      <c r="C379" s="198" t="s">
        <v>1057</v>
      </c>
      <c r="D379" s="198"/>
      <c r="E379" s="198"/>
      <c r="F379" s="198"/>
      <c r="G379" s="198"/>
      <c r="H379" s="198"/>
      <c r="I379" s="192"/>
      <c r="J379" s="198" t="s">
        <v>1372</v>
      </c>
      <c r="K379" s="198" t="s">
        <v>1373</v>
      </c>
      <c r="L379" s="198" t="s">
        <v>1374</v>
      </c>
      <c r="M379" s="198" t="s">
        <v>1375</v>
      </c>
      <c r="N379" s="198" t="s">
        <v>1332</v>
      </c>
      <c r="O379" s="192"/>
      <c r="P379" s="198" t="s">
        <v>1376</v>
      </c>
      <c r="Q379" s="198" t="s">
        <v>1056</v>
      </c>
      <c r="R379" s="192"/>
      <c r="S379" s="192"/>
      <c r="T379" s="192"/>
      <c r="U379" s="192"/>
      <c r="V379" s="192"/>
      <c r="W379" s="192"/>
      <c r="X379" s="191"/>
      <c r="Y379" s="191"/>
    </row>
    <row r="380" spans="1:25" ht="21" customHeight="1">
      <c r="A380" s="207"/>
      <c r="B380" s="191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1"/>
      <c r="Y380" s="191"/>
    </row>
    <row r="381" spans="1:25" ht="21" customHeight="1">
      <c r="A381" s="207" t="s">
        <v>1377</v>
      </c>
      <c r="B381" s="191" t="s">
        <v>1066</v>
      </c>
      <c r="C381" s="209" t="s">
        <v>1378</v>
      </c>
      <c r="D381" s="192"/>
      <c r="E381" s="192"/>
      <c r="F381" s="192"/>
      <c r="G381" s="192"/>
      <c r="H381" s="192"/>
      <c r="I381" s="192"/>
      <c r="J381" s="199">
        <f t="shared" ref="J381:N382" si="22">J451</f>
        <v>-225</v>
      </c>
      <c r="K381" s="199">
        <f t="shared" si="22"/>
        <v>-69</v>
      </c>
      <c r="L381" s="199">
        <f t="shared" si="22"/>
        <v>-2</v>
      </c>
      <c r="M381" s="199">
        <f t="shared" si="22"/>
        <v>-295</v>
      </c>
      <c r="N381" s="199">
        <f t="shared" si="22"/>
        <v>334</v>
      </c>
      <c r="O381" s="192"/>
      <c r="P381" s="192" t="s">
        <v>1379</v>
      </c>
      <c r="Q381" s="192" t="s">
        <v>1379</v>
      </c>
      <c r="R381" s="192"/>
      <c r="S381" s="192"/>
      <c r="T381" s="192"/>
      <c r="U381" s="192"/>
      <c r="V381" s="192"/>
      <c r="W381" s="192"/>
      <c r="X381" s="191"/>
      <c r="Y381" s="191"/>
    </row>
    <row r="382" spans="1:25" ht="21" customHeight="1">
      <c r="A382" s="207" t="s">
        <v>1380</v>
      </c>
      <c r="B382" s="191" t="s">
        <v>1066</v>
      </c>
      <c r="C382" s="209" t="s">
        <v>1378</v>
      </c>
      <c r="D382" s="192"/>
      <c r="E382" s="192"/>
      <c r="F382" s="192"/>
      <c r="G382" s="192"/>
      <c r="H382" s="192"/>
      <c r="I382" s="192"/>
      <c r="J382" s="199">
        <f t="shared" si="22"/>
        <v>-135</v>
      </c>
      <c r="K382" s="199">
        <f t="shared" si="22"/>
        <v>-960</v>
      </c>
      <c r="L382" s="199">
        <f t="shared" si="22"/>
        <v>-597</v>
      </c>
      <c r="M382" s="199">
        <f t="shared" si="22"/>
        <v>-520</v>
      </c>
      <c r="N382" s="199">
        <f t="shared" si="22"/>
        <v>-154</v>
      </c>
      <c r="O382" s="192"/>
      <c r="P382" s="192" t="s">
        <v>1379</v>
      </c>
      <c r="Q382" s="192" t="s">
        <v>1379</v>
      </c>
      <c r="R382" s="192"/>
      <c r="S382" s="192"/>
      <c r="T382" s="192"/>
      <c r="U382" s="192"/>
      <c r="V382" s="192"/>
      <c r="W382" s="192"/>
      <c r="X382" s="191"/>
      <c r="Y382" s="191"/>
    </row>
    <row r="383" spans="1:25" ht="21" customHeight="1">
      <c r="A383" s="207" t="s">
        <v>1381</v>
      </c>
      <c r="B383" s="191" t="s">
        <v>1066</v>
      </c>
      <c r="C383" s="209" t="s">
        <v>1378</v>
      </c>
      <c r="D383" s="192"/>
      <c r="E383" s="192"/>
      <c r="F383" s="192"/>
      <c r="G383" s="192"/>
      <c r="H383" s="192"/>
      <c r="I383" s="192"/>
      <c r="J383" s="199">
        <f>J454</f>
        <v>2843</v>
      </c>
      <c r="K383" s="199">
        <f>K454</f>
        <v>759</v>
      </c>
      <c r="L383" s="199">
        <f>L454</f>
        <v>841</v>
      </c>
      <c r="M383" s="199">
        <f>M454</f>
        <v>1134</v>
      </c>
      <c r="N383" s="199">
        <f>N454</f>
        <v>-6612</v>
      </c>
      <c r="O383" s="192"/>
      <c r="P383" s="192" t="s">
        <v>1379</v>
      </c>
      <c r="Q383" s="192" t="s">
        <v>1379</v>
      </c>
      <c r="R383" s="192"/>
      <c r="S383" s="192"/>
      <c r="T383" s="192"/>
      <c r="U383" s="192"/>
      <c r="V383" s="192"/>
      <c r="W383" s="192"/>
      <c r="X383" s="191"/>
      <c r="Y383" s="191"/>
    </row>
    <row r="384" spans="1:25" ht="21" customHeight="1">
      <c r="A384" s="207" t="s">
        <v>1382</v>
      </c>
      <c r="B384" s="191" t="s">
        <v>1066</v>
      </c>
      <c r="C384" s="209" t="s">
        <v>1378</v>
      </c>
      <c r="D384" s="192"/>
      <c r="E384" s="192"/>
      <c r="F384" s="192"/>
      <c r="G384" s="192"/>
      <c r="H384" s="192"/>
      <c r="I384" s="192"/>
      <c r="J384" s="199">
        <f>J457</f>
        <v>0</v>
      </c>
      <c r="K384" s="199">
        <f>K457</f>
        <v>0</v>
      </c>
      <c r="L384" s="199">
        <f>L457</f>
        <v>0</v>
      </c>
      <c r="M384" s="199">
        <f>M457</f>
        <v>0</v>
      </c>
      <c r="N384" s="199">
        <f>N457</f>
        <v>6069</v>
      </c>
      <c r="O384" s="192"/>
      <c r="P384" s="199">
        <v>6069</v>
      </c>
      <c r="Q384" s="199">
        <v>0</v>
      </c>
      <c r="R384" s="192"/>
      <c r="S384" s="192"/>
      <c r="T384" s="192"/>
      <c r="U384" s="192"/>
      <c r="V384" s="192"/>
      <c r="W384" s="192"/>
      <c r="X384" s="191"/>
      <c r="Y384" s="191"/>
    </row>
    <row r="385" spans="1:25" ht="21" customHeight="1">
      <c r="A385" s="208" t="s">
        <v>1383</v>
      </c>
      <c r="B385" s="201" t="s">
        <v>1066</v>
      </c>
      <c r="C385" s="210" t="s">
        <v>1378</v>
      </c>
      <c r="D385" s="202"/>
      <c r="E385" s="202"/>
      <c r="F385" s="202"/>
      <c r="G385" s="202"/>
      <c r="H385" s="202"/>
      <c r="I385" s="192"/>
      <c r="J385" s="203">
        <f>SUM(J381:J384)</f>
        <v>2483</v>
      </c>
      <c r="K385" s="203">
        <f>SUM(K381:K384)</f>
        <v>-270</v>
      </c>
      <c r="L385" s="203">
        <f>SUM(L381:L384)</f>
        <v>242</v>
      </c>
      <c r="M385" s="203">
        <f>SUM(M381:M384)</f>
        <v>319</v>
      </c>
      <c r="N385" s="203">
        <f>SUM(N381:N384)</f>
        <v>-363</v>
      </c>
      <c r="O385" s="192"/>
      <c r="P385" s="192" t="s">
        <v>1379</v>
      </c>
      <c r="Q385" s="192" t="s">
        <v>1379</v>
      </c>
      <c r="R385" s="192"/>
      <c r="S385" s="192"/>
      <c r="T385" s="192"/>
      <c r="U385" s="192"/>
      <c r="V385" s="192"/>
      <c r="W385" s="192"/>
      <c r="X385" s="191"/>
      <c r="Y385" s="191"/>
    </row>
    <row r="386" spans="1:25" ht="21" customHeight="1">
      <c r="A386" s="208" t="s">
        <v>1384</v>
      </c>
      <c r="B386" s="201" t="s">
        <v>1066</v>
      </c>
      <c r="C386" s="337">
        <f>IF(ISNUMBER('Valuation Inputs'!C104),'Valuation Inputs'!C104,"待定")</f>
        <v>300</v>
      </c>
      <c r="D386" s="202"/>
      <c r="E386" s="202"/>
      <c r="F386" s="202"/>
      <c r="G386" s="202"/>
      <c r="H386" s="202"/>
      <c r="I386" s="192"/>
      <c r="J386" s="203">
        <f>-J385</f>
        <v>-2483</v>
      </c>
      <c r="K386" s="203">
        <f>-K385</f>
        <v>270</v>
      </c>
      <c r="L386" s="203">
        <f>-L385</f>
        <v>-242</v>
      </c>
      <c r="M386" s="203">
        <f>-M385</f>
        <v>-319</v>
      </c>
      <c r="N386" s="203">
        <f>-N385</f>
        <v>363</v>
      </c>
      <c r="O386" s="192"/>
      <c r="P386" s="192" t="s">
        <v>1379</v>
      </c>
      <c r="Q386" s="192" t="s">
        <v>1379</v>
      </c>
      <c r="R386" s="192"/>
      <c r="S386" s="192"/>
      <c r="T386" s="192"/>
      <c r="U386" s="192"/>
      <c r="V386" s="192"/>
      <c r="W386" s="192"/>
      <c r="X386" s="191"/>
      <c r="Y386" s="191"/>
    </row>
    <row r="387" spans="1:25" ht="21" customHeight="1">
      <c r="A387" s="207"/>
      <c r="B387" s="191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  <c r="U387" s="192"/>
      <c r="V387" s="192"/>
      <c r="W387" s="192"/>
      <c r="X387" s="191"/>
      <c r="Y387" s="191"/>
    </row>
    <row r="388" spans="1:25" ht="32" customHeight="1">
      <c r="A388" s="207" t="s">
        <v>1385</v>
      </c>
      <c r="B388" s="191" t="s">
        <v>1066</v>
      </c>
      <c r="C388" s="334">
        <f>IF(ISNUMBER('Valuation Inputs'!C105),'Valuation Inputs'!C105,"待定")</f>
        <v>-300</v>
      </c>
      <c r="D388" s="192"/>
      <c r="E388" s="192"/>
      <c r="F388" s="192"/>
      <c r="G388" s="192"/>
      <c r="H388" s="192"/>
      <c r="I388" s="192"/>
      <c r="J388" s="199">
        <f>J453+J458</f>
        <v>-241</v>
      </c>
      <c r="K388" s="199">
        <f>K453+K458</f>
        <v>225</v>
      </c>
      <c r="L388" s="199">
        <f>L453+L458</f>
        <v>-323</v>
      </c>
      <c r="M388" s="199">
        <f>M453+M458</f>
        <v>333</v>
      </c>
      <c r="N388" s="199">
        <f>N453+N458</f>
        <v>-388</v>
      </c>
      <c r="O388" s="192"/>
      <c r="P388" s="192" t="s">
        <v>1379</v>
      </c>
      <c r="Q388" s="192" t="s">
        <v>1379</v>
      </c>
      <c r="R388" s="192"/>
      <c r="S388" s="192"/>
      <c r="T388" s="192"/>
      <c r="U388" s="192"/>
      <c r="V388" s="192"/>
      <c r="W388" s="192"/>
      <c r="X388" s="191"/>
      <c r="Y388" s="191"/>
    </row>
    <row r="389" spans="1:25" ht="21" customHeight="1">
      <c r="A389" s="207" t="s">
        <v>1386</v>
      </c>
      <c r="B389" s="191" t="s">
        <v>1066</v>
      </c>
      <c r="C389" s="334">
        <f>IF(ISNUMBER('Valuation Inputs'!C106),'Valuation Inputs'!C106,"待定")</f>
        <v>0</v>
      </c>
      <c r="D389" s="192"/>
      <c r="E389" s="192"/>
      <c r="F389" s="192"/>
      <c r="G389" s="192"/>
      <c r="H389" s="192"/>
      <c r="I389" s="192"/>
      <c r="J389" s="199">
        <f>J456</f>
        <v>-351</v>
      </c>
      <c r="K389" s="199">
        <f>K456</f>
        <v>-200</v>
      </c>
      <c r="L389" s="199">
        <f>L456</f>
        <v>-187</v>
      </c>
      <c r="M389" s="199">
        <f>M456</f>
        <v>-63</v>
      </c>
      <c r="N389" s="199">
        <f>N456</f>
        <v>170</v>
      </c>
      <c r="O389" s="192"/>
      <c r="P389" s="192" t="s">
        <v>1379</v>
      </c>
      <c r="Q389" s="192" t="s">
        <v>1379</v>
      </c>
      <c r="R389" s="192"/>
      <c r="S389" s="192"/>
      <c r="T389" s="192"/>
      <c r="U389" s="192"/>
      <c r="V389" s="192"/>
      <c r="W389" s="192"/>
      <c r="X389" s="191"/>
      <c r="Y389" s="191"/>
    </row>
    <row r="390" spans="1:25" ht="32" customHeight="1">
      <c r="A390" s="208" t="s">
        <v>1387</v>
      </c>
      <c r="B390" s="201" t="s">
        <v>1066</v>
      </c>
      <c r="C390" s="203">
        <f>-C386+SUM(C388:C389)</f>
        <v>-600</v>
      </c>
      <c r="D390" s="202"/>
      <c r="E390" s="202"/>
      <c r="F390" s="202"/>
      <c r="G390" s="202"/>
      <c r="H390" s="202"/>
      <c r="I390" s="192"/>
      <c r="J390" s="203">
        <f>-J386+SUM(J388:J389)</f>
        <v>1891</v>
      </c>
      <c r="K390" s="203">
        <f>-K386+SUM(K388:K389)</f>
        <v>-245</v>
      </c>
      <c r="L390" s="203">
        <f>-L386+SUM(L388:L389)</f>
        <v>-268</v>
      </c>
      <c r="M390" s="203">
        <f>-M386+SUM(M388:M389)</f>
        <v>589</v>
      </c>
      <c r="N390" s="203">
        <f>-N386+SUM(N388:N389)</f>
        <v>-581</v>
      </c>
      <c r="O390" s="192"/>
      <c r="P390" s="192" t="s">
        <v>1379</v>
      </c>
      <c r="Q390" s="192" t="s">
        <v>1379</v>
      </c>
      <c r="R390" s="192"/>
      <c r="S390" s="192"/>
      <c r="T390" s="192"/>
      <c r="U390" s="192"/>
      <c r="V390" s="192"/>
      <c r="W390" s="192"/>
      <c r="X390" s="191"/>
      <c r="Y390" s="191"/>
    </row>
    <row r="391" spans="1:25" ht="21" customHeight="1">
      <c r="A391" s="207"/>
      <c r="B391" s="191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1"/>
      <c r="Y391" s="191"/>
    </row>
    <row r="392" spans="1:25" ht="32" customHeight="1">
      <c r="A392" s="207" t="s">
        <v>1388</v>
      </c>
      <c r="B392" s="191" t="s">
        <v>1066</v>
      </c>
      <c r="C392" s="334">
        <f>IF(ISNUMBER('Valuation Inputs'!C107),'Valuation Inputs'!C107,"待定")</f>
        <v>500</v>
      </c>
      <c r="D392" s="192"/>
      <c r="E392" s="192"/>
      <c r="F392" s="192"/>
      <c r="G392" s="192"/>
      <c r="H392" s="192"/>
      <c r="I392" s="192"/>
      <c r="J392" s="209" t="s">
        <v>1389</v>
      </c>
      <c r="K392" s="209" t="s">
        <v>1389</v>
      </c>
      <c r="L392" s="209" t="s">
        <v>1389</v>
      </c>
      <c r="M392" s="209" t="s">
        <v>1389</v>
      </c>
      <c r="N392" s="209" t="s">
        <v>1389</v>
      </c>
      <c r="O392" s="209"/>
      <c r="P392" s="209" t="s">
        <v>1379</v>
      </c>
      <c r="Q392" s="209" t="s">
        <v>1379</v>
      </c>
      <c r="R392" s="192"/>
      <c r="S392" s="192"/>
      <c r="T392" s="192"/>
      <c r="U392" s="192"/>
      <c r="V392" s="192"/>
      <c r="W392" s="192"/>
      <c r="X392" s="191"/>
      <c r="Y392" s="191"/>
    </row>
    <row r="393" spans="1:25" ht="32" customHeight="1">
      <c r="A393" s="207" t="s">
        <v>1390</v>
      </c>
      <c r="B393" s="191" t="s">
        <v>1066</v>
      </c>
      <c r="C393" s="334">
        <f>IF(ISNUMBER('Valuation Inputs'!C108),'Valuation Inputs'!C108,"待定")</f>
        <v>0</v>
      </c>
      <c r="D393" s="192"/>
      <c r="E393" s="192"/>
      <c r="F393" s="192"/>
      <c r="G393" s="192"/>
      <c r="H393" s="192"/>
      <c r="I393" s="192"/>
      <c r="J393" s="209" t="s">
        <v>1389</v>
      </c>
      <c r="K393" s="209" t="s">
        <v>1389</v>
      </c>
      <c r="L393" s="209" t="s">
        <v>1389</v>
      </c>
      <c r="M393" s="209" t="s">
        <v>1389</v>
      </c>
      <c r="N393" s="209" t="s">
        <v>1389</v>
      </c>
      <c r="O393" s="209"/>
      <c r="P393" s="209" t="s">
        <v>1379</v>
      </c>
      <c r="Q393" s="209" t="s">
        <v>1379</v>
      </c>
      <c r="R393" s="192"/>
      <c r="S393" s="192"/>
      <c r="T393" s="192"/>
      <c r="U393" s="192"/>
      <c r="V393" s="192"/>
      <c r="W393" s="192"/>
      <c r="X393" s="191"/>
      <c r="Y393" s="191"/>
    </row>
    <row r="394" spans="1:25" ht="21" customHeight="1">
      <c r="A394" s="207"/>
      <c r="B394" s="191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1"/>
      <c r="Y394" s="191"/>
    </row>
    <row r="395" spans="1:25" ht="32" customHeight="1">
      <c r="A395" s="208" t="s">
        <v>1391</v>
      </c>
      <c r="B395" s="201" t="s">
        <v>1066</v>
      </c>
      <c r="C395" s="203">
        <f>C390+C392+C393</f>
        <v>-100</v>
      </c>
      <c r="D395" s="202"/>
      <c r="E395" s="202"/>
      <c r="F395" s="202"/>
      <c r="G395" s="202"/>
      <c r="H395" s="202"/>
      <c r="I395" s="192"/>
      <c r="J395" s="202"/>
      <c r="K395" s="202"/>
      <c r="L395" s="202"/>
      <c r="M395" s="202"/>
      <c r="N395" s="20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1"/>
      <c r="Y395" s="191"/>
    </row>
    <row r="396" spans="1:25" ht="21" customHeight="1">
      <c r="A396" s="208" t="s">
        <v>1392</v>
      </c>
      <c r="B396" s="201" t="s">
        <v>1066</v>
      </c>
      <c r="C396" s="203">
        <f>C73+C395</f>
        <v>11324.521252394719</v>
      </c>
      <c r="D396" s="202"/>
      <c r="E396" s="202"/>
      <c r="F396" s="202"/>
      <c r="G396" s="202"/>
      <c r="H396" s="202"/>
      <c r="I396" s="192"/>
      <c r="J396" s="202"/>
      <c r="K396" s="202"/>
      <c r="L396" s="202"/>
      <c r="M396" s="202"/>
      <c r="N396" s="20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1"/>
      <c r="Y396" s="191"/>
    </row>
    <row r="397" spans="1:25" ht="32" customHeight="1">
      <c r="A397" s="207" t="s">
        <v>1393</v>
      </c>
      <c r="B397" s="191" t="s">
        <v>1066</v>
      </c>
      <c r="C397" s="199">
        <f>C341-C392</f>
        <v>3032.5572763164596</v>
      </c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1"/>
      <c r="Y397" s="191"/>
    </row>
    <row r="398" spans="1:25" ht="32" customHeight="1">
      <c r="A398" s="207" t="s">
        <v>1394</v>
      </c>
      <c r="B398" s="191" t="s">
        <v>1069</v>
      </c>
      <c r="C398" s="200">
        <f>C397/C340</f>
        <v>0.18886108521509906</v>
      </c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1"/>
      <c r="Y398" s="191"/>
    </row>
    <row r="399" spans="1:25" ht="21" customHeight="1">
      <c r="A399" s="207"/>
      <c r="B399" s="191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1"/>
      <c r="Y399" s="191"/>
    </row>
    <row r="400" spans="1:25" ht="21" customHeight="1">
      <c r="A400" s="191" t="s">
        <v>1395</v>
      </c>
      <c r="B400" s="191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  <c r="U400" s="192"/>
      <c r="V400" s="192"/>
      <c r="W400" s="192"/>
      <c r="X400" s="191"/>
      <c r="Y400" s="191"/>
    </row>
    <row r="401" spans="1:25" ht="21" customHeight="1">
      <c r="A401" s="191" t="s">
        <v>1396</v>
      </c>
      <c r="B401" s="191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  <c r="U401" s="192"/>
      <c r="V401" s="192"/>
      <c r="W401" s="192"/>
      <c r="X401" s="191"/>
      <c r="Y401" s="191"/>
    </row>
    <row r="402" spans="1:25" ht="21" customHeight="1">
      <c r="A402" s="191" t="s">
        <v>1397</v>
      </c>
      <c r="B402" s="191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1"/>
      <c r="Y402" s="191"/>
    </row>
    <row r="403" spans="1:25" ht="21" customHeight="1">
      <c r="A403" s="191" t="s">
        <v>1398</v>
      </c>
      <c r="B403" s="191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1"/>
      <c r="Y403" s="191"/>
    </row>
    <row r="404" spans="1:25" ht="21" customHeight="1">
      <c r="A404" s="191" t="s">
        <v>1399</v>
      </c>
      <c r="B404" s="191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  <c r="U404" s="192"/>
      <c r="V404" s="192"/>
      <c r="W404" s="192"/>
      <c r="X404" s="191"/>
      <c r="Y404" s="191"/>
    </row>
    <row r="405" spans="1:25" ht="25" customHeight="1">
      <c r="A405" s="205" t="s">
        <v>1400</v>
      </c>
      <c r="B405" s="195"/>
      <c r="C405" s="196"/>
      <c r="D405" s="196"/>
      <c r="E405" s="196"/>
      <c r="F405" s="196"/>
      <c r="G405" s="196"/>
      <c r="H405" s="196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  <c r="U405" s="192"/>
      <c r="V405" s="192"/>
      <c r="W405" s="192"/>
      <c r="X405" s="191"/>
      <c r="Y405" s="191"/>
    </row>
    <row r="406" spans="1:25" ht="32" customHeight="1">
      <c r="A406" s="207" t="s">
        <v>1401</v>
      </c>
      <c r="B406" s="191" t="s">
        <v>1066</v>
      </c>
      <c r="C406" s="192"/>
      <c r="D406" s="192"/>
      <c r="E406" s="192"/>
      <c r="F406" s="192"/>
      <c r="G406" s="192"/>
      <c r="H406" s="192"/>
      <c r="I406" s="192"/>
      <c r="J406" s="204">
        <f>'Income Statement'!H26</f>
        <v>2621</v>
      </c>
      <c r="K406" s="204">
        <f>'Income Statement'!I26</f>
        <v>2115</v>
      </c>
      <c r="L406" s="204">
        <f>'Income Statement'!J26</f>
        <v>2249</v>
      </c>
      <c r="M406" s="204">
        <f>'Income Statement'!K26</f>
        <v>2437</v>
      </c>
      <c r="N406" s="204">
        <f>'Income Statement'!L26</f>
        <v>2861</v>
      </c>
      <c r="O406" s="192"/>
      <c r="P406" s="192"/>
      <c r="Q406" s="204">
        <f>SUM('Income Statement'!T26:U26)</f>
        <v>1682</v>
      </c>
      <c r="R406" s="192"/>
      <c r="S406" s="192"/>
      <c r="T406" s="192"/>
      <c r="U406" s="192"/>
      <c r="V406" s="192"/>
      <c r="W406" s="192"/>
      <c r="X406" s="191"/>
      <c r="Y406" s="191"/>
    </row>
    <row r="407" spans="1:25" ht="32" customHeight="1">
      <c r="A407" s="207" t="s">
        <v>1402</v>
      </c>
      <c r="B407" s="191" t="s">
        <v>1066</v>
      </c>
      <c r="C407" s="192"/>
      <c r="D407" s="192"/>
      <c r="E407" s="192"/>
      <c r="F407" s="192"/>
      <c r="G407" s="192"/>
      <c r="H407" s="192"/>
      <c r="I407" s="192"/>
      <c r="J407" s="199">
        <v>2168</v>
      </c>
      <c r="K407" s="199">
        <v>2403</v>
      </c>
      <c r="L407" s="199">
        <v>2580</v>
      </c>
      <c r="M407" s="199">
        <v>3262</v>
      </c>
      <c r="N407" s="199">
        <v>2873</v>
      </c>
      <c r="O407" s="192"/>
      <c r="P407" s="192"/>
      <c r="Q407" s="192" t="s">
        <v>1403</v>
      </c>
      <c r="R407" s="192"/>
      <c r="S407" s="192"/>
      <c r="T407" s="192"/>
      <c r="U407" s="192"/>
      <c r="V407" s="192"/>
      <c r="W407" s="192"/>
      <c r="X407" s="191"/>
      <c r="Y407" s="191"/>
    </row>
    <row r="408" spans="1:25" ht="21" customHeight="1">
      <c r="A408" s="207" t="s">
        <v>1404</v>
      </c>
      <c r="B408" s="191" t="s">
        <v>1066</v>
      </c>
      <c r="C408" s="192"/>
      <c r="D408" s="192"/>
      <c r="E408" s="192"/>
      <c r="F408" s="192"/>
      <c r="G408" s="192"/>
      <c r="H408" s="192"/>
      <c r="I408" s="192"/>
      <c r="J408" s="199">
        <f>J406-J407</f>
        <v>453</v>
      </c>
      <c r="K408" s="199">
        <f>K406-K407</f>
        <v>-288</v>
      </c>
      <c r="L408" s="199">
        <f>L406-L407</f>
        <v>-331</v>
      </c>
      <c r="M408" s="199">
        <f>M406-M407</f>
        <v>-825</v>
      </c>
      <c r="N408" s="199">
        <f>N406-N407</f>
        <v>-12</v>
      </c>
      <c r="O408" s="192"/>
      <c r="P408" s="192"/>
      <c r="Q408" s="192"/>
      <c r="R408" s="192"/>
      <c r="S408" s="192"/>
      <c r="T408" s="192"/>
      <c r="U408" s="192"/>
      <c r="V408" s="192"/>
      <c r="W408" s="192"/>
      <c r="X408" s="191"/>
      <c r="Y408" s="191"/>
    </row>
    <row r="409" spans="1:25" ht="32" customHeight="1">
      <c r="A409" s="207" t="s">
        <v>1405</v>
      </c>
      <c r="B409" s="191" t="s">
        <v>1066</v>
      </c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9">
        <f>J330</f>
        <v>3371</v>
      </c>
      <c r="O409" s="192"/>
      <c r="P409" s="192"/>
      <c r="Q409" s="199">
        <f>K330</f>
        <v>1971</v>
      </c>
      <c r="R409" s="192"/>
      <c r="S409" s="192"/>
      <c r="T409" s="192"/>
      <c r="U409" s="192"/>
      <c r="V409" s="192"/>
      <c r="W409" s="192"/>
      <c r="X409" s="191"/>
      <c r="Y409" s="191"/>
    </row>
    <row r="410" spans="1:25" ht="32" customHeight="1">
      <c r="A410" s="207" t="s">
        <v>1406</v>
      </c>
      <c r="B410" s="191" t="s">
        <v>1066</v>
      </c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9">
        <f>N409-N407</f>
        <v>498</v>
      </c>
      <c r="O410" s="192"/>
      <c r="P410" s="192"/>
      <c r="Q410" s="192" t="s">
        <v>1403</v>
      </c>
      <c r="R410" s="192"/>
      <c r="S410" s="192"/>
      <c r="T410" s="192"/>
      <c r="U410" s="192"/>
      <c r="V410" s="192"/>
      <c r="W410" s="192"/>
      <c r="X410" s="191"/>
      <c r="Y410" s="191"/>
    </row>
    <row r="411" spans="1:25" ht="32" customHeight="1">
      <c r="A411" s="207" t="s">
        <v>1407</v>
      </c>
      <c r="B411" s="191" t="s">
        <v>1066</v>
      </c>
      <c r="C411" s="192"/>
      <c r="D411" s="192"/>
      <c r="E411" s="192"/>
      <c r="F411" s="192"/>
      <c r="G411" s="192"/>
      <c r="H411" s="192"/>
      <c r="I411" s="192"/>
      <c r="J411" s="204">
        <f>'Cash Flow'!H19</f>
        <v>894</v>
      </c>
      <c r="K411" s="204">
        <f>'Cash Flow'!I19</f>
        <v>-122</v>
      </c>
      <c r="L411" s="204">
        <f>'Cash Flow'!J19</f>
        <v>-2</v>
      </c>
      <c r="M411" s="204">
        <f>'Cash Flow'!K19</f>
        <v>-11</v>
      </c>
      <c r="N411" s="204">
        <f>'Cash Flow'!L19</f>
        <v>517</v>
      </c>
      <c r="O411" s="192"/>
      <c r="P411" s="192"/>
      <c r="Q411" s="204">
        <f>'Cash Flow'!U19</f>
        <v>353</v>
      </c>
      <c r="R411" s="192"/>
      <c r="S411" s="192"/>
      <c r="T411" s="192"/>
      <c r="U411" s="192"/>
      <c r="V411" s="192"/>
      <c r="W411" s="192"/>
      <c r="X411" s="191"/>
      <c r="Y411" s="191"/>
    </row>
    <row r="412" spans="1:25" ht="21" customHeight="1">
      <c r="A412" s="207" t="s">
        <v>1408</v>
      </c>
      <c r="B412" s="191" t="s">
        <v>1066</v>
      </c>
      <c r="C412" s="192"/>
      <c r="D412" s="192"/>
      <c r="E412" s="192"/>
      <c r="F412" s="192"/>
      <c r="G412" s="192"/>
      <c r="H412" s="192"/>
      <c r="I412" s="192"/>
      <c r="J412" s="199">
        <f>J455</f>
        <v>-566</v>
      </c>
      <c r="K412" s="199">
        <f>K455</f>
        <v>-360</v>
      </c>
      <c r="L412" s="199">
        <f>L455</f>
        <v>-578</v>
      </c>
      <c r="M412" s="199">
        <f>M455</f>
        <v>-823</v>
      </c>
      <c r="N412" s="199">
        <f>N455</f>
        <v>-558</v>
      </c>
      <c r="O412" s="192"/>
      <c r="P412" s="192"/>
      <c r="Q412" s="192"/>
      <c r="R412" s="192"/>
      <c r="S412" s="192"/>
      <c r="T412" s="192"/>
      <c r="U412" s="192"/>
      <c r="V412" s="192"/>
      <c r="W412" s="192"/>
      <c r="X412" s="191"/>
      <c r="Y412" s="191"/>
    </row>
    <row r="413" spans="1:25" ht="21" customHeight="1">
      <c r="A413" s="207"/>
      <c r="B413" s="191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  <c r="U413" s="192"/>
      <c r="V413" s="192"/>
      <c r="W413" s="192"/>
      <c r="X413" s="191"/>
      <c r="Y413" s="191"/>
    </row>
    <row r="414" spans="1:25" ht="21" customHeight="1">
      <c r="A414" s="191" t="s">
        <v>1409</v>
      </c>
      <c r="B414" s="191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  <c r="U414" s="192"/>
      <c r="V414" s="192"/>
      <c r="W414" s="192"/>
      <c r="X414" s="191"/>
      <c r="Y414" s="191"/>
    </row>
    <row r="415" spans="1:25" ht="21" customHeight="1">
      <c r="A415" s="191" t="s">
        <v>1410</v>
      </c>
      <c r="B415" s="191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  <c r="U415" s="192"/>
      <c r="V415" s="192"/>
      <c r="W415" s="192"/>
      <c r="X415" s="191"/>
      <c r="Y415" s="191"/>
    </row>
    <row r="416" spans="1:25" ht="21" customHeight="1">
      <c r="A416" s="191" t="s">
        <v>1411</v>
      </c>
      <c r="B416" s="191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1"/>
      <c r="Y416" s="191"/>
    </row>
    <row r="417" spans="1:25" ht="21" customHeight="1">
      <c r="A417" s="191" t="s">
        <v>1412</v>
      </c>
      <c r="B417" s="191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1"/>
      <c r="Y417" s="191"/>
    </row>
    <row r="418" spans="1:25" ht="21" customHeight="1">
      <c r="A418" s="207"/>
      <c r="B418" s="191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1"/>
      <c r="Y418" s="191"/>
    </row>
    <row r="419" spans="1:25" ht="21" customHeight="1">
      <c r="A419" s="207"/>
      <c r="B419" s="191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1"/>
      <c r="Y419" s="191"/>
    </row>
    <row r="420" spans="1:25" ht="25" customHeight="1">
      <c r="A420" s="205" t="s">
        <v>1413</v>
      </c>
      <c r="B420" s="195"/>
      <c r="C420" s="196"/>
      <c r="D420" s="196"/>
      <c r="E420" s="196"/>
      <c r="F420" s="196"/>
      <c r="G420" s="196"/>
      <c r="H420" s="196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1"/>
      <c r="Y420" s="191"/>
    </row>
    <row r="421" spans="1:25" ht="21" customHeight="1">
      <c r="A421" s="206" t="s">
        <v>1050</v>
      </c>
      <c r="B421" s="197" t="s">
        <v>1051</v>
      </c>
      <c r="C421" s="198" t="s">
        <v>1057</v>
      </c>
      <c r="D421" s="198"/>
      <c r="E421" s="198"/>
      <c r="F421" s="198"/>
      <c r="G421" s="198"/>
      <c r="H421" s="198"/>
      <c r="I421" s="192"/>
      <c r="J421" s="198" t="s">
        <v>1372</v>
      </c>
      <c r="K421" s="198" t="s">
        <v>1373</v>
      </c>
      <c r="L421" s="198" t="s">
        <v>1374</v>
      </c>
      <c r="M421" s="198" t="s">
        <v>1375</v>
      </c>
      <c r="N421" s="198" t="s">
        <v>1332</v>
      </c>
      <c r="O421" s="192"/>
      <c r="P421" s="198" t="s">
        <v>1376</v>
      </c>
      <c r="Q421" s="198" t="s">
        <v>1056</v>
      </c>
      <c r="R421" s="192"/>
      <c r="S421" s="192"/>
      <c r="T421" s="192"/>
      <c r="U421" s="192"/>
      <c r="V421" s="192"/>
      <c r="W421" s="192"/>
      <c r="X421" s="191"/>
      <c r="Y421" s="191"/>
    </row>
    <row r="422" spans="1:25" ht="21" customHeight="1">
      <c r="A422" s="207"/>
      <c r="B422" s="191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1"/>
      <c r="Y422" s="191"/>
    </row>
    <row r="423" spans="1:25" ht="21" customHeight="1">
      <c r="A423" s="207" t="s">
        <v>1414</v>
      </c>
      <c r="B423" s="191" t="s">
        <v>1066</v>
      </c>
      <c r="C423" s="199">
        <f>H30</f>
        <v>12400</v>
      </c>
      <c r="D423" s="192"/>
      <c r="E423" s="192"/>
      <c r="F423" s="192"/>
      <c r="G423" s="192"/>
      <c r="H423" s="192"/>
      <c r="I423" s="192"/>
      <c r="J423" s="204">
        <f>'Cash Flow'!H26+'Cash Flow'!H32</f>
        <v>11258</v>
      </c>
      <c r="K423" s="204">
        <f>'Cash Flow'!I26+'Cash Flow'!I32</f>
        <v>9534</v>
      </c>
      <c r="L423" s="204">
        <f>'Cash Flow'!J26+'Cash Flow'!J32</f>
        <v>9747</v>
      </c>
      <c r="M423" s="204">
        <f>'Cash Flow'!K26+'Cash Flow'!K32</f>
        <v>4741</v>
      </c>
      <c r="N423" s="204">
        <f>'Cash Flow'!L26+'Cash Flow'!L32</f>
        <v>5296</v>
      </c>
      <c r="O423" s="192"/>
      <c r="P423" s="204">
        <f>'Cash Flow'!R26+'Cash Flow'!R32</f>
        <v>-2142</v>
      </c>
      <c r="Q423" s="204">
        <f>'Cash Flow'!U26+'Cash Flow'!U32</f>
        <v>6859</v>
      </c>
      <c r="R423" s="192"/>
      <c r="S423" s="192"/>
      <c r="T423" s="192"/>
      <c r="U423" s="192"/>
      <c r="V423" s="192"/>
      <c r="W423" s="192"/>
      <c r="X423" s="191"/>
      <c r="Y423" s="191"/>
    </row>
    <row r="424" spans="1:25" ht="21" customHeight="1">
      <c r="A424" s="207" t="s">
        <v>1415</v>
      </c>
      <c r="B424" s="191" t="s">
        <v>1066</v>
      </c>
      <c r="C424" s="199">
        <v>0</v>
      </c>
      <c r="D424" s="192"/>
      <c r="E424" s="192"/>
      <c r="F424" s="192"/>
      <c r="G424" s="192"/>
      <c r="H424" s="192"/>
      <c r="I424" s="192"/>
      <c r="J424" s="199">
        <f>J457+J458</f>
        <v>0</v>
      </c>
      <c r="K424" s="199">
        <f>K457+K458</f>
        <v>0</v>
      </c>
      <c r="L424" s="199">
        <f>L457+L458</f>
        <v>0</v>
      </c>
      <c r="M424" s="199">
        <f>M457+M458</f>
        <v>6000</v>
      </c>
      <c r="N424" s="199">
        <f>N457+N458</f>
        <v>6069</v>
      </c>
      <c r="O424" s="192"/>
      <c r="P424" s="199">
        <v>6069</v>
      </c>
      <c r="Q424" s="199">
        <v>0</v>
      </c>
      <c r="R424" s="192"/>
      <c r="S424" s="192"/>
      <c r="T424" s="192"/>
      <c r="U424" s="192"/>
      <c r="V424" s="192"/>
      <c r="W424" s="192"/>
      <c r="X424" s="191"/>
      <c r="Y424" s="191"/>
    </row>
    <row r="425" spans="1:25" ht="32" customHeight="1">
      <c r="A425" s="208" t="s">
        <v>1416</v>
      </c>
      <c r="B425" s="201" t="s">
        <v>1066</v>
      </c>
      <c r="C425" s="203">
        <f>C423+C424</f>
        <v>12400</v>
      </c>
      <c r="D425" s="202"/>
      <c r="E425" s="202"/>
      <c r="F425" s="202"/>
      <c r="G425" s="202"/>
      <c r="H425" s="202"/>
      <c r="I425" s="192"/>
      <c r="J425" s="203">
        <f>J423+J424</f>
        <v>11258</v>
      </c>
      <c r="K425" s="203">
        <f>K423+K424</f>
        <v>9534</v>
      </c>
      <c r="L425" s="203">
        <f>L423+L424</f>
        <v>9747</v>
      </c>
      <c r="M425" s="203">
        <f>M423+M424</f>
        <v>10741</v>
      </c>
      <c r="N425" s="203">
        <f>N423+N424</f>
        <v>11365</v>
      </c>
      <c r="O425" s="192"/>
      <c r="P425" s="199">
        <f>P423+P424</f>
        <v>3927</v>
      </c>
      <c r="Q425" s="199">
        <f>Q423+Q424</f>
        <v>6859</v>
      </c>
      <c r="R425" s="192"/>
      <c r="S425" s="192"/>
      <c r="T425" s="192"/>
      <c r="U425" s="192"/>
      <c r="V425" s="192"/>
      <c r="W425" s="192"/>
      <c r="X425" s="191"/>
      <c r="Y425" s="191"/>
    </row>
    <row r="426" spans="1:25" ht="21" customHeight="1">
      <c r="A426" s="207"/>
      <c r="B426" s="191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1"/>
      <c r="Y426" s="191"/>
    </row>
    <row r="427" spans="1:25" ht="21" customHeight="1">
      <c r="A427" s="207" t="s">
        <v>1417</v>
      </c>
      <c r="B427" s="191" t="s">
        <v>1066</v>
      </c>
      <c r="C427" s="334">
        <f>IF(ISNUMBER('Valuation Inputs'!C109),'Valuation Inputs'!C109,"待定")</f>
        <v>1500</v>
      </c>
      <c r="D427" s="192"/>
      <c r="E427" s="192"/>
      <c r="F427" s="192"/>
      <c r="G427" s="192"/>
      <c r="H427" s="192"/>
      <c r="I427" s="192"/>
      <c r="J427" s="199">
        <v>738</v>
      </c>
      <c r="K427" s="199">
        <v>848</v>
      </c>
      <c r="L427" s="199">
        <v>1415</v>
      </c>
      <c r="M427" s="199">
        <v>1669</v>
      </c>
      <c r="N427" s="199">
        <v>1724</v>
      </c>
      <c r="O427" s="192"/>
      <c r="P427" s="192"/>
      <c r="Q427" s="192"/>
      <c r="R427" s="192"/>
      <c r="S427" s="192"/>
      <c r="T427" s="192"/>
      <c r="U427" s="192"/>
      <c r="V427" s="192"/>
      <c r="W427" s="192"/>
      <c r="X427" s="191"/>
      <c r="Y427" s="191"/>
    </row>
    <row r="428" spans="1:25" ht="21" customHeight="1">
      <c r="A428" s="207" t="s">
        <v>1418</v>
      </c>
      <c r="B428" s="191" t="s">
        <v>1066</v>
      </c>
      <c r="C428" s="334">
        <f>IF(ISNUMBER('Valuation Inputs'!C110),'Valuation Inputs'!C110,"待定")</f>
        <v>800</v>
      </c>
      <c r="D428" s="192"/>
      <c r="E428" s="192"/>
      <c r="F428" s="192"/>
      <c r="G428" s="192"/>
      <c r="H428" s="192"/>
      <c r="I428" s="192"/>
      <c r="J428" s="204">
        <f>'Income Statement'!H21</f>
        <v>276</v>
      </c>
      <c r="K428" s="204">
        <f>'Income Statement'!I21</f>
        <v>449</v>
      </c>
      <c r="L428" s="204">
        <f>'Income Statement'!J21</f>
        <v>907</v>
      </c>
      <c r="M428" s="204">
        <f>'Income Statement'!K21</f>
        <v>988</v>
      </c>
      <c r="N428" s="204">
        <f>'Income Statement'!L21</f>
        <v>786</v>
      </c>
      <c r="O428" s="192"/>
      <c r="P428" s="204">
        <f>SUM('Income Statement'!Q21:R21)</f>
        <v>368</v>
      </c>
      <c r="Q428" s="204">
        <f>SUM('Income Statement'!T21:U21)</f>
        <v>420</v>
      </c>
      <c r="R428" s="192"/>
      <c r="S428" s="192"/>
      <c r="T428" s="192"/>
      <c r="U428" s="192"/>
      <c r="V428" s="192"/>
      <c r="W428" s="192"/>
      <c r="X428" s="191"/>
      <c r="Y428" s="191"/>
    </row>
    <row r="429" spans="1:25" ht="21" customHeight="1">
      <c r="A429" s="207"/>
      <c r="B429" s="191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1"/>
      <c r="Y429" s="191"/>
    </row>
    <row r="430" spans="1:25" ht="32" customHeight="1">
      <c r="A430" s="207" t="s">
        <v>1419</v>
      </c>
      <c r="B430" s="191" t="s">
        <v>1066</v>
      </c>
      <c r="C430" s="199">
        <f>(C427-C428)*(1-C58)</f>
        <v>546</v>
      </c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1"/>
      <c r="Y430" s="191"/>
    </row>
    <row r="431" spans="1:25" ht="21" customHeight="1">
      <c r="A431" s="207"/>
      <c r="B431" s="191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1"/>
      <c r="Y431" s="191"/>
    </row>
    <row r="432" spans="1:25" ht="32" customHeight="1">
      <c r="A432" s="207" t="s">
        <v>1420</v>
      </c>
      <c r="B432" s="191" t="s">
        <v>1066</v>
      </c>
      <c r="C432" s="334">
        <f>IF(ISNUMBER('Valuation Inputs'!C111),'Valuation Inputs'!C111,"待定")</f>
        <v>1050</v>
      </c>
      <c r="D432" s="192"/>
      <c r="E432" s="192"/>
      <c r="F432" s="192"/>
      <c r="G432" s="192"/>
      <c r="H432" s="192"/>
      <c r="I432" s="192"/>
      <c r="J432" s="209" t="s">
        <v>1421</v>
      </c>
      <c r="K432" s="209" t="s">
        <v>1421</v>
      </c>
      <c r="L432" s="209" t="s">
        <v>1421</v>
      </c>
      <c r="M432" s="209" t="s">
        <v>1421</v>
      </c>
      <c r="N432" s="209" t="s">
        <v>1421</v>
      </c>
      <c r="O432" s="209"/>
      <c r="P432" s="209"/>
      <c r="Q432" s="209"/>
      <c r="R432" s="192"/>
      <c r="S432" s="192"/>
      <c r="T432" s="192"/>
      <c r="U432" s="192"/>
      <c r="V432" s="192"/>
      <c r="W432" s="192"/>
      <c r="X432" s="191"/>
      <c r="Y432" s="191"/>
    </row>
    <row r="433" spans="1:25" ht="21" customHeight="1">
      <c r="A433" s="207" t="s">
        <v>1422</v>
      </c>
      <c r="B433" s="191" t="s">
        <v>1066</v>
      </c>
      <c r="C433" s="192"/>
      <c r="D433" s="192"/>
      <c r="E433" s="192"/>
      <c r="F433" s="192"/>
      <c r="G433" s="192"/>
      <c r="H433" s="192"/>
      <c r="I433" s="192"/>
      <c r="J433" s="204">
        <f>'Income Statement'!H23+'Cash Flow'!H20</f>
        <v>823</v>
      </c>
      <c r="K433" s="204">
        <f>'Income Statement'!I23+'Cash Flow'!I20</f>
        <v>634</v>
      </c>
      <c r="L433" s="204">
        <f>'Income Statement'!J23+'Cash Flow'!J20</f>
        <v>672</v>
      </c>
      <c r="M433" s="204">
        <f>'Income Statement'!K23+'Cash Flow'!K20</f>
        <v>968</v>
      </c>
      <c r="N433" s="204">
        <f>'Income Statement'!L23+'Cash Flow'!L20</f>
        <v>993</v>
      </c>
      <c r="O433" s="192"/>
      <c r="P433" s="204">
        <f>SUM('Income Statement'!Q23:R23)+'Cash Flow'!R20</f>
        <v>525</v>
      </c>
      <c r="Q433" s="204">
        <f>SUM('Income Statement'!T23:U23)+'Cash Flow'!U20</f>
        <v>468</v>
      </c>
      <c r="R433" s="192"/>
      <c r="S433" s="192"/>
      <c r="T433" s="192"/>
      <c r="U433" s="192"/>
      <c r="V433" s="192"/>
      <c r="W433" s="192"/>
      <c r="X433" s="191"/>
      <c r="Y433" s="191"/>
    </row>
    <row r="434" spans="1:25" ht="21" customHeight="1">
      <c r="A434" s="207" t="s">
        <v>1423</v>
      </c>
      <c r="B434" s="191" t="s">
        <v>1066</v>
      </c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9">
        <v>159</v>
      </c>
      <c r="O434" s="192"/>
      <c r="P434" s="199">
        <v>91</v>
      </c>
      <c r="Q434" s="199">
        <v>71</v>
      </c>
      <c r="R434" s="192"/>
      <c r="S434" s="192"/>
      <c r="T434" s="192"/>
      <c r="U434" s="192"/>
      <c r="V434" s="192"/>
      <c r="W434" s="192"/>
      <c r="X434" s="191"/>
      <c r="Y434" s="191"/>
    </row>
    <row r="435" spans="1:25" ht="21" customHeight="1">
      <c r="A435" s="207"/>
      <c r="B435" s="191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1"/>
      <c r="Y435" s="191"/>
    </row>
    <row r="436" spans="1:25" ht="21" customHeight="1">
      <c r="A436" s="207" t="s">
        <v>1424</v>
      </c>
      <c r="B436" s="191" t="s">
        <v>1066</v>
      </c>
      <c r="C436" s="334">
        <f>IF(ISNUMBER('Valuation Inputs'!C112),'Valuation Inputs'!C112,"待定")</f>
        <v>250</v>
      </c>
      <c r="D436" s="192"/>
      <c r="E436" s="192"/>
      <c r="F436" s="192"/>
      <c r="G436" s="192"/>
      <c r="H436" s="192"/>
      <c r="I436" s="192"/>
      <c r="J436" s="204">
        <f>'Cash Flow'!H18</f>
        <v>337</v>
      </c>
      <c r="K436" s="204">
        <f>'Cash Flow'!I18</f>
        <v>356</v>
      </c>
      <c r="L436" s="204">
        <f>'Cash Flow'!J18</f>
        <v>254</v>
      </c>
      <c r="M436" s="204">
        <f>'Cash Flow'!K18</f>
        <v>286</v>
      </c>
      <c r="N436" s="204">
        <f>'Cash Flow'!L18</f>
        <v>279</v>
      </c>
      <c r="O436" s="192"/>
      <c r="P436" s="204">
        <f>'Cash Flow'!R18</f>
        <v>130</v>
      </c>
      <c r="Q436" s="204">
        <f>'Cash Flow'!U18</f>
        <v>117</v>
      </c>
      <c r="R436" s="192"/>
      <c r="S436" s="192"/>
      <c r="T436" s="192"/>
      <c r="U436" s="192"/>
      <c r="V436" s="192"/>
      <c r="W436" s="192"/>
      <c r="X436" s="191"/>
      <c r="Y436" s="191"/>
    </row>
    <row r="437" spans="1:25" ht="21" customHeight="1">
      <c r="A437" s="207"/>
      <c r="B437" s="191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1"/>
      <c r="Y437" s="191"/>
    </row>
    <row r="438" spans="1:25" ht="32" customHeight="1">
      <c r="A438" s="208" t="s">
        <v>1425</v>
      </c>
      <c r="B438" s="201" t="s">
        <v>1066</v>
      </c>
      <c r="C438" s="203">
        <f>C425+C430-C432-C436</f>
        <v>11646</v>
      </c>
      <c r="D438" s="202"/>
      <c r="E438" s="202"/>
      <c r="F438" s="202"/>
      <c r="G438" s="202"/>
      <c r="H438" s="202"/>
      <c r="I438" s="192"/>
      <c r="J438" s="202"/>
      <c r="K438" s="202"/>
      <c r="L438" s="202"/>
      <c r="M438" s="202"/>
      <c r="N438" s="20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1"/>
      <c r="Y438" s="191"/>
    </row>
    <row r="439" spans="1:25" ht="32" customHeight="1">
      <c r="A439" s="208" t="s">
        <v>1426</v>
      </c>
      <c r="B439" s="201" t="s">
        <v>1066</v>
      </c>
      <c r="C439" s="203">
        <f>C438-C396</f>
        <v>321.47874760528066</v>
      </c>
      <c r="D439" s="202"/>
      <c r="E439" s="202"/>
      <c r="F439" s="202"/>
      <c r="G439" s="202"/>
      <c r="H439" s="202"/>
      <c r="I439" s="192"/>
      <c r="J439" s="202"/>
      <c r="K439" s="202"/>
      <c r="L439" s="202"/>
      <c r="M439" s="202"/>
      <c r="N439" s="20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1"/>
      <c r="Y439" s="191"/>
    </row>
    <row r="440" spans="1:25" ht="21" customHeight="1">
      <c r="A440" s="191" t="s">
        <v>1427</v>
      </c>
      <c r="B440" s="191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1"/>
      <c r="Y440" s="191"/>
    </row>
    <row r="441" spans="1:25" ht="21" customHeight="1">
      <c r="A441" s="191" t="s">
        <v>1428</v>
      </c>
      <c r="B441" s="191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1"/>
      <c r="Y441" s="191"/>
    </row>
    <row r="442" spans="1:25" ht="21" customHeight="1">
      <c r="A442" s="191" t="s">
        <v>1429</v>
      </c>
      <c r="B442" s="191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1"/>
      <c r="Y442" s="191"/>
    </row>
    <row r="443" spans="1:25" ht="21" customHeight="1">
      <c r="A443" s="191" t="s">
        <v>1430</v>
      </c>
      <c r="B443" s="191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1"/>
      <c r="Y443" s="191"/>
    </row>
    <row r="444" spans="1:25" ht="21" customHeight="1">
      <c r="A444" s="207"/>
      <c r="B444" s="191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1"/>
      <c r="Y444" s="191"/>
    </row>
    <row r="445" spans="1:25" ht="32" customHeight="1">
      <c r="A445" s="207" t="s">
        <v>1431</v>
      </c>
      <c r="B445" s="191" t="s">
        <v>1066</v>
      </c>
      <c r="C445" s="199">
        <v>0</v>
      </c>
      <c r="D445" s="199">
        <v>300</v>
      </c>
      <c r="E445" s="199">
        <v>500</v>
      </c>
      <c r="F445" s="199">
        <v>700</v>
      </c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1"/>
      <c r="Y445" s="191"/>
    </row>
    <row r="446" spans="1:25" ht="32" customHeight="1">
      <c r="A446" s="208" t="s">
        <v>1432</v>
      </c>
      <c r="B446" s="201" t="s">
        <v>1066</v>
      </c>
      <c r="C446" s="203">
        <f>C$396-C$392+C445</f>
        <v>10824.521252394719</v>
      </c>
      <c r="D446" s="203">
        <f>C$396-C$392+D445</f>
        <v>11124.521252394719</v>
      </c>
      <c r="E446" s="203">
        <f>C$396-C$392+E445</f>
        <v>11324.521252394719</v>
      </c>
      <c r="F446" s="203">
        <f>C$396-C$392+F445</f>
        <v>11524.521252394719</v>
      </c>
      <c r="G446" s="202"/>
      <c r="H446" s="202"/>
      <c r="I446" s="192"/>
      <c r="J446" s="202"/>
      <c r="K446" s="202"/>
      <c r="L446" s="202"/>
      <c r="M446" s="202"/>
      <c r="N446" s="20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1"/>
      <c r="Y446" s="191"/>
    </row>
    <row r="447" spans="1:25" ht="21" customHeight="1">
      <c r="A447" s="207"/>
      <c r="B447" s="191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1"/>
      <c r="Y447" s="191"/>
    </row>
    <row r="448" spans="1:25" ht="21" customHeight="1">
      <c r="A448" s="207"/>
      <c r="B448" s="191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1"/>
      <c r="Y448" s="191"/>
    </row>
    <row r="449" spans="1:25" ht="25" customHeight="1">
      <c r="A449" s="205" t="s">
        <v>1433</v>
      </c>
      <c r="B449" s="195"/>
      <c r="C449" s="196"/>
      <c r="D449" s="196"/>
      <c r="E449" s="196"/>
      <c r="F449" s="196"/>
      <c r="G449" s="196"/>
      <c r="H449" s="196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1"/>
      <c r="Y449" s="191"/>
    </row>
    <row r="450" spans="1:25" ht="21" customHeight="1">
      <c r="A450" s="207" t="s">
        <v>1434</v>
      </c>
      <c r="B450" s="191" t="s">
        <v>1066</v>
      </c>
      <c r="C450" s="192"/>
      <c r="D450" s="192"/>
      <c r="E450" s="192"/>
      <c r="F450" s="192"/>
      <c r="G450" s="192"/>
      <c r="H450" s="192"/>
      <c r="I450" s="192"/>
      <c r="J450" s="192" t="s">
        <v>1372</v>
      </c>
      <c r="K450" s="192" t="s">
        <v>1373</v>
      </c>
      <c r="L450" s="192" t="s">
        <v>1374</v>
      </c>
      <c r="M450" s="192" t="s">
        <v>1375</v>
      </c>
      <c r="N450" s="192" t="s">
        <v>1332</v>
      </c>
      <c r="O450" s="192"/>
      <c r="P450" s="192"/>
      <c r="Q450" s="192"/>
      <c r="R450" s="192"/>
      <c r="S450" s="192"/>
      <c r="T450" s="192"/>
      <c r="U450" s="192"/>
      <c r="V450" s="192"/>
      <c r="W450" s="192"/>
      <c r="X450" s="191"/>
      <c r="Y450" s="191"/>
    </row>
    <row r="451" spans="1:25" ht="32" customHeight="1">
      <c r="A451" s="207" t="s">
        <v>1435</v>
      </c>
      <c r="B451" s="191" t="s">
        <v>1066</v>
      </c>
      <c r="C451" s="192"/>
      <c r="D451" s="192"/>
      <c r="E451" s="192"/>
      <c r="F451" s="192"/>
      <c r="G451" s="192"/>
      <c r="H451" s="192"/>
      <c r="I451" s="192"/>
      <c r="J451" s="199">
        <v>-225</v>
      </c>
      <c r="K451" s="199">
        <v>-69</v>
      </c>
      <c r="L451" s="199">
        <v>-2</v>
      </c>
      <c r="M451" s="199">
        <v>-295</v>
      </c>
      <c r="N451" s="199">
        <v>334</v>
      </c>
      <c r="O451" s="192"/>
      <c r="P451" s="192"/>
      <c r="Q451" s="192"/>
      <c r="R451" s="192"/>
      <c r="S451" s="192"/>
      <c r="T451" s="192"/>
      <c r="U451" s="192"/>
      <c r="V451" s="192"/>
      <c r="W451" s="192"/>
      <c r="X451" s="191"/>
      <c r="Y451" s="191"/>
    </row>
    <row r="452" spans="1:25" ht="32" customHeight="1">
      <c r="A452" s="207" t="s">
        <v>1436</v>
      </c>
      <c r="B452" s="191" t="s">
        <v>1066</v>
      </c>
      <c r="C452" s="192"/>
      <c r="D452" s="192"/>
      <c r="E452" s="192"/>
      <c r="F452" s="192"/>
      <c r="G452" s="192"/>
      <c r="H452" s="192"/>
      <c r="I452" s="192"/>
      <c r="J452" s="199">
        <v>-135</v>
      </c>
      <c r="K452" s="199">
        <v>-960</v>
      </c>
      <c r="L452" s="199">
        <v>-597</v>
      </c>
      <c r="M452" s="199">
        <v>-520</v>
      </c>
      <c r="N452" s="199">
        <v>-154</v>
      </c>
      <c r="O452" s="192"/>
      <c r="P452" s="192"/>
      <c r="Q452" s="192"/>
      <c r="R452" s="192"/>
      <c r="S452" s="192"/>
      <c r="T452" s="192"/>
      <c r="U452" s="192"/>
      <c r="V452" s="192"/>
      <c r="W452" s="192"/>
      <c r="X452" s="191"/>
      <c r="Y452" s="191"/>
    </row>
    <row r="453" spans="1:25" ht="32" customHeight="1">
      <c r="A453" s="207" t="s">
        <v>1437</v>
      </c>
      <c r="B453" s="191" t="s">
        <v>1066</v>
      </c>
      <c r="C453" s="192"/>
      <c r="D453" s="192"/>
      <c r="E453" s="192"/>
      <c r="F453" s="192"/>
      <c r="G453" s="192"/>
      <c r="H453" s="192"/>
      <c r="I453" s="192"/>
      <c r="J453" s="199">
        <v>-241</v>
      </c>
      <c r="K453" s="199">
        <v>225</v>
      </c>
      <c r="L453" s="199">
        <v>-323</v>
      </c>
      <c r="M453" s="199">
        <v>-5667</v>
      </c>
      <c r="N453" s="199">
        <v>-388</v>
      </c>
      <c r="O453" s="192"/>
      <c r="P453" s="192"/>
      <c r="Q453" s="192"/>
      <c r="R453" s="192"/>
      <c r="S453" s="192"/>
      <c r="T453" s="192"/>
      <c r="U453" s="192"/>
      <c r="V453" s="192"/>
      <c r="W453" s="192"/>
      <c r="X453" s="191"/>
      <c r="Y453" s="191"/>
    </row>
    <row r="454" spans="1:25" ht="32" customHeight="1">
      <c r="A454" s="207" t="s">
        <v>1438</v>
      </c>
      <c r="B454" s="191" t="s">
        <v>1066</v>
      </c>
      <c r="C454" s="192"/>
      <c r="D454" s="192"/>
      <c r="E454" s="192"/>
      <c r="F454" s="192"/>
      <c r="G454" s="192"/>
      <c r="H454" s="192"/>
      <c r="I454" s="192"/>
      <c r="J454" s="199">
        <v>2843</v>
      </c>
      <c r="K454" s="199">
        <v>759</v>
      </c>
      <c r="L454" s="199">
        <v>841</v>
      </c>
      <c r="M454" s="199">
        <v>1134</v>
      </c>
      <c r="N454" s="199">
        <v>-6612</v>
      </c>
      <c r="O454" s="192"/>
      <c r="P454" s="192"/>
      <c r="Q454" s="192"/>
      <c r="R454" s="192"/>
      <c r="S454" s="192"/>
      <c r="T454" s="192"/>
      <c r="U454" s="192"/>
      <c r="V454" s="192"/>
      <c r="W454" s="192"/>
      <c r="X454" s="191"/>
      <c r="Y454" s="191"/>
    </row>
    <row r="455" spans="1:25" ht="32" customHeight="1">
      <c r="A455" s="207" t="s">
        <v>1439</v>
      </c>
      <c r="B455" s="191" t="s">
        <v>1066</v>
      </c>
      <c r="C455" s="192"/>
      <c r="D455" s="192"/>
      <c r="E455" s="192"/>
      <c r="F455" s="192"/>
      <c r="G455" s="192"/>
      <c r="H455" s="192"/>
      <c r="I455" s="192"/>
      <c r="J455" s="199">
        <v>-566</v>
      </c>
      <c r="K455" s="199">
        <v>-360</v>
      </c>
      <c r="L455" s="199">
        <v>-578</v>
      </c>
      <c r="M455" s="199">
        <v>-823</v>
      </c>
      <c r="N455" s="199">
        <v>-558</v>
      </c>
      <c r="O455" s="192"/>
      <c r="P455" s="192"/>
      <c r="Q455" s="192"/>
      <c r="R455" s="192"/>
      <c r="S455" s="192"/>
      <c r="T455" s="192"/>
      <c r="U455" s="192"/>
      <c r="V455" s="192"/>
      <c r="W455" s="192"/>
      <c r="X455" s="191"/>
      <c r="Y455" s="191"/>
    </row>
    <row r="456" spans="1:25" ht="32" customHeight="1">
      <c r="A456" s="207" t="s">
        <v>1440</v>
      </c>
      <c r="B456" s="191" t="s">
        <v>1066</v>
      </c>
      <c r="C456" s="192"/>
      <c r="D456" s="192"/>
      <c r="E456" s="192"/>
      <c r="F456" s="192"/>
      <c r="G456" s="192"/>
      <c r="H456" s="192"/>
      <c r="I456" s="192"/>
      <c r="J456" s="199">
        <v>-351</v>
      </c>
      <c r="K456" s="199">
        <v>-200</v>
      </c>
      <c r="L456" s="199">
        <v>-187</v>
      </c>
      <c r="M456" s="199">
        <v>-63</v>
      </c>
      <c r="N456" s="199">
        <v>170</v>
      </c>
      <c r="O456" s="192"/>
      <c r="P456" s="192"/>
      <c r="Q456" s="192"/>
      <c r="R456" s="192"/>
      <c r="S456" s="192"/>
      <c r="T456" s="192"/>
      <c r="U456" s="192"/>
      <c r="V456" s="192"/>
      <c r="W456" s="192"/>
      <c r="X456" s="191"/>
      <c r="Y456" s="191"/>
    </row>
    <row r="457" spans="1:25" ht="21" customHeight="1">
      <c r="A457" s="207" t="s">
        <v>1441</v>
      </c>
      <c r="B457" s="191" t="s">
        <v>1066</v>
      </c>
      <c r="C457" s="192"/>
      <c r="D457" s="192"/>
      <c r="E457" s="192"/>
      <c r="F457" s="192"/>
      <c r="G457" s="192"/>
      <c r="H457" s="192"/>
      <c r="I457" s="192"/>
      <c r="J457" s="199">
        <v>0</v>
      </c>
      <c r="K457" s="199">
        <v>0</v>
      </c>
      <c r="L457" s="199">
        <v>0</v>
      </c>
      <c r="M457" s="199">
        <v>0</v>
      </c>
      <c r="N457" s="199">
        <v>6069</v>
      </c>
      <c r="O457" s="192"/>
      <c r="P457" s="192"/>
      <c r="Q457" s="192"/>
      <c r="R457" s="192"/>
      <c r="S457" s="192"/>
      <c r="T457" s="192"/>
      <c r="U457" s="192"/>
      <c r="V457" s="192"/>
      <c r="W457" s="192"/>
      <c r="X457" s="191"/>
      <c r="Y457" s="191"/>
    </row>
    <row r="458" spans="1:25" ht="21" customHeight="1">
      <c r="A458" s="207" t="s">
        <v>1442</v>
      </c>
      <c r="B458" s="191" t="s">
        <v>1066</v>
      </c>
      <c r="C458" s="192"/>
      <c r="D458" s="192"/>
      <c r="E458" s="192"/>
      <c r="F458" s="192"/>
      <c r="G458" s="192"/>
      <c r="H458" s="192"/>
      <c r="I458" s="192"/>
      <c r="J458" s="199">
        <v>0</v>
      </c>
      <c r="K458" s="199">
        <v>0</v>
      </c>
      <c r="L458" s="199">
        <v>0</v>
      </c>
      <c r="M458" s="199">
        <v>6000</v>
      </c>
      <c r="N458" s="199">
        <v>0</v>
      </c>
      <c r="O458" s="192"/>
      <c r="P458" s="192"/>
      <c r="Q458" s="192"/>
      <c r="R458" s="192"/>
      <c r="S458" s="192"/>
      <c r="T458" s="192"/>
      <c r="U458" s="192"/>
      <c r="V458" s="192"/>
      <c r="W458" s="192"/>
      <c r="X458" s="191"/>
      <c r="Y458" s="191"/>
    </row>
    <row r="459" spans="1:25" ht="32" customHeight="1">
      <c r="A459" s="207" t="s">
        <v>1443</v>
      </c>
      <c r="B459" s="191" t="s">
        <v>1066</v>
      </c>
      <c r="C459" s="192"/>
      <c r="D459" s="192"/>
      <c r="E459" s="192"/>
      <c r="F459" s="192"/>
      <c r="G459" s="192"/>
      <c r="H459" s="192"/>
      <c r="I459" s="192"/>
      <c r="J459" s="204">
        <f>SUM(J451:J456)-'Cash Flow'!H25</f>
        <v>0</v>
      </c>
      <c r="K459" s="204">
        <f>SUM(K451:K456)-'Cash Flow'!I25</f>
        <v>0</v>
      </c>
      <c r="L459" s="204">
        <f>SUM(L451:L456)-'Cash Flow'!J25</f>
        <v>0</v>
      </c>
      <c r="M459" s="204">
        <f>SUM(M451:M456)-'Cash Flow'!K25</f>
        <v>0</v>
      </c>
      <c r="N459" s="204">
        <f>SUM(N451:N456)-'Cash Flow'!L25</f>
        <v>0</v>
      </c>
      <c r="O459" s="192"/>
      <c r="P459" s="192"/>
      <c r="Q459" s="192"/>
      <c r="R459" s="192"/>
      <c r="S459" s="192"/>
      <c r="T459" s="192"/>
      <c r="U459" s="192"/>
      <c r="V459" s="192"/>
      <c r="W459" s="192"/>
      <c r="X459" s="191"/>
      <c r="Y459" s="191"/>
    </row>
    <row r="460" spans="1:25" ht="21" customHeight="1">
      <c r="A460" s="207"/>
      <c r="B460" s="191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1"/>
      <c r="Y460" s="191"/>
    </row>
    <row r="461" spans="1:25" ht="21" customHeight="1">
      <c r="A461" s="207" t="s">
        <v>611</v>
      </c>
      <c r="B461" s="191"/>
      <c r="C461" s="192" t="s">
        <v>1444</v>
      </c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1"/>
      <c r="Y461" s="191"/>
    </row>
    <row r="462" spans="1:25" ht="21" customHeight="1">
      <c r="A462" s="207" t="s">
        <v>615</v>
      </c>
      <c r="B462" s="191"/>
      <c r="C462" s="192" t="s">
        <v>1445</v>
      </c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1"/>
      <c r="Y462" s="191"/>
    </row>
    <row r="463" spans="1:25" ht="21" customHeight="1">
      <c r="A463" s="207" t="s">
        <v>1446</v>
      </c>
      <c r="B463" s="191"/>
      <c r="C463" s="192" t="s">
        <v>1447</v>
      </c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1"/>
      <c r="Y463" s="191"/>
    </row>
    <row r="464" spans="1:25" ht="21" customHeight="1">
      <c r="A464" s="207" t="s">
        <v>1448</v>
      </c>
      <c r="B464" s="191"/>
      <c r="C464" s="192" t="s">
        <v>1449</v>
      </c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1"/>
      <c r="Y464" s="191"/>
    </row>
    <row r="465" spans="1:25" ht="21" customHeight="1">
      <c r="A465" s="207"/>
      <c r="B465" s="191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1"/>
      <c r="Y465" s="191"/>
    </row>
    <row r="466" spans="1:25" ht="21" customHeight="1">
      <c r="A466" s="191" t="s">
        <v>1450</v>
      </c>
      <c r="B466" s="191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1"/>
      <c r="Y466" s="191"/>
    </row>
    <row r="467" spans="1:25" ht="21" customHeight="1">
      <c r="A467" s="191" t="s">
        <v>1451</v>
      </c>
      <c r="B467" s="191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1"/>
      <c r="Y467" s="191"/>
    </row>
    <row r="468" spans="1:25" ht="21" customHeight="1">
      <c r="A468" s="191"/>
      <c r="B468" s="191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1"/>
      <c r="Y468" s="191"/>
    </row>
    <row r="469" spans="1:25" ht="21" customHeight="1">
      <c r="A469" s="191"/>
      <c r="B469" s="191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1"/>
      <c r="Y469" s="191"/>
    </row>
    <row r="470" spans="1:25" ht="21" customHeight="1">
      <c r="A470" s="191"/>
      <c r="B470" s="191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1"/>
      <c r="Y470" s="191"/>
    </row>
    <row r="471" spans="1:25" ht="21" customHeight="1">
      <c r="A471" s="191"/>
      <c r="B471" s="191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1"/>
      <c r="Y471" s="191"/>
    </row>
    <row r="472" spans="1:25" ht="21" customHeight="1">
      <c r="A472" s="191"/>
      <c r="B472" s="191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1"/>
      <c r="Y472" s="191"/>
    </row>
    <row r="473" spans="1:25" ht="21" customHeight="1">
      <c r="A473" s="191"/>
      <c r="B473" s="191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1"/>
      <c r="Y473" s="191"/>
    </row>
    <row r="474" spans="1:25" ht="21" customHeight="1">
      <c r="A474" s="191"/>
      <c r="B474" s="191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1"/>
      <c r="Y474" s="191"/>
    </row>
    <row r="475" spans="1:25" ht="21" customHeight="1">
      <c r="A475" s="191"/>
      <c r="B475" s="191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1"/>
      <c r="Y475" s="191"/>
    </row>
    <row r="476" spans="1:25" ht="21" customHeight="1">
      <c r="A476" s="191"/>
      <c r="B476" s="191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1"/>
      <c r="Y476" s="191"/>
    </row>
    <row r="477" spans="1:25" ht="21" customHeight="1">
      <c r="A477" s="191"/>
      <c r="B477" s="191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1"/>
      <c r="Y477" s="191"/>
    </row>
    <row r="478" spans="1:25" ht="21" customHeight="1">
      <c r="A478" s="191"/>
      <c r="B478" s="191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1"/>
      <c r="Y478" s="191"/>
    </row>
    <row r="479" spans="1:25" ht="21" customHeight="1">
      <c r="A479" s="191"/>
      <c r="B479" s="191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1"/>
      <c r="Y479" s="191"/>
    </row>
    <row r="480" spans="1:25" ht="21" customHeight="1">
      <c r="A480" s="191"/>
      <c r="B480" s="191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1"/>
      <c r="Y480" s="191"/>
    </row>
    <row r="481" spans="1:25" ht="25" customHeight="1">
      <c r="A481" s="216" t="s">
        <v>1575</v>
      </c>
      <c r="B481" s="216"/>
      <c r="C481" s="217"/>
      <c r="D481" s="217"/>
      <c r="E481" s="217"/>
      <c r="F481" s="217"/>
      <c r="G481" s="217"/>
      <c r="H481" s="217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1"/>
      <c r="Y481" s="211"/>
    </row>
    <row r="482" spans="1:25" ht="21" customHeight="1">
      <c r="A482" s="211" t="s">
        <v>1576</v>
      </c>
      <c r="B482" s="211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1"/>
      <c r="Y482" s="211"/>
    </row>
    <row r="483" spans="1:25" ht="21" customHeight="1">
      <c r="A483" s="211"/>
      <c r="B483" s="211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1"/>
      <c r="Y483" s="211"/>
    </row>
    <row r="484" spans="1:25" ht="25" customHeight="1">
      <c r="A484" s="216" t="s">
        <v>1577</v>
      </c>
      <c r="B484" s="216"/>
      <c r="C484" s="217"/>
      <c r="D484" s="217"/>
      <c r="E484" s="217"/>
      <c r="F484" s="217"/>
      <c r="G484" s="217"/>
      <c r="H484" s="217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1"/>
      <c r="Y484" s="211"/>
    </row>
    <row r="485" spans="1:25" ht="21" customHeight="1">
      <c r="A485" s="211"/>
      <c r="B485" s="211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1"/>
      <c r="Y485" s="211"/>
    </row>
    <row r="486" spans="1:25" ht="21" customHeight="1">
      <c r="A486" s="211" t="s">
        <v>1578</v>
      </c>
      <c r="B486" s="211" t="s">
        <v>1066</v>
      </c>
      <c r="C486" s="218">
        <f>F283</f>
        <v>839.09999999999991</v>
      </c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1"/>
      <c r="Y486" s="211" t="s">
        <v>1579</v>
      </c>
    </row>
    <row r="487" spans="1:25" ht="21" customHeight="1">
      <c r="A487" s="211" t="s">
        <v>1580</v>
      </c>
      <c r="B487" s="211" t="s">
        <v>1066</v>
      </c>
      <c r="C487" s="218">
        <f>-E16*U12</f>
        <v>118.17</v>
      </c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1"/>
      <c r="Y487" s="211" t="s">
        <v>1581</v>
      </c>
    </row>
    <row r="488" spans="1:25" ht="21" customHeight="1">
      <c r="A488" s="211" t="s">
        <v>1582</v>
      </c>
      <c r="B488" s="211" t="s">
        <v>1066</v>
      </c>
      <c r="C488" s="218">
        <f>C486-C487</f>
        <v>720.93</v>
      </c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1"/>
      <c r="Y488" s="211"/>
    </row>
    <row r="489" spans="1:25" ht="21" customHeight="1">
      <c r="A489" s="211" t="s">
        <v>1583</v>
      </c>
      <c r="B489" s="211" t="s">
        <v>1584</v>
      </c>
      <c r="C489" s="334">
        <f>IF(ISNUMBER('Valuation Inputs'!C128),'Valuation Inputs'!C128,"待定")</f>
        <v>3</v>
      </c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1"/>
      <c r="Y489" s="211" t="s">
        <v>1585</v>
      </c>
    </row>
    <row r="490" spans="1:25" ht="21" customHeight="1">
      <c r="A490" s="220" t="s">
        <v>1586</v>
      </c>
      <c r="B490" s="220" t="s">
        <v>1066</v>
      </c>
      <c r="C490" s="221">
        <f>ROUND(C488*C489,-2)</f>
        <v>2200</v>
      </c>
      <c r="D490" s="222"/>
      <c r="E490" s="222"/>
      <c r="F490" s="222"/>
      <c r="G490" s="222"/>
      <c r="H490" s="222"/>
      <c r="I490" s="212"/>
      <c r="J490" s="222"/>
      <c r="K490" s="222"/>
      <c r="L490" s="222"/>
      <c r="M490" s="222"/>
      <c r="N490" s="22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1"/>
      <c r="Y490" s="211" t="s">
        <v>1587</v>
      </c>
    </row>
    <row r="491" spans="1:25" ht="21" customHeight="1">
      <c r="A491" s="211" t="s">
        <v>1308</v>
      </c>
      <c r="B491" s="211" t="s">
        <v>1069</v>
      </c>
      <c r="C491" s="219">
        <f>F288</f>
        <v>0.1</v>
      </c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1"/>
      <c r="Y491" s="211" t="s">
        <v>1588</v>
      </c>
    </row>
    <row r="492" spans="1:25" ht="21" customHeight="1">
      <c r="A492" s="211" t="s">
        <v>1589</v>
      </c>
      <c r="B492" s="211" t="s">
        <v>1066</v>
      </c>
      <c r="C492" s="218">
        <f>C490*C491</f>
        <v>220</v>
      </c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1"/>
      <c r="Y492" s="211"/>
    </row>
    <row r="493" spans="1:25" ht="21" customHeight="1">
      <c r="A493" s="220" t="s">
        <v>1590</v>
      </c>
      <c r="B493" s="220" t="s">
        <v>1066</v>
      </c>
      <c r="C493" s="221">
        <f>C49-C490</f>
        <v>47544.17</v>
      </c>
      <c r="D493" s="222"/>
      <c r="E493" s="222"/>
      <c r="F493" s="222"/>
      <c r="G493" s="222"/>
      <c r="H493" s="222"/>
      <c r="I493" s="212"/>
      <c r="J493" s="222"/>
      <c r="K493" s="222"/>
      <c r="L493" s="222"/>
      <c r="M493" s="222"/>
      <c r="N493" s="22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1"/>
      <c r="Y493" s="211"/>
    </row>
    <row r="494" spans="1:25" ht="21" customHeight="1">
      <c r="A494" s="220" t="s">
        <v>1591</v>
      </c>
      <c r="B494" s="220" t="s">
        <v>1066</v>
      </c>
      <c r="C494" s="221">
        <f>C55-C492</f>
        <v>15937.078528711179</v>
      </c>
      <c r="D494" s="222"/>
      <c r="E494" s="222"/>
      <c r="F494" s="222"/>
      <c r="G494" s="222"/>
      <c r="H494" s="222"/>
      <c r="I494" s="212"/>
      <c r="J494" s="222"/>
      <c r="K494" s="222"/>
      <c r="L494" s="222"/>
      <c r="M494" s="222"/>
      <c r="N494" s="22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1"/>
      <c r="Y494" s="211"/>
    </row>
    <row r="495" spans="1:25" ht="21" customHeight="1">
      <c r="A495" s="220" t="s">
        <v>1592</v>
      </c>
      <c r="B495" s="220" t="s">
        <v>1069</v>
      </c>
      <c r="C495" s="223">
        <f>C494/C493</f>
        <v>0.33520573665943015</v>
      </c>
      <c r="D495" s="222"/>
      <c r="E495" s="222"/>
      <c r="F495" s="222"/>
      <c r="G495" s="222"/>
      <c r="H495" s="222"/>
      <c r="I495" s="212"/>
      <c r="J495" s="222"/>
      <c r="K495" s="222"/>
      <c r="L495" s="222"/>
      <c r="M495" s="222"/>
      <c r="N495" s="22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1"/>
      <c r="Y495" s="211" t="s">
        <v>1593</v>
      </c>
    </row>
    <row r="496" spans="1:25" ht="21" customHeight="1">
      <c r="A496" s="211"/>
      <c r="B496" s="211"/>
      <c r="C496" s="21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1"/>
      <c r="Y496" s="211"/>
    </row>
    <row r="497" spans="1:25" ht="27" customHeight="1">
      <c r="A497" s="211" t="s">
        <v>1594</v>
      </c>
      <c r="B497" s="211" t="s">
        <v>1069</v>
      </c>
      <c r="C497" s="219">
        <v>0.04</v>
      </c>
      <c r="D497" s="212"/>
      <c r="E497" s="212" t="s">
        <v>1595</v>
      </c>
      <c r="F497" s="219">
        <v>0.06</v>
      </c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1"/>
      <c r="Y497" s="211"/>
    </row>
    <row r="498" spans="1:25" ht="27" customHeight="1">
      <c r="A498" s="211" t="s">
        <v>1596</v>
      </c>
      <c r="B498" s="211" t="s">
        <v>1069</v>
      </c>
      <c r="C498" s="219">
        <v>0.06</v>
      </c>
      <c r="D498" s="212"/>
      <c r="E498" s="212" t="s">
        <v>1595</v>
      </c>
      <c r="F498" s="219">
        <v>0.08</v>
      </c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1"/>
      <c r="Y498" s="211"/>
    </row>
    <row r="499" spans="1:25" ht="21" customHeight="1">
      <c r="A499" s="211"/>
      <c r="B499" s="211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1"/>
      <c r="Y499" s="211"/>
    </row>
    <row r="500" spans="1:25" ht="21" customHeight="1">
      <c r="A500" s="211"/>
      <c r="B500" s="211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1"/>
      <c r="Y500" s="211"/>
    </row>
    <row r="501" spans="1:25" ht="21" customHeight="1">
      <c r="A501" s="211"/>
      <c r="B501" s="211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1"/>
      <c r="Y501" s="211"/>
    </row>
    <row r="502" spans="1:25" ht="27" customHeight="1">
      <c r="A502" s="224" t="s">
        <v>1050</v>
      </c>
      <c r="B502" s="224" t="s">
        <v>1051</v>
      </c>
      <c r="C502" s="224" t="s">
        <v>1057</v>
      </c>
      <c r="D502" s="224" t="s">
        <v>1105</v>
      </c>
      <c r="E502" s="224" t="s">
        <v>1106</v>
      </c>
      <c r="F502" s="224" t="s">
        <v>1107</v>
      </c>
      <c r="G502" s="224" t="s">
        <v>1108</v>
      </c>
      <c r="H502" s="224" t="s">
        <v>1109</v>
      </c>
      <c r="I502" s="212"/>
      <c r="J502" s="224" t="s">
        <v>7</v>
      </c>
      <c r="K502" s="224" t="s">
        <v>8</v>
      </c>
      <c r="L502" s="224" t="s">
        <v>9</v>
      </c>
      <c r="M502" s="224" t="s">
        <v>10</v>
      </c>
      <c r="N502" s="224" t="s">
        <v>11</v>
      </c>
      <c r="O502" s="212"/>
      <c r="P502" s="212"/>
      <c r="Q502" s="212"/>
      <c r="R502" s="212"/>
      <c r="S502" s="212"/>
      <c r="T502" s="212"/>
      <c r="U502" s="212"/>
      <c r="V502" s="212"/>
      <c r="W502" s="212"/>
      <c r="X502" s="211"/>
      <c r="Y502" s="211"/>
    </row>
    <row r="503" spans="1:25" ht="21" customHeight="1">
      <c r="A503" s="220" t="s">
        <v>1597</v>
      </c>
      <c r="B503" s="220" t="s">
        <v>1069</v>
      </c>
      <c r="C503" s="222"/>
      <c r="D503" s="223">
        <f>IF(CHOOSE($C$43,ISNUMBER(D504),ISNUMBER(D505),ISNUMBER(D506)),CHOOSE($C$43,D504,D505,D506),"待定")</f>
        <v>0.02</v>
      </c>
      <c r="E503" s="223">
        <f>IF(CHOOSE($C$43,ISNUMBER(E504),ISNUMBER(E505),ISNUMBER(E506)),CHOOSE($C$43,E504,E505,E506),"待定")</f>
        <v>0.02</v>
      </c>
      <c r="F503" s="223">
        <f>IF(CHOOSE($C$43,ISNUMBER(F504),ISNUMBER(F505),ISNUMBER(F506)),CHOOSE($C$43,F504,F505,F506),"待定")</f>
        <v>0.02</v>
      </c>
      <c r="G503" s="223">
        <f>IF(CHOOSE($C$43,ISNUMBER(G504),ISNUMBER(G505),ISNUMBER(G506)),CHOOSE($C$43,G504,G505,G506),"待定")</f>
        <v>0.02</v>
      </c>
      <c r="H503" s="223">
        <f>IF(CHOOSE($C$43,ISNUMBER(H504),ISNUMBER(H505),ISNUMBER(H506)),CHOOSE($C$43,H504,H505,H506),"待定")</f>
        <v>1.4999999999999999E-2</v>
      </c>
      <c r="I503" s="212"/>
      <c r="J503" s="225">
        <f>'Operating Metrics'!H35</f>
        <v>0.09</v>
      </c>
      <c r="K503" s="225">
        <f>'Operating Metrics'!I35</f>
        <v>0.05</v>
      </c>
      <c r="L503" s="225">
        <f>'Operating Metrics'!J35</f>
        <v>0.02</v>
      </c>
      <c r="M503" s="225">
        <f>'Operating Metrics'!K35</f>
        <v>0.02</v>
      </c>
      <c r="N503" s="225">
        <f>'Operating Metrics'!L35</f>
        <v>0.01</v>
      </c>
      <c r="O503" s="212"/>
      <c r="P503" s="212"/>
      <c r="Q503" s="212"/>
      <c r="R503" s="212"/>
      <c r="S503" s="212"/>
      <c r="T503" s="212"/>
      <c r="U503" s="212"/>
      <c r="V503" s="212"/>
      <c r="W503" s="212"/>
      <c r="X503" s="211"/>
      <c r="Y503" s="211" t="s">
        <v>1598</v>
      </c>
    </row>
    <row r="504" spans="1:25" ht="21" customHeight="1">
      <c r="A504" s="211" t="s">
        <v>1514</v>
      </c>
      <c r="B504" s="211" t="s">
        <v>1069</v>
      </c>
      <c r="C504" s="212"/>
      <c r="D504" s="330">
        <f>IF(ISNUMBER('Valuation Inputs'!D26),'Valuation Inputs'!D26,"待定")</f>
        <v>0.01</v>
      </c>
      <c r="E504" s="330">
        <f>IF(ISNUMBER('Valuation Inputs'!E26),'Valuation Inputs'!E26,"待定")</f>
        <v>0.01</v>
      </c>
      <c r="F504" s="330">
        <f>IF(ISNUMBER('Valuation Inputs'!F26),'Valuation Inputs'!F26,"待定")</f>
        <v>0.01</v>
      </c>
      <c r="G504" s="330">
        <f>IF(ISNUMBER('Valuation Inputs'!G26),'Valuation Inputs'!G26,"待定")</f>
        <v>0.01</v>
      </c>
      <c r="H504" s="330">
        <f>IF(ISNUMBER('Valuation Inputs'!H26),'Valuation Inputs'!H26,"待定")</f>
        <v>0.01</v>
      </c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1"/>
      <c r="Y504" s="211"/>
    </row>
    <row r="505" spans="1:25" ht="21" customHeight="1">
      <c r="A505" s="211" t="s">
        <v>1515</v>
      </c>
      <c r="B505" s="211" t="s">
        <v>1069</v>
      </c>
      <c r="C505" s="212"/>
      <c r="D505" s="330">
        <f>IF(ISNUMBER('Valuation Inputs'!D27),'Valuation Inputs'!D27,"待定")</f>
        <v>0.02</v>
      </c>
      <c r="E505" s="330">
        <f>IF(ISNUMBER('Valuation Inputs'!E27),'Valuation Inputs'!E27,"待定")</f>
        <v>0.02</v>
      </c>
      <c r="F505" s="330">
        <f>IF(ISNUMBER('Valuation Inputs'!F27),'Valuation Inputs'!F27,"待定")</f>
        <v>0.02</v>
      </c>
      <c r="G505" s="330">
        <f>IF(ISNUMBER('Valuation Inputs'!G27),'Valuation Inputs'!G27,"待定")</f>
        <v>0.02</v>
      </c>
      <c r="H505" s="330">
        <f>IF(ISNUMBER('Valuation Inputs'!H27),'Valuation Inputs'!H27,"待定")</f>
        <v>1.4999999999999999E-2</v>
      </c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1"/>
      <c r="Y505" s="211"/>
    </row>
    <row r="506" spans="1:25" ht="21" customHeight="1">
      <c r="A506" s="211" t="s">
        <v>1516</v>
      </c>
      <c r="B506" s="211" t="s">
        <v>1069</v>
      </c>
      <c r="C506" s="212"/>
      <c r="D506" s="330">
        <f>IF(ISNUMBER('Valuation Inputs'!D28),'Valuation Inputs'!D28,"待定")</f>
        <v>0.03</v>
      </c>
      <c r="E506" s="330">
        <f>IF(ISNUMBER('Valuation Inputs'!E28),'Valuation Inputs'!E28,"待定")</f>
        <v>0.03</v>
      </c>
      <c r="F506" s="330">
        <f>IF(ISNUMBER('Valuation Inputs'!F28),'Valuation Inputs'!F28,"待定")</f>
        <v>2.5000000000000001E-2</v>
      </c>
      <c r="G506" s="330">
        <f>IF(ISNUMBER('Valuation Inputs'!G28),'Valuation Inputs'!G28,"待定")</f>
        <v>2.5000000000000001E-2</v>
      </c>
      <c r="H506" s="330">
        <f>IF(ISNUMBER('Valuation Inputs'!H28),'Valuation Inputs'!H28,"待定")</f>
        <v>0.02</v>
      </c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1"/>
      <c r="Y506" s="211"/>
    </row>
    <row r="507" spans="1:25" ht="21" customHeight="1">
      <c r="A507" s="211"/>
      <c r="B507" s="211"/>
      <c r="C507" s="21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1"/>
      <c r="Y507" s="211"/>
    </row>
    <row r="508" spans="1:25" ht="21" customHeight="1">
      <c r="A508" s="220" t="s">
        <v>1599</v>
      </c>
      <c r="B508" s="220" t="s">
        <v>1069</v>
      </c>
      <c r="C508" s="222"/>
      <c r="D508" s="223">
        <f>IF(CHOOSE($C$43,ISNUMBER(D509),ISNUMBER(D510),ISNUMBER(D511)),CHOOSE($C$43,D509,D510,D511),"待定")</f>
        <v>0.03</v>
      </c>
      <c r="E508" s="223">
        <f>IF(CHOOSE($C$43,ISNUMBER(E509),ISNUMBER(E510),ISNUMBER(E511)),CHOOSE($C$43,E509,E510,E511),"待定")</f>
        <v>0.03</v>
      </c>
      <c r="F508" s="223">
        <f>IF(CHOOSE($C$43,ISNUMBER(F509),ISNUMBER(F510),ISNUMBER(F511)),CHOOSE($C$43,F509,F510,F511),"待定")</f>
        <v>2.5000000000000001E-2</v>
      </c>
      <c r="G508" s="223">
        <f>IF(CHOOSE($C$43,ISNUMBER(G509),ISNUMBER(G510),ISNUMBER(G511)),CHOOSE($C$43,G509,G510,G511),"待定")</f>
        <v>2.5000000000000001E-2</v>
      </c>
      <c r="H508" s="223">
        <f>IF(CHOOSE($C$43,ISNUMBER(H509),ISNUMBER(H510),ISNUMBER(H511)),CHOOSE($C$43,H509,H510,H511),"待定")</f>
        <v>2.5000000000000001E-2</v>
      </c>
      <c r="I508" s="212"/>
      <c r="J508" s="225">
        <f>'Operating Metrics'!H44</f>
        <v>0.06</v>
      </c>
      <c r="K508" s="225">
        <f>'Operating Metrics'!I44</f>
        <v>0.11</v>
      </c>
      <c r="L508" s="225">
        <f>'Operating Metrics'!J44</f>
        <v>0.1</v>
      </c>
      <c r="M508" s="225">
        <f>'Operating Metrics'!K44</f>
        <v>0.11</v>
      </c>
      <c r="N508" s="225">
        <f>'Operating Metrics'!L44</f>
        <v>0.04</v>
      </c>
      <c r="O508" s="212"/>
      <c r="P508" s="212"/>
      <c r="Q508" s="212"/>
      <c r="R508" s="212"/>
      <c r="S508" s="212"/>
      <c r="T508" s="212"/>
      <c r="U508" s="212"/>
      <c r="V508" s="212"/>
      <c r="W508" s="212"/>
      <c r="X508" s="211"/>
      <c r="Y508" s="211" t="s">
        <v>1600</v>
      </c>
    </row>
    <row r="509" spans="1:25" ht="21" customHeight="1">
      <c r="A509" s="211" t="s">
        <v>1514</v>
      </c>
      <c r="B509" s="211" t="s">
        <v>1069</v>
      </c>
      <c r="C509" s="212"/>
      <c r="D509" s="330">
        <f>IF(ISNUMBER('Valuation Inputs'!D30),'Valuation Inputs'!D30,"待定")</f>
        <v>0.02</v>
      </c>
      <c r="E509" s="330">
        <f>IF(ISNUMBER('Valuation Inputs'!E30),'Valuation Inputs'!E30,"待定")</f>
        <v>0.02</v>
      </c>
      <c r="F509" s="330">
        <f>IF(ISNUMBER('Valuation Inputs'!F30),'Valuation Inputs'!F30,"待定")</f>
        <v>0.02</v>
      </c>
      <c r="G509" s="330">
        <f>IF(ISNUMBER('Valuation Inputs'!G30),'Valuation Inputs'!G30,"待定")</f>
        <v>0.02</v>
      </c>
      <c r="H509" s="330">
        <f>IF(ISNUMBER('Valuation Inputs'!H30),'Valuation Inputs'!H30,"待定")</f>
        <v>0.02</v>
      </c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1"/>
      <c r="Y509" s="211"/>
    </row>
    <row r="510" spans="1:25" ht="21" customHeight="1">
      <c r="A510" s="211" t="s">
        <v>1515</v>
      </c>
      <c r="B510" s="211" t="s">
        <v>1069</v>
      </c>
      <c r="C510" s="212"/>
      <c r="D510" s="330">
        <f>IF(ISNUMBER('Valuation Inputs'!D31),'Valuation Inputs'!D31,"待定")</f>
        <v>0.03</v>
      </c>
      <c r="E510" s="330">
        <f>IF(ISNUMBER('Valuation Inputs'!E31),'Valuation Inputs'!E31,"待定")</f>
        <v>0.03</v>
      </c>
      <c r="F510" s="330">
        <f>IF(ISNUMBER('Valuation Inputs'!F31),'Valuation Inputs'!F31,"待定")</f>
        <v>2.5000000000000001E-2</v>
      </c>
      <c r="G510" s="330">
        <f>IF(ISNUMBER('Valuation Inputs'!G31),'Valuation Inputs'!G31,"待定")</f>
        <v>2.5000000000000001E-2</v>
      </c>
      <c r="H510" s="330">
        <f>IF(ISNUMBER('Valuation Inputs'!H31),'Valuation Inputs'!H31,"待定")</f>
        <v>2.5000000000000001E-2</v>
      </c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1"/>
      <c r="Y510" s="211"/>
    </row>
    <row r="511" spans="1:25" ht="21" customHeight="1">
      <c r="A511" s="211" t="s">
        <v>1516</v>
      </c>
      <c r="B511" s="211" t="s">
        <v>1069</v>
      </c>
      <c r="C511" s="212"/>
      <c r="D511" s="330">
        <f>IF(ISNUMBER('Valuation Inputs'!D32),'Valuation Inputs'!D32,"待定")</f>
        <v>0.03</v>
      </c>
      <c r="E511" s="330">
        <f>IF(ISNUMBER('Valuation Inputs'!E32),'Valuation Inputs'!E32,"待定")</f>
        <v>0.03</v>
      </c>
      <c r="F511" s="330">
        <f>IF(ISNUMBER('Valuation Inputs'!F32),'Valuation Inputs'!F32,"待定")</f>
        <v>0.03</v>
      </c>
      <c r="G511" s="330">
        <f>IF(ISNUMBER('Valuation Inputs'!G32),'Valuation Inputs'!G32,"待定")</f>
        <v>0.03</v>
      </c>
      <c r="H511" s="330">
        <f>IF(ISNUMBER('Valuation Inputs'!H32),'Valuation Inputs'!H32,"待定")</f>
        <v>0.03</v>
      </c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1"/>
      <c r="Y511" s="211"/>
    </row>
    <row r="512" spans="1:25" ht="21" customHeight="1">
      <c r="A512" s="211"/>
      <c r="B512" s="211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1"/>
      <c r="Y512" s="211"/>
    </row>
    <row r="513" spans="1:25" ht="21" customHeight="1">
      <c r="A513" s="220" t="s">
        <v>1601</v>
      </c>
      <c r="B513" s="220" t="s">
        <v>1069</v>
      </c>
      <c r="C513" s="223">
        <f>C45</f>
        <v>0.05</v>
      </c>
      <c r="D513" s="223">
        <f>IF(COUNT(D503,D508)=2,D503+D508,"待定")</f>
        <v>0.05</v>
      </c>
      <c r="E513" s="223">
        <f>IF(COUNT(E503,E508)=2,E503+E508,"待定")</f>
        <v>0.05</v>
      </c>
      <c r="F513" s="223">
        <f>IF(COUNT(F503,F508)=2,F503+F508,"待定")</f>
        <v>4.4999999999999998E-2</v>
      </c>
      <c r="G513" s="223">
        <f>IF(COUNT(G503,G508)=2,G503+G508,"待定")</f>
        <v>4.4999999999999998E-2</v>
      </c>
      <c r="H513" s="223">
        <f>IF(COUNT(H503,H508)=2,H503+H508,"待定")</f>
        <v>0.04</v>
      </c>
      <c r="I513" s="212"/>
      <c r="J513" s="223">
        <f>J45</f>
        <v>0.16</v>
      </c>
      <c r="K513" s="223">
        <f>K45</f>
        <v>0.16</v>
      </c>
      <c r="L513" s="223">
        <f>L45</f>
        <v>0.12</v>
      </c>
      <c r="M513" s="223">
        <f>M45</f>
        <v>0.12</v>
      </c>
      <c r="N513" s="223">
        <f>N45</f>
        <v>0.05</v>
      </c>
      <c r="O513" s="212"/>
      <c r="P513" s="212"/>
      <c r="Q513" s="212"/>
      <c r="R513" s="212"/>
      <c r="S513" s="212"/>
      <c r="T513" s="212"/>
      <c r="U513" s="212"/>
      <c r="V513" s="212"/>
      <c r="W513" s="212"/>
      <c r="X513" s="211"/>
      <c r="Y513" s="211"/>
    </row>
    <row r="514" spans="1:25" ht="21" customHeight="1">
      <c r="A514" s="211"/>
      <c r="B514" s="211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1"/>
      <c r="Y514" s="211"/>
    </row>
    <row r="515" spans="1:25" ht="21" customHeight="1">
      <c r="A515" s="220" t="s">
        <v>1602</v>
      </c>
      <c r="B515" s="220" t="s">
        <v>1077</v>
      </c>
      <c r="C515" s="222"/>
      <c r="D515" s="223">
        <f>IF(CHOOSE($C$43,ISNUMBER(D516),ISNUMBER(D517),ISNUMBER(D518)),CHOOSE($C$43,D516,D517,D518),"待定")</f>
        <v>3.0000000000000001E-3</v>
      </c>
      <c r="E515" s="223">
        <f>IF(CHOOSE($C$43,ISNUMBER(E516),ISNUMBER(E517),ISNUMBER(E518)),CHOOSE($C$43,E516,E517,E518),"待定")</f>
        <v>3.0000000000000001E-3</v>
      </c>
      <c r="F515" s="223">
        <f>IF(CHOOSE($C$43,ISNUMBER(F516),ISNUMBER(F517),ISNUMBER(F518)),CHOOSE($C$43,F516,F517,F518),"待定")</f>
        <v>3.0000000000000001E-3</v>
      </c>
      <c r="G515" s="223">
        <f>IF(CHOOSE($C$43,ISNUMBER(G516),ISNUMBER(G517),ISNUMBER(G518)),CHOOSE($C$43,G516,G517,G518),"待定")</f>
        <v>3.0000000000000001E-3</v>
      </c>
      <c r="H515" s="223">
        <f>IF(CHOOSE($C$43,ISNUMBER(H516),ISNUMBER(H517),ISNUMBER(H518)),CHOOSE($C$43,H516,H517,H518),"待定")</f>
        <v>3.0000000000000001E-3</v>
      </c>
      <c r="I515" s="212"/>
      <c r="J515" s="222" t="s">
        <v>1603</v>
      </c>
      <c r="K515" s="222" t="s">
        <v>1603</v>
      </c>
      <c r="L515" s="222" t="s">
        <v>1603</v>
      </c>
      <c r="M515" s="222" t="s">
        <v>1603</v>
      </c>
      <c r="N515" s="222" t="s">
        <v>1603</v>
      </c>
      <c r="O515" s="212"/>
      <c r="P515" s="212"/>
      <c r="Q515" s="212"/>
      <c r="R515" s="212"/>
      <c r="S515" s="212"/>
      <c r="T515" s="212"/>
      <c r="U515" s="212"/>
      <c r="V515" s="212"/>
      <c r="W515" s="212"/>
      <c r="X515" s="211"/>
      <c r="Y515" s="211" t="s">
        <v>1604</v>
      </c>
    </row>
    <row r="516" spans="1:25" ht="21" customHeight="1">
      <c r="A516" s="211" t="s">
        <v>1514</v>
      </c>
      <c r="B516" s="211" t="s">
        <v>1077</v>
      </c>
      <c r="C516" s="212"/>
      <c r="D516" s="330">
        <f>IF(ISNUMBER('Valuation Inputs'!D34),'Valuation Inputs'!D34,"待定")</f>
        <v>-2E-3</v>
      </c>
      <c r="E516" s="330">
        <f>IF(ISNUMBER('Valuation Inputs'!E34),'Valuation Inputs'!E34,"待定")</f>
        <v>-2E-3</v>
      </c>
      <c r="F516" s="330">
        <f>IF(ISNUMBER('Valuation Inputs'!F34),'Valuation Inputs'!F34,"待定")</f>
        <v>0</v>
      </c>
      <c r="G516" s="330">
        <f>IF(ISNUMBER('Valuation Inputs'!G34),'Valuation Inputs'!G34,"待定")</f>
        <v>0</v>
      </c>
      <c r="H516" s="330">
        <f>IF(ISNUMBER('Valuation Inputs'!H34),'Valuation Inputs'!H34,"待定")</f>
        <v>0</v>
      </c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1"/>
      <c r="Y516" s="211"/>
    </row>
    <row r="517" spans="1:25" ht="21" customHeight="1">
      <c r="A517" s="211" t="s">
        <v>1515</v>
      </c>
      <c r="B517" s="211" t="s">
        <v>1077</v>
      </c>
      <c r="C517" s="212"/>
      <c r="D517" s="330">
        <f>IF(ISNUMBER('Valuation Inputs'!D35),'Valuation Inputs'!D35,"待定")</f>
        <v>3.0000000000000001E-3</v>
      </c>
      <c r="E517" s="330">
        <f>IF(ISNUMBER('Valuation Inputs'!E35),'Valuation Inputs'!E35,"待定")</f>
        <v>3.0000000000000001E-3</v>
      </c>
      <c r="F517" s="330">
        <f>IF(ISNUMBER('Valuation Inputs'!F35),'Valuation Inputs'!F35,"待定")</f>
        <v>3.0000000000000001E-3</v>
      </c>
      <c r="G517" s="330">
        <f>IF(ISNUMBER('Valuation Inputs'!G35),'Valuation Inputs'!G35,"待定")</f>
        <v>3.0000000000000001E-3</v>
      </c>
      <c r="H517" s="330">
        <f>IF(ISNUMBER('Valuation Inputs'!H35),'Valuation Inputs'!H35,"待定")</f>
        <v>3.0000000000000001E-3</v>
      </c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1"/>
      <c r="Y517" s="211"/>
    </row>
    <row r="518" spans="1:25" ht="21" customHeight="1">
      <c r="A518" s="211" t="s">
        <v>1516</v>
      </c>
      <c r="B518" s="211" t="s">
        <v>1077</v>
      </c>
      <c r="C518" s="212"/>
      <c r="D518" s="330">
        <f>IF(ISNUMBER('Valuation Inputs'!D36),'Valuation Inputs'!D36,"待定")</f>
        <v>5.0000000000000001E-3</v>
      </c>
      <c r="E518" s="330">
        <f>IF(ISNUMBER('Valuation Inputs'!E36),'Valuation Inputs'!E36,"待定")</f>
        <v>5.0000000000000001E-3</v>
      </c>
      <c r="F518" s="330">
        <f>IF(ISNUMBER('Valuation Inputs'!F36),'Valuation Inputs'!F36,"待定")</f>
        <v>4.0000000000000001E-3</v>
      </c>
      <c r="G518" s="330">
        <f>IF(ISNUMBER('Valuation Inputs'!G36),'Valuation Inputs'!G36,"待定")</f>
        <v>4.0000000000000001E-3</v>
      </c>
      <c r="H518" s="330">
        <f>IF(ISNUMBER('Valuation Inputs'!H36),'Valuation Inputs'!H36,"待定")</f>
        <v>4.0000000000000001E-3</v>
      </c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1"/>
      <c r="Y518" s="211"/>
    </row>
    <row r="519" spans="1:25" ht="21" customHeight="1">
      <c r="A519" s="211"/>
      <c r="B519" s="211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1"/>
      <c r="Y519" s="211"/>
    </row>
    <row r="520" spans="1:25" ht="21" customHeight="1">
      <c r="A520" s="211" t="s">
        <v>1605</v>
      </c>
      <c r="B520" s="211" t="s">
        <v>1069</v>
      </c>
      <c r="C520" s="212"/>
      <c r="D520" s="330">
        <f>IF(ISNUMBER('Valuation Inputs'!D58),'Valuation Inputs'!D58,"待定")</f>
        <v>0</v>
      </c>
      <c r="E520" s="330">
        <f>IF(ISNUMBER('Valuation Inputs'!E58),'Valuation Inputs'!E58,"待定")</f>
        <v>0</v>
      </c>
      <c r="F520" s="330">
        <f>IF(ISNUMBER('Valuation Inputs'!F58),'Valuation Inputs'!F58,"待定")</f>
        <v>0</v>
      </c>
      <c r="G520" s="330">
        <f>IF(ISNUMBER('Valuation Inputs'!G58),'Valuation Inputs'!G58,"待定")</f>
        <v>0</v>
      </c>
      <c r="H520" s="330">
        <f>IF(ISNUMBER('Valuation Inputs'!H58),'Valuation Inputs'!H58,"待定")</f>
        <v>0</v>
      </c>
      <c r="I520" s="212"/>
      <c r="J520" s="219">
        <f>J46</f>
        <v>0.01</v>
      </c>
      <c r="K520" s="219">
        <f>K46</f>
        <v>-7.0000000000000007E-2</v>
      </c>
      <c r="L520" s="219">
        <f>L46</f>
        <v>-0.04</v>
      </c>
      <c r="M520" s="219">
        <f>M46</f>
        <v>-0.05</v>
      </c>
      <c r="N520" s="219">
        <f>N46</f>
        <v>-0.02</v>
      </c>
      <c r="O520" s="212"/>
      <c r="P520" s="212"/>
      <c r="Q520" s="212"/>
      <c r="R520" s="212"/>
      <c r="S520" s="212"/>
      <c r="T520" s="212"/>
      <c r="U520" s="212"/>
      <c r="V520" s="212"/>
      <c r="W520" s="212"/>
      <c r="X520" s="211"/>
      <c r="Y520" s="211" t="s">
        <v>1606</v>
      </c>
    </row>
    <row r="521" spans="1:25" ht="21" customHeight="1">
      <c r="A521" s="211"/>
      <c r="B521" s="211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1"/>
      <c r="Y521" s="211"/>
    </row>
    <row r="522" spans="1:25" ht="21" customHeight="1">
      <c r="A522" s="211" t="s">
        <v>1607</v>
      </c>
      <c r="B522" s="211" t="s">
        <v>1069</v>
      </c>
      <c r="C522" s="212"/>
      <c r="D522" s="330">
        <f>IF(ISNUMBER('Valuation Inputs'!D59),'Valuation Inputs'!D59,"待定")</f>
        <v>2.5000000000000001E-2</v>
      </c>
      <c r="E522" s="330">
        <f>IF(ISNUMBER('Valuation Inputs'!E59),'Valuation Inputs'!E59,"待定")</f>
        <v>2.5000000000000001E-2</v>
      </c>
      <c r="F522" s="330">
        <f>IF(ISNUMBER('Valuation Inputs'!F59),'Valuation Inputs'!F59,"待定")</f>
        <v>2.5000000000000001E-2</v>
      </c>
      <c r="G522" s="330">
        <f>IF(ISNUMBER('Valuation Inputs'!G59),'Valuation Inputs'!G59,"待定")</f>
        <v>2.5000000000000001E-2</v>
      </c>
      <c r="H522" s="330">
        <f>IF(ISNUMBER('Valuation Inputs'!H59),'Valuation Inputs'!H59,"待定")</f>
        <v>2.5000000000000001E-2</v>
      </c>
      <c r="I522" s="212"/>
      <c r="J522" s="212" t="s">
        <v>1608</v>
      </c>
      <c r="K522" s="212" t="s">
        <v>1608</v>
      </c>
      <c r="L522" s="212" t="s">
        <v>1608</v>
      </c>
      <c r="M522" s="212" t="s">
        <v>1608</v>
      </c>
      <c r="N522" s="212" t="s">
        <v>1608</v>
      </c>
      <c r="O522" s="212"/>
      <c r="P522" s="212"/>
      <c r="Q522" s="212"/>
      <c r="R522" s="212"/>
      <c r="S522" s="212"/>
      <c r="T522" s="212"/>
      <c r="U522" s="212"/>
      <c r="V522" s="212"/>
      <c r="W522" s="212"/>
      <c r="X522" s="211"/>
      <c r="Y522" s="211" t="s">
        <v>1609</v>
      </c>
    </row>
    <row r="523" spans="1:25" ht="21" customHeight="1">
      <c r="A523" s="211"/>
      <c r="B523" s="211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1"/>
      <c r="Y523" s="211"/>
    </row>
    <row r="524" spans="1:25" ht="25" customHeight="1">
      <c r="A524" s="216" t="s">
        <v>1610</v>
      </c>
      <c r="B524" s="216"/>
      <c r="C524" s="217"/>
      <c r="D524" s="217"/>
      <c r="E524" s="217"/>
      <c r="F524" s="217"/>
      <c r="G524" s="217"/>
      <c r="H524" s="217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1"/>
      <c r="Y524" s="211"/>
    </row>
    <row r="525" spans="1:25" ht="27" customHeight="1">
      <c r="A525" s="224" t="s">
        <v>1050</v>
      </c>
      <c r="B525" s="224" t="s">
        <v>1051</v>
      </c>
      <c r="C525" s="224" t="s">
        <v>1057</v>
      </c>
      <c r="D525" s="224" t="s">
        <v>1105</v>
      </c>
      <c r="E525" s="224" t="s">
        <v>1106</v>
      </c>
      <c r="F525" s="224" t="s">
        <v>1107</v>
      </c>
      <c r="G525" s="224" t="s">
        <v>1108</v>
      </c>
      <c r="H525" s="224" t="s">
        <v>1109</v>
      </c>
      <c r="I525" s="212"/>
      <c r="J525" s="224" t="s">
        <v>7</v>
      </c>
      <c r="K525" s="224" t="s">
        <v>8</v>
      </c>
      <c r="L525" s="224" t="s">
        <v>9</v>
      </c>
      <c r="M525" s="224" t="s">
        <v>10</v>
      </c>
      <c r="N525" s="224" t="s">
        <v>11</v>
      </c>
      <c r="O525" s="212"/>
      <c r="P525" s="212"/>
      <c r="Q525" s="212"/>
      <c r="R525" s="212"/>
      <c r="S525" s="212"/>
      <c r="T525" s="212"/>
      <c r="U525" s="212"/>
      <c r="V525" s="212"/>
      <c r="W525" s="212"/>
      <c r="X525" s="211"/>
      <c r="Y525" s="211"/>
    </row>
    <row r="526" spans="1:25" ht="21" customHeight="1">
      <c r="A526" s="211" t="s">
        <v>1611</v>
      </c>
      <c r="B526" s="211"/>
      <c r="C526" s="230" t="str">
        <f>D43</f>
        <v>基准</v>
      </c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1"/>
      <c r="Y526" s="211"/>
    </row>
    <row r="527" spans="1:25" ht="21" customHeight="1">
      <c r="A527" s="220" t="s">
        <v>1070</v>
      </c>
      <c r="B527" s="220" t="s">
        <v>1066</v>
      </c>
      <c r="C527" s="221">
        <f t="shared" ref="C527:H528" si="23">C49</f>
        <v>49744.17</v>
      </c>
      <c r="D527" s="221">
        <f t="shared" si="23"/>
        <v>49921.378499999999</v>
      </c>
      <c r="E527" s="221">
        <f t="shared" si="23"/>
        <v>52417.447424999998</v>
      </c>
      <c r="F527" s="221">
        <f t="shared" si="23"/>
        <v>54776.232559124997</v>
      </c>
      <c r="G527" s="221">
        <f t="shared" si="23"/>
        <v>57241.163024285619</v>
      </c>
      <c r="H527" s="221">
        <f t="shared" si="23"/>
        <v>59530.809545257041</v>
      </c>
      <c r="I527" s="212"/>
      <c r="J527" s="221">
        <f t="shared" ref="J527:N528" si="24">J49</f>
        <v>38658</v>
      </c>
      <c r="K527" s="221">
        <f t="shared" si="24"/>
        <v>43046</v>
      </c>
      <c r="L527" s="221">
        <f t="shared" si="24"/>
        <v>45784</v>
      </c>
      <c r="M527" s="221">
        <f t="shared" si="24"/>
        <v>46897</v>
      </c>
      <c r="N527" s="221">
        <f t="shared" si="24"/>
        <v>48062</v>
      </c>
      <c r="O527" s="212"/>
      <c r="P527" s="212"/>
      <c r="Q527" s="212"/>
      <c r="R527" s="212"/>
      <c r="S527" s="212"/>
      <c r="T527" s="212"/>
      <c r="U527" s="212"/>
      <c r="V527" s="212"/>
      <c r="W527" s="212"/>
      <c r="X527" s="211"/>
      <c r="Y527" s="211"/>
    </row>
    <row r="528" spans="1:25" ht="21" customHeight="1">
      <c r="A528" s="211" t="s">
        <v>1114</v>
      </c>
      <c r="B528" s="211" t="s">
        <v>1069</v>
      </c>
      <c r="C528" s="219">
        <f t="shared" si="23"/>
        <v>3.499999999999992E-2</v>
      </c>
      <c r="D528" s="219">
        <f t="shared" si="23"/>
        <v>3.5623973623442051E-3</v>
      </c>
      <c r="E528" s="219">
        <f t="shared" si="23"/>
        <v>5.0000000000000044E-2</v>
      </c>
      <c r="F528" s="219">
        <f t="shared" si="23"/>
        <v>4.4999999999999929E-2</v>
      </c>
      <c r="G528" s="219">
        <f t="shared" si="23"/>
        <v>4.4999999999999929E-2</v>
      </c>
      <c r="H528" s="219">
        <f t="shared" si="23"/>
        <v>4.0000000000000036E-2</v>
      </c>
      <c r="I528" s="212"/>
      <c r="J528" s="219" t="str">
        <f t="shared" si="24"/>
        <v>n.a.</v>
      </c>
      <c r="K528" s="219">
        <f t="shared" si="24"/>
        <v>0.11350820011381857</v>
      </c>
      <c r="L528" s="219">
        <f t="shared" si="24"/>
        <v>6.3606374576034908E-2</v>
      </c>
      <c r="M528" s="219">
        <f t="shared" si="24"/>
        <v>2.4309802551109483E-2</v>
      </c>
      <c r="N528" s="219">
        <f t="shared" si="24"/>
        <v>2.4841674307525041E-2</v>
      </c>
      <c r="O528" s="212"/>
      <c r="P528" s="212"/>
      <c r="Q528" s="212"/>
      <c r="R528" s="212"/>
      <c r="S528" s="212"/>
      <c r="T528" s="212"/>
      <c r="U528" s="212"/>
      <c r="V528" s="212"/>
      <c r="W528" s="212"/>
      <c r="X528" s="211"/>
      <c r="Y528" s="211"/>
    </row>
    <row r="529" spans="1:25" ht="21" customHeight="1">
      <c r="A529" s="211"/>
      <c r="B529" s="211"/>
      <c r="C529" s="21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1"/>
      <c r="Y529" s="211"/>
    </row>
    <row r="530" spans="1:25" ht="21" customHeight="1">
      <c r="A530" s="220" t="s">
        <v>1082</v>
      </c>
      <c r="B530" s="220" t="s">
        <v>1066</v>
      </c>
      <c r="C530" s="221">
        <f t="shared" ref="C530:H530" si="25">C55</f>
        <v>16157.078528711179</v>
      </c>
      <c r="D530" s="221">
        <f t="shared" si="25"/>
        <v>16883.696590646738</v>
      </c>
      <c r="E530" s="221">
        <f t="shared" si="25"/>
        <v>17885.133762454076</v>
      </c>
      <c r="F530" s="221">
        <f t="shared" si="25"/>
        <v>18854.293479441883</v>
      </c>
      <c r="G530" s="221">
        <f t="shared" si="25"/>
        <v>19874.460175089625</v>
      </c>
      <c r="H530" s="221">
        <f t="shared" si="25"/>
        <v>20848.031010728981</v>
      </c>
      <c r="I530" s="212"/>
      <c r="J530" s="221">
        <f>J55</f>
        <v>11109</v>
      </c>
      <c r="K530" s="221">
        <f>K55</f>
        <v>12345</v>
      </c>
      <c r="L530" s="221">
        <f>L55</f>
        <v>13336</v>
      </c>
      <c r="M530" s="221">
        <f>M55</f>
        <v>14085</v>
      </c>
      <c r="N530" s="221">
        <f>N55</f>
        <v>15013</v>
      </c>
      <c r="O530" s="212"/>
      <c r="P530" s="212"/>
      <c r="Q530" s="212"/>
      <c r="R530" s="212"/>
      <c r="S530" s="212"/>
      <c r="T530" s="212"/>
      <c r="U530" s="212"/>
      <c r="V530" s="212"/>
      <c r="W530" s="212"/>
      <c r="X530" s="211"/>
      <c r="Y530" s="211"/>
    </row>
    <row r="531" spans="1:25" ht="21" customHeight="1">
      <c r="A531" s="211" t="s">
        <v>1083</v>
      </c>
      <c r="B531" s="211" t="s">
        <v>1069</v>
      </c>
      <c r="C531" s="219">
        <f>H20</f>
        <v>7.6205856838152286E-2</v>
      </c>
      <c r="D531" s="219">
        <f>D55/C55-1</f>
        <v>4.4972119225908047E-2</v>
      </c>
      <c r="E531" s="219">
        <f>E55/D55-1</f>
        <v>5.9313857390810742E-2</v>
      </c>
      <c r="F531" s="219">
        <f>F55/E55-1</f>
        <v>5.4188004957633984E-2</v>
      </c>
      <c r="G531" s="219">
        <f>G55/F55-1</f>
        <v>5.4107924901036331E-2</v>
      </c>
      <c r="H531" s="219">
        <f>H55/G55-1</f>
        <v>4.8986026642354519E-2</v>
      </c>
      <c r="I531" s="212"/>
      <c r="J531" s="212" t="s">
        <v>1080</v>
      </c>
      <c r="K531" s="219">
        <f>K55/J55-1</f>
        <v>0.11126113961652706</v>
      </c>
      <c r="L531" s="219">
        <f>L55/K55-1</f>
        <v>8.0275415147833096E-2</v>
      </c>
      <c r="M531" s="219">
        <f>M55/L55-1</f>
        <v>5.61637672465507E-2</v>
      </c>
      <c r="N531" s="219">
        <f>N55/M55-1</f>
        <v>6.5885694000709982E-2</v>
      </c>
      <c r="O531" s="212"/>
      <c r="P531" s="212"/>
      <c r="Q531" s="212"/>
      <c r="R531" s="212"/>
      <c r="S531" s="212"/>
      <c r="T531" s="212"/>
      <c r="U531" s="212"/>
      <c r="V531" s="212"/>
      <c r="W531" s="212"/>
      <c r="X531" s="211"/>
      <c r="Y531" s="211"/>
    </row>
    <row r="532" spans="1:25" ht="21" customHeight="1">
      <c r="A532" s="211" t="s">
        <v>1317</v>
      </c>
      <c r="B532" s="211" t="s">
        <v>1069</v>
      </c>
      <c r="C532" s="219">
        <f t="shared" ref="C532:H532" si="26">C54</f>
        <v>0.32480345995744186</v>
      </c>
      <c r="D532" s="219">
        <f t="shared" si="26"/>
        <v>0.33820573665943016</v>
      </c>
      <c r="E532" s="219">
        <f t="shared" si="26"/>
        <v>0.34120573665943016</v>
      </c>
      <c r="F532" s="219">
        <f t="shared" si="26"/>
        <v>0.34420573665943016</v>
      </c>
      <c r="G532" s="219">
        <f t="shared" si="26"/>
        <v>0.34720573665943016</v>
      </c>
      <c r="H532" s="219">
        <f t="shared" si="26"/>
        <v>0.35020573665943017</v>
      </c>
      <c r="I532" s="212"/>
      <c r="J532" s="219">
        <f>J54</f>
        <v>0.28736613378860781</v>
      </c>
      <c r="K532" s="219">
        <f>K54</f>
        <v>0.28678622868559217</v>
      </c>
      <c r="L532" s="219">
        <f>L54</f>
        <v>0.29128079678490304</v>
      </c>
      <c r="M532" s="219">
        <f>M54</f>
        <v>0.30033904087681512</v>
      </c>
      <c r="N532" s="219">
        <f>N54</f>
        <v>0.31236735882818029</v>
      </c>
      <c r="O532" s="212"/>
      <c r="P532" s="212"/>
      <c r="Q532" s="212"/>
      <c r="R532" s="212"/>
      <c r="S532" s="212"/>
      <c r="T532" s="212"/>
      <c r="U532" s="212"/>
      <c r="V532" s="212"/>
      <c r="W532" s="212"/>
      <c r="X532" s="211"/>
      <c r="Y532" s="211"/>
    </row>
    <row r="533" spans="1:25" ht="21" customHeight="1">
      <c r="A533" s="211"/>
      <c r="B533" s="211"/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1"/>
      <c r="Y533" s="211"/>
    </row>
    <row r="534" spans="1:25" ht="21" customHeight="1">
      <c r="A534" s="220" t="s">
        <v>1118</v>
      </c>
      <c r="B534" s="220" t="s">
        <v>1066</v>
      </c>
      <c r="C534" s="221">
        <f t="shared" ref="C534:H534" si="27">C57</f>
        <v>16057.078528711179</v>
      </c>
      <c r="D534" s="221">
        <f t="shared" si="27"/>
        <v>16781.196590646738</v>
      </c>
      <c r="E534" s="221">
        <f t="shared" si="27"/>
        <v>17780.071262454076</v>
      </c>
      <c r="F534" s="221">
        <f t="shared" si="27"/>
        <v>18746.604416941882</v>
      </c>
      <c r="G534" s="221">
        <f t="shared" si="27"/>
        <v>19764.078886027124</v>
      </c>
      <c r="H534" s="221">
        <f t="shared" si="27"/>
        <v>20734.890189439917</v>
      </c>
      <c r="I534" s="212"/>
      <c r="J534" s="221" t="str">
        <f>J57</f>
        <v>待同口径桥</v>
      </c>
      <c r="K534" s="221" t="str">
        <f>K57</f>
        <v>待同口径桥</v>
      </c>
      <c r="L534" s="221" t="str">
        <f>L57</f>
        <v>待同口径桥</v>
      </c>
      <c r="M534" s="221" t="str">
        <f>M57</f>
        <v>待同口径桥</v>
      </c>
      <c r="N534" s="221" t="str">
        <f>N57</f>
        <v>待同口径桥</v>
      </c>
      <c r="O534" s="212"/>
      <c r="P534" s="212"/>
      <c r="Q534" s="212"/>
      <c r="R534" s="212"/>
      <c r="S534" s="212"/>
      <c r="T534" s="212"/>
      <c r="U534" s="212"/>
      <c r="V534" s="212"/>
      <c r="W534" s="212"/>
      <c r="X534" s="211"/>
      <c r="Y534" s="211"/>
    </row>
    <row r="535" spans="1:25" ht="21" customHeight="1">
      <c r="A535" s="211" t="s">
        <v>1612</v>
      </c>
      <c r="B535" s="211" t="s">
        <v>1069</v>
      </c>
      <c r="C535" s="212" t="s">
        <v>1613</v>
      </c>
      <c r="D535" s="219">
        <f>D57/C57-1</f>
        <v>4.5096501249638044E-2</v>
      </c>
      <c r="E535" s="219">
        <f>E57/D57-1</f>
        <v>5.9523447354408399E-2</v>
      </c>
      <c r="F535" s="219">
        <f>F57/E57-1</f>
        <v>5.4360476975636285E-2</v>
      </c>
      <c r="G535" s="219">
        <f>G57/F57-1</f>
        <v>5.4275134123261237E-2</v>
      </c>
      <c r="H535" s="219">
        <f>H57/G57-1</f>
        <v>4.9119987276469601E-2</v>
      </c>
      <c r="I535" s="212"/>
      <c r="J535" s="212" t="s">
        <v>1613</v>
      </c>
      <c r="K535" s="212" t="s">
        <v>1613</v>
      </c>
      <c r="L535" s="212" t="s">
        <v>1613</v>
      </c>
      <c r="M535" s="212" t="s">
        <v>1613</v>
      </c>
      <c r="N535" s="212" t="s">
        <v>1613</v>
      </c>
      <c r="O535" s="212"/>
      <c r="P535" s="212"/>
      <c r="Q535" s="212"/>
      <c r="R535" s="212"/>
      <c r="S535" s="212"/>
      <c r="T535" s="212"/>
      <c r="U535" s="212"/>
      <c r="V535" s="212"/>
      <c r="W535" s="212"/>
      <c r="X535" s="211"/>
      <c r="Y535" s="211"/>
    </row>
    <row r="536" spans="1:25" ht="21" customHeight="1">
      <c r="A536" s="211" t="s">
        <v>1614</v>
      </c>
      <c r="B536" s="211" t="s">
        <v>1069</v>
      </c>
      <c r="C536" s="219">
        <f t="shared" ref="C536:H536" si="28">C57/C49</f>
        <v>0.3227931741289719</v>
      </c>
      <c r="D536" s="219">
        <f t="shared" si="28"/>
        <v>0.33615250810124842</v>
      </c>
      <c r="E536" s="219">
        <f t="shared" si="28"/>
        <v>0.33920139449549086</v>
      </c>
      <c r="F536" s="219">
        <f t="shared" si="28"/>
        <v>0.34223975511106863</v>
      </c>
      <c r="G536" s="219">
        <f t="shared" si="28"/>
        <v>0.34527738155218562</v>
      </c>
      <c r="H536" s="219">
        <f t="shared" si="28"/>
        <v>0.34830519436623242</v>
      </c>
      <c r="I536" s="212"/>
      <c r="J536" s="212" t="s">
        <v>1613</v>
      </c>
      <c r="K536" s="212" t="s">
        <v>1613</v>
      </c>
      <c r="L536" s="212" t="s">
        <v>1613</v>
      </c>
      <c r="M536" s="212" t="s">
        <v>1613</v>
      </c>
      <c r="N536" s="212" t="s">
        <v>1613</v>
      </c>
      <c r="O536" s="212"/>
      <c r="P536" s="212"/>
      <c r="Q536" s="212"/>
      <c r="R536" s="212"/>
      <c r="S536" s="212"/>
      <c r="T536" s="212"/>
      <c r="U536" s="212"/>
      <c r="V536" s="212"/>
      <c r="W536" s="212"/>
      <c r="X536" s="211"/>
      <c r="Y536" s="211"/>
    </row>
    <row r="537" spans="1:25" ht="21" customHeight="1">
      <c r="A537" s="211"/>
      <c r="B537" s="211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1"/>
      <c r="Y537" s="211"/>
    </row>
    <row r="538" spans="1:25" ht="21" customHeight="1">
      <c r="A538" s="211" t="s">
        <v>1615</v>
      </c>
      <c r="B538" s="211" t="s">
        <v>1069</v>
      </c>
      <c r="C538" s="219">
        <f>(H49/C49)^(1/5)-1</f>
        <v>3.6573065614037059E-2</v>
      </c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1"/>
      <c r="Y538" s="211"/>
    </row>
    <row r="539" spans="1:25" ht="21" customHeight="1">
      <c r="A539" s="211" t="s">
        <v>1616</v>
      </c>
      <c r="B539" s="211" t="s">
        <v>1069</v>
      </c>
      <c r="C539" s="219">
        <f>(H57/C57)^(1/5)-1</f>
        <v>5.2463496298037926E-2</v>
      </c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1"/>
      <c r="Y539" s="211"/>
    </row>
    <row r="540" spans="1:25" ht="21" customHeight="1">
      <c r="A540" s="211"/>
      <c r="B540" s="211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1"/>
      <c r="Y540" s="211"/>
    </row>
    <row r="541" spans="1:25" ht="21" customHeight="1">
      <c r="A541" s="211" t="s">
        <v>1617</v>
      </c>
      <c r="B541" s="211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1"/>
      <c r="Y541" s="211"/>
    </row>
    <row r="542" spans="1:25" ht="21" customHeight="1">
      <c r="A542" s="211" t="s">
        <v>1618</v>
      </c>
      <c r="B542" s="211"/>
      <c r="C542" s="21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1"/>
      <c r="Y542" s="211"/>
    </row>
    <row r="543" spans="1:25" ht="21" customHeight="1">
      <c r="A543" s="211" t="s">
        <v>1619</v>
      </c>
      <c r="B543" s="211"/>
      <c r="C543" s="21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1"/>
      <c r="Y543" s="211"/>
    </row>
    <row r="544" spans="1:25" ht="21" customHeight="1">
      <c r="A544" s="211" t="s">
        <v>1620</v>
      </c>
      <c r="B544" s="211"/>
      <c r="C544" s="21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1"/>
      <c r="Y544" s="211"/>
    </row>
    <row r="545" spans="1:25" ht="21" customHeight="1">
      <c r="A545" s="211" t="s">
        <v>1621</v>
      </c>
      <c r="B545" s="211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1"/>
      <c r="Y545" s="211"/>
    </row>
    <row r="546" spans="1:25" ht="21" customHeight="1">
      <c r="A546" s="211" t="s">
        <v>1622</v>
      </c>
      <c r="B546" s="211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1"/>
      <c r="Y546" s="211"/>
    </row>
    <row r="547" spans="1:25" ht="21" customHeight="1">
      <c r="A547" s="211" t="s">
        <v>1623</v>
      </c>
      <c r="B547" s="211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1"/>
      <c r="Y547" s="211"/>
    </row>
    <row r="548" spans="1:25" ht="21" customHeight="1">
      <c r="A548" s="211"/>
      <c r="B548" s="211"/>
      <c r="C548" s="21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1"/>
      <c r="Y548" s="211"/>
    </row>
    <row r="549" spans="1:25" ht="21" customHeight="1">
      <c r="A549" s="211"/>
      <c r="B549" s="211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1"/>
      <c r="Y549" s="211"/>
    </row>
    <row r="550" spans="1:25" ht="25" customHeight="1">
      <c r="A550" s="216" t="s">
        <v>1624</v>
      </c>
      <c r="B550" s="216"/>
      <c r="C550" s="217"/>
      <c r="D550" s="217"/>
      <c r="E550" s="217"/>
      <c r="F550" s="217"/>
      <c r="G550" s="217"/>
      <c r="H550" s="217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1"/>
      <c r="Y550" s="211"/>
    </row>
    <row r="551" spans="1:25" ht="21" customHeight="1">
      <c r="A551" s="211"/>
      <c r="B551" s="211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1"/>
      <c r="Y551" s="211"/>
    </row>
    <row r="552" spans="1:25" ht="21" customHeight="1">
      <c r="A552" s="211" t="s">
        <v>1625</v>
      </c>
      <c r="B552" s="211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1"/>
      <c r="Y552" s="211"/>
    </row>
    <row r="553" spans="1:25" ht="21" customHeight="1">
      <c r="A553" s="211" t="s">
        <v>1626</v>
      </c>
      <c r="B553" s="211"/>
      <c r="C553" s="21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1"/>
      <c r="Y553" s="211"/>
    </row>
    <row r="554" spans="1:25" ht="21" customHeight="1">
      <c r="A554" s="211" t="s">
        <v>1627</v>
      </c>
      <c r="B554" s="211"/>
      <c r="C554" s="21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1"/>
      <c r="Y554" s="211"/>
    </row>
    <row r="555" spans="1:25" ht="21" customHeight="1">
      <c r="A555" s="211" t="s">
        <v>1628</v>
      </c>
      <c r="B555" s="211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1"/>
      <c r="Y555" s="211"/>
    </row>
    <row r="556" spans="1:25" ht="21" customHeight="1">
      <c r="A556" s="211" t="s">
        <v>1629</v>
      </c>
      <c r="B556" s="211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1"/>
      <c r="Y556" s="211"/>
    </row>
    <row r="557" spans="1:25" ht="21" customHeight="1">
      <c r="A557" s="211" t="s">
        <v>1630</v>
      </c>
      <c r="B557" s="211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1"/>
      <c r="Y557" s="211"/>
    </row>
    <row r="558" spans="1:25" ht="21" customHeight="1">
      <c r="A558" s="211" t="s">
        <v>1631</v>
      </c>
      <c r="B558" s="211"/>
      <c r="C558" s="21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1"/>
      <c r="Y558" s="211"/>
    </row>
    <row r="559" spans="1:25" ht="21" customHeight="1">
      <c r="A559" s="211" t="s">
        <v>1632</v>
      </c>
      <c r="B559" s="211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1"/>
      <c r="Y559" s="211"/>
    </row>
    <row r="560" spans="1:25" ht="21" customHeight="1">
      <c r="A560" s="211" t="s">
        <v>1633</v>
      </c>
      <c r="B560" s="211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1"/>
      <c r="Y560" s="211"/>
    </row>
    <row r="561" spans="1:25" ht="21" customHeight="1">
      <c r="A561" s="211"/>
      <c r="B561" s="211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1"/>
      <c r="Y561" s="211"/>
    </row>
    <row r="562" spans="1:25" ht="21" customHeight="1">
      <c r="A562" s="211"/>
      <c r="B562" s="211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1"/>
      <c r="Y562" s="211"/>
    </row>
    <row r="563" spans="1:25" ht="25" customHeight="1">
      <c r="A563" s="216" t="s">
        <v>1634</v>
      </c>
      <c r="B563" s="216"/>
      <c r="C563" s="217"/>
      <c r="D563" s="217"/>
      <c r="E563" s="217"/>
      <c r="F563" s="217"/>
      <c r="G563" s="217"/>
      <c r="H563" s="217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1"/>
      <c r="Y563" s="211"/>
    </row>
    <row r="564" spans="1:25" ht="21" customHeight="1">
      <c r="A564" s="211" t="s">
        <v>980</v>
      </c>
      <c r="B564" s="211"/>
      <c r="C564" s="212" t="s">
        <v>1197</v>
      </c>
      <c r="D564" s="212" t="s">
        <v>1198</v>
      </c>
      <c r="E564" s="212"/>
      <c r="F564" s="212" t="s">
        <v>1073</v>
      </c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1"/>
      <c r="Y564" s="211"/>
    </row>
    <row r="565" spans="1:25" ht="21" customHeight="1">
      <c r="A565" s="211" t="s">
        <v>7</v>
      </c>
      <c r="B565" s="211"/>
      <c r="C565" s="218">
        <v>38658</v>
      </c>
      <c r="D565" s="218">
        <v>11109</v>
      </c>
      <c r="E565" s="212"/>
      <c r="F565" s="219">
        <v>0.16</v>
      </c>
      <c r="G565" s="212"/>
      <c r="H565" s="212"/>
      <c r="I565" s="212"/>
      <c r="J565" s="212" t="s">
        <v>1635</v>
      </c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1"/>
      <c r="Y565" s="211"/>
    </row>
    <row r="566" spans="1:25" ht="21" customHeight="1">
      <c r="A566" s="211" t="s">
        <v>8</v>
      </c>
      <c r="B566" s="211"/>
      <c r="C566" s="218">
        <v>43046</v>
      </c>
      <c r="D566" s="218">
        <v>12345</v>
      </c>
      <c r="E566" s="212"/>
      <c r="F566" s="219">
        <v>0.16</v>
      </c>
      <c r="G566" s="212"/>
      <c r="H566" s="212"/>
      <c r="I566" s="212"/>
      <c r="J566" s="212" t="s">
        <v>1636</v>
      </c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1"/>
      <c r="Y566" s="211"/>
    </row>
    <row r="567" spans="1:25" ht="21" customHeight="1">
      <c r="A567" s="211" t="s">
        <v>9</v>
      </c>
      <c r="B567" s="211"/>
      <c r="C567" s="218">
        <v>45784</v>
      </c>
      <c r="D567" s="218">
        <v>13336</v>
      </c>
      <c r="E567" s="212"/>
      <c r="F567" s="219">
        <v>0.12</v>
      </c>
      <c r="G567" s="212"/>
      <c r="H567" s="212"/>
      <c r="I567" s="212"/>
      <c r="J567" s="212" t="s">
        <v>1637</v>
      </c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1"/>
      <c r="Y567" s="211"/>
    </row>
    <row r="568" spans="1:25" ht="21" customHeight="1">
      <c r="A568" s="211"/>
      <c r="B568" s="211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1"/>
      <c r="Y568" s="211"/>
    </row>
    <row r="569" spans="1:25" ht="21" customHeight="1">
      <c r="A569" s="211"/>
      <c r="B569" s="211"/>
      <c r="C569" s="212" t="s">
        <v>1638</v>
      </c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1"/>
      <c r="Y569" s="211"/>
    </row>
    <row r="570" spans="1:25" ht="21" customHeight="1">
      <c r="A570" s="211"/>
      <c r="B570" s="211"/>
      <c r="C570" s="212" t="s">
        <v>1003</v>
      </c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1"/>
      <c r="Y570" s="211"/>
    </row>
    <row r="571" spans="1:25" ht="21" customHeight="1">
      <c r="A571" s="211"/>
      <c r="B571" s="211"/>
      <c r="C571" s="212" t="s">
        <v>1007</v>
      </c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1"/>
      <c r="Y571" s="211"/>
    </row>
    <row r="572" spans="1:25" ht="21" customHeight="1">
      <c r="A572" s="211"/>
      <c r="B572" s="211"/>
      <c r="C572" s="21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1"/>
      <c r="Y572" s="211"/>
    </row>
    <row r="573" spans="1:25" ht="21" customHeight="1">
      <c r="A573" s="211"/>
      <c r="B573" s="211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1"/>
      <c r="Y573" s="211"/>
    </row>
    <row r="574" spans="1:25" ht="21" customHeight="1">
      <c r="A574" s="211"/>
      <c r="B574" s="211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1"/>
      <c r="Y574" s="211"/>
    </row>
    <row r="576" spans="1:25" ht="25" customHeight="1">
      <c r="A576" s="233" t="s">
        <v>1639</v>
      </c>
      <c r="B576" s="233"/>
      <c r="C576" s="234"/>
      <c r="D576" s="234"/>
      <c r="E576" s="234"/>
      <c r="F576" s="234"/>
      <c r="G576" s="234"/>
      <c r="H576" s="234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2"/>
      <c r="U576" s="232"/>
      <c r="V576" s="232"/>
      <c r="W576" s="232"/>
      <c r="X576" s="231"/>
      <c r="Y576" s="231"/>
    </row>
    <row r="577" spans="1:25" ht="21" customHeight="1">
      <c r="A577" s="231"/>
      <c r="B577" s="231"/>
      <c r="C577" s="232"/>
      <c r="D577" s="232"/>
      <c r="E577" s="232"/>
      <c r="F577" s="232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2"/>
      <c r="U577" s="232"/>
      <c r="V577" s="232"/>
      <c r="W577" s="232"/>
      <c r="X577" s="231"/>
      <c r="Y577" s="231"/>
    </row>
    <row r="578" spans="1:25" ht="21" customHeight="1">
      <c r="A578" s="231"/>
      <c r="B578" s="231"/>
      <c r="C578" s="232"/>
      <c r="D578" s="232"/>
      <c r="E578" s="232"/>
      <c r="F578" s="232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2"/>
      <c r="U578" s="232"/>
      <c r="V578" s="232"/>
      <c r="W578" s="232"/>
      <c r="X578" s="231"/>
      <c r="Y578" s="231"/>
    </row>
    <row r="579" spans="1:25" ht="21" customHeight="1">
      <c r="A579" s="236" t="s">
        <v>1050</v>
      </c>
      <c r="B579" s="236" t="s">
        <v>1051</v>
      </c>
      <c r="C579" s="236" t="s">
        <v>1057</v>
      </c>
      <c r="D579" s="236" t="s">
        <v>1105</v>
      </c>
      <c r="E579" s="236" t="s">
        <v>1106</v>
      </c>
      <c r="F579" s="236" t="s">
        <v>1107</v>
      </c>
      <c r="G579" s="236" t="s">
        <v>1108</v>
      </c>
      <c r="H579" s="236" t="s">
        <v>1109</v>
      </c>
      <c r="I579" s="232"/>
      <c r="J579" s="236" t="s">
        <v>1372</v>
      </c>
      <c r="K579" s="236" t="s">
        <v>1373</v>
      </c>
      <c r="L579" s="236" t="s">
        <v>1374</v>
      </c>
      <c r="M579" s="236" t="s">
        <v>1375</v>
      </c>
      <c r="N579" s="236" t="s">
        <v>1332</v>
      </c>
      <c r="O579" s="232"/>
      <c r="P579" s="232"/>
      <c r="Q579" s="232"/>
      <c r="R579" s="232"/>
      <c r="S579" s="232"/>
      <c r="T579" s="232"/>
      <c r="U579" s="232"/>
      <c r="V579" s="232"/>
      <c r="W579" s="232"/>
      <c r="X579" s="231"/>
      <c r="Y579" s="231"/>
    </row>
    <row r="580" spans="1:25" ht="21" customHeight="1">
      <c r="A580" s="231" t="s">
        <v>1640</v>
      </c>
      <c r="B580" s="231" t="s">
        <v>1069</v>
      </c>
      <c r="C580" s="237">
        <f>C58</f>
        <v>0.22</v>
      </c>
      <c r="D580" s="237">
        <f>$C$338+$C$702*$C$705</f>
        <v>0.22</v>
      </c>
      <c r="E580" s="237">
        <f>$C$338+$C$702*$C$705</f>
        <v>0.22</v>
      </c>
      <c r="F580" s="237">
        <f>$C$338+$C$702*$C$705</f>
        <v>0.22</v>
      </c>
      <c r="G580" s="237">
        <f>$C$338+$C$702*$C$705</f>
        <v>0.22</v>
      </c>
      <c r="H580" s="237">
        <f>$C$338+$C$702*$C$705</f>
        <v>0.22</v>
      </c>
      <c r="I580" s="232"/>
      <c r="J580" s="232" t="s">
        <v>1641</v>
      </c>
      <c r="K580" s="232" t="s">
        <v>1641</v>
      </c>
      <c r="L580" s="232" t="s">
        <v>1641</v>
      </c>
      <c r="M580" s="232" t="s">
        <v>1641</v>
      </c>
      <c r="N580" s="232" t="s">
        <v>1641</v>
      </c>
      <c r="O580" s="232"/>
      <c r="P580" s="232"/>
      <c r="Q580" s="232"/>
      <c r="R580" s="232"/>
      <c r="S580" s="232"/>
      <c r="T580" s="232"/>
      <c r="U580" s="232"/>
      <c r="V580" s="232"/>
      <c r="W580" s="232"/>
      <c r="X580" s="231"/>
      <c r="Y580" s="231" t="s">
        <v>1642</v>
      </c>
    </row>
    <row r="581" spans="1:25" ht="21" customHeight="1">
      <c r="A581" s="247" t="s">
        <v>1643</v>
      </c>
      <c r="B581" s="247" t="s">
        <v>1069</v>
      </c>
      <c r="C581" s="248">
        <f>C62/C49</f>
        <v>4.4226288226338888E-2</v>
      </c>
      <c r="D581" s="248">
        <f>IF(CHOOSE($C$43,ISNUMBER(D582),ISNUMBER(D583),ISNUMBER(D584)),CHOOSE($C$43,D582,D583,D584),"待定")</f>
        <v>0.04</v>
      </c>
      <c r="E581" s="248">
        <f>IF(CHOOSE($C$43,ISNUMBER(E582),ISNUMBER(E583),ISNUMBER(E584)),CHOOSE($C$43,E582,E583,E584),"待定")</f>
        <v>3.7999999999999999E-2</v>
      </c>
      <c r="F581" s="248">
        <f>IF(CHOOSE($C$43,ISNUMBER(F582),ISNUMBER(F583),ISNUMBER(F584)),CHOOSE($C$43,F582,F583,F584),"待定")</f>
        <v>3.5999999999999997E-2</v>
      </c>
      <c r="G581" s="248">
        <f>IF(CHOOSE($C$43,ISNUMBER(G582),ISNUMBER(G583),ISNUMBER(G584)),CHOOSE($C$43,G582,G583,G584),"待定")</f>
        <v>3.5000000000000003E-2</v>
      </c>
      <c r="H581" s="248">
        <f>IF(CHOOSE($C$43,ISNUMBER(H582),ISNUMBER(H583),ISNUMBER(H584)),CHOOSE($C$43,H582,H583,H584),"待定")</f>
        <v>3.5000000000000003E-2</v>
      </c>
      <c r="I581" s="232"/>
      <c r="J581" s="249">
        <f>-'Cash Flow'!H32/'Income Statement'!H11</f>
        <v>3.5364118484025354E-2</v>
      </c>
      <c r="K581" s="249">
        <f>-'Cash Flow'!I32/'Income Statement'!I11</f>
        <v>3.4508417821597991E-2</v>
      </c>
      <c r="L581" s="249">
        <f>-'Cash Flow'!J32/'Income Statement'!J11</f>
        <v>4.0477335314945143E-2</v>
      </c>
      <c r="M581" s="249">
        <f>-'Cash Flow'!K32/'Income Statement'!K11</f>
        <v>4.3857971568814942E-2</v>
      </c>
      <c r="N581" s="249">
        <f>-'Cash Flow'!L32/'Income Statement'!L11</f>
        <v>4.4054149892576291E-2</v>
      </c>
      <c r="O581" s="232"/>
      <c r="P581" s="232"/>
      <c r="Q581" s="232"/>
      <c r="R581" s="232"/>
      <c r="S581" s="232"/>
      <c r="T581" s="232"/>
      <c r="U581" s="232"/>
      <c r="V581" s="232"/>
      <c r="W581" s="232"/>
      <c r="X581" s="231"/>
      <c r="Y581" s="231" t="s">
        <v>1644</v>
      </c>
    </row>
    <row r="582" spans="1:25" ht="21" customHeight="1">
      <c r="A582" s="231" t="s">
        <v>1645</v>
      </c>
      <c r="B582" s="231" t="s">
        <v>1069</v>
      </c>
      <c r="C582" s="232"/>
      <c r="D582" s="330">
        <f>IF(ISNUMBER('Valuation Inputs'!D38),'Valuation Inputs'!D38,"待定")</f>
        <v>0.04</v>
      </c>
      <c r="E582" s="330">
        <f>IF(ISNUMBER('Valuation Inputs'!E38),'Valuation Inputs'!E38,"待定")</f>
        <v>0.04</v>
      </c>
      <c r="F582" s="330">
        <f>IF(ISNUMBER('Valuation Inputs'!F38),'Valuation Inputs'!F38,"待定")</f>
        <v>3.7999999999999999E-2</v>
      </c>
      <c r="G582" s="330">
        <f>IF(ISNUMBER('Valuation Inputs'!G38),'Valuation Inputs'!G38,"待定")</f>
        <v>3.7999999999999999E-2</v>
      </c>
      <c r="H582" s="330">
        <f>IF(ISNUMBER('Valuation Inputs'!H38),'Valuation Inputs'!H38,"待定")</f>
        <v>3.7999999999999999E-2</v>
      </c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  <c r="T582" s="232"/>
      <c r="U582" s="232"/>
      <c r="V582" s="232"/>
      <c r="W582" s="232"/>
      <c r="X582" s="231"/>
      <c r="Y582" s="231"/>
    </row>
    <row r="583" spans="1:25" ht="21" customHeight="1">
      <c r="A583" s="231" t="s">
        <v>1646</v>
      </c>
      <c r="B583" s="231" t="s">
        <v>1069</v>
      </c>
      <c r="C583" s="232"/>
      <c r="D583" s="330">
        <f>IF(ISNUMBER('Valuation Inputs'!D39),'Valuation Inputs'!D39,"待定")</f>
        <v>0.04</v>
      </c>
      <c r="E583" s="330">
        <f>IF(ISNUMBER('Valuation Inputs'!E39),'Valuation Inputs'!E39,"待定")</f>
        <v>3.7999999999999999E-2</v>
      </c>
      <c r="F583" s="330">
        <f>IF(ISNUMBER('Valuation Inputs'!F39),'Valuation Inputs'!F39,"待定")</f>
        <v>3.5999999999999997E-2</v>
      </c>
      <c r="G583" s="330">
        <f>IF(ISNUMBER('Valuation Inputs'!G39),'Valuation Inputs'!G39,"待定")</f>
        <v>3.5000000000000003E-2</v>
      </c>
      <c r="H583" s="330">
        <f>IF(ISNUMBER('Valuation Inputs'!H39),'Valuation Inputs'!H39,"待定")</f>
        <v>3.5000000000000003E-2</v>
      </c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  <c r="T583" s="232"/>
      <c r="U583" s="232"/>
      <c r="V583" s="232"/>
      <c r="W583" s="232"/>
      <c r="X583" s="231"/>
      <c r="Y583" s="231"/>
    </row>
    <row r="584" spans="1:25" ht="21" customHeight="1">
      <c r="A584" s="231" t="s">
        <v>1647</v>
      </c>
      <c r="B584" s="231" t="s">
        <v>1069</v>
      </c>
      <c r="C584" s="232"/>
      <c r="D584" s="330">
        <f>IF(ISNUMBER('Valuation Inputs'!D40),'Valuation Inputs'!D40,"待定")</f>
        <v>4.2000000000000003E-2</v>
      </c>
      <c r="E584" s="330">
        <f>IF(ISNUMBER('Valuation Inputs'!E40),'Valuation Inputs'!E40,"待定")</f>
        <v>0.04</v>
      </c>
      <c r="F584" s="330">
        <f>IF(ISNUMBER('Valuation Inputs'!F40),'Valuation Inputs'!F40,"待定")</f>
        <v>3.7999999999999999E-2</v>
      </c>
      <c r="G584" s="330">
        <f>IF(ISNUMBER('Valuation Inputs'!G40),'Valuation Inputs'!G40,"待定")</f>
        <v>3.6999999999999998E-2</v>
      </c>
      <c r="H584" s="330">
        <f>IF(ISNUMBER('Valuation Inputs'!H40),'Valuation Inputs'!H40,"待定")</f>
        <v>3.5999999999999997E-2</v>
      </c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  <c r="T584" s="232"/>
      <c r="U584" s="232"/>
      <c r="V584" s="232"/>
      <c r="W584" s="232"/>
      <c r="X584" s="231"/>
      <c r="Y584" s="231"/>
    </row>
    <row r="585" spans="1:25" ht="21" customHeight="1">
      <c r="A585" s="231"/>
      <c r="B585" s="231"/>
      <c r="C585" s="232"/>
      <c r="D585" s="232"/>
      <c r="E585" s="232"/>
      <c r="F585" s="232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  <c r="T585" s="232"/>
      <c r="U585" s="232"/>
      <c r="V585" s="232"/>
      <c r="W585" s="232"/>
      <c r="X585" s="231"/>
      <c r="Y585" s="231"/>
    </row>
    <row r="586" spans="1:25" ht="21" customHeight="1">
      <c r="A586" s="231" t="s">
        <v>1123</v>
      </c>
      <c r="B586" s="231" t="s">
        <v>1069</v>
      </c>
      <c r="C586" s="237">
        <f>C64/C49</f>
        <v>2.2113144113169444E-2</v>
      </c>
      <c r="D586" s="330">
        <f>IF(ISNUMBER('Valuation Inputs'!D60),'Valuation Inputs'!D60,"待定")</f>
        <v>1.9E-2</v>
      </c>
      <c r="E586" s="330">
        <f>IF(ISNUMBER('Valuation Inputs'!E60),'Valuation Inputs'!E60,"待定")</f>
        <v>1.9E-2</v>
      </c>
      <c r="F586" s="330">
        <f>IF(ISNUMBER('Valuation Inputs'!F60),'Valuation Inputs'!F60,"待定")</f>
        <v>1.9E-2</v>
      </c>
      <c r="G586" s="330">
        <f>IF(ISNUMBER('Valuation Inputs'!G60),'Valuation Inputs'!G60,"待定")</f>
        <v>1.9E-2</v>
      </c>
      <c r="H586" s="330">
        <f>IF(ISNUMBER('Valuation Inputs'!H60),'Valuation Inputs'!H60,"待定")</f>
        <v>1.9E-2</v>
      </c>
      <c r="I586" s="232"/>
      <c r="J586" s="245">
        <f>'Cash Flow'!H17/'Income Statement'!H11</f>
        <v>3.7563057819169576E-2</v>
      </c>
      <c r="K586" s="245">
        <f>'Cash Flow'!I17/'Income Statement'!I11</f>
        <v>2.9299600037205841E-2</v>
      </c>
      <c r="L586" s="245">
        <f>'Cash Flow'!J17/'Income Statement'!J11</f>
        <v>2.4653582200463348E-2</v>
      </c>
      <c r="M586" s="245">
        <f>'Cash Flow'!K17/'Income Statement'!K11</f>
        <v>2.2842693525424448E-2</v>
      </c>
      <c r="N586" s="245">
        <f>'Cash Flow'!L17/'Income Statement'!L11</f>
        <v>2.1901921111366053E-2</v>
      </c>
      <c r="O586" s="232"/>
      <c r="P586" s="232"/>
      <c r="Q586" s="232"/>
      <c r="R586" s="232"/>
      <c r="S586" s="232"/>
      <c r="T586" s="232"/>
      <c r="U586" s="232"/>
      <c r="V586" s="232"/>
      <c r="W586" s="232"/>
      <c r="X586" s="231"/>
      <c r="Y586" s="231" t="s">
        <v>1648</v>
      </c>
    </row>
    <row r="587" spans="1:25" ht="21" customHeight="1">
      <c r="A587" s="231" t="s">
        <v>1649</v>
      </c>
      <c r="B587" s="231" t="s">
        <v>1069</v>
      </c>
      <c r="C587" s="232" t="s">
        <v>1650</v>
      </c>
      <c r="D587" s="330">
        <f>IF(ISNUMBER('Valuation Inputs'!D61),'Valuation Inputs'!D61,"待定")</f>
        <v>0.1</v>
      </c>
      <c r="E587" s="330">
        <f>IF(ISNUMBER('Valuation Inputs'!E61),'Valuation Inputs'!E61,"待定")</f>
        <v>0.1</v>
      </c>
      <c r="F587" s="330">
        <f>IF(ISNUMBER('Valuation Inputs'!F61),'Valuation Inputs'!F61,"待定")</f>
        <v>0.1</v>
      </c>
      <c r="G587" s="330">
        <f>IF(ISNUMBER('Valuation Inputs'!G61),'Valuation Inputs'!G61,"待定")</f>
        <v>0.1</v>
      </c>
      <c r="H587" s="330">
        <f>IF(ISNUMBER('Valuation Inputs'!H61),'Valuation Inputs'!H61,"待定")</f>
        <v>0.1</v>
      </c>
      <c r="I587" s="232"/>
      <c r="J587" s="232" t="s">
        <v>1651</v>
      </c>
      <c r="K587" s="232" t="s">
        <v>1651</v>
      </c>
      <c r="L587" s="232" t="s">
        <v>1651</v>
      </c>
      <c r="M587" s="232" t="s">
        <v>1651</v>
      </c>
      <c r="N587" s="232" t="s">
        <v>1651</v>
      </c>
      <c r="O587" s="232"/>
      <c r="P587" s="232"/>
      <c r="Q587" s="232"/>
      <c r="R587" s="232"/>
      <c r="S587" s="232"/>
      <c r="T587" s="232"/>
      <c r="U587" s="232"/>
      <c r="V587" s="232"/>
      <c r="W587" s="232"/>
      <c r="X587" s="231"/>
      <c r="Y587" s="231" t="s">
        <v>1652</v>
      </c>
    </row>
    <row r="588" spans="1:25" ht="21" customHeight="1">
      <c r="A588" s="231" t="s">
        <v>1653</v>
      </c>
      <c r="B588" s="231" t="s">
        <v>1069</v>
      </c>
      <c r="C588" s="237">
        <f>-C388/C49</f>
        <v>6.0308574854098483E-3</v>
      </c>
      <c r="D588" s="330">
        <f>IF(ISNUMBER('Valuation Inputs'!D62),'Valuation Inputs'!D62,"待定")</f>
        <v>6.0000000000000001E-3</v>
      </c>
      <c r="E588" s="330">
        <f>IF(ISNUMBER('Valuation Inputs'!E62),'Valuation Inputs'!E62,"待定")</f>
        <v>6.0000000000000001E-3</v>
      </c>
      <c r="F588" s="330">
        <f>IF(ISNUMBER('Valuation Inputs'!F62),'Valuation Inputs'!F62,"待定")</f>
        <v>6.0000000000000001E-3</v>
      </c>
      <c r="G588" s="330">
        <f>IF(ISNUMBER('Valuation Inputs'!G62),'Valuation Inputs'!G62,"待定")</f>
        <v>6.0000000000000001E-3</v>
      </c>
      <c r="H588" s="330">
        <f>IF(ISNUMBER('Valuation Inputs'!H62),'Valuation Inputs'!H62,"待定")</f>
        <v>6.0000000000000001E-3</v>
      </c>
      <c r="I588" s="232"/>
      <c r="J588" s="245">
        <f>-J388/'Income Statement'!H11</f>
        <v>6.2346397619971539E-3</v>
      </c>
      <c r="K588" s="245">
        <f>-K388/'Income Statement'!I11</f>
        <v>-5.2320714352153287E-3</v>
      </c>
      <c r="L588" s="245">
        <f>-L388/'Income Statement'!J11</f>
        <v>7.0594920662674305E-3</v>
      </c>
      <c r="M588" s="245">
        <f>-M388/'Income Statement'!K11</f>
        <v>-7.0759227385733406E-3</v>
      </c>
      <c r="N588" s="245">
        <f>-N388/'Income Statement'!L11</f>
        <v>8.0932813249619331E-3</v>
      </c>
      <c r="O588" s="232"/>
      <c r="P588" s="232"/>
      <c r="Q588" s="232"/>
      <c r="R588" s="232"/>
      <c r="S588" s="232"/>
      <c r="T588" s="232"/>
      <c r="U588" s="232"/>
      <c r="V588" s="232"/>
      <c r="W588" s="232"/>
      <c r="X588" s="231"/>
      <c r="Y588" s="231" t="s">
        <v>1654</v>
      </c>
    </row>
    <row r="589" spans="1:25" ht="21" customHeight="1">
      <c r="A589" s="231" t="s">
        <v>1655</v>
      </c>
      <c r="B589" s="231" t="s">
        <v>1066</v>
      </c>
      <c r="C589" s="238">
        <f>C392</f>
        <v>500</v>
      </c>
      <c r="D589" s="334">
        <f>IF(ISNUMBER('Valuation Inputs'!D63),'Valuation Inputs'!D63,"待定")</f>
        <v>0</v>
      </c>
      <c r="E589" s="334">
        <f>IF(ISNUMBER('Valuation Inputs'!E63),'Valuation Inputs'!E63,"待定")</f>
        <v>0</v>
      </c>
      <c r="F589" s="334">
        <f>IF(ISNUMBER('Valuation Inputs'!F63),'Valuation Inputs'!F63,"待定")</f>
        <v>0</v>
      </c>
      <c r="G589" s="334">
        <f>IF(ISNUMBER('Valuation Inputs'!G63),'Valuation Inputs'!G63,"待定")</f>
        <v>0</v>
      </c>
      <c r="H589" s="334">
        <f>IF(ISNUMBER('Valuation Inputs'!H63),'Valuation Inputs'!H63,"待定")</f>
        <v>0</v>
      </c>
      <c r="I589" s="232"/>
      <c r="J589" s="244">
        <f>'Cash Flow'!H19</f>
        <v>894</v>
      </c>
      <c r="K589" s="244">
        <f>'Cash Flow'!I19</f>
        <v>-122</v>
      </c>
      <c r="L589" s="244">
        <f>'Cash Flow'!J19</f>
        <v>-2</v>
      </c>
      <c r="M589" s="244">
        <f>'Cash Flow'!K19</f>
        <v>-11</v>
      </c>
      <c r="N589" s="244">
        <f>'Cash Flow'!L19</f>
        <v>517</v>
      </c>
      <c r="O589" s="232"/>
      <c r="P589" s="232"/>
      <c r="Q589" s="232"/>
      <c r="R589" s="232"/>
      <c r="S589" s="232"/>
      <c r="T589" s="232"/>
      <c r="U589" s="232"/>
      <c r="V589" s="232"/>
      <c r="W589" s="232"/>
      <c r="X589" s="231"/>
      <c r="Y589" s="231" t="s">
        <v>1656</v>
      </c>
    </row>
    <row r="590" spans="1:25" ht="21" customHeight="1">
      <c r="A590" s="231" t="s">
        <v>1657</v>
      </c>
      <c r="B590" s="231" t="s">
        <v>1069</v>
      </c>
      <c r="C590" s="232" t="s">
        <v>1658</v>
      </c>
      <c r="D590" s="237">
        <f>D756</f>
        <v>0.05</v>
      </c>
      <c r="E590" s="237">
        <f>E756</f>
        <v>0.05</v>
      </c>
      <c r="F590" s="237">
        <f>F756</f>
        <v>0.05</v>
      </c>
      <c r="G590" s="237">
        <f>G756</f>
        <v>0.05</v>
      </c>
      <c r="H590" s="237">
        <f>H756</f>
        <v>0.05</v>
      </c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  <c r="T590" s="232"/>
      <c r="U590" s="232"/>
      <c r="V590" s="232"/>
      <c r="W590" s="232"/>
      <c r="X590" s="231"/>
      <c r="Y590" s="231"/>
    </row>
    <row r="591" spans="1:25" ht="21" customHeight="1">
      <c r="A591" s="231" t="s">
        <v>1659</v>
      </c>
      <c r="B591" s="231" t="s">
        <v>1069</v>
      </c>
      <c r="C591" s="237">
        <f>H31</f>
        <v>0.19900000000000001</v>
      </c>
      <c r="D591" s="237">
        <f>D761+$C$702*$C$705</f>
        <v>0.20499999999999999</v>
      </c>
      <c r="E591" s="237">
        <f>E761+$C$702*$C$705</f>
        <v>0.20499999999999999</v>
      </c>
      <c r="F591" s="237">
        <f>F761+$C$702*$C$705</f>
        <v>0.20499999999999999</v>
      </c>
      <c r="G591" s="237">
        <f>G761+$C$702*$C$705</f>
        <v>0.20499999999999999</v>
      </c>
      <c r="H591" s="237">
        <f>H761+$C$702*$C$705</f>
        <v>0.20499999999999999</v>
      </c>
      <c r="I591" s="232"/>
      <c r="J591" s="237">
        <f>J603</f>
        <v>0.21094567404426559</v>
      </c>
      <c r="K591" s="237">
        <f>K603</f>
        <v>0.18098579496833819</v>
      </c>
      <c r="L591" s="237">
        <f>L603</f>
        <v>0.17364113650401483</v>
      </c>
      <c r="M591" s="237">
        <f>M603</f>
        <v>0.18622955830658719</v>
      </c>
      <c r="N591" s="237">
        <f>N603</f>
        <v>0.17883485435679461</v>
      </c>
      <c r="O591" s="232"/>
      <c r="P591" s="232"/>
      <c r="Q591" s="232"/>
      <c r="R591" s="232"/>
      <c r="S591" s="232"/>
      <c r="T591" s="232"/>
      <c r="U591" s="232"/>
      <c r="V591" s="232"/>
      <c r="W591" s="232"/>
      <c r="X591" s="231"/>
      <c r="Y591" s="231" t="s">
        <v>1660</v>
      </c>
    </row>
    <row r="592" spans="1:25" ht="21" customHeight="1">
      <c r="A592" s="231"/>
      <c r="B592" s="231"/>
      <c r="C592" s="232"/>
      <c r="D592" s="232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  <c r="T592" s="232"/>
      <c r="U592" s="232"/>
      <c r="V592" s="232"/>
      <c r="W592" s="232"/>
      <c r="X592" s="231"/>
      <c r="Y592" s="231"/>
    </row>
    <row r="593" spans="1:25" ht="21" customHeight="1">
      <c r="A593" s="231"/>
      <c r="B593" s="231"/>
      <c r="C593" s="232"/>
      <c r="D593" s="232"/>
      <c r="E593" s="232"/>
      <c r="F593" s="232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  <c r="T593" s="232"/>
      <c r="U593" s="232"/>
      <c r="V593" s="232"/>
      <c r="W593" s="232"/>
      <c r="X593" s="231"/>
      <c r="Y593" s="231"/>
    </row>
    <row r="594" spans="1:25" ht="25" customHeight="1">
      <c r="A594" s="233" t="s">
        <v>1661</v>
      </c>
      <c r="B594" s="233"/>
      <c r="C594" s="234"/>
      <c r="D594" s="234"/>
      <c r="E594" s="234"/>
      <c r="F594" s="234"/>
      <c r="G594" s="234"/>
      <c r="H594" s="234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  <c r="T594" s="232"/>
      <c r="U594" s="232"/>
      <c r="V594" s="232"/>
      <c r="W594" s="232"/>
      <c r="X594" s="231"/>
      <c r="Y594" s="231"/>
    </row>
    <row r="595" spans="1:25" ht="21" customHeight="1">
      <c r="A595" s="236" t="s">
        <v>1050</v>
      </c>
      <c r="B595" s="236" t="s">
        <v>1051</v>
      </c>
      <c r="C595" s="236" t="s">
        <v>1057</v>
      </c>
      <c r="D595" s="236" t="s">
        <v>1105</v>
      </c>
      <c r="E595" s="236" t="s">
        <v>1106</v>
      </c>
      <c r="F595" s="236" t="s">
        <v>1107</v>
      </c>
      <c r="G595" s="236" t="s">
        <v>1108</v>
      </c>
      <c r="H595" s="236" t="s">
        <v>1109</v>
      </c>
      <c r="I595" s="232"/>
      <c r="J595" s="236" t="s">
        <v>1372</v>
      </c>
      <c r="K595" s="236" t="s">
        <v>1373</v>
      </c>
      <c r="L595" s="236" t="s">
        <v>1374</v>
      </c>
      <c r="M595" s="236" t="s">
        <v>1375</v>
      </c>
      <c r="N595" s="236" t="s">
        <v>1332</v>
      </c>
      <c r="O595" s="232"/>
      <c r="P595" s="235" t="s">
        <v>1376</v>
      </c>
      <c r="Q595" s="235" t="s">
        <v>1056</v>
      </c>
      <c r="R595" s="232"/>
      <c r="S595" s="232"/>
      <c r="T595" s="232"/>
      <c r="U595" s="232"/>
      <c r="V595" s="232"/>
      <c r="W595" s="232"/>
      <c r="X595" s="231"/>
      <c r="Y595" s="231"/>
    </row>
    <row r="596" spans="1:25" ht="21" customHeight="1">
      <c r="A596" s="247" t="s">
        <v>1662</v>
      </c>
      <c r="B596" s="247" t="s">
        <v>1066</v>
      </c>
      <c r="C596" s="250">
        <f t="shared" ref="C596:H596" si="29">C57</f>
        <v>16057.078528711179</v>
      </c>
      <c r="D596" s="250">
        <f t="shared" si="29"/>
        <v>16781.196590646738</v>
      </c>
      <c r="E596" s="250">
        <f t="shared" si="29"/>
        <v>17780.071262454076</v>
      </c>
      <c r="F596" s="250">
        <f t="shared" si="29"/>
        <v>18746.604416941882</v>
      </c>
      <c r="G596" s="250">
        <f t="shared" si="29"/>
        <v>19764.078886027124</v>
      </c>
      <c r="H596" s="250">
        <f t="shared" si="29"/>
        <v>20734.890189439917</v>
      </c>
      <c r="I596" s="232"/>
      <c r="J596" s="251">
        <f>'Income Statement'!H18</f>
        <v>10308</v>
      </c>
      <c r="K596" s="251">
        <f>'Income Statement'!I18</f>
        <v>10909</v>
      </c>
      <c r="L596" s="251">
        <f>'Income Statement'!J18</f>
        <v>11311</v>
      </c>
      <c r="M596" s="251">
        <f>'Income Statement'!K18</f>
        <v>9992</v>
      </c>
      <c r="N596" s="251">
        <f>'Income Statement'!L18</f>
        <v>13762</v>
      </c>
      <c r="O596" s="232"/>
      <c r="P596" s="244">
        <f>'Income Statement'!Q18+'Income Statement'!R18</f>
        <v>7939</v>
      </c>
      <c r="Q596" s="244">
        <f>'Income Statement'!T18+'Income Statement'!U18</f>
        <v>9031</v>
      </c>
      <c r="R596" s="232"/>
      <c r="S596" s="232"/>
      <c r="T596" s="232"/>
      <c r="U596" s="232"/>
      <c r="V596" s="232"/>
      <c r="W596" s="232"/>
      <c r="X596" s="231"/>
      <c r="Y596" s="231"/>
    </row>
    <row r="597" spans="1:25" ht="21" customHeight="1">
      <c r="A597" s="231" t="s">
        <v>1663</v>
      </c>
      <c r="B597" s="231" t="s">
        <v>1066</v>
      </c>
      <c r="C597" s="334">
        <f>IF(ISNUMBER('Valuation Inputs'!C64),'Valuation Inputs'!C64,"待定")</f>
        <v>800</v>
      </c>
      <c r="D597" s="334">
        <f>IF(ISNUMBER('Valuation Inputs'!D64),'Valuation Inputs'!D64,"待定")</f>
        <v>800</v>
      </c>
      <c r="E597" s="334">
        <f>IF(ISNUMBER('Valuation Inputs'!E64),'Valuation Inputs'!E64,"待定")</f>
        <v>800</v>
      </c>
      <c r="F597" s="334">
        <f>IF(ISNUMBER('Valuation Inputs'!F64),'Valuation Inputs'!F64,"待定")</f>
        <v>800</v>
      </c>
      <c r="G597" s="334">
        <f>IF(ISNUMBER('Valuation Inputs'!G64),'Valuation Inputs'!G64,"待定")</f>
        <v>800</v>
      </c>
      <c r="H597" s="334">
        <f>IF(ISNUMBER('Valuation Inputs'!H64),'Valuation Inputs'!H64,"待定")</f>
        <v>800</v>
      </c>
      <c r="I597" s="232"/>
      <c r="J597" s="244">
        <f>'Income Statement'!H21</f>
        <v>276</v>
      </c>
      <c r="K597" s="244">
        <f>'Income Statement'!I21</f>
        <v>449</v>
      </c>
      <c r="L597" s="244">
        <f>'Income Statement'!J21</f>
        <v>907</v>
      </c>
      <c r="M597" s="244">
        <f>'Income Statement'!K21</f>
        <v>988</v>
      </c>
      <c r="N597" s="244">
        <f>'Income Statement'!L21</f>
        <v>786</v>
      </c>
      <c r="O597" s="232"/>
      <c r="P597" s="244">
        <f>'Income Statement'!Q21+'Income Statement'!R21</f>
        <v>368</v>
      </c>
      <c r="Q597" s="244">
        <f>'Income Statement'!T21+'Income Statement'!U21</f>
        <v>420</v>
      </c>
      <c r="R597" s="232"/>
      <c r="S597" s="232"/>
      <c r="T597" s="232"/>
      <c r="U597" s="232"/>
      <c r="V597" s="232"/>
      <c r="W597" s="232"/>
      <c r="X597" s="231"/>
      <c r="Y597" s="231" t="s">
        <v>1664</v>
      </c>
    </row>
    <row r="598" spans="1:25" ht="21" customHeight="1">
      <c r="A598" s="231" t="s">
        <v>1665</v>
      </c>
      <c r="B598" s="231" t="s">
        <v>1066</v>
      </c>
      <c r="C598" s="334">
        <f>IF(ISNUMBER('Valuation Inputs'!C65),'Valuation Inputs'!C65,"待定")</f>
        <v>1550</v>
      </c>
      <c r="D598" s="334">
        <f>IF(ISNUMBER('Valuation Inputs'!D65),'Valuation Inputs'!D65,"待定")</f>
        <v>1550</v>
      </c>
      <c r="E598" s="334">
        <f>IF(ISNUMBER('Valuation Inputs'!E65),'Valuation Inputs'!E65,"待定")</f>
        <v>1550</v>
      </c>
      <c r="F598" s="334">
        <f>IF(ISNUMBER('Valuation Inputs'!F65),'Valuation Inputs'!F65,"待定")</f>
        <v>1550</v>
      </c>
      <c r="G598" s="334">
        <f>IF(ISNUMBER('Valuation Inputs'!G65),'Valuation Inputs'!G65,"待定")</f>
        <v>1550</v>
      </c>
      <c r="H598" s="334">
        <f>IF(ISNUMBER('Valuation Inputs'!H65),'Valuation Inputs'!H65,"待定")</f>
        <v>1550</v>
      </c>
      <c r="I598" s="232"/>
      <c r="J598" s="244">
        <f>'Income Statement'!H22</f>
        <v>1597</v>
      </c>
      <c r="K598" s="244">
        <f>'Income Statement'!I22</f>
        <v>882</v>
      </c>
      <c r="L598" s="244">
        <f>'Income Statement'!J22</f>
        <v>1527</v>
      </c>
      <c r="M598" s="244">
        <f>'Income Statement'!K22</f>
        <v>1656</v>
      </c>
      <c r="N598" s="244">
        <f>'Income Statement'!L22</f>
        <v>1654</v>
      </c>
      <c r="O598" s="232"/>
      <c r="P598" s="244">
        <f>'Income Statement'!Q22+'Income Statement'!R22</f>
        <v>832</v>
      </c>
      <c r="Q598" s="244">
        <f>'Income Statement'!T22+'Income Statement'!U22</f>
        <v>744</v>
      </c>
      <c r="R598" s="232"/>
      <c r="S598" s="232"/>
      <c r="T598" s="232"/>
      <c r="U598" s="232"/>
      <c r="V598" s="232"/>
      <c r="W598" s="232"/>
      <c r="X598" s="231"/>
      <c r="Y598" s="231" t="s">
        <v>1666</v>
      </c>
    </row>
    <row r="599" spans="1:25" ht="21" customHeight="1">
      <c r="A599" s="231" t="s">
        <v>1667</v>
      </c>
      <c r="B599" s="231" t="s">
        <v>1066</v>
      </c>
      <c r="C599" s="334">
        <f>IF(ISNUMBER('Valuation Inputs'!C113),'Valuation Inputs'!C113,"待定")</f>
        <v>2100</v>
      </c>
      <c r="D599" s="238">
        <f>C599*(1+D590)+D600</f>
        <v>2265</v>
      </c>
      <c r="E599" s="238">
        <f>D599*(1+E590)+E600</f>
        <v>2378.25</v>
      </c>
      <c r="F599" s="238">
        <f>E599*(1+F590)+F600</f>
        <v>2497.1624999999999</v>
      </c>
      <c r="G599" s="238">
        <f>F599*(1+G590)+G600</f>
        <v>2622.0206250000001</v>
      </c>
      <c r="H599" s="238">
        <f>G599*(1+H590)+H600</f>
        <v>2753.1216562500003</v>
      </c>
      <c r="I599" s="232"/>
      <c r="J599" s="244">
        <f>'Income Statement'!H23</f>
        <v>1438</v>
      </c>
      <c r="K599" s="244">
        <f>'Income Statement'!I23</f>
        <v>1472</v>
      </c>
      <c r="L599" s="244">
        <f>'Income Statement'!J23</f>
        <v>1691</v>
      </c>
      <c r="M599" s="244">
        <f>'Income Statement'!K23</f>
        <v>1770</v>
      </c>
      <c r="N599" s="244">
        <f>'Income Statement'!L23</f>
        <v>2031</v>
      </c>
      <c r="O599" s="232"/>
      <c r="P599" s="244">
        <f>'Income Statement'!Q23+'Income Statement'!R23</f>
        <v>912</v>
      </c>
      <c r="Q599" s="244">
        <f>'Income Statement'!T23+'Income Statement'!U23</f>
        <v>988</v>
      </c>
      <c r="R599" s="232"/>
      <c r="S599" s="232"/>
      <c r="T599" s="232"/>
      <c r="U599" s="232"/>
      <c r="V599" s="232"/>
      <c r="W599" s="232"/>
      <c r="X599" s="231"/>
      <c r="Y599" s="231" t="s">
        <v>1668</v>
      </c>
    </row>
    <row r="600" spans="1:25" ht="21" customHeight="1">
      <c r="A600" s="231" t="s">
        <v>1669</v>
      </c>
      <c r="B600" s="231" t="s">
        <v>1066</v>
      </c>
      <c r="C600" s="334">
        <f>IF(ISNUMBER('Valuation Inputs'!C66),'Valuation Inputs'!C66,"待定")</f>
        <v>0</v>
      </c>
      <c r="D600" s="334">
        <f>IF(ISNUMBER('Valuation Inputs'!D66),'Valuation Inputs'!D66,"待定")</f>
        <v>60</v>
      </c>
      <c r="E600" s="334">
        <f>IF(ISNUMBER('Valuation Inputs'!E66),'Valuation Inputs'!E66,"待定")</f>
        <v>0</v>
      </c>
      <c r="F600" s="334">
        <f>IF(ISNUMBER('Valuation Inputs'!F66),'Valuation Inputs'!F66,"待定")</f>
        <v>0</v>
      </c>
      <c r="G600" s="334">
        <f>IF(ISNUMBER('Valuation Inputs'!G66),'Valuation Inputs'!G66,"待定")</f>
        <v>0</v>
      </c>
      <c r="H600" s="334">
        <f>IF(ISNUMBER('Valuation Inputs'!H66),'Valuation Inputs'!H66,"待定")</f>
        <v>0</v>
      </c>
      <c r="I600" s="232"/>
      <c r="J600" s="232" t="s">
        <v>1670</v>
      </c>
      <c r="K600" s="232" t="s">
        <v>1670</v>
      </c>
      <c r="L600" s="232" t="s">
        <v>1670</v>
      </c>
      <c r="M600" s="232" t="s">
        <v>1670</v>
      </c>
      <c r="N600" s="232" t="s">
        <v>1670</v>
      </c>
      <c r="O600" s="232"/>
      <c r="P600" s="232"/>
      <c r="Q600" s="232"/>
      <c r="R600" s="232"/>
      <c r="S600" s="232"/>
      <c r="T600" s="232"/>
      <c r="U600" s="232"/>
      <c r="V600" s="232"/>
      <c r="W600" s="232"/>
      <c r="X600" s="231"/>
      <c r="Y600" s="231" t="s">
        <v>1671</v>
      </c>
    </row>
    <row r="601" spans="1:25" ht="21" customHeight="1">
      <c r="A601" s="231" t="s">
        <v>1672</v>
      </c>
      <c r="B601" s="231" t="s">
        <v>1066</v>
      </c>
      <c r="C601" s="334">
        <f>IF(ISNUMBER('Valuation Inputs'!C67),'Valuation Inputs'!C67,"待定")</f>
        <v>300</v>
      </c>
      <c r="D601" s="334">
        <f>IF(ISNUMBER('Valuation Inputs'!D67),'Valuation Inputs'!D67,"待定")</f>
        <v>300</v>
      </c>
      <c r="E601" s="334">
        <f>IF(ISNUMBER('Valuation Inputs'!E67),'Valuation Inputs'!E67,"待定")</f>
        <v>300</v>
      </c>
      <c r="F601" s="334">
        <f>IF(ISNUMBER('Valuation Inputs'!F67),'Valuation Inputs'!F67,"待定")</f>
        <v>300</v>
      </c>
      <c r="G601" s="334">
        <f>IF(ISNUMBER('Valuation Inputs'!G67),'Valuation Inputs'!G67,"待定")</f>
        <v>300</v>
      </c>
      <c r="H601" s="334">
        <f>IF(ISNUMBER('Valuation Inputs'!H67),'Valuation Inputs'!H67,"待定")</f>
        <v>300</v>
      </c>
      <c r="I601" s="232"/>
      <c r="J601" s="244">
        <f>'Income Statement'!H24</f>
        <v>2000</v>
      </c>
      <c r="K601" s="244">
        <f>'Income Statement'!I24</f>
        <v>-262</v>
      </c>
      <c r="L601" s="244">
        <f>'Income Statement'!J24</f>
        <v>570</v>
      </c>
      <c r="M601" s="244">
        <f>'Income Statement'!K24</f>
        <v>1992</v>
      </c>
      <c r="N601" s="244">
        <f>'Income Statement'!L24</f>
        <v>1073</v>
      </c>
      <c r="O601" s="232"/>
      <c r="P601" s="244">
        <f>'Income Statement'!Q24+'Income Statement'!R24</f>
        <v>466</v>
      </c>
      <c r="Q601" s="244">
        <f>'Income Statement'!T24+'Income Statement'!U24</f>
        <v>391</v>
      </c>
      <c r="R601" s="232"/>
      <c r="S601" s="232"/>
      <c r="T601" s="232"/>
      <c r="U601" s="232"/>
      <c r="V601" s="232"/>
      <c r="W601" s="232"/>
      <c r="X601" s="231"/>
      <c r="Y601" s="231" t="s">
        <v>1673</v>
      </c>
    </row>
    <row r="602" spans="1:25" ht="21" customHeight="1">
      <c r="A602" s="231" t="s">
        <v>1674</v>
      </c>
      <c r="B602" s="231" t="s">
        <v>1066</v>
      </c>
      <c r="C602" s="238">
        <f t="shared" ref="C602:H602" si="30">C596+C597-C598+C599+C601</f>
        <v>17707.078528711179</v>
      </c>
      <c r="D602" s="238">
        <f t="shared" si="30"/>
        <v>18596.196590646738</v>
      </c>
      <c r="E602" s="238">
        <f t="shared" si="30"/>
        <v>19708.321262454076</v>
      </c>
      <c r="F602" s="238">
        <f t="shared" si="30"/>
        <v>20793.76691694188</v>
      </c>
      <c r="G602" s="238">
        <f t="shared" si="30"/>
        <v>21936.099511027125</v>
      </c>
      <c r="H602" s="238">
        <f t="shared" si="30"/>
        <v>23038.011845689918</v>
      </c>
      <c r="I602" s="232"/>
      <c r="J602" s="244">
        <f>'Income Statement'!H25</f>
        <v>12425</v>
      </c>
      <c r="K602" s="244">
        <f>'Income Statement'!I25</f>
        <v>11686</v>
      </c>
      <c r="L602" s="244">
        <f>'Income Statement'!J25</f>
        <v>12952</v>
      </c>
      <c r="M602" s="244">
        <f>'Income Statement'!K25</f>
        <v>13086</v>
      </c>
      <c r="N602" s="244">
        <f>'Income Statement'!L25</f>
        <v>15998</v>
      </c>
      <c r="O602" s="232"/>
      <c r="P602" s="244">
        <f>'Income Statement'!Q25+'Income Statement'!R25</f>
        <v>8853</v>
      </c>
      <c r="Q602" s="244">
        <f>'Income Statement'!T25+'Income Statement'!U25</f>
        <v>10086</v>
      </c>
      <c r="R602" s="232"/>
      <c r="S602" s="232"/>
      <c r="T602" s="232"/>
      <c r="U602" s="232"/>
      <c r="V602" s="232"/>
      <c r="W602" s="232"/>
      <c r="X602" s="231"/>
      <c r="Y602" s="231"/>
    </row>
    <row r="603" spans="1:25" ht="21" customHeight="1">
      <c r="A603" s="231" t="s">
        <v>1675</v>
      </c>
      <c r="B603" s="231" t="s">
        <v>1069</v>
      </c>
      <c r="C603" s="237">
        <f t="shared" ref="C603:H603" si="31">C591</f>
        <v>0.19900000000000001</v>
      </c>
      <c r="D603" s="237">
        <f t="shared" si="31"/>
        <v>0.20499999999999999</v>
      </c>
      <c r="E603" s="237">
        <f t="shared" si="31"/>
        <v>0.20499999999999999</v>
      </c>
      <c r="F603" s="237">
        <f t="shared" si="31"/>
        <v>0.20499999999999999</v>
      </c>
      <c r="G603" s="237">
        <f t="shared" si="31"/>
        <v>0.20499999999999999</v>
      </c>
      <c r="H603" s="237">
        <f t="shared" si="31"/>
        <v>0.20499999999999999</v>
      </c>
      <c r="I603" s="232"/>
      <c r="J603" s="245">
        <f>'Income Statement'!H27</f>
        <v>0.21094567404426559</v>
      </c>
      <c r="K603" s="245">
        <f>'Income Statement'!I27</f>
        <v>0.18098579496833819</v>
      </c>
      <c r="L603" s="245">
        <f>'Income Statement'!J27</f>
        <v>0.17364113650401483</v>
      </c>
      <c r="M603" s="245">
        <f>'Income Statement'!K27</f>
        <v>0.18622955830658719</v>
      </c>
      <c r="N603" s="245">
        <f>'Income Statement'!L27</f>
        <v>0.17883485435679461</v>
      </c>
      <c r="O603" s="232"/>
      <c r="P603" s="237">
        <f>P604/P602</f>
        <v>0.19371964305885012</v>
      </c>
      <c r="Q603" s="237">
        <f>Q604/Q602</f>
        <v>0.16676581399960341</v>
      </c>
      <c r="R603" s="232"/>
      <c r="S603" s="232"/>
      <c r="T603" s="232"/>
      <c r="U603" s="232"/>
      <c r="V603" s="232"/>
      <c r="W603" s="232"/>
      <c r="X603" s="231"/>
      <c r="Y603" s="231"/>
    </row>
    <row r="604" spans="1:25" ht="21" customHeight="1">
      <c r="A604" s="231" t="s">
        <v>1676</v>
      </c>
      <c r="B604" s="231" t="s">
        <v>1066</v>
      </c>
      <c r="C604" s="238">
        <f t="shared" ref="C604:H604" si="32">C602*C603</f>
        <v>3523.7086272135248</v>
      </c>
      <c r="D604" s="238">
        <f t="shared" si="32"/>
        <v>3812.220301082581</v>
      </c>
      <c r="E604" s="238">
        <f t="shared" si="32"/>
        <v>4040.2058588030854</v>
      </c>
      <c r="F604" s="238">
        <f t="shared" si="32"/>
        <v>4262.7222179730852</v>
      </c>
      <c r="G604" s="238">
        <f t="shared" si="32"/>
        <v>4496.9003997605605</v>
      </c>
      <c r="H604" s="238">
        <f t="shared" si="32"/>
        <v>4722.7924283664333</v>
      </c>
      <c r="I604" s="232"/>
      <c r="J604" s="244">
        <f>'Income Statement'!H26</f>
        <v>2621</v>
      </c>
      <c r="K604" s="244">
        <f>'Income Statement'!I26</f>
        <v>2115</v>
      </c>
      <c r="L604" s="244">
        <f>'Income Statement'!J26</f>
        <v>2249</v>
      </c>
      <c r="M604" s="244">
        <f>'Income Statement'!K26</f>
        <v>2437</v>
      </c>
      <c r="N604" s="244">
        <f>'Income Statement'!L26</f>
        <v>2861</v>
      </c>
      <c r="O604" s="232"/>
      <c r="P604" s="244">
        <f>'Income Statement'!Q26+'Income Statement'!R26</f>
        <v>1715</v>
      </c>
      <c r="Q604" s="244">
        <f>'Income Statement'!T26+'Income Statement'!U26</f>
        <v>1682</v>
      </c>
      <c r="R604" s="232"/>
      <c r="S604" s="232"/>
      <c r="T604" s="232"/>
      <c r="U604" s="232"/>
      <c r="V604" s="232"/>
      <c r="W604" s="232"/>
      <c r="X604" s="231"/>
      <c r="Y604" s="231"/>
    </row>
    <row r="605" spans="1:25" ht="21" customHeight="1">
      <c r="A605" s="231" t="s">
        <v>1677</v>
      </c>
      <c r="B605" s="231" t="s">
        <v>1066</v>
      </c>
      <c r="C605" s="334">
        <f>IF(ISNUMBER('Valuation Inputs'!C68),'Valuation Inputs'!C68,"待定")</f>
        <v>100</v>
      </c>
      <c r="D605" s="334">
        <f>IF(ISNUMBER('Valuation Inputs'!D68),'Valuation Inputs'!D68,"待定")</f>
        <v>100</v>
      </c>
      <c r="E605" s="334">
        <f>IF(ISNUMBER('Valuation Inputs'!E68),'Valuation Inputs'!E68,"待定")</f>
        <v>100</v>
      </c>
      <c r="F605" s="334">
        <f>IF(ISNUMBER('Valuation Inputs'!F68),'Valuation Inputs'!F68,"待定")</f>
        <v>100</v>
      </c>
      <c r="G605" s="334">
        <f>IF(ISNUMBER('Valuation Inputs'!G68),'Valuation Inputs'!G68,"待定")</f>
        <v>100</v>
      </c>
      <c r="H605" s="334">
        <f>IF(ISNUMBER('Valuation Inputs'!H68),'Valuation Inputs'!H68,"待定")</f>
        <v>100</v>
      </c>
      <c r="I605" s="232"/>
      <c r="J605" s="244">
        <f>'Income Statement'!H31</f>
        <v>33</v>
      </c>
      <c r="K605" s="244">
        <f>'Income Statement'!I31</f>
        <v>29</v>
      </c>
      <c r="L605" s="244">
        <f>'Income Statement'!J31</f>
        <v>-11</v>
      </c>
      <c r="M605" s="244">
        <f>'Income Statement'!K31</f>
        <v>18</v>
      </c>
      <c r="N605" s="244">
        <f>'Income Statement'!L31</f>
        <v>30</v>
      </c>
      <c r="O605" s="232"/>
      <c r="P605" s="244">
        <f>'Income Statement'!Q31+'Income Statement'!R31</f>
        <v>-2</v>
      </c>
      <c r="Q605" s="244">
        <f>'Income Statement'!T31+'Income Statement'!U31</f>
        <v>55</v>
      </c>
      <c r="R605" s="232"/>
      <c r="S605" s="232"/>
      <c r="T605" s="232"/>
      <c r="U605" s="232"/>
      <c r="V605" s="232"/>
      <c r="W605" s="232"/>
      <c r="X605" s="231"/>
      <c r="Y605" s="231" t="s">
        <v>1678</v>
      </c>
    </row>
    <row r="606" spans="1:25" ht="21" customHeight="1">
      <c r="A606" s="247" t="s">
        <v>1470</v>
      </c>
      <c r="B606" s="247" t="s">
        <v>1066</v>
      </c>
      <c r="C606" s="250">
        <f t="shared" ref="C606:H606" si="33">C602-C604-C605</f>
        <v>14083.369901497656</v>
      </c>
      <c r="D606" s="250">
        <f t="shared" si="33"/>
        <v>14683.976289564156</v>
      </c>
      <c r="E606" s="250">
        <f t="shared" si="33"/>
        <v>15568.115403650991</v>
      </c>
      <c r="F606" s="250">
        <f t="shared" si="33"/>
        <v>16431.044698968795</v>
      </c>
      <c r="G606" s="250">
        <f t="shared" si="33"/>
        <v>17339.199111266564</v>
      </c>
      <c r="H606" s="250">
        <f t="shared" si="33"/>
        <v>18215.219417323486</v>
      </c>
      <c r="I606" s="232"/>
      <c r="J606" s="251">
        <f>'Income Statement'!H32</f>
        <v>9771</v>
      </c>
      <c r="K606" s="251">
        <f>'Income Statement'!I32</f>
        <v>9542</v>
      </c>
      <c r="L606" s="251">
        <f>'Income Statement'!J32</f>
        <v>10714</v>
      </c>
      <c r="M606" s="251">
        <f>'Income Statement'!K32</f>
        <v>10631</v>
      </c>
      <c r="N606" s="251">
        <f>'Income Statement'!L32</f>
        <v>13107</v>
      </c>
      <c r="O606" s="232"/>
      <c r="P606" s="244">
        <f>'Income Statement'!Q32+'Income Statement'!R32</f>
        <v>7140</v>
      </c>
      <c r="Q606" s="244">
        <f>'Income Statement'!T32+'Income Statement'!U32</f>
        <v>8349</v>
      </c>
      <c r="R606" s="232"/>
      <c r="S606" s="232"/>
      <c r="T606" s="232"/>
      <c r="U606" s="232"/>
      <c r="V606" s="232"/>
      <c r="W606" s="232"/>
      <c r="X606" s="231"/>
      <c r="Y606" s="231" t="s">
        <v>1679</v>
      </c>
    </row>
    <row r="607" spans="1:25" ht="21" customHeight="1">
      <c r="A607" s="231" t="s">
        <v>1471</v>
      </c>
      <c r="B607" s="231" t="s">
        <v>1069</v>
      </c>
      <c r="C607" s="232" t="s">
        <v>1680</v>
      </c>
      <c r="D607" s="237">
        <f>D606/C606-1</f>
        <v>4.2646496702655634E-2</v>
      </c>
      <c r="E607" s="237">
        <f>E606/D606-1</f>
        <v>6.0211151029655907E-2</v>
      </c>
      <c r="F607" s="237">
        <f>F606/E606-1</f>
        <v>5.5429271491360677E-2</v>
      </c>
      <c r="G607" s="237">
        <f>G606/F606-1</f>
        <v>5.5270643403140696E-2</v>
      </c>
      <c r="H607" s="237">
        <f>H606/G606-1</f>
        <v>5.0522535697032689E-2</v>
      </c>
      <c r="I607" s="232"/>
      <c r="J607" s="245">
        <f>'Income Statement'!H34</f>
        <v>0.26126242416419254</v>
      </c>
      <c r="K607" s="245">
        <f>'Income Statement'!I34</f>
        <v>-2.3436700440077729E-2</v>
      </c>
      <c r="L607" s="245">
        <f>'Income Statement'!J34</f>
        <v>0.12282540347935433</v>
      </c>
      <c r="M607" s="245">
        <f>'Income Statement'!K34</f>
        <v>-7.7468732499533788E-3</v>
      </c>
      <c r="N607" s="245">
        <f>'Income Statement'!L34</f>
        <v>0.2329037719875835</v>
      </c>
      <c r="O607" s="232"/>
      <c r="P607" s="232"/>
      <c r="Q607" s="232"/>
      <c r="R607" s="232"/>
      <c r="S607" s="232"/>
      <c r="T607" s="232"/>
      <c r="U607" s="232"/>
      <c r="V607" s="232"/>
      <c r="W607" s="232"/>
      <c r="X607" s="231"/>
      <c r="Y607" s="231"/>
    </row>
    <row r="608" spans="1:25" ht="21" customHeight="1">
      <c r="A608" s="247" t="s">
        <v>1681</v>
      </c>
      <c r="B608" s="247" t="s">
        <v>1066</v>
      </c>
      <c r="C608" s="250">
        <f t="shared" ref="C608:H608" si="34">C606+C56*(1-C603)</f>
        <v>14163.469901497656</v>
      </c>
      <c r="D608" s="250">
        <f t="shared" si="34"/>
        <v>14765.463789564155</v>
      </c>
      <c r="E608" s="250">
        <f t="shared" si="34"/>
        <v>15651.64009115099</v>
      </c>
      <c r="F608" s="250">
        <f t="shared" si="34"/>
        <v>16516.657503656294</v>
      </c>
      <c r="G608" s="250">
        <f t="shared" si="34"/>
        <v>17426.952236071251</v>
      </c>
      <c r="H608" s="250">
        <f t="shared" si="34"/>
        <v>18305.166370248291</v>
      </c>
      <c r="I608" s="232"/>
      <c r="J608" s="252" t="s">
        <v>1682</v>
      </c>
      <c r="K608" s="252" t="s">
        <v>1682</v>
      </c>
      <c r="L608" s="252" t="s">
        <v>1682</v>
      </c>
      <c r="M608" s="252" t="s">
        <v>1682</v>
      </c>
      <c r="N608" s="252" t="s">
        <v>1682</v>
      </c>
      <c r="O608" s="232"/>
      <c r="P608" s="232"/>
      <c r="Q608" s="232"/>
      <c r="R608" s="232"/>
      <c r="S608" s="232"/>
      <c r="T608" s="232"/>
      <c r="U608" s="232"/>
      <c r="V608" s="232"/>
      <c r="W608" s="232"/>
      <c r="X608" s="231"/>
      <c r="Y608" s="231" t="s">
        <v>1683</v>
      </c>
    </row>
    <row r="609" spans="1:25" ht="21" customHeight="1">
      <c r="A609" s="231" t="s">
        <v>1684</v>
      </c>
      <c r="B609" s="231" t="s">
        <v>1189</v>
      </c>
      <c r="C609" s="242">
        <f t="shared" ref="C609:H609" si="35">C643</f>
        <v>4313</v>
      </c>
      <c r="D609" s="242">
        <f t="shared" si="35"/>
        <v>4312.5492430000004</v>
      </c>
      <c r="E609" s="242">
        <f t="shared" si="35"/>
        <v>4312.5492430000004</v>
      </c>
      <c r="F609" s="242">
        <f t="shared" si="35"/>
        <v>4312.5492430000004</v>
      </c>
      <c r="G609" s="242">
        <f t="shared" si="35"/>
        <v>4312.5492430000004</v>
      </c>
      <c r="H609" s="242">
        <f t="shared" si="35"/>
        <v>4312.5492430000004</v>
      </c>
      <c r="I609" s="232"/>
      <c r="J609" s="246">
        <f>'Income Statement'!H45</f>
        <v>4340</v>
      </c>
      <c r="K609" s="246">
        <f>'Income Statement'!I45</f>
        <v>4350</v>
      </c>
      <c r="L609" s="246">
        <f>'Income Statement'!J45</f>
        <v>4339</v>
      </c>
      <c r="M609" s="246">
        <f>'Income Statement'!K45</f>
        <v>4320</v>
      </c>
      <c r="N609" s="246">
        <f>'Income Statement'!L45</f>
        <v>4313</v>
      </c>
      <c r="O609" s="232"/>
      <c r="P609" s="232"/>
      <c r="Q609" s="232"/>
      <c r="R609" s="232"/>
      <c r="S609" s="232"/>
      <c r="T609" s="232"/>
      <c r="U609" s="232"/>
      <c r="V609" s="232"/>
      <c r="W609" s="232"/>
      <c r="X609" s="231"/>
      <c r="Y609" s="231"/>
    </row>
    <row r="610" spans="1:25" ht="21" customHeight="1">
      <c r="A610" s="231" t="s">
        <v>1685</v>
      </c>
      <c r="B610" s="231" t="s">
        <v>1455</v>
      </c>
      <c r="C610" s="242">
        <f t="shared" ref="C610:H610" si="36">C608/C609</f>
        <v>3.2839021334332612</v>
      </c>
      <c r="D610" s="242">
        <f t="shared" si="36"/>
        <v>3.4238365656997449</v>
      </c>
      <c r="E610" s="242">
        <f t="shared" si="36"/>
        <v>3.6293243761926335</v>
      </c>
      <c r="F610" s="242">
        <f t="shared" si="36"/>
        <v>3.8299058336471479</v>
      </c>
      <c r="G610" s="242">
        <f t="shared" si="36"/>
        <v>4.04098625989214</v>
      </c>
      <c r="H610" s="242">
        <f t="shared" si="36"/>
        <v>4.244627791777841</v>
      </c>
      <c r="I610" s="232"/>
      <c r="J610" s="242">
        <f>J712</f>
        <v>2.3199999999999998</v>
      </c>
      <c r="K610" s="242">
        <f>K712</f>
        <v>2.48</v>
      </c>
      <c r="L610" s="242">
        <f>L712</f>
        <v>2.69</v>
      </c>
      <c r="M610" s="242">
        <f>M712</f>
        <v>2.88</v>
      </c>
      <c r="N610" s="242">
        <f>N712</f>
        <v>3</v>
      </c>
      <c r="O610" s="232"/>
      <c r="P610" s="232"/>
      <c r="Q610" s="232"/>
      <c r="R610" s="232"/>
      <c r="S610" s="232"/>
      <c r="T610" s="232"/>
      <c r="U610" s="232"/>
      <c r="V610" s="232"/>
      <c r="W610" s="232"/>
      <c r="X610" s="231"/>
      <c r="Y610" s="231"/>
    </row>
    <row r="611" spans="1:25" ht="21" customHeight="1">
      <c r="A611" s="231" t="s">
        <v>1686</v>
      </c>
      <c r="B611" s="231" t="s">
        <v>1455</v>
      </c>
      <c r="C611" s="242">
        <f t="shared" ref="C611:H611" si="37">C606/C609</f>
        <v>3.2653303736372954</v>
      </c>
      <c r="D611" s="242">
        <f t="shared" si="37"/>
        <v>3.4049411292865219</v>
      </c>
      <c r="E611" s="242">
        <f t="shared" si="37"/>
        <v>3.6099565538690799</v>
      </c>
      <c r="F611" s="242">
        <f t="shared" si="37"/>
        <v>3.8100538157655057</v>
      </c>
      <c r="G611" s="242">
        <f t="shared" si="37"/>
        <v>4.0206379415634563</v>
      </c>
      <c r="H611" s="242">
        <f t="shared" si="37"/>
        <v>4.22377076549094</v>
      </c>
      <c r="I611" s="232"/>
      <c r="J611" s="246">
        <f>'Income Statement'!H42</f>
        <v>2.25</v>
      </c>
      <c r="K611" s="246">
        <f>'Income Statement'!I42</f>
        <v>2.19</v>
      </c>
      <c r="L611" s="246">
        <f>'Income Statement'!J42</f>
        <v>2.4700000000000002</v>
      </c>
      <c r="M611" s="246">
        <f>'Income Statement'!K42</f>
        <v>2.46</v>
      </c>
      <c r="N611" s="246">
        <f>'Income Statement'!L42</f>
        <v>3.04</v>
      </c>
      <c r="O611" s="232"/>
      <c r="P611" s="232"/>
      <c r="Q611" s="232"/>
      <c r="R611" s="232"/>
      <c r="S611" s="232"/>
      <c r="T611" s="232"/>
      <c r="U611" s="232"/>
      <c r="V611" s="232"/>
      <c r="W611" s="232"/>
      <c r="X611" s="231"/>
      <c r="Y611" s="231"/>
    </row>
    <row r="612" spans="1:25" ht="21" customHeight="1">
      <c r="A612" s="231" t="s">
        <v>1687</v>
      </c>
      <c r="B612" s="231" t="s">
        <v>1069</v>
      </c>
      <c r="C612" s="232" t="s">
        <v>1680</v>
      </c>
      <c r="D612" s="237">
        <f>D611/C611-1</f>
        <v>4.2755476375798462E-2</v>
      </c>
      <c r="E612" s="237">
        <f>E611/D611-1</f>
        <v>6.0211151029655907E-2</v>
      </c>
      <c r="F612" s="237">
        <f>F611/E611-1</f>
        <v>5.5429271491360677E-2</v>
      </c>
      <c r="G612" s="237">
        <f>G611/F611-1</f>
        <v>5.5270643403140696E-2</v>
      </c>
      <c r="H612" s="237">
        <f>H611/G611-1</f>
        <v>5.0522535697032689E-2</v>
      </c>
      <c r="I612" s="232"/>
      <c r="J612" s="232" t="s">
        <v>1080</v>
      </c>
      <c r="K612" s="237">
        <f>K611/J611-1</f>
        <v>-2.6666666666666727E-2</v>
      </c>
      <c r="L612" s="237">
        <f>L611/K611-1</f>
        <v>0.12785388127853903</v>
      </c>
      <c r="M612" s="237">
        <f>M611/L611-1</f>
        <v>-4.0485829959514552E-3</v>
      </c>
      <c r="N612" s="237">
        <f>N611/M611-1</f>
        <v>0.2357723577235773</v>
      </c>
      <c r="O612" s="232"/>
      <c r="P612" s="232"/>
      <c r="Q612" s="232"/>
      <c r="R612" s="232"/>
      <c r="S612" s="232"/>
      <c r="T612" s="232"/>
      <c r="U612" s="232"/>
      <c r="V612" s="232"/>
      <c r="W612" s="232"/>
      <c r="X612" s="231"/>
      <c r="Y612" s="231"/>
    </row>
    <row r="613" spans="1:25" ht="21" customHeight="1">
      <c r="A613" s="231" t="s">
        <v>1688</v>
      </c>
      <c r="B613" s="231" t="s">
        <v>1455</v>
      </c>
      <c r="C613" s="242">
        <f>N712*(1+9%)</f>
        <v>3.2700000000000005</v>
      </c>
      <c r="D613" s="232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  <c r="T613" s="232"/>
      <c r="U613" s="232"/>
      <c r="V613" s="232"/>
      <c r="W613" s="232"/>
      <c r="X613" s="231"/>
      <c r="Y613" s="231"/>
    </row>
    <row r="614" spans="1:25" ht="21" customHeight="1">
      <c r="A614" s="231" t="s">
        <v>1689</v>
      </c>
      <c r="B614" s="231" t="s">
        <v>1455</v>
      </c>
      <c r="C614" s="242">
        <f>N712*(1+10%)</f>
        <v>3.3000000000000003</v>
      </c>
      <c r="D614" s="232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  <c r="T614" s="232"/>
      <c r="U614" s="232"/>
      <c r="V614" s="232"/>
      <c r="W614" s="232"/>
      <c r="X614" s="231"/>
      <c r="Y614" s="231"/>
    </row>
    <row r="615" spans="1:25" ht="21" customHeight="1">
      <c r="A615" s="231" t="s">
        <v>1690</v>
      </c>
      <c r="B615" s="231" t="s">
        <v>1691</v>
      </c>
      <c r="C615" s="238" t="str">
        <f>IF(AND(C610&gt;=C613,C610&lt;=C614),"范围内","需解释")</f>
        <v>范围内</v>
      </c>
      <c r="D615" s="232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  <c r="T615" s="232"/>
      <c r="U615" s="232"/>
      <c r="V615" s="232"/>
      <c r="W615" s="232"/>
      <c r="X615" s="231"/>
      <c r="Y615" s="231"/>
    </row>
    <row r="616" spans="1:25" ht="21" customHeight="1">
      <c r="A616" s="231"/>
      <c r="B616" s="231"/>
      <c r="C616" s="232"/>
      <c r="D616" s="232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  <c r="T616" s="232"/>
      <c r="U616" s="232"/>
      <c r="V616" s="232"/>
      <c r="W616" s="232"/>
      <c r="X616" s="231"/>
      <c r="Y616" s="231"/>
    </row>
    <row r="617" spans="1:25" ht="25" customHeight="1">
      <c r="A617" s="233" t="s">
        <v>1692</v>
      </c>
      <c r="B617" s="233"/>
      <c r="C617" s="234"/>
      <c r="D617" s="234"/>
      <c r="E617" s="234"/>
      <c r="F617" s="234"/>
      <c r="G617" s="234"/>
      <c r="H617" s="234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  <c r="T617" s="232"/>
      <c r="U617" s="232"/>
      <c r="V617" s="232"/>
      <c r="W617" s="232"/>
      <c r="X617" s="231"/>
      <c r="Y617" s="231"/>
    </row>
    <row r="618" spans="1:25" ht="21" customHeight="1">
      <c r="A618" s="236" t="s">
        <v>1050</v>
      </c>
      <c r="B618" s="236" t="s">
        <v>1051</v>
      </c>
      <c r="C618" s="236" t="s">
        <v>1057</v>
      </c>
      <c r="D618" s="236" t="s">
        <v>1105</v>
      </c>
      <c r="E618" s="236" t="s">
        <v>1106</v>
      </c>
      <c r="F618" s="236" t="s">
        <v>1107</v>
      </c>
      <c r="G618" s="236" t="s">
        <v>1108</v>
      </c>
      <c r="H618" s="236" t="s">
        <v>1109</v>
      </c>
      <c r="I618" s="232"/>
      <c r="J618" s="236" t="s">
        <v>1372</v>
      </c>
      <c r="K618" s="236" t="s">
        <v>1373</v>
      </c>
      <c r="L618" s="236" t="s">
        <v>1374</v>
      </c>
      <c r="M618" s="236" t="s">
        <v>1375</v>
      </c>
      <c r="N618" s="236" t="s">
        <v>1332</v>
      </c>
      <c r="O618" s="232"/>
      <c r="P618" s="235" t="s">
        <v>1376</v>
      </c>
      <c r="Q618" s="235" t="s">
        <v>1056</v>
      </c>
      <c r="R618" s="232"/>
      <c r="S618" s="232"/>
      <c r="T618" s="232"/>
      <c r="U618" s="232"/>
      <c r="V618" s="232"/>
      <c r="W618" s="232"/>
      <c r="X618" s="231"/>
      <c r="Y618" s="231"/>
    </row>
    <row r="619" spans="1:25" ht="21" customHeight="1">
      <c r="A619" s="231" t="s">
        <v>1126</v>
      </c>
      <c r="B619" s="231" t="s">
        <v>1066</v>
      </c>
      <c r="C619" s="238">
        <f t="shared" ref="C619:H619" si="38">C72</f>
        <v>11324.521252394721</v>
      </c>
      <c r="D619" s="238">
        <f t="shared" si="38"/>
        <v>11503.735271204458</v>
      </c>
      <c r="E619" s="238">
        <f t="shared" si="38"/>
        <v>12308.41250658918</v>
      </c>
      <c r="F619" s="238">
        <f t="shared" si="38"/>
        <v>13126.619582942292</v>
      </c>
      <c r="G619" s="238">
        <f t="shared" si="38"/>
        <v>13910.182898050811</v>
      </c>
      <c r="H619" s="238">
        <f t="shared" si="38"/>
        <v>14634.571885670339</v>
      </c>
      <c r="I619" s="232"/>
      <c r="J619" s="232" t="s">
        <v>1693</v>
      </c>
      <c r="K619" s="232" t="s">
        <v>1693</v>
      </c>
      <c r="L619" s="232" t="s">
        <v>1693</v>
      </c>
      <c r="M619" s="232" t="s">
        <v>1693</v>
      </c>
      <c r="N619" s="232" t="s">
        <v>1693</v>
      </c>
      <c r="O619" s="232"/>
      <c r="P619" s="232"/>
      <c r="Q619" s="232"/>
      <c r="R619" s="232"/>
      <c r="S619" s="232"/>
      <c r="T619" s="232"/>
      <c r="U619" s="232"/>
      <c r="V619" s="232"/>
      <c r="W619" s="232"/>
      <c r="X619" s="231"/>
      <c r="Y619" s="231"/>
    </row>
    <row r="620" spans="1:25" ht="21" customHeight="1">
      <c r="A620" s="231" t="s">
        <v>1694</v>
      </c>
      <c r="B620" s="231" t="s">
        <v>1066</v>
      </c>
      <c r="C620" s="238">
        <f t="shared" ref="C620:H620" si="39">C606-C59</f>
        <v>1558.8486491029344</v>
      </c>
      <c r="D620" s="238">
        <f t="shared" si="39"/>
        <v>1594.6429488597005</v>
      </c>
      <c r="E620" s="238">
        <f t="shared" si="39"/>
        <v>1699.6598189368106</v>
      </c>
      <c r="F620" s="238">
        <f t="shared" si="39"/>
        <v>1808.693253754127</v>
      </c>
      <c r="G620" s="238">
        <f t="shared" si="39"/>
        <v>1923.2175801654066</v>
      </c>
      <c r="H620" s="238">
        <f t="shared" si="39"/>
        <v>2042.0050695603495</v>
      </c>
      <c r="I620" s="232"/>
      <c r="J620" s="232" t="s">
        <v>1693</v>
      </c>
      <c r="K620" s="232" t="s">
        <v>1693</v>
      </c>
      <c r="L620" s="232" t="s">
        <v>1693</v>
      </c>
      <c r="M620" s="232" t="s">
        <v>1693</v>
      </c>
      <c r="N620" s="232" t="s">
        <v>1693</v>
      </c>
      <c r="O620" s="232"/>
      <c r="P620" s="232"/>
      <c r="Q620" s="232"/>
      <c r="R620" s="232"/>
      <c r="S620" s="232"/>
      <c r="T620" s="232"/>
      <c r="U620" s="232"/>
      <c r="V620" s="232"/>
      <c r="W620" s="232"/>
      <c r="X620" s="231"/>
      <c r="Y620" s="231" t="s">
        <v>1695</v>
      </c>
    </row>
    <row r="621" spans="1:25" ht="21" customHeight="1">
      <c r="A621" s="231" t="s">
        <v>1696</v>
      </c>
      <c r="B621" s="231" t="s">
        <v>1066</v>
      </c>
      <c r="C621" s="238">
        <f t="shared" ref="C621:H621" si="40">C599</f>
        <v>2100</v>
      </c>
      <c r="D621" s="238">
        <f t="shared" si="40"/>
        <v>2265</v>
      </c>
      <c r="E621" s="238">
        <f t="shared" si="40"/>
        <v>2378.25</v>
      </c>
      <c r="F621" s="238">
        <f t="shared" si="40"/>
        <v>2497.1624999999999</v>
      </c>
      <c r="G621" s="238">
        <f t="shared" si="40"/>
        <v>2622.0206250000001</v>
      </c>
      <c r="H621" s="238">
        <f t="shared" si="40"/>
        <v>2753.1216562500003</v>
      </c>
      <c r="I621" s="232"/>
      <c r="J621" s="244">
        <f>'Income Statement'!H23</f>
        <v>1438</v>
      </c>
      <c r="K621" s="244">
        <f>'Income Statement'!I23</f>
        <v>1472</v>
      </c>
      <c r="L621" s="244">
        <f>'Income Statement'!J23</f>
        <v>1691</v>
      </c>
      <c r="M621" s="244">
        <f>'Income Statement'!K23</f>
        <v>1770</v>
      </c>
      <c r="N621" s="244">
        <f>'Income Statement'!L23</f>
        <v>2031</v>
      </c>
      <c r="O621" s="232"/>
      <c r="P621" s="238">
        <f>P599</f>
        <v>912</v>
      </c>
      <c r="Q621" s="238">
        <f>Q599</f>
        <v>988</v>
      </c>
      <c r="R621" s="232"/>
      <c r="S621" s="232"/>
      <c r="T621" s="232"/>
      <c r="U621" s="232"/>
      <c r="V621" s="232"/>
      <c r="W621" s="232"/>
      <c r="X621" s="231"/>
      <c r="Y621" s="231"/>
    </row>
    <row r="622" spans="1:25" ht="21" customHeight="1">
      <c r="A622" s="231" t="s">
        <v>1697</v>
      </c>
      <c r="B622" s="231" t="s">
        <v>1066</v>
      </c>
      <c r="C622" s="238">
        <f t="shared" ref="C622:H622" si="41">C621*C632</f>
        <v>1050</v>
      </c>
      <c r="D622" s="238">
        <f t="shared" si="41"/>
        <v>1132.5</v>
      </c>
      <c r="E622" s="238">
        <f t="shared" si="41"/>
        <v>1189.125</v>
      </c>
      <c r="F622" s="238">
        <f t="shared" si="41"/>
        <v>1248.58125</v>
      </c>
      <c r="G622" s="238">
        <f t="shared" si="41"/>
        <v>1311.0103125000001</v>
      </c>
      <c r="H622" s="238">
        <f t="shared" si="41"/>
        <v>1376.5608281250002</v>
      </c>
      <c r="I622" s="232"/>
      <c r="J622" s="244">
        <f>J621+'Cash Flow'!H20</f>
        <v>823</v>
      </c>
      <c r="K622" s="244">
        <f>K621+'Cash Flow'!I20</f>
        <v>634</v>
      </c>
      <c r="L622" s="244">
        <f>L621+'Cash Flow'!J20</f>
        <v>672</v>
      </c>
      <c r="M622" s="244">
        <f>M621+'Cash Flow'!K20</f>
        <v>968</v>
      </c>
      <c r="N622" s="244">
        <f>N621+'Cash Flow'!L20</f>
        <v>993</v>
      </c>
      <c r="O622" s="232"/>
      <c r="P622" s="244">
        <f>P621+'Cash Flow'!R20</f>
        <v>525</v>
      </c>
      <c r="Q622" s="244">
        <f>Q621+'Cash Flow'!U20</f>
        <v>468</v>
      </c>
      <c r="R622" s="232"/>
      <c r="S622" s="232"/>
      <c r="T622" s="232"/>
      <c r="U622" s="232"/>
      <c r="V622" s="232"/>
      <c r="W622" s="232"/>
      <c r="X622" s="231"/>
      <c r="Y622" s="231" t="s">
        <v>1698</v>
      </c>
    </row>
    <row r="623" spans="1:25" ht="21" customHeight="1">
      <c r="A623" s="231" t="s">
        <v>1699</v>
      </c>
      <c r="B623" s="231" t="s">
        <v>1066</v>
      </c>
      <c r="C623" s="238">
        <f t="shared" ref="C623:H623" si="42">C601</f>
        <v>300</v>
      </c>
      <c r="D623" s="238">
        <f t="shared" si="42"/>
        <v>300</v>
      </c>
      <c r="E623" s="238">
        <f t="shared" si="42"/>
        <v>300</v>
      </c>
      <c r="F623" s="238">
        <f t="shared" si="42"/>
        <v>300</v>
      </c>
      <c r="G623" s="238">
        <f t="shared" si="42"/>
        <v>300</v>
      </c>
      <c r="H623" s="238">
        <f t="shared" si="42"/>
        <v>300</v>
      </c>
      <c r="I623" s="232"/>
      <c r="J623" s="244">
        <f>'Income Statement'!H24</f>
        <v>2000</v>
      </c>
      <c r="K623" s="244">
        <f>'Income Statement'!I24</f>
        <v>-262</v>
      </c>
      <c r="L623" s="244">
        <f>'Income Statement'!J24</f>
        <v>570</v>
      </c>
      <c r="M623" s="244">
        <f>'Income Statement'!K24</f>
        <v>1992</v>
      </c>
      <c r="N623" s="244">
        <f>'Income Statement'!L24</f>
        <v>1073</v>
      </c>
      <c r="O623" s="232"/>
      <c r="P623" s="232"/>
      <c r="Q623" s="232"/>
      <c r="R623" s="232"/>
      <c r="S623" s="232"/>
      <c r="T623" s="232"/>
      <c r="U623" s="232"/>
      <c r="V623" s="232"/>
      <c r="W623" s="232"/>
      <c r="X623" s="231"/>
      <c r="Y623" s="231"/>
    </row>
    <row r="624" spans="1:25" ht="21" customHeight="1">
      <c r="A624" s="231" t="s">
        <v>1700</v>
      </c>
      <c r="B624" s="231" t="s">
        <v>1066</v>
      </c>
      <c r="C624" s="334">
        <f>IF(ISNUMBER('Valuation Inputs'!C69),'Valuation Inputs'!C69,"待定")</f>
        <v>150</v>
      </c>
      <c r="D624" s="334">
        <f>IF(ISNUMBER('Valuation Inputs'!D69),'Valuation Inputs'!D69,"待定")</f>
        <v>150</v>
      </c>
      <c r="E624" s="334">
        <f>IF(ISNUMBER('Valuation Inputs'!E69),'Valuation Inputs'!E69,"待定")</f>
        <v>150</v>
      </c>
      <c r="F624" s="334">
        <f>IF(ISNUMBER('Valuation Inputs'!F69),'Valuation Inputs'!F69,"待定")</f>
        <v>150</v>
      </c>
      <c r="G624" s="334">
        <f>IF(ISNUMBER('Valuation Inputs'!G69),'Valuation Inputs'!G69,"待定")</f>
        <v>150</v>
      </c>
      <c r="H624" s="334">
        <f>IF(ISNUMBER('Valuation Inputs'!H69),'Valuation Inputs'!H69,"待定")</f>
        <v>150</v>
      </c>
      <c r="I624" s="232"/>
      <c r="J624" s="232" t="s">
        <v>1701</v>
      </c>
      <c r="K624" s="232" t="s">
        <v>1701</v>
      </c>
      <c r="L624" s="232" t="s">
        <v>1701</v>
      </c>
      <c r="M624" s="232" t="s">
        <v>1701</v>
      </c>
      <c r="N624" s="232" t="s">
        <v>1701</v>
      </c>
      <c r="O624" s="232"/>
      <c r="P624" s="232"/>
      <c r="Q624" s="232"/>
      <c r="R624" s="232"/>
      <c r="S624" s="232"/>
      <c r="T624" s="232"/>
      <c r="U624" s="232"/>
      <c r="V624" s="232"/>
      <c r="W624" s="232"/>
      <c r="X624" s="231"/>
      <c r="Y624" s="231" t="s">
        <v>1702</v>
      </c>
    </row>
    <row r="625" spans="1:25" ht="21" customHeight="1">
      <c r="A625" s="231" t="s">
        <v>1703</v>
      </c>
      <c r="B625" s="231" t="s">
        <v>1066</v>
      </c>
      <c r="C625" s="238">
        <f>C436</f>
        <v>250</v>
      </c>
      <c r="D625" s="238">
        <f>$C$625*D49/$C$49</f>
        <v>250.89059934058605</v>
      </c>
      <c r="E625" s="238">
        <f>$C$625*E49/$C$49</f>
        <v>263.43512930761534</v>
      </c>
      <c r="F625" s="238">
        <f>$C$625*F49/$C$49</f>
        <v>275.28971012645803</v>
      </c>
      <c r="G625" s="238">
        <f>$C$625*G49/$C$49</f>
        <v>287.67774708214864</v>
      </c>
      <c r="H625" s="238">
        <f>$C$625*H49/$C$49</f>
        <v>299.18485696543456</v>
      </c>
      <c r="I625" s="232"/>
      <c r="J625" s="244">
        <f>'Cash Flow'!H18</f>
        <v>337</v>
      </c>
      <c r="K625" s="244">
        <f>'Cash Flow'!I18</f>
        <v>356</v>
      </c>
      <c r="L625" s="244">
        <f>'Cash Flow'!J18</f>
        <v>254</v>
      </c>
      <c r="M625" s="244">
        <f>'Cash Flow'!K18</f>
        <v>286</v>
      </c>
      <c r="N625" s="244">
        <f>'Cash Flow'!L18</f>
        <v>279</v>
      </c>
      <c r="O625" s="232"/>
      <c r="P625" s="244">
        <f>'Cash Flow'!R18</f>
        <v>130</v>
      </c>
      <c r="Q625" s="244">
        <f>'Cash Flow'!U18</f>
        <v>117</v>
      </c>
      <c r="R625" s="232"/>
      <c r="S625" s="232"/>
      <c r="T625" s="232"/>
      <c r="U625" s="232"/>
      <c r="V625" s="232"/>
      <c r="W625" s="232"/>
      <c r="X625" s="231"/>
      <c r="Y625" s="231" t="s">
        <v>1704</v>
      </c>
    </row>
    <row r="626" spans="1:25" ht="21" customHeight="1">
      <c r="A626" s="247" t="s">
        <v>1705</v>
      </c>
      <c r="B626" s="247" t="s">
        <v>1066</v>
      </c>
      <c r="C626" s="250">
        <f t="shared" ref="C626:H626" si="43">IF(COUNT(C619:C625)=7,C619+C620-C621+C622-C623+C624+C625,"待定")</f>
        <v>11933.369901497656</v>
      </c>
      <c r="D626" s="250">
        <f t="shared" si="43"/>
        <v>12066.768819404744</v>
      </c>
      <c r="E626" s="250">
        <f t="shared" si="43"/>
        <v>12932.382454833607</v>
      </c>
      <c r="F626" s="250">
        <f t="shared" si="43"/>
        <v>13812.021296822877</v>
      </c>
      <c r="G626" s="250">
        <f t="shared" si="43"/>
        <v>14660.067912798368</v>
      </c>
      <c r="H626" s="250">
        <f t="shared" si="43"/>
        <v>15449.200984071122</v>
      </c>
      <c r="I626" s="232"/>
      <c r="J626" s="251">
        <f>'Cash Flow'!H71</f>
        <v>11258</v>
      </c>
      <c r="K626" s="251">
        <f>'Cash Flow'!I71</f>
        <v>9534</v>
      </c>
      <c r="L626" s="251">
        <f>'Cash Flow'!J71</f>
        <v>9747</v>
      </c>
      <c r="M626" s="251">
        <f>'Cash Flow'!K71</f>
        <v>4741</v>
      </c>
      <c r="N626" s="251">
        <f>'Cash Flow'!L71</f>
        <v>5296</v>
      </c>
      <c r="O626" s="232"/>
      <c r="P626" s="244">
        <f>'Cash Flow'!R26+'Cash Flow'!R32</f>
        <v>-2142</v>
      </c>
      <c r="Q626" s="244">
        <f>'Cash Flow'!U26+'Cash Flow'!U32</f>
        <v>6859</v>
      </c>
      <c r="R626" s="232"/>
      <c r="S626" s="232"/>
      <c r="T626" s="232"/>
      <c r="U626" s="232"/>
      <c r="V626" s="232"/>
      <c r="W626" s="232"/>
      <c r="X626" s="231"/>
      <c r="Y626" s="231" t="s">
        <v>1706</v>
      </c>
    </row>
    <row r="627" spans="1:25" ht="21" customHeight="1">
      <c r="A627" s="231" t="s">
        <v>1707</v>
      </c>
      <c r="B627" s="231" t="s">
        <v>1066</v>
      </c>
      <c r="C627" s="238">
        <f>H30</f>
        <v>12400</v>
      </c>
      <c r="D627" s="232" t="s">
        <v>1708</v>
      </c>
      <c r="E627" s="232" t="s">
        <v>1708</v>
      </c>
      <c r="F627" s="232" t="s">
        <v>1708</v>
      </c>
      <c r="G627" s="232" t="s">
        <v>1708</v>
      </c>
      <c r="H627" s="232" t="s">
        <v>1708</v>
      </c>
      <c r="I627" s="232"/>
      <c r="J627" s="232" t="s">
        <v>1709</v>
      </c>
      <c r="K627" s="232" t="s">
        <v>1709</v>
      </c>
      <c r="L627" s="232" t="s">
        <v>1709</v>
      </c>
      <c r="M627" s="232" t="s">
        <v>1709</v>
      </c>
      <c r="N627" s="232" t="s">
        <v>1709</v>
      </c>
      <c r="O627" s="232"/>
      <c r="P627" s="232"/>
      <c r="Q627" s="232"/>
      <c r="R627" s="232"/>
      <c r="S627" s="232"/>
      <c r="T627" s="232"/>
      <c r="U627" s="232"/>
      <c r="V627" s="232"/>
      <c r="W627" s="232"/>
      <c r="X627" s="231"/>
      <c r="Y627" s="231"/>
    </row>
    <row r="628" spans="1:25" ht="21" customHeight="1">
      <c r="A628" s="247" t="s">
        <v>1710</v>
      </c>
      <c r="B628" s="247" t="s">
        <v>1066</v>
      </c>
      <c r="C628" s="250">
        <f>C627</f>
        <v>12400</v>
      </c>
      <c r="D628" s="250">
        <f>D626</f>
        <v>12066.768819404744</v>
      </c>
      <c r="E628" s="250">
        <f>E626</f>
        <v>12932.382454833607</v>
      </c>
      <c r="F628" s="250">
        <f>F626</f>
        <v>13812.021296822877</v>
      </c>
      <c r="G628" s="250">
        <f>G626</f>
        <v>14660.067912798368</v>
      </c>
      <c r="H628" s="250">
        <f>H626</f>
        <v>15449.200984071122</v>
      </c>
      <c r="I628" s="232"/>
      <c r="J628" s="250">
        <f>J626+0</f>
        <v>11258</v>
      </c>
      <c r="K628" s="250">
        <f>K626+0</f>
        <v>9534</v>
      </c>
      <c r="L628" s="250">
        <f>L626+0</f>
        <v>9747</v>
      </c>
      <c r="M628" s="250">
        <f>M626+6000</f>
        <v>10741</v>
      </c>
      <c r="N628" s="250">
        <f>N626+6069</f>
        <v>11365</v>
      </c>
      <c r="O628" s="232"/>
      <c r="P628" s="238">
        <f>P626+6069</f>
        <v>3927</v>
      </c>
      <c r="Q628" s="238">
        <f>Q626+0</f>
        <v>6859</v>
      </c>
      <c r="R628" s="232"/>
      <c r="S628" s="232"/>
      <c r="T628" s="232"/>
      <c r="U628" s="232"/>
      <c r="V628" s="232"/>
      <c r="W628" s="232"/>
      <c r="X628" s="231"/>
      <c r="Y628" s="231" t="s">
        <v>1711</v>
      </c>
    </row>
    <row r="629" spans="1:25" ht="21" customHeight="1">
      <c r="A629" s="231" t="s">
        <v>1712</v>
      </c>
      <c r="B629" s="231" t="s">
        <v>1069</v>
      </c>
      <c r="C629" s="237">
        <f t="shared" ref="C629:H629" si="44">IF(ISNUMBER(C628),C628/C606,"待定")</f>
        <v>0.88047108658854145</v>
      </c>
      <c r="D629" s="237">
        <f t="shared" si="44"/>
        <v>0.82176439007059343</v>
      </c>
      <c r="E629" s="237">
        <f t="shared" si="44"/>
        <v>0.83069672336837519</v>
      </c>
      <c r="F629" s="237">
        <f t="shared" si="44"/>
        <v>0.84060518061214407</v>
      </c>
      <c r="G629" s="237">
        <f t="shared" si="44"/>
        <v>0.84548702732599879</v>
      </c>
      <c r="H629" s="237">
        <f t="shared" si="44"/>
        <v>0.84814794870811394</v>
      </c>
      <c r="I629" s="232"/>
      <c r="J629" s="237">
        <f>J628/J606</f>
        <v>1.1521850373554396</v>
      </c>
      <c r="K629" s="237">
        <f>K628/K606</f>
        <v>0.99916160134143783</v>
      </c>
      <c r="L629" s="237">
        <f>L628/L606</f>
        <v>0.9097442598469293</v>
      </c>
      <c r="M629" s="237">
        <f>M628/M606</f>
        <v>1.010347098109303</v>
      </c>
      <c r="N629" s="237">
        <f>N628/N606</f>
        <v>0.86709391927977419</v>
      </c>
      <c r="O629" s="232"/>
      <c r="P629" s="237">
        <f>P628/P606</f>
        <v>0.55000000000000004</v>
      </c>
      <c r="Q629" s="237">
        <f>Q628/Q606</f>
        <v>0.82153551323511798</v>
      </c>
      <c r="R629" s="232"/>
      <c r="S629" s="232"/>
      <c r="T629" s="232"/>
      <c r="U629" s="232"/>
      <c r="V629" s="232"/>
      <c r="W629" s="232"/>
      <c r="X629" s="231"/>
      <c r="Y629" s="231" t="s">
        <v>1713</v>
      </c>
    </row>
    <row r="630" spans="1:25" ht="21" customHeight="1">
      <c r="A630" s="231" t="s">
        <v>1714</v>
      </c>
      <c r="B630" s="231" t="s">
        <v>1066</v>
      </c>
      <c r="C630" s="238">
        <f>C627-C626</f>
        <v>466.63009850234448</v>
      </c>
      <c r="D630" s="232" t="s">
        <v>1483</v>
      </c>
      <c r="E630" s="232" t="s">
        <v>1483</v>
      </c>
      <c r="F630" s="232" t="s">
        <v>1483</v>
      </c>
      <c r="G630" s="232" t="s">
        <v>1483</v>
      </c>
      <c r="H630" s="232" t="s">
        <v>1483</v>
      </c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  <c r="T630" s="232"/>
      <c r="U630" s="232"/>
      <c r="V630" s="232"/>
      <c r="W630" s="232"/>
      <c r="X630" s="231"/>
      <c r="Y630" s="231" t="s">
        <v>1715</v>
      </c>
    </row>
    <row r="631" spans="1:25" ht="21" customHeight="1">
      <c r="A631" s="231" t="s">
        <v>1716</v>
      </c>
      <c r="B631" s="231" t="s">
        <v>1066</v>
      </c>
      <c r="C631" s="238">
        <f t="shared" ref="C631:H631" si="45">IF(ISNUMBER(C628),C628-C625,"待定")</f>
        <v>12150</v>
      </c>
      <c r="D631" s="238">
        <f t="shared" si="45"/>
        <v>11815.878220064158</v>
      </c>
      <c r="E631" s="238">
        <f t="shared" si="45"/>
        <v>12668.947325525991</v>
      </c>
      <c r="F631" s="238">
        <f t="shared" si="45"/>
        <v>13536.731586696418</v>
      </c>
      <c r="G631" s="238">
        <f t="shared" si="45"/>
        <v>14372.390165716219</v>
      </c>
      <c r="H631" s="238">
        <f t="shared" si="45"/>
        <v>15150.016127105688</v>
      </c>
      <c r="I631" s="232"/>
      <c r="J631" s="238">
        <f>J628-J625</f>
        <v>10921</v>
      </c>
      <c r="K631" s="238">
        <f>K628-K625</f>
        <v>9178</v>
      </c>
      <c r="L631" s="238">
        <f>L628-L625</f>
        <v>9493</v>
      </c>
      <c r="M631" s="238">
        <f>M628-M625</f>
        <v>10455</v>
      </c>
      <c r="N631" s="238">
        <f>N628-N625</f>
        <v>11086</v>
      </c>
      <c r="O631" s="232"/>
      <c r="P631" s="232"/>
      <c r="Q631" s="232"/>
      <c r="R631" s="232"/>
      <c r="S631" s="232"/>
      <c r="T631" s="232"/>
      <c r="U631" s="232"/>
      <c r="V631" s="232"/>
      <c r="W631" s="232"/>
      <c r="X631" s="231"/>
      <c r="Y631" s="231"/>
    </row>
    <row r="632" spans="1:25" ht="21" customHeight="1">
      <c r="A632" s="231" t="s">
        <v>1717</v>
      </c>
      <c r="B632" s="231" t="s">
        <v>1069</v>
      </c>
      <c r="C632" s="330">
        <f>IF(ISNUMBER('Valuation Inputs'!C70),'Valuation Inputs'!C70,"待定")</f>
        <v>0.5</v>
      </c>
      <c r="D632" s="330">
        <f>IF(ISNUMBER('Valuation Inputs'!D70),'Valuation Inputs'!D70,"待定")</f>
        <v>0.5</v>
      </c>
      <c r="E632" s="330">
        <f>IF(ISNUMBER('Valuation Inputs'!E70),'Valuation Inputs'!E70,"待定")</f>
        <v>0.5</v>
      </c>
      <c r="F632" s="330">
        <f>IF(ISNUMBER('Valuation Inputs'!F70),'Valuation Inputs'!F70,"待定")</f>
        <v>0.5</v>
      </c>
      <c r="G632" s="330">
        <f>IF(ISNUMBER('Valuation Inputs'!G70),'Valuation Inputs'!G70,"待定")</f>
        <v>0.5</v>
      </c>
      <c r="H632" s="330">
        <f>IF(ISNUMBER('Valuation Inputs'!H70),'Valuation Inputs'!H70,"待定")</f>
        <v>0.5</v>
      </c>
      <c r="I632" s="232"/>
      <c r="J632" s="237">
        <f>J622/J621</f>
        <v>0.57232267037552154</v>
      </c>
      <c r="K632" s="237">
        <f>K622/K621</f>
        <v>0.43070652173913043</v>
      </c>
      <c r="L632" s="237">
        <f>L622/L621</f>
        <v>0.39739798935541099</v>
      </c>
      <c r="M632" s="237">
        <f>M622/M621</f>
        <v>0.54689265536723164</v>
      </c>
      <c r="N632" s="237">
        <f>N622/N621</f>
        <v>0.48892171344165436</v>
      </c>
      <c r="O632" s="232"/>
      <c r="P632" s="237">
        <f>P622/P621</f>
        <v>0.57565789473684215</v>
      </c>
      <c r="Q632" s="237">
        <f>Q622/Q621</f>
        <v>0.47368421052631576</v>
      </c>
      <c r="R632" s="232"/>
      <c r="S632" s="232"/>
      <c r="T632" s="232"/>
      <c r="U632" s="232"/>
      <c r="V632" s="232"/>
      <c r="W632" s="232"/>
      <c r="X632" s="231"/>
      <c r="Y632" s="231"/>
    </row>
    <row r="633" spans="1:25" ht="21" customHeight="1">
      <c r="A633" s="231"/>
      <c r="B633" s="231"/>
      <c r="C633" s="232"/>
      <c r="D633" s="232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  <c r="T633" s="232"/>
      <c r="U633" s="232"/>
      <c r="V633" s="232"/>
      <c r="W633" s="232"/>
      <c r="X633" s="231"/>
      <c r="Y633" s="231"/>
    </row>
    <row r="634" spans="1:25" ht="25" customHeight="1">
      <c r="A634" s="233" t="s">
        <v>1718</v>
      </c>
      <c r="B634" s="233"/>
      <c r="C634" s="234"/>
      <c r="D634" s="234"/>
      <c r="E634" s="234"/>
      <c r="F634" s="234"/>
      <c r="G634" s="234"/>
      <c r="H634" s="234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  <c r="T634" s="232"/>
      <c r="U634" s="232"/>
      <c r="V634" s="232"/>
      <c r="W634" s="232"/>
      <c r="X634" s="231"/>
      <c r="Y634" s="231"/>
    </row>
    <row r="635" spans="1:25" ht="21" customHeight="1">
      <c r="A635" s="236" t="s">
        <v>1050</v>
      </c>
      <c r="B635" s="236" t="s">
        <v>1051</v>
      </c>
      <c r="C635" s="236" t="s">
        <v>1057</v>
      </c>
      <c r="D635" s="236" t="s">
        <v>1105</v>
      </c>
      <c r="E635" s="236" t="s">
        <v>1106</v>
      </c>
      <c r="F635" s="236" t="s">
        <v>1107</v>
      </c>
      <c r="G635" s="236" t="s">
        <v>1108</v>
      </c>
      <c r="H635" s="236" t="s">
        <v>1109</v>
      </c>
      <c r="I635" s="232"/>
      <c r="J635" s="236" t="s">
        <v>1372</v>
      </c>
      <c r="K635" s="236" t="s">
        <v>1373</v>
      </c>
      <c r="L635" s="236" t="s">
        <v>1374</v>
      </c>
      <c r="M635" s="236" t="s">
        <v>1375</v>
      </c>
      <c r="N635" s="236" t="s">
        <v>1332</v>
      </c>
      <c r="O635" s="232"/>
      <c r="P635" s="235" t="s">
        <v>1376</v>
      </c>
      <c r="Q635" s="235" t="s">
        <v>1056</v>
      </c>
      <c r="R635" s="232"/>
      <c r="S635" s="232"/>
      <c r="T635" s="232"/>
      <c r="U635" s="232"/>
      <c r="V635" s="232"/>
      <c r="W635" s="232"/>
      <c r="X635" s="231"/>
      <c r="Y635" s="231"/>
    </row>
    <row r="636" spans="1:25" ht="21" customHeight="1">
      <c r="A636" s="231" t="s">
        <v>1719</v>
      </c>
      <c r="B636" s="231" t="s">
        <v>1189</v>
      </c>
      <c r="C636" s="242">
        <f>$C$677</f>
        <v>4302.5492430000004</v>
      </c>
      <c r="D636" s="242">
        <f>C641</f>
        <v>4302.5492430000004</v>
      </c>
      <c r="E636" s="242">
        <f>D641</f>
        <v>4302.5492430000004</v>
      </c>
      <c r="F636" s="242">
        <f>E641</f>
        <v>4302.5492430000004</v>
      </c>
      <c r="G636" s="242">
        <f>F641</f>
        <v>4302.5492430000004</v>
      </c>
      <c r="H636" s="242">
        <f>G641</f>
        <v>4302.5492430000004</v>
      </c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  <c r="T636" s="232"/>
      <c r="U636" s="232"/>
      <c r="V636" s="232"/>
      <c r="W636" s="232"/>
      <c r="X636" s="231"/>
      <c r="Y636" s="231"/>
    </row>
    <row r="637" spans="1:25" ht="21" customHeight="1">
      <c r="A637" s="231" t="s">
        <v>1720</v>
      </c>
      <c r="B637" s="231" t="s">
        <v>1069</v>
      </c>
      <c r="C637" s="332">
        <f>IF(ISNUMBER('Valuation Inputs'!C114),'Valuation Inputs'!C114,"待定")</f>
        <v>0</v>
      </c>
      <c r="D637" s="257">
        <f>D774</f>
        <v>0</v>
      </c>
      <c r="E637" s="257">
        <f>E774</f>
        <v>0</v>
      </c>
      <c r="F637" s="257">
        <f>F774</f>
        <v>0</v>
      </c>
      <c r="G637" s="257">
        <f>G774</f>
        <v>0</v>
      </c>
      <c r="H637" s="257">
        <f>H774</f>
        <v>0</v>
      </c>
      <c r="I637" s="232"/>
      <c r="J637" s="232" t="s">
        <v>1080</v>
      </c>
      <c r="K637" s="237">
        <f>1-K716/J716</f>
        <v>-6.9364161849705397E-4</v>
      </c>
      <c r="L637" s="237">
        <f>1-L716/K716</f>
        <v>4.6210720887245316E-3</v>
      </c>
      <c r="M637" s="237">
        <f>1-M716/L716</f>
        <v>1.3927576601671099E-3</v>
      </c>
      <c r="N637" s="237">
        <f>1-N716/M716</f>
        <v>0</v>
      </c>
      <c r="O637" s="232"/>
      <c r="P637" s="232"/>
      <c r="Q637" s="232"/>
      <c r="R637" s="232"/>
      <c r="S637" s="232"/>
      <c r="T637" s="232"/>
      <c r="U637" s="232"/>
      <c r="V637" s="232"/>
      <c r="W637" s="232"/>
      <c r="X637" s="231"/>
      <c r="Y637" s="231" t="s">
        <v>1721</v>
      </c>
    </row>
    <row r="638" spans="1:25" ht="21" customHeight="1">
      <c r="A638" s="231" t="s">
        <v>1722</v>
      </c>
      <c r="B638" s="231" t="s">
        <v>1069</v>
      </c>
      <c r="C638" s="257">
        <f>$D$687*$C$682/365</f>
        <v>6.246575342465754E-4</v>
      </c>
      <c r="D638" s="257">
        <f>$D$687</f>
        <v>3.0000000000000001E-3</v>
      </c>
      <c r="E638" s="257">
        <f>$D$687</f>
        <v>3.0000000000000001E-3</v>
      </c>
      <c r="F638" s="257">
        <f>$D$687</f>
        <v>3.0000000000000001E-3</v>
      </c>
      <c r="G638" s="257">
        <f>$D$687</f>
        <v>3.0000000000000001E-3</v>
      </c>
      <c r="H638" s="257">
        <f>$D$687</f>
        <v>3.0000000000000001E-3</v>
      </c>
      <c r="I638" s="232"/>
      <c r="J638" s="237" t="str">
        <f>J720</f>
        <v>未桥接</v>
      </c>
      <c r="K638" s="237">
        <f>K720</f>
        <v>5.6184971098265897E-3</v>
      </c>
      <c r="L638" s="237">
        <f>L720</f>
        <v>3.9048059149722732E-3</v>
      </c>
      <c r="M638" s="237">
        <f>M720</f>
        <v>4.7585886722376972E-3</v>
      </c>
      <c r="N638" s="237">
        <f>N720</f>
        <v>2.1850302185030218E-3</v>
      </c>
      <c r="O638" s="232"/>
      <c r="P638" s="232"/>
      <c r="Q638" s="232"/>
      <c r="R638" s="232"/>
      <c r="S638" s="232"/>
      <c r="T638" s="232"/>
      <c r="U638" s="232"/>
      <c r="V638" s="232"/>
      <c r="W638" s="232"/>
      <c r="X638" s="231"/>
      <c r="Y638" s="231" t="s">
        <v>1723</v>
      </c>
    </row>
    <row r="639" spans="1:25" ht="21" customHeight="1">
      <c r="A639" s="231" t="s">
        <v>1724</v>
      </c>
      <c r="B639" s="231" t="s">
        <v>1189</v>
      </c>
      <c r="C639" s="242">
        <f t="shared" ref="C639:H639" si="46">C636*C638</f>
        <v>2.6876198011068499</v>
      </c>
      <c r="D639" s="242">
        <f t="shared" si="46"/>
        <v>12.907647729000001</v>
      </c>
      <c r="E639" s="242">
        <f t="shared" si="46"/>
        <v>12.907647729000001</v>
      </c>
      <c r="F639" s="242">
        <f t="shared" si="46"/>
        <v>12.907647729000001</v>
      </c>
      <c r="G639" s="242">
        <f t="shared" si="46"/>
        <v>12.907647729000001</v>
      </c>
      <c r="H639" s="242">
        <f t="shared" si="46"/>
        <v>12.907647729000001</v>
      </c>
      <c r="I639" s="232"/>
      <c r="J639" s="238" t="str">
        <f>J719</f>
        <v>未桥接</v>
      </c>
      <c r="K639" s="238">
        <f>K719</f>
        <v>24.3</v>
      </c>
      <c r="L639" s="238">
        <f>L719</f>
        <v>16.899999999999999</v>
      </c>
      <c r="M639" s="238">
        <f>M719</f>
        <v>20.5</v>
      </c>
      <c r="N639" s="238">
        <f>N719</f>
        <v>9.4</v>
      </c>
      <c r="O639" s="232"/>
      <c r="P639" s="232"/>
      <c r="Q639" s="232"/>
      <c r="R639" s="232"/>
      <c r="S639" s="232"/>
      <c r="T639" s="232"/>
      <c r="U639" s="232"/>
      <c r="V639" s="232"/>
      <c r="W639" s="232"/>
      <c r="X639" s="231"/>
      <c r="Y639" s="231"/>
    </row>
    <row r="640" spans="1:25" ht="21" customHeight="1">
      <c r="A640" s="231" t="s">
        <v>1725</v>
      </c>
      <c r="B640" s="231" t="s">
        <v>1189</v>
      </c>
      <c r="C640" s="242">
        <f t="shared" ref="C640:H640" si="47">C636*(C637+C638)</f>
        <v>2.6876198011068499</v>
      </c>
      <c r="D640" s="242">
        <f t="shared" si="47"/>
        <v>12.907647729000001</v>
      </c>
      <c r="E640" s="242">
        <f t="shared" si="47"/>
        <v>12.907647729000001</v>
      </c>
      <c r="F640" s="242">
        <f t="shared" si="47"/>
        <v>12.907647729000001</v>
      </c>
      <c r="G640" s="242">
        <f t="shared" si="47"/>
        <v>12.907647729000001</v>
      </c>
      <c r="H640" s="242">
        <f t="shared" si="47"/>
        <v>12.907647729000001</v>
      </c>
      <c r="I640" s="232"/>
      <c r="J640" s="238">
        <f>J718</f>
        <v>0</v>
      </c>
      <c r="K640" s="238">
        <f>K718</f>
        <v>21.3</v>
      </c>
      <c r="L640" s="238">
        <f>L718</f>
        <v>36.9</v>
      </c>
      <c r="M640" s="238">
        <f>M718</f>
        <v>26.5</v>
      </c>
      <c r="N640" s="238">
        <f>N718</f>
        <v>9.4</v>
      </c>
      <c r="O640" s="232"/>
      <c r="P640" s="232"/>
      <c r="Q640" s="232"/>
      <c r="R640" s="232"/>
      <c r="S640" s="232"/>
      <c r="T640" s="232"/>
      <c r="U640" s="232"/>
      <c r="V640" s="232"/>
      <c r="W640" s="232"/>
      <c r="X640" s="231"/>
      <c r="Y640" s="231" t="s">
        <v>1726</v>
      </c>
    </row>
    <row r="641" spans="1:25" ht="21" customHeight="1">
      <c r="A641" s="247" t="s">
        <v>1727</v>
      </c>
      <c r="B641" s="247" t="s">
        <v>1189</v>
      </c>
      <c r="C641" s="253">
        <f t="shared" ref="C641:H641" si="48">C636+C639-C640</f>
        <v>4302.5492430000004</v>
      </c>
      <c r="D641" s="253">
        <f t="shared" si="48"/>
        <v>4302.5492430000004</v>
      </c>
      <c r="E641" s="253">
        <f t="shared" si="48"/>
        <v>4302.5492430000004</v>
      </c>
      <c r="F641" s="253">
        <f t="shared" si="48"/>
        <v>4302.5492430000004</v>
      </c>
      <c r="G641" s="253">
        <f t="shared" si="48"/>
        <v>4302.5492430000004</v>
      </c>
      <c r="H641" s="253">
        <f t="shared" si="48"/>
        <v>4302.5492430000004</v>
      </c>
      <c r="I641" s="232"/>
      <c r="J641" s="250">
        <f>J716</f>
        <v>4325</v>
      </c>
      <c r="K641" s="250">
        <f>K716</f>
        <v>4328</v>
      </c>
      <c r="L641" s="250">
        <f>L716</f>
        <v>4308</v>
      </c>
      <c r="M641" s="250">
        <f>M716</f>
        <v>4302</v>
      </c>
      <c r="N641" s="250">
        <f>N716</f>
        <v>4302</v>
      </c>
      <c r="O641" s="232"/>
      <c r="P641" s="232"/>
      <c r="Q641" s="232"/>
      <c r="R641" s="232"/>
      <c r="S641" s="232"/>
      <c r="T641" s="232"/>
      <c r="U641" s="232"/>
      <c r="V641" s="232"/>
      <c r="W641" s="232"/>
      <c r="X641" s="231"/>
      <c r="Y641" s="231"/>
    </row>
    <row r="642" spans="1:25" ht="21" customHeight="1">
      <c r="A642" s="231" t="s">
        <v>1728</v>
      </c>
      <c r="B642" s="231" t="s">
        <v>1189</v>
      </c>
      <c r="C642" s="334">
        <f>IF(ISNUMBER('Valuation Inputs'!C71),'Valuation Inputs'!C71,"待定")</f>
        <v>10</v>
      </c>
      <c r="D642" s="334">
        <f>IF(ISNUMBER('Valuation Inputs'!D71),'Valuation Inputs'!D71,"待定")</f>
        <v>10</v>
      </c>
      <c r="E642" s="334">
        <f>IF(ISNUMBER('Valuation Inputs'!E71),'Valuation Inputs'!E71,"待定")</f>
        <v>10</v>
      </c>
      <c r="F642" s="334">
        <f>IF(ISNUMBER('Valuation Inputs'!F71),'Valuation Inputs'!F71,"待定")</f>
        <v>10</v>
      </c>
      <c r="G642" s="334">
        <f>IF(ISNUMBER('Valuation Inputs'!G71),'Valuation Inputs'!G71,"待定")</f>
        <v>10</v>
      </c>
      <c r="H642" s="334">
        <f>IF(ISNUMBER('Valuation Inputs'!H71),'Valuation Inputs'!H71,"待定")</f>
        <v>10</v>
      </c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  <c r="T642" s="232"/>
      <c r="U642" s="232"/>
      <c r="V642" s="232"/>
      <c r="W642" s="232"/>
      <c r="X642" s="231"/>
      <c r="Y642" s="231"/>
    </row>
    <row r="643" spans="1:25" ht="21" customHeight="1">
      <c r="A643" s="231" t="s">
        <v>1729</v>
      </c>
      <c r="B643" s="231" t="s">
        <v>1189</v>
      </c>
      <c r="C643" s="334">
        <f>IF(ISNUMBER('Valuation Inputs'!C115),'Valuation Inputs'!C115,"待定")</f>
        <v>4313</v>
      </c>
      <c r="D643" s="242">
        <f>AVERAGE(D636,D641)+D642</f>
        <v>4312.5492430000004</v>
      </c>
      <c r="E643" s="242">
        <f>AVERAGE(E636,E641)+E642</f>
        <v>4312.5492430000004</v>
      </c>
      <c r="F643" s="242">
        <f>AVERAGE(F636,F641)+F642</f>
        <v>4312.5492430000004</v>
      </c>
      <c r="G643" s="242">
        <f>AVERAGE(G636,G641)+G642</f>
        <v>4312.5492430000004</v>
      </c>
      <c r="H643" s="242">
        <f>AVERAGE(H636,H641)+H642</f>
        <v>4312.5492430000004</v>
      </c>
      <c r="I643" s="232"/>
      <c r="J643" s="238">
        <f>J717</f>
        <v>4340</v>
      </c>
      <c r="K643" s="238">
        <f>K717</f>
        <v>4350</v>
      </c>
      <c r="L643" s="238">
        <f>L717</f>
        <v>4339</v>
      </c>
      <c r="M643" s="238">
        <f>M717</f>
        <v>4320</v>
      </c>
      <c r="N643" s="238">
        <f>N717</f>
        <v>4313</v>
      </c>
      <c r="O643" s="232"/>
      <c r="P643" s="232"/>
      <c r="Q643" s="232"/>
      <c r="R643" s="232"/>
      <c r="S643" s="232"/>
      <c r="T643" s="232"/>
      <c r="U643" s="232"/>
      <c r="V643" s="232"/>
      <c r="W643" s="232"/>
      <c r="X643" s="231"/>
      <c r="Y643" s="231" t="s">
        <v>1730</v>
      </c>
    </row>
    <row r="644" spans="1:25" ht="21" customHeight="1">
      <c r="A644" s="231" t="s">
        <v>1731</v>
      </c>
      <c r="B644" s="231" t="s">
        <v>1169</v>
      </c>
      <c r="C644" s="242">
        <f t="shared" ref="C644:H644" si="49">$C$696</f>
        <v>24</v>
      </c>
      <c r="D644" s="242">
        <f t="shared" si="49"/>
        <v>24</v>
      </c>
      <c r="E644" s="242">
        <f t="shared" si="49"/>
        <v>24</v>
      </c>
      <c r="F644" s="242">
        <f t="shared" si="49"/>
        <v>24</v>
      </c>
      <c r="G644" s="242">
        <f t="shared" si="49"/>
        <v>24</v>
      </c>
      <c r="H644" s="242">
        <f t="shared" si="49"/>
        <v>24</v>
      </c>
      <c r="I644" s="232"/>
      <c r="J644" s="232" t="s">
        <v>1732</v>
      </c>
      <c r="K644" s="232" t="s">
        <v>1732</v>
      </c>
      <c r="L644" s="232" t="s">
        <v>1732</v>
      </c>
      <c r="M644" s="232" t="s">
        <v>1732</v>
      </c>
      <c r="N644" s="232" t="s">
        <v>1732</v>
      </c>
      <c r="O644" s="232"/>
      <c r="P644" s="232"/>
      <c r="Q644" s="232"/>
      <c r="R644" s="232"/>
      <c r="S644" s="232"/>
      <c r="T644" s="232"/>
      <c r="U644" s="232"/>
      <c r="V644" s="232"/>
      <c r="W644" s="232"/>
      <c r="X644" s="231"/>
      <c r="Y644" s="231" t="s">
        <v>1733</v>
      </c>
    </row>
    <row r="645" spans="1:25" ht="21" customHeight="1">
      <c r="A645" s="231" t="s">
        <v>1734</v>
      </c>
      <c r="B645" s="231" t="s">
        <v>1455</v>
      </c>
      <c r="C645" s="242">
        <f t="shared" ref="C645:H645" si="50">C644*C606/C641</f>
        <v>78.558282205799657</v>
      </c>
      <c r="D645" s="242">
        <f t="shared" si="50"/>
        <v>81.9085177288556</v>
      </c>
      <c r="E645" s="242">
        <f t="shared" si="50"/>
        <v>86.840323860442965</v>
      </c>
      <c r="F645" s="242">
        <f t="shared" si="50"/>
        <v>91.653819748101157</v>
      </c>
      <c r="G645" s="242">
        <f t="shared" si="50"/>
        <v>96.71958533593417</v>
      </c>
      <c r="H645" s="242">
        <f t="shared" si="50"/>
        <v>101.60610403867111</v>
      </c>
      <c r="I645" s="232"/>
      <c r="J645" s="232" t="s">
        <v>1735</v>
      </c>
      <c r="K645" s="232" t="s">
        <v>1735</v>
      </c>
      <c r="L645" s="232" t="s">
        <v>1735</v>
      </c>
      <c r="M645" s="232" t="s">
        <v>1735</v>
      </c>
      <c r="N645" s="232" t="s">
        <v>1735</v>
      </c>
      <c r="O645" s="232"/>
      <c r="P645" s="232"/>
      <c r="Q645" s="232"/>
      <c r="R645" s="232"/>
      <c r="S645" s="232"/>
      <c r="T645" s="232"/>
      <c r="U645" s="232"/>
      <c r="V645" s="232"/>
      <c r="W645" s="232"/>
      <c r="X645" s="231"/>
      <c r="Y645" s="231"/>
    </row>
    <row r="646" spans="1:25" ht="21" customHeight="1">
      <c r="A646" s="231" t="s">
        <v>1736</v>
      </c>
      <c r="B646" s="231" t="s">
        <v>1066</v>
      </c>
      <c r="C646" s="238">
        <f t="shared" ref="C646:H646" si="51">C640*C645</f>
        <v>211.13479479724705</v>
      </c>
      <c r="D646" s="238">
        <f t="shared" si="51"/>
        <v>1057.2462928486193</v>
      </c>
      <c r="E646" s="238">
        <f t="shared" si="51"/>
        <v>1120.9043090628711</v>
      </c>
      <c r="F646" s="238">
        <f t="shared" si="51"/>
        <v>1183.0352183257532</v>
      </c>
      <c r="G646" s="238">
        <f t="shared" si="51"/>
        <v>1248.4223360111926</v>
      </c>
      <c r="H646" s="238">
        <f t="shared" si="51"/>
        <v>1311.4957980472909</v>
      </c>
      <c r="I646" s="232"/>
      <c r="J646" s="244">
        <f>-'Cash Flow'!H41</f>
        <v>111</v>
      </c>
      <c r="K646" s="244">
        <f>-'Cash Flow'!I41</f>
        <v>1418</v>
      </c>
      <c r="L646" s="244">
        <f>-'Cash Flow'!J41</f>
        <v>2289</v>
      </c>
      <c r="M646" s="244">
        <f>-'Cash Flow'!K41</f>
        <v>1795</v>
      </c>
      <c r="N646" s="244">
        <f>-'Cash Flow'!L41</f>
        <v>746</v>
      </c>
      <c r="O646" s="232"/>
      <c r="P646" s="244">
        <f>-'Cash Flow'!R41</f>
        <v>472</v>
      </c>
      <c r="Q646" s="244">
        <f>-'Cash Flow'!U41</f>
        <v>663</v>
      </c>
      <c r="R646" s="232"/>
      <c r="S646" s="232"/>
      <c r="T646" s="232"/>
      <c r="U646" s="232"/>
      <c r="V646" s="232"/>
      <c r="W646" s="232"/>
      <c r="X646" s="231"/>
      <c r="Y646" s="231"/>
    </row>
    <row r="647" spans="1:25" ht="21" customHeight="1">
      <c r="A647" s="231" t="s">
        <v>1737</v>
      </c>
      <c r="B647" s="231" t="s">
        <v>1066</v>
      </c>
      <c r="C647" s="334">
        <f>IF(ISNUMBER('Valuation Inputs'!C72),'Valuation Inputs'!C72,"待定")</f>
        <v>0</v>
      </c>
      <c r="D647" s="334">
        <f>IF(ISNUMBER('Valuation Inputs'!D72),'Valuation Inputs'!D72,"待定")</f>
        <v>0</v>
      </c>
      <c r="E647" s="334">
        <f>IF(ISNUMBER('Valuation Inputs'!E72),'Valuation Inputs'!E72,"待定")</f>
        <v>0</v>
      </c>
      <c r="F647" s="334">
        <f>IF(ISNUMBER('Valuation Inputs'!F72),'Valuation Inputs'!F72,"待定")</f>
        <v>0</v>
      </c>
      <c r="G647" s="334">
        <f>IF(ISNUMBER('Valuation Inputs'!G72),'Valuation Inputs'!G72,"待定")</f>
        <v>0</v>
      </c>
      <c r="H647" s="334">
        <f>IF(ISNUMBER('Valuation Inputs'!H72),'Valuation Inputs'!H72,"待定")</f>
        <v>0</v>
      </c>
      <c r="I647" s="232"/>
      <c r="J647" s="244">
        <f>'Cash Flow'!H40</f>
        <v>702</v>
      </c>
      <c r="K647" s="244">
        <f>'Cash Flow'!I40</f>
        <v>837</v>
      </c>
      <c r="L647" s="244">
        <f>'Cash Flow'!J40</f>
        <v>539</v>
      </c>
      <c r="M647" s="244">
        <f>'Cash Flow'!K40</f>
        <v>747</v>
      </c>
      <c r="N647" s="244">
        <f>'Cash Flow'!L40</f>
        <v>313</v>
      </c>
      <c r="O647" s="232"/>
      <c r="P647" s="244">
        <f>'Cash Flow'!R40</f>
        <v>223</v>
      </c>
      <c r="Q647" s="244">
        <f>'Cash Flow'!U40</f>
        <v>251</v>
      </c>
      <c r="R647" s="232"/>
      <c r="S647" s="232"/>
      <c r="T647" s="232"/>
      <c r="U647" s="232"/>
      <c r="V647" s="232"/>
      <c r="W647" s="232"/>
      <c r="X647" s="231"/>
      <c r="Y647" s="231" t="s">
        <v>1738</v>
      </c>
    </row>
    <row r="648" spans="1:25" ht="21" customHeight="1">
      <c r="A648" s="231" t="s">
        <v>1739</v>
      </c>
      <c r="B648" s="231" t="s">
        <v>1069</v>
      </c>
      <c r="C648" s="237">
        <f>C649/C606</f>
        <v>0.64767200314677609</v>
      </c>
      <c r="D648" s="330">
        <f>IF(ISNUMBER('Valuation Inputs'!D73),'Valuation Inputs'!D73,"待定")</f>
        <v>0.65</v>
      </c>
      <c r="E648" s="330">
        <f>IF(ISNUMBER('Valuation Inputs'!E73),'Valuation Inputs'!E73,"待定")</f>
        <v>0.65</v>
      </c>
      <c r="F648" s="330">
        <f>IF(ISNUMBER('Valuation Inputs'!F73),'Valuation Inputs'!F73,"待定")</f>
        <v>0.65</v>
      </c>
      <c r="G648" s="330">
        <f>IF(ISNUMBER('Valuation Inputs'!G73),'Valuation Inputs'!G73,"待定")</f>
        <v>0.65</v>
      </c>
      <c r="H648" s="330">
        <f>IF(ISNUMBER('Valuation Inputs'!H73),'Valuation Inputs'!H73,"待定")</f>
        <v>0.65</v>
      </c>
      <c r="I648" s="232"/>
      <c r="J648" s="237">
        <f>J649/J606</f>
        <v>0.74219629515914443</v>
      </c>
      <c r="K648" s="237">
        <f>K649/K606</f>
        <v>0.79815552295116332</v>
      </c>
      <c r="L648" s="237">
        <f>L649/L606</f>
        <v>0.74220645883890235</v>
      </c>
      <c r="M648" s="237">
        <f>M649/M606</f>
        <v>0.78628539177876022</v>
      </c>
      <c r="N648" s="237">
        <f>N649/N606</f>
        <v>0.66979476615548939</v>
      </c>
      <c r="O648" s="232"/>
      <c r="P648" s="237">
        <f>P649/P606</f>
        <v>0.31974789915966384</v>
      </c>
      <c r="Q648" s="237">
        <f>Q649/Q606</f>
        <v>0.54641274404120255</v>
      </c>
      <c r="R648" s="232"/>
      <c r="S648" s="232"/>
      <c r="T648" s="232"/>
      <c r="U648" s="232"/>
      <c r="V648" s="232"/>
      <c r="W648" s="232"/>
      <c r="X648" s="231"/>
      <c r="Y648" s="231" t="s">
        <v>1740</v>
      </c>
    </row>
    <row r="649" spans="1:25" ht="21" customHeight="1">
      <c r="A649" s="247" t="s">
        <v>1741</v>
      </c>
      <c r="B649" s="247" t="s">
        <v>1066</v>
      </c>
      <c r="C649" s="250">
        <f>C641*$C$707*4</f>
        <v>9121.4043951600015</v>
      </c>
      <c r="D649" s="250">
        <f>MAX(D606*D648,C649)</f>
        <v>9544.5845882167014</v>
      </c>
      <c r="E649" s="250">
        <f>MAX(E606*E648,D649)</f>
        <v>10119.275012373144</v>
      </c>
      <c r="F649" s="250">
        <f>MAX(F606*F648,E649)</f>
        <v>10680.179054329717</v>
      </c>
      <c r="G649" s="250">
        <f>MAX(G606*G648,F649)</f>
        <v>11270.479422323267</v>
      </c>
      <c r="H649" s="250">
        <f>MAX(H606*H648,G649)</f>
        <v>11839.892621260266</v>
      </c>
      <c r="I649" s="232"/>
      <c r="J649" s="251">
        <f>-'Cash Flow'!H42</f>
        <v>7252</v>
      </c>
      <c r="K649" s="251">
        <f>-'Cash Flow'!I42</f>
        <v>7616</v>
      </c>
      <c r="L649" s="251">
        <f>-'Cash Flow'!J42</f>
        <v>7952</v>
      </c>
      <c r="M649" s="251">
        <f>-'Cash Flow'!K42</f>
        <v>8359</v>
      </c>
      <c r="N649" s="251">
        <f>-'Cash Flow'!L42</f>
        <v>8779</v>
      </c>
      <c r="O649" s="232"/>
      <c r="P649" s="244">
        <f>-'Cash Flow'!R42</f>
        <v>2283</v>
      </c>
      <c r="Q649" s="244">
        <f>-'Cash Flow'!U42</f>
        <v>4562</v>
      </c>
      <c r="R649" s="232"/>
      <c r="S649" s="232"/>
      <c r="T649" s="232"/>
      <c r="U649" s="232"/>
      <c r="V649" s="232"/>
      <c r="W649" s="232"/>
      <c r="X649" s="231"/>
      <c r="Y649" s="231"/>
    </row>
    <row r="650" spans="1:25" ht="21" customHeight="1">
      <c r="A650" s="231" t="s">
        <v>1742</v>
      </c>
      <c r="B650" s="231" t="s">
        <v>1066</v>
      </c>
      <c r="C650" s="238">
        <f>C641*$C$707</f>
        <v>2280.3510987900004</v>
      </c>
      <c r="D650" s="238">
        <f>D649</f>
        <v>9544.5845882167014</v>
      </c>
      <c r="E650" s="238">
        <f>E649</f>
        <v>10119.275012373144</v>
      </c>
      <c r="F650" s="238">
        <f>F649</f>
        <v>10680.179054329717</v>
      </c>
      <c r="G650" s="238">
        <f>G649</f>
        <v>11270.479422323267</v>
      </c>
      <c r="H650" s="238">
        <f>H649</f>
        <v>11839.892621260266</v>
      </c>
      <c r="I650" s="232"/>
      <c r="J650" s="232" t="s">
        <v>1743</v>
      </c>
      <c r="K650" s="232" t="s">
        <v>1743</v>
      </c>
      <c r="L650" s="232" t="s">
        <v>1743</v>
      </c>
      <c r="M650" s="232" t="s">
        <v>1743</v>
      </c>
      <c r="N650" s="232" t="s">
        <v>1743</v>
      </c>
      <c r="O650" s="232"/>
      <c r="P650" s="232"/>
      <c r="Q650" s="232"/>
      <c r="R650" s="232"/>
      <c r="S650" s="232"/>
      <c r="T650" s="232"/>
      <c r="U650" s="232"/>
      <c r="V650" s="232"/>
      <c r="W650" s="232"/>
      <c r="X650" s="231"/>
      <c r="Y650" s="231" t="s">
        <v>1744</v>
      </c>
    </row>
    <row r="651" spans="1:25" ht="21" customHeight="1">
      <c r="A651" s="231" t="s">
        <v>1481</v>
      </c>
      <c r="B651" s="231" t="s">
        <v>1455</v>
      </c>
      <c r="C651" s="242">
        <f t="shared" ref="C651:H651" si="52">C650/C641</f>
        <v>0.53</v>
      </c>
      <c r="D651" s="242">
        <f t="shared" si="52"/>
        <v>2.2183556884898388</v>
      </c>
      <c r="E651" s="242">
        <f t="shared" si="52"/>
        <v>2.3519254378869969</v>
      </c>
      <c r="F651" s="242">
        <f t="shared" si="52"/>
        <v>2.4822909515110729</v>
      </c>
      <c r="G651" s="242">
        <f t="shared" si="52"/>
        <v>2.6194887695148843</v>
      </c>
      <c r="H651" s="242">
        <f t="shared" si="52"/>
        <v>2.7518319843806758</v>
      </c>
      <c r="I651" s="232"/>
      <c r="J651" s="232" t="s">
        <v>1743</v>
      </c>
      <c r="K651" s="232" t="s">
        <v>1743</v>
      </c>
      <c r="L651" s="232" t="s">
        <v>1743</v>
      </c>
      <c r="M651" s="232" t="s">
        <v>1743</v>
      </c>
      <c r="N651" s="232" t="s">
        <v>1743</v>
      </c>
      <c r="O651" s="232"/>
      <c r="P651" s="232"/>
      <c r="Q651" s="232"/>
      <c r="R651" s="232"/>
      <c r="S651" s="232"/>
      <c r="T651" s="232"/>
      <c r="U651" s="232"/>
      <c r="V651" s="232"/>
      <c r="W651" s="232"/>
      <c r="X651" s="231"/>
      <c r="Y651" s="231"/>
    </row>
    <row r="652" spans="1:25" ht="21" customHeight="1">
      <c r="A652" s="231"/>
      <c r="B652" s="231"/>
      <c r="C652" s="232"/>
      <c r="D652" s="232"/>
      <c r="E652" s="232"/>
      <c r="F652" s="232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  <c r="T652" s="232"/>
      <c r="U652" s="232"/>
      <c r="V652" s="232"/>
      <c r="W652" s="232"/>
      <c r="X652" s="231"/>
      <c r="Y652" s="231"/>
    </row>
    <row r="653" spans="1:25" ht="21" customHeight="1">
      <c r="A653" s="231"/>
      <c r="B653" s="231"/>
      <c r="C653" s="232"/>
      <c r="D653" s="232"/>
      <c r="E653" s="232"/>
      <c r="F653" s="232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  <c r="T653" s="232"/>
      <c r="U653" s="232"/>
      <c r="V653" s="232"/>
      <c r="W653" s="232"/>
      <c r="X653" s="231"/>
      <c r="Y653" s="231"/>
    </row>
    <row r="654" spans="1:25" ht="25" customHeight="1">
      <c r="A654" s="233" t="s">
        <v>1745</v>
      </c>
      <c r="B654" s="233"/>
      <c r="C654" s="234"/>
      <c r="D654" s="234"/>
      <c r="E654" s="234"/>
      <c r="F654" s="234"/>
      <c r="G654" s="234"/>
      <c r="H654" s="234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  <c r="T654" s="232"/>
      <c r="U654" s="232"/>
      <c r="V654" s="232"/>
      <c r="W654" s="232"/>
      <c r="X654" s="231"/>
      <c r="Y654" s="231"/>
    </row>
    <row r="655" spans="1:25" ht="21" customHeight="1">
      <c r="A655" s="236" t="s">
        <v>1050</v>
      </c>
      <c r="B655" s="236" t="s">
        <v>1051</v>
      </c>
      <c r="C655" s="236" t="s">
        <v>1057</v>
      </c>
      <c r="D655" s="236" t="s">
        <v>1105</v>
      </c>
      <c r="E655" s="236" t="s">
        <v>1106</v>
      </c>
      <c r="F655" s="236" t="s">
        <v>1107</v>
      </c>
      <c r="G655" s="236" t="s">
        <v>1108</v>
      </c>
      <c r="H655" s="236" t="s">
        <v>1109</v>
      </c>
      <c r="I655" s="232"/>
      <c r="J655" s="236" t="s">
        <v>1372</v>
      </c>
      <c r="K655" s="236" t="s">
        <v>1373</v>
      </c>
      <c r="L655" s="236" t="s">
        <v>1374</v>
      </c>
      <c r="M655" s="236" t="s">
        <v>1375</v>
      </c>
      <c r="N655" s="236" t="s">
        <v>1332</v>
      </c>
      <c r="O655" s="232"/>
      <c r="P655" s="235" t="s">
        <v>1376</v>
      </c>
      <c r="Q655" s="235" t="s">
        <v>1056</v>
      </c>
      <c r="R655" s="232"/>
      <c r="S655" s="232"/>
      <c r="T655" s="232"/>
      <c r="U655" s="232"/>
      <c r="V655" s="232"/>
      <c r="W655" s="232"/>
      <c r="X655" s="231"/>
      <c r="Y655" s="231"/>
    </row>
    <row r="656" spans="1:25" ht="21" customHeight="1">
      <c r="A656" s="231" t="s">
        <v>1746</v>
      </c>
      <c r="B656" s="231" t="s">
        <v>1066</v>
      </c>
      <c r="C656" s="238">
        <f>$C$686</f>
        <v>13541.041166403369</v>
      </c>
      <c r="D656" s="238">
        <f>C665</f>
        <v>14137.163007622752</v>
      </c>
      <c r="E656" s="238">
        <f>D665</f>
        <v>14902.100945962175</v>
      </c>
      <c r="F656" s="238">
        <f>E665</f>
        <v>15876.804079359768</v>
      </c>
      <c r="G656" s="238">
        <f>F665</f>
        <v>17090.173603527175</v>
      </c>
      <c r="H656" s="238">
        <f>G665</f>
        <v>18477.516320491086</v>
      </c>
      <c r="I656" s="232"/>
      <c r="J656" s="244">
        <f>'Cash Flow'!H59</f>
        <v>7110</v>
      </c>
      <c r="K656" s="244">
        <f>'Cash Flow'!I59</f>
        <v>10025</v>
      </c>
      <c r="L656" s="244">
        <f>'Cash Flow'!J59</f>
        <v>9825</v>
      </c>
      <c r="M656" s="244">
        <f>'Cash Flow'!K59</f>
        <v>9692</v>
      </c>
      <c r="N656" s="244">
        <f>'Cash Flow'!L59</f>
        <v>11488</v>
      </c>
      <c r="O656" s="232"/>
      <c r="P656" s="232"/>
      <c r="Q656" s="232"/>
      <c r="R656" s="232"/>
      <c r="S656" s="232"/>
      <c r="T656" s="232"/>
      <c r="U656" s="232"/>
      <c r="V656" s="232"/>
      <c r="W656" s="232"/>
      <c r="X656" s="231"/>
      <c r="Y656" s="231"/>
    </row>
    <row r="657" spans="1:25" ht="21" customHeight="1">
      <c r="A657" s="231" t="s">
        <v>1747</v>
      </c>
      <c r="B657" s="231" t="s">
        <v>1066</v>
      </c>
      <c r="C657" s="238">
        <f>$C$680*$C$682/$C$681</f>
        <v>2326.6077348066297</v>
      </c>
      <c r="D657" s="238">
        <f>D628</f>
        <v>12066.768819404744</v>
      </c>
      <c r="E657" s="238">
        <f>E628</f>
        <v>12932.382454833607</v>
      </c>
      <c r="F657" s="238">
        <f>F628</f>
        <v>13812.021296822877</v>
      </c>
      <c r="G657" s="238">
        <f>G628</f>
        <v>14660.067912798368</v>
      </c>
      <c r="H657" s="238">
        <f>H628</f>
        <v>15449.200984071122</v>
      </c>
      <c r="I657" s="232"/>
      <c r="J657" s="244">
        <f>'Cash Flow'!H71</f>
        <v>11258</v>
      </c>
      <c r="K657" s="244">
        <f>'Cash Flow'!I71</f>
        <v>9534</v>
      </c>
      <c r="L657" s="244">
        <f>'Cash Flow'!J71</f>
        <v>9747</v>
      </c>
      <c r="M657" s="244">
        <f>'Cash Flow'!K71</f>
        <v>4741</v>
      </c>
      <c r="N657" s="244">
        <f>'Cash Flow'!L71</f>
        <v>5296</v>
      </c>
      <c r="O657" s="232"/>
      <c r="P657" s="238">
        <f>P626</f>
        <v>-2142</v>
      </c>
      <c r="Q657" s="238">
        <f>Q626</f>
        <v>6859</v>
      </c>
      <c r="R657" s="232"/>
      <c r="S657" s="232"/>
      <c r="T657" s="232"/>
      <c r="U657" s="232"/>
      <c r="V657" s="232"/>
      <c r="W657" s="232"/>
      <c r="X657" s="231"/>
      <c r="Y657" s="231"/>
    </row>
    <row r="658" spans="1:25" ht="21" customHeight="1">
      <c r="A658" s="231" t="s">
        <v>1748</v>
      </c>
      <c r="B658" s="231" t="s">
        <v>1066</v>
      </c>
      <c r="C658" s="238">
        <f t="shared" ref="C658:H658" si="53">C647</f>
        <v>0</v>
      </c>
      <c r="D658" s="238">
        <f t="shared" si="53"/>
        <v>0</v>
      </c>
      <c r="E658" s="238">
        <f t="shared" si="53"/>
        <v>0</v>
      </c>
      <c r="F658" s="238">
        <f t="shared" si="53"/>
        <v>0</v>
      </c>
      <c r="G658" s="238">
        <f t="shared" si="53"/>
        <v>0</v>
      </c>
      <c r="H658" s="238">
        <f t="shared" si="53"/>
        <v>0</v>
      </c>
      <c r="I658" s="232"/>
      <c r="J658" s="244">
        <f>'Cash Flow'!H40</f>
        <v>702</v>
      </c>
      <c r="K658" s="244">
        <f>'Cash Flow'!I40</f>
        <v>837</v>
      </c>
      <c r="L658" s="244">
        <f>'Cash Flow'!J40</f>
        <v>539</v>
      </c>
      <c r="M658" s="244">
        <f>'Cash Flow'!K40</f>
        <v>747</v>
      </c>
      <c r="N658" s="244">
        <f>'Cash Flow'!L40</f>
        <v>313</v>
      </c>
      <c r="O658" s="232"/>
      <c r="P658" s="232"/>
      <c r="Q658" s="232"/>
      <c r="R658" s="232"/>
      <c r="S658" s="232"/>
      <c r="T658" s="232"/>
      <c r="U658" s="232"/>
      <c r="V658" s="232"/>
      <c r="W658" s="232"/>
      <c r="X658" s="231"/>
      <c r="Y658" s="231"/>
    </row>
    <row r="659" spans="1:25" ht="21" customHeight="1">
      <c r="A659" s="231" t="s">
        <v>1749</v>
      </c>
      <c r="B659" s="231" t="s">
        <v>1066</v>
      </c>
      <c r="C659" s="334">
        <f>IF(ISNUMBER('Valuation Inputs'!C74),'Valuation Inputs'!C74,"待定")</f>
        <v>0</v>
      </c>
      <c r="D659" s="334">
        <f>IF(ISNUMBER('Valuation Inputs'!D74),'Valuation Inputs'!D74,"待定")</f>
        <v>0</v>
      </c>
      <c r="E659" s="334">
        <f>IF(ISNUMBER('Valuation Inputs'!E74),'Valuation Inputs'!E74,"待定")</f>
        <v>0</v>
      </c>
      <c r="F659" s="334">
        <f>IF(ISNUMBER('Valuation Inputs'!F74),'Valuation Inputs'!F74,"待定")</f>
        <v>0</v>
      </c>
      <c r="G659" s="334">
        <f>IF(ISNUMBER('Valuation Inputs'!G74),'Valuation Inputs'!G74,"待定")</f>
        <v>0</v>
      </c>
      <c r="H659" s="334">
        <f>IF(ISNUMBER('Valuation Inputs'!H74),'Valuation Inputs'!H74,"待定")</f>
        <v>0</v>
      </c>
      <c r="I659" s="232"/>
      <c r="J659" s="244">
        <f>'Cash Flow'!H38+'Cash Flow'!H39</f>
        <v>228</v>
      </c>
      <c r="K659" s="244">
        <f>'Cash Flow'!I38+'Cash Flow'!I39</f>
        <v>-958</v>
      </c>
      <c r="L659" s="244">
        <f>'Cash Flow'!J38+'Cash Flow'!J39</f>
        <v>1857</v>
      </c>
      <c r="M659" s="244">
        <f>'Cash Flow'!K38+'Cash Flow'!K39</f>
        <v>2528</v>
      </c>
      <c r="N659" s="244">
        <f>'Cash Flow'!L38+'Cash Flow'!L39</f>
        <v>13</v>
      </c>
      <c r="O659" s="232"/>
      <c r="P659" s="232"/>
      <c r="Q659" s="232"/>
      <c r="R659" s="232"/>
      <c r="S659" s="232"/>
      <c r="T659" s="232"/>
      <c r="U659" s="232"/>
      <c r="V659" s="232"/>
      <c r="W659" s="232"/>
      <c r="X659" s="231"/>
      <c r="Y659" s="231" t="s">
        <v>1750</v>
      </c>
    </row>
    <row r="660" spans="1:25" ht="21" customHeight="1">
      <c r="A660" s="231" t="s">
        <v>1751</v>
      </c>
      <c r="B660" s="231" t="s">
        <v>1066</v>
      </c>
      <c r="C660" s="238">
        <f>$C$708*(1-$D$708)</f>
        <v>1235</v>
      </c>
      <c r="D660" s="334">
        <f>IF(ISNUMBER('Valuation Inputs'!D75),'Valuation Inputs'!D75,"待定")</f>
        <v>0</v>
      </c>
      <c r="E660" s="334">
        <f>IF(ISNUMBER('Valuation Inputs'!E75),'Valuation Inputs'!E75,"待定")</f>
        <v>0</v>
      </c>
      <c r="F660" s="334">
        <f>IF(ISNUMBER('Valuation Inputs'!F75),'Valuation Inputs'!F75,"待定")</f>
        <v>0</v>
      </c>
      <c r="G660" s="334">
        <f>IF(ISNUMBER('Valuation Inputs'!G75),'Valuation Inputs'!G75,"待定")</f>
        <v>0</v>
      </c>
      <c r="H660" s="334">
        <f>IF(ISNUMBER('Valuation Inputs'!H75),'Valuation Inputs'!H75,"待定")</f>
        <v>0</v>
      </c>
      <c r="I660" s="232"/>
      <c r="J660" s="244">
        <f>'Cash Flow'!H31</f>
        <v>2180</v>
      </c>
      <c r="K660" s="244">
        <f>'Cash Flow'!I31</f>
        <v>458</v>
      </c>
      <c r="L660" s="244">
        <f>'Cash Flow'!J31</f>
        <v>430</v>
      </c>
      <c r="M660" s="244">
        <f>'Cash Flow'!K31</f>
        <v>3485</v>
      </c>
      <c r="N660" s="244">
        <f>'Cash Flow'!L31</f>
        <v>3567</v>
      </c>
      <c r="O660" s="232"/>
      <c r="P660" s="232"/>
      <c r="Q660" s="232"/>
      <c r="R660" s="232"/>
      <c r="S660" s="232"/>
      <c r="T660" s="232"/>
      <c r="U660" s="232"/>
      <c r="V660" s="232"/>
      <c r="W660" s="232"/>
      <c r="X660" s="231"/>
      <c r="Y660" s="231"/>
    </row>
    <row r="661" spans="1:25" ht="21" customHeight="1">
      <c r="A661" s="231" t="s">
        <v>1752</v>
      </c>
      <c r="B661" s="231" t="s">
        <v>1066</v>
      </c>
      <c r="C661" s="238">
        <f t="shared" ref="C661:H661" si="54">C650</f>
        <v>2280.3510987900004</v>
      </c>
      <c r="D661" s="238">
        <f t="shared" si="54"/>
        <v>9544.5845882167014</v>
      </c>
      <c r="E661" s="238">
        <f t="shared" si="54"/>
        <v>10119.275012373144</v>
      </c>
      <c r="F661" s="238">
        <f t="shared" si="54"/>
        <v>10680.179054329717</v>
      </c>
      <c r="G661" s="238">
        <f t="shared" si="54"/>
        <v>11270.479422323267</v>
      </c>
      <c r="H661" s="238">
        <f t="shared" si="54"/>
        <v>11839.892621260266</v>
      </c>
      <c r="I661" s="232"/>
      <c r="J661" s="238">
        <f>J649</f>
        <v>7252</v>
      </c>
      <c r="K661" s="238">
        <f>K649</f>
        <v>7616</v>
      </c>
      <c r="L661" s="238">
        <f>L649</f>
        <v>7952</v>
      </c>
      <c r="M661" s="238">
        <f>M649</f>
        <v>8359</v>
      </c>
      <c r="N661" s="238">
        <f>N649</f>
        <v>8779</v>
      </c>
      <c r="O661" s="232"/>
      <c r="P661" s="232"/>
      <c r="Q661" s="232"/>
      <c r="R661" s="232"/>
      <c r="S661" s="232"/>
      <c r="T661" s="232"/>
      <c r="U661" s="232"/>
      <c r="V661" s="232"/>
      <c r="W661" s="232"/>
      <c r="X661" s="231"/>
      <c r="Y661" s="231"/>
    </row>
    <row r="662" spans="1:25" ht="21" customHeight="1">
      <c r="A662" s="231" t="s">
        <v>1753</v>
      </c>
      <c r="B662" s="231" t="s">
        <v>1066</v>
      </c>
      <c r="C662" s="238">
        <f t="shared" ref="C662:H662" si="55">C646</f>
        <v>211.13479479724705</v>
      </c>
      <c r="D662" s="238">
        <f t="shared" si="55"/>
        <v>1057.2462928486193</v>
      </c>
      <c r="E662" s="238">
        <f t="shared" si="55"/>
        <v>1120.9043090628711</v>
      </c>
      <c r="F662" s="238">
        <f t="shared" si="55"/>
        <v>1183.0352183257532</v>
      </c>
      <c r="G662" s="238">
        <f t="shared" si="55"/>
        <v>1248.4223360111926</v>
      </c>
      <c r="H662" s="238">
        <f t="shared" si="55"/>
        <v>1311.4957980472909</v>
      </c>
      <c r="I662" s="232"/>
      <c r="J662" s="238">
        <f>J646</f>
        <v>111</v>
      </c>
      <c r="K662" s="238">
        <f>K646</f>
        <v>1418</v>
      </c>
      <c r="L662" s="238">
        <f>L646</f>
        <v>2289</v>
      </c>
      <c r="M662" s="238">
        <f>M646</f>
        <v>1795</v>
      </c>
      <c r="N662" s="238">
        <f>N646</f>
        <v>746</v>
      </c>
      <c r="O662" s="232"/>
      <c r="P662" s="232"/>
      <c r="Q662" s="232"/>
      <c r="R662" s="232"/>
      <c r="S662" s="232"/>
      <c r="T662" s="232"/>
      <c r="U662" s="232"/>
      <c r="V662" s="232"/>
      <c r="W662" s="232"/>
      <c r="X662" s="231"/>
      <c r="Y662" s="231"/>
    </row>
    <row r="663" spans="1:25" ht="21" customHeight="1">
      <c r="A663" s="231" t="s">
        <v>1754</v>
      </c>
      <c r="B663" s="231" t="s">
        <v>1066</v>
      </c>
      <c r="C663" s="334">
        <f>IF(ISNUMBER('Valuation Inputs'!C122),'Valuation Inputs'!C122,"待定")</f>
        <v>174</v>
      </c>
      <c r="D663" s="238">
        <f>IF(2027=$C$706,$C$702*SUM($C$703:$C$704),0)</f>
        <v>0</v>
      </c>
      <c r="E663" s="238">
        <f>IF(2028=$C$706,$C$702*SUM($C$703:$C$704),0)</f>
        <v>0</v>
      </c>
      <c r="F663" s="238">
        <f>IF(2029=$C$706,$C$702*SUM($C$703:$C$704),0)</f>
        <v>0</v>
      </c>
      <c r="G663" s="238">
        <f>IF(2030=$C$706,$C$702*SUM($C$703:$C$704),0)</f>
        <v>0</v>
      </c>
      <c r="H663" s="238">
        <f>IF(2031=$C$706,$C$702*SUM($C$703:$C$704),0)</f>
        <v>0</v>
      </c>
      <c r="I663" s="232"/>
      <c r="J663" s="232" t="s">
        <v>1755</v>
      </c>
      <c r="K663" s="232" t="s">
        <v>1755</v>
      </c>
      <c r="L663" s="232" t="s">
        <v>1755</v>
      </c>
      <c r="M663" s="232" t="s">
        <v>1755</v>
      </c>
      <c r="N663" s="232" t="s">
        <v>1755</v>
      </c>
      <c r="O663" s="232"/>
      <c r="P663" s="232"/>
      <c r="Q663" s="232"/>
      <c r="R663" s="232"/>
      <c r="S663" s="232"/>
      <c r="T663" s="232"/>
      <c r="U663" s="232"/>
      <c r="V663" s="232"/>
      <c r="W663" s="232"/>
      <c r="X663" s="231"/>
      <c r="Y663" s="231" t="s">
        <v>1756</v>
      </c>
    </row>
    <row r="664" spans="1:25" ht="21" customHeight="1">
      <c r="A664" s="231" t="s">
        <v>1757</v>
      </c>
      <c r="B664" s="231" t="s">
        <v>1066</v>
      </c>
      <c r="C664" s="334">
        <f>IF(ISNUMBER('Valuation Inputs'!C123),'Valuation Inputs'!C123,"待定")</f>
        <v>300</v>
      </c>
      <c r="D664" s="334">
        <f>IF(ISNUMBER('Valuation Inputs'!C124),'Valuation Inputs'!C124,"待定")</f>
        <v>700</v>
      </c>
      <c r="E664" s="238">
        <f>D664*(1+$C$709)</f>
        <v>717.49999999999989</v>
      </c>
      <c r="F664" s="238">
        <f>E664*(1+$C$709)</f>
        <v>735.43749999999977</v>
      </c>
      <c r="G664" s="238">
        <f>F664*(1+$C$709)</f>
        <v>753.82343749999973</v>
      </c>
      <c r="H664" s="238">
        <f>G664*(1+$C$709)</f>
        <v>772.66902343749962</v>
      </c>
      <c r="I664" s="232"/>
      <c r="J664" s="232" t="s">
        <v>1755</v>
      </c>
      <c r="K664" s="232" t="s">
        <v>1755</v>
      </c>
      <c r="L664" s="232" t="s">
        <v>1755</v>
      </c>
      <c r="M664" s="232" t="s">
        <v>1755</v>
      </c>
      <c r="N664" s="232" t="s">
        <v>1755</v>
      </c>
      <c r="O664" s="232"/>
      <c r="P664" s="232"/>
      <c r="Q664" s="232"/>
      <c r="R664" s="232"/>
      <c r="S664" s="232"/>
      <c r="T664" s="232"/>
      <c r="U664" s="232"/>
      <c r="V664" s="232"/>
      <c r="W664" s="232"/>
      <c r="X664" s="231"/>
      <c r="Y664" s="231" t="s">
        <v>1758</v>
      </c>
    </row>
    <row r="665" spans="1:25" ht="21" customHeight="1">
      <c r="A665" s="247" t="s">
        <v>1484</v>
      </c>
      <c r="B665" s="247" t="s">
        <v>1066</v>
      </c>
      <c r="C665" s="250">
        <f t="shared" ref="C665:H665" si="56">IF(COUNT(C656:C664)=9,SUM(C656:C660)-SUM(C661:C664),"待定")</f>
        <v>14137.163007622752</v>
      </c>
      <c r="D665" s="250">
        <f t="shared" si="56"/>
        <v>14902.100945962175</v>
      </c>
      <c r="E665" s="250">
        <f t="shared" si="56"/>
        <v>15876.804079359768</v>
      </c>
      <c r="F665" s="250">
        <f t="shared" si="56"/>
        <v>17090.173603527175</v>
      </c>
      <c r="G665" s="250">
        <f t="shared" si="56"/>
        <v>18477.516320491086</v>
      </c>
      <c r="H665" s="250">
        <f t="shared" si="56"/>
        <v>20002.659861817148</v>
      </c>
      <c r="I665" s="232"/>
      <c r="J665" s="251">
        <f>'Cash Flow'!H60</f>
        <v>10025</v>
      </c>
      <c r="K665" s="251">
        <f>'Cash Flow'!I60</f>
        <v>9825</v>
      </c>
      <c r="L665" s="251">
        <f>'Cash Flow'!J60</f>
        <v>9692</v>
      </c>
      <c r="M665" s="251">
        <f>'Cash Flow'!K60</f>
        <v>11488</v>
      </c>
      <c r="N665" s="251">
        <f>'Cash Flow'!L60</f>
        <v>11010</v>
      </c>
      <c r="O665" s="232"/>
      <c r="P665" s="244">
        <f>'Balance Sheet'!R14</f>
        <v>9590</v>
      </c>
      <c r="Q665" s="244">
        <f>'Balance Sheet'!U14</f>
        <v>12907</v>
      </c>
      <c r="R665" s="232"/>
      <c r="S665" s="232"/>
      <c r="T665" s="232"/>
      <c r="U665" s="232"/>
      <c r="V665" s="232"/>
      <c r="W665" s="232"/>
      <c r="X665" s="231"/>
      <c r="Y665" s="231"/>
    </row>
    <row r="666" spans="1:25" ht="21" customHeight="1">
      <c r="A666" s="231" t="s">
        <v>1759</v>
      </c>
      <c r="B666" s="231" t="s">
        <v>1066</v>
      </c>
      <c r="C666" s="238">
        <f t="shared" ref="C666:H666" si="57">$C$699</f>
        <v>8000</v>
      </c>
      <c r="D666" s="238">
        <f t="shared" si="57"/>
        <v>8000</v>
      </c>
      <c r="E666" s="238">
        <f t="shared" si="57"/>
        <v>8000</v>
      </c>
      <c r="F666" s="238">
        <f t="shared" si="57"/>
        <v>8000</v>
      </c>
      <c r="G666" s="238">
        <f t="shared" si="57"/>
        <v>8000</v>
      </c>
      <c r="H666" s="238">
        <f t="shared" si="57"/>
        <v>8000</v>
      </c>
      <c r="I666" s="232"/>
      <c r="J666" s="232" t="s">
        <v>1760</v>
      </c>
      <c r="K666" s="232" t="s">
        <v>1760</v>
      </c>
      <c r="L666" s="232" t="s">
        <v>1760</v>
      </c>
      <c r="M666" s="232" t="s">
        <v>1760</v>
      </c>
      <c r="N666" s="232" t="s">
        <v>1760</v>
      </c>
      <c r="O666" s="232"/>
      <c r="P666" s="232"/>
      <c r="Q666" s="232"/>
      <c r="R666" s="232"/>
      <c r="S666" s="232"/>
      <c r="T666" s="232"/>
      <c r="U666" s="232"/>
      <c r="V666" s="232"/>
      <c r="W666" s="232"/>
      <c r="X666" s="231"/>
      <c r="Y666" s="231" t="s">
        <v>1761</v>
      </c>
    </row>
    <row r="667" spans="1:25" ht="21" customHeight="1">
      <c r="A667" s="231" t="s">
        <v>1762</v>
      </c>
      <c r="B667" s="231" t="s">
        <v>1066</v>
      </c>
      <c r="C667" s="238">
        <f t="shared" ref="C667:H667" si="58">IF(ISNUMBER(C665),C665-C666,"待定")</f>
        <v>6137.163007622752</v>
      </c>
      <c r="D667" s="238">
        <f t="shared" si="58"/>
        <v>6902.1009459621746</v>
      </c>
      <c r="E667" s="238">
        <f t="shared" si="58"/>
        <v>7876.8040793597684</v>
      </c>
      <c r="F667" s="238">
        <f t="shared" si="58"/>
        <v>9090.1736035271751</v>
      </c>
      <c r="G667" s="238">
        <f t="shared" si="58"/>
        <v>10477.516320491086</v>
      </c>
      <c r="H667" s="238">
        <f t="shared" si="58"/>
        <v>12002.659861817148</v>
      </c>
      <c r="I667" s="232"/>
      <c r="J667" s="232" t="s">
        <v>1080</v>
      </c>
      <c r="K667" s="232" t="s">
        <v>1080</v>
      </c>
      <c r="L667" s="232" t="s">
        <v>1080</v>
      </c>
      <c r="M667" s="232" t="s">
        <v>1080</v>
      </c>
      <c r="N667" s="232" t="s">
        <v>1080</v>
      </c>
      <c r="O667" s="232"/>
      <c r="P667" s="232"/>
      <c r="Q667" s="232"/>
      <c r="R667" s="232"/>
      <c r="S667" s="232"/>
      <c r="T667" s="232"/>
      <c r="U667" s="232"/>
      <c r="V667" s="232"/>
      <c r="W667" s="232"/>
      <c r="X667" s="231"/>
      <c r="Y667" s="231" t="s">
        <v>1763</v>
      </c>
    </row>
    <row r="668" spans="1:25" ht="21" customHeight="1">
      <c r="A668" s="247" t="s">
        <v>1764</v>
      </c>
      <c r="B668" s="247" t="s">
        <v>1066</v>
      </c>
      <c r="C668" s="250">
        <f t="shared" ref="C668:H668" si="59">IF(ISNUMBER(C667),MAX(0,-C667),"待定")</f>
        <v>0</v>
      </c>
      <c r="D668" s="250">
        <f t="shared" si="59"/>
        <v>0</v>
      </c>
      <c r="E668" s="250">
        <f t="shared" si="59"/>
        <v>0</v>
      </c>
      <c r="F668" s="250">
        <f t="shared" si="59"/>
        <v>0</v>
      </c>
      <c r="G668" s="250">
        <f t="shared" si="59"/>
        <v>0</v>
      </c>
      <c r="H668" s="250">
        <f t="shared" si="59"/>
        <v>0</v>
      </c>
      <c r="I668" s="232"/>
      <c r="J668" s="252" t="s">
        <v>1080</v>
      </c>
      <c r="K668" s="252" t="s">
        <v>1080</v>
      </c>
      <c r="L668" s="252" t="s">
        <v>1080</v>
      </c>
      <c r="M668" s="252" t="s">
        <v>1080</v>
      </c>
      <c r="N668" s="252" t="s">
        <v>1080</v>
      </c>
      <c r="O668" s="232"/>
      <c r="P668" s="232"/>
      <c r="Q668" s="232"/>
      <c r="R668" s="232"/>
      <c r="S668" s="232"/>
      <c r="T668" s="232"/>
      <c r="U668" s="232"/>
      <c r="V668" s="232"/>
      <c r="W668" s="232"/>
      <c r="X668" s="231"/>
      <c r="Y668" s="231" t="s">
        <v>1765</v>
      </c>
    </row>
    <row r="669" spans="1:25" ht="21" customHeight="1">
      <c r="A669" s="231"/>
      <c r="B669" s="231"/>
      <c r="C669" s="232"/>
      <c r="D669" s="232"/>
      <c r="E669" s="232"/>
      <c r="F669" s="232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  <c r="T669" s="232"/>
      <c r="U669" s="232"/>
      <c r="V669" s="232"/>
      <c r="W669" s="232"/>
      <c r="X669" s="231"/>
      <c r="Y669" s="231"/>
    </row>
    <row r="670" spans="1:25" ht="21" customHeight="1">
      <c r="A670" s="231"/>
      <c r="B670" s="231"/>
      <c r="C670" s="232"/>
      <c r="D670" s="232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  <c r="W670" s="232"/>
      <c r="X670" s="231"/>
      <c r="Y670" s="231"/>
    </row>
    <row r="671" spans="1:25" ht="21" customHeight="1">
      <c r="A671" s="231"/>
      <c r="B671" s="231"/>
      <c r="C671" s="232"/>
      <c r="D671" s="232"/>
      <c r="E671" s="232"/>
      <c r="F671" s="232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  <c r="T671" s="232"/>
      <c r="U671" s="232"/>
      <c r="V671" s="232"/>
      <c r="W671" s="232"/>
      <c r="X671" s="231"/>
      <c r="Y671" s="231"/>
    </row>
    <row r="672" spans="1:25" ht="25" customHeight="1">
      <c r="A672" s="233" t="s">
        <v>1766</v>
      </c>
      <c r="B672" s="233"/>
      <c r="C672" s="234"/>
      <c r="D672" s="234"/>
      <c r="E672" s="234"/>
      <c r="F672" s="234"/>
      <c r="G672" s="234"/>
      <c r="H672" s="234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  <c r="T672" s="232"/>
      <c r="U672" s="232"/>
      <c r="V672" s="232"/>
      <c r="W672" s="232"/>
      <c r="X672" s="231"/>
      <c r="Y672" s="231"/>
    </row>
    <row r="673" spans="1:25" ht="21" customHeight="1">
      <c r="A673" s="231" t="s">
        <v>1152</v>
      </c>
      <c r="B673" s="231" t="s">
        <v>1153</v>
      </c>
      <c r="C673" s="264">
        <f>Valuation!C8</f>
        <v>46311</v>
      </c>
      <c r="D673" s="232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  <c r="T673" s="232"/>
      <c r="U673" s="232"/>
      <c r="V673" s="232"/>
      <c r="W673" s="232"/>
      <c r="X673" s="231"/>
      <c r="Y673" s="231"/>
    </row>
    <row r="674" spans="1:25" ht="21" customHeight="1">
      <c r="A674" s="231" t="s">
        <v>1767</v>
      </c>
      <c r="B674" s="231" t="s">
        <v>1153</v>
      </c>
      <c r="C674" s="243">
        <f>DATE(2026,12,31)</f>
        <v>46387</v>
      </c>
      <c r="D674" s="232"/>
      <c r="E674" s="232"/>
      <c r="F674" s="232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  <c r="T674" s="232"/>
      <c r="U674" s="232"/>
      <c r="V674" s="232"/>
      <c r="W674" s="232"/>
      <c r="X674" s="231"/>
      <c r="Y674" s="231"/>
    </row>
    <row r="675" spans="1:25" ht="21" customHeight="1">
      <c r="A675" s="231" t="s">
        <v>1768</v>
      </c>
      <c r="B675" s="231" t="s">
        <v>1153</v>
      </c>
      <c r="C675" s="243">
        <f>DATE(2026,7,3)</f>
        <v>46206</v>
      </c>
      <c r="D675" s="232"/>
      <c r="E675" s="232"/>
      <c r="F675" s="232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  <c r="T675" s="232"/>
      <c r="U675" s="232"/>
      <c r="V675" s="232"/>
      <c r="W675" s="232"/>
      <c r="X675" s="231"/>
      <c r="Y675" s="231"/>
    </row>
    <row r="676" spans="1:25" ht="21" customHeight="1">
      <c r="A676" s="231" t="s">
        <v>1769</v>
      </c>
      <c r="B676" s="231" t="s">
        <v>1066</v>
      </c>
      <c r="C676" s="244">
        <f>'Balance Sheet'!U14</f>
        <v>12907</v>
      </c>
      <c r="D676" s="232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1"/>
      <c r="Y676" s="231" t="s">
        <v>1770</v>
      </c>
    </row>
    <row r="677" spans="1:25" ht="21" customHeight="1">
      <c r="A677" s="231" t="s">
        <v>1771</v>
      </c>
      <c r="B677" s="231" t="s">
        <v>1189</v>
      </c>
      <c r="C677" s="265">
        <f>Valuation!C11</f>
        <v>4302.5492430000004</v>
      </c>
      <c r="D677" s="232"/>
      <c r="E677" s="232"/>
      <c r="F677" s="232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  <c r="T677" s="232"/>
      <c r="U677" s="232"/>
      <c r="V677" s="232"/>
      <c r="W677" s="232"/>
      <c r="X677" s="231"/>
      <c r="Y677" s="231" t="s">
        <v>1772</v>
      </c>
    </row>
    <row r="678" spans="1:25" ht="21" customHeight="1">
      <c r="A678" s="231" t="s">
        <v>1773</v>
      </c>
      <c r="B678" s="231" t="s">
        <v>1153</v>
      </c>
      <c r="C678" s="243">
        <f>DATE(2026,7,27)</f>
        <v>46230</v>
      </c>
      <c r="D678" s="232"/>
      <c r="E678" s="232"/>
      <c r="F678" s="232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  <c r="T678" s="232"/>
      <c r="U678" s="232"/>
      <c r="V678" s="232"/>
      <c r="W678" s="232"/>
      <c r="X678" s="231"/>
      <c r="Y678" s="231"/>
    </row>
    <row r="679" spans="1:25" ht="21" customHeight="1">
      <c r="A679" s="231" t="s">
        <v>1774</v>
      </c>
      <c r="B679" s="231" t="s">
        <v>1066</v>
      </c>
      <c r="C679" s="244">
        <f>'Cash Flow'!U26+'Cash Flow'!U32</f>
        <v>6859</v>
      </c>
      <c r="D679" s="232"/>
      <c r="E679" s="232"/>
      <c r="F679" s="232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  <c r="T679" s="232"/>
      <c r="U679" s="232"/>
      <c r="V679" s="232"/>
      <c r="W679" s="232"/>
      <c r="X679" s="231"/>
      <c r="Y679" s="231"/>
    </row>
    <row r="680" spans="1:25" ht="21" customHeight="1">
      <c r="A680" s="231" t="s">
        <v>1775</v>
      </c>
      <c r="B680" s="231" t="s">
        <v>1066</v>
      </c>
      <c r="C680" s="238">
        <f>C628-C679</f>
        <v>5541</v>
      </c>
      <c r="D680" s="232"/>
      <c r="E680" s="232"/>
      <c r="F680" s="232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  <c r="T680" s="232"/>
      <c r="U680" s="232"/>
      <c r="V680" s="232"/>
      <c r="W680" s="232"/>
      <c r="X680" s="231"/>
      <c r="Y680" s="231" t="s">
        <v>1776</v>
      </c>
    </row>
    <row r="681" spans="1:25" ht="21" customHeight="1">
      <c r="A681" s="231" t="s">
        <v>1777</v>
      </c>
      <c r="B681" s="231" t="s">
        <v>1778</v>
      </c>
      <c r="C681" s="238">
        <f>C674-C675</f>
        <v>181</v>
      </c>
      <c r="D681" s="232"/>
      <c r="E681" s="232"/>
      <c r="F681" s="232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  <c r="T681" s="232"/>
      <c r="U681" s="232"/>
      <c r="V681" s="232"/>
      <c r="W681" s="232"/>
      <c r="X681" s="231"/>
      <c r="Y681" s="231"/>
    </row>
    <row r="682" spans="1:25" ht="21" customHeight="1">
      <c r="A682" s="231" t="s">
        <v>1779</v>
      </c>
      <c r="B682" s="231" t="s">
        <v>1778</v>
      </c>
      <c r="C682" s="238">
        <f>C674-C673</f>
        <v>76</v>
      </c>
      <c r="D682" s="232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  <c r="T682" s="232"/>
      <c r="U682" s="232"/>
      <c r="V682" s="232"/>
      <c r="W682" s="232"/>
      <c r="X682" s="231"/>
      <c r="Y682" s="231"/>
    </row>
    <row r="683" spans="1:25" ht="21" customHeight="1">
      <c r="A683" s="231" t="s">
        <v>1780</v>
      </c>
      <c r="B683" s="231" t="s">
        <v>1066</v>
      </c>
      <c r="C683" s="238">
        <f>C677*C707</f>
        <v>2280.3510987900004</v>
      </c>
      <c r="D683" s="232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  <c r="T683" s="232"/>
      <c r="U683" s="232"/>
      <c r="V683" s="232"/>
      <c r="W683" s="232"/>
      <c r="X683" s="231"/>
      <c r="Y683" s="231" t="s">
        <v>1781</v>
      </c>
    </row>
    <row r="684" spans="1:25" ht="21" customHeight="1">
      <c r="A684" s="231" t="s">
        <v>1782</v>
      </c>
      <c r="B684" s="231" t="s">
        <v>1066</v>
      </c>
      <c r="C684" s="238">
        <f>C680*(C681-C682)/C681</f>
        <v>3214.3922651933703</v>
      </c>
      <c r="D684" s="232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  <c r="T684" s="232"/>
      <c r="U684" s="232"/>
      <c r="V684" s="232"/>
      <c r="W684" s="232"/>
      <c r="X684" s="231"/>
      <c r="Y684" s="231"/>
    </row>
    <row r="685" spans="1:25" ht="21" customHeight="1">
      <c r="A685" s="231" t="s">
        <v>1783</v>
      </c>
      <c r="B685" s="231" t="s">
        <v>1066</v>
      </c>
      <c r="C685" s="334">
        <f>IF(ISNUMBER('Valuation Inputs'!C126),'Valuation Inputs'!C126,"待定")</f>
        <v>300</v>
      </c>
      <c r="D685" s="232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  <c r="T685" s="232"/>
      <c r="U685" s="232"/>
      <c r="V685" s="232"/>
      <c r="W685" s="232"/>
      <c r="X685" s="231"/>
      <c r="Y685" s="231" t="s">
        <v>1784</v>
      </c>
    </row>
    <row r="686" spans="1:25" ht="21" customHeight="1">
      <c r="A686" s="247" t="s">
        <v>1785</v>
      </c>
      <c r="B686" s="247" t="s">
        <v>1066</v>
      </c>
      <c r="C686" s="250">
        <f>C676+C684-C683-C685</f>
        <v>13541.041166403369</v>
      </c>
      <c r="D686" s="252"/>
      <c r="E686" s="252"/>
      <c r="F686" s="252"/>
      <c r="G686" s="252"/>
      <c r="H686" s="252"/>
      <c r="I686" s="232"/>
      <c r="J686" s="252"/>
      <c r="K686" s="252"/>
      <c r="L686" s="252"/>
      <c r="M686" s="252"/>
      <c r="N686" s="252"/>
      <c r="O686" s="232"/>
      <c r="P686" s="232"/>
      <c r="Q686" s="232"/>
      <c r="R686" s="232"/>
      <c r="S686" s="232"/>
      <c r="T686" s="232"/>
      <c r="U686" s="232"/>
      <c r="V686" s="232"/>
      <c r="W686" s="232"/>
      <c r="X686" s="231"/>
      <c r="Y686" s="231" t="s">
        <v>1786</v>
      </c>
    </row>
    <row r="687" spans="1:25" ht="21" customHeight="1">
      <c r="A687" s="231" t="s">
        <v>1787</v>
      </c>
      <c r="B687" s="231" t="s">
        <v>1069</v>
      </c>
      <c r="C687" s="232"/>
      <c r="D687" s="330">
        <f>IF(ISNUMBER('Valuation Inputs'!C120),'Valuation Inputs'!C120,"待定")</f>
        <v>3.0000000000000001E-3</v>
      </c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  <c r="T687" s="232"/>
      <c r="U687" s="232"/>
      <c r="V687" s="232"/>
      <c r="W687" s="232"/>
      <c r="X687" s="231"/>
      <c r="Y687" s="231"/>
    </row>
    <row r="688" spans="1:25" ht="21" customHeight="1">
      <c r="A688" s="231"/>
      <c r="B688" s="231"/>
      <c r="C688" s="232"/>
      <c r="D688" s="232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  <c r="T688" s="232"/>
      <c r="U688" s="232"/>
      <c r="V688" s="232"/>
      <c r="W688" s="232"/>
      <c r="X688" s="231"/>
      <c r="Y688" s="231"/>
    </row>
    <row r="689" spans="1:25" ht="25" customHeight="1">
      <c r="A689" s="233" t="s">
        <v>1788</v>
      </c>
      <c r="B689" s="233"/>
      <c r="C689" s="234"/>
      <c r="D689" s="234"/>
      <c r="E689" s="234"/>
      <c r="F689" s="234"/>
      <c r="G689" s="234"/>
      <c r="H689" s="234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  <c r="T689" s="232"/>
      <c r="U689" s="232"/>
      <c r="V689" s="232"/>
      <c r="W689" s="232"/>
      <c r="X689" s="231"/>
      <c r="Y689" s="231"/>
    </row>
    <row r="690" spans="1:25" ht="21" customHeight="1">
      <c r="A690" s="231" t="s">
        <v>1789</v>
      </c>
      <c r="B690" s="231" t="s">
        <v>1158</v>
      </c>
      <c r="C690" s="10" t="s">
        <v>1562</v>
      </c>
      <c r="D690" s="9"/>
      <c r="E690" s="9"/>
      <c r="F690" s="9"/>
      <c r="G690" s="9"/>
      <c r="H690" s="9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  <c r="T690" s="232"/>
      <c r="U690" s="232"/>
      <c r="V690" s="232"/>
      <c r="W690" s="232"/>
      <c r="X690" s="231"/>
      <c r="Y690" s="231" t="s">
        <v>1790</v>
      </c>
    </row>
    <row r="691" spans="1:25" ht="21" customHeight="1">
      <c r="A691" s="231" t="s">
        <v>1791</v>
      </c>
      <c r="B691" s="231" t="s">
        <v>1069</v>
      </c>
      <c r="C691" s="266">
        <f>Valuation!C6</f>
        <v>0.15</v>
      </c>
      <c r="D691" s="232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  <c r="T691" s="232"/>
      <c r="U691" s="232"/>
      <c r="V691" s="232"/>
      <c r="W691" s="232"/>
      <c r="X691" s="231"/>
      <c r="Y691" s="231" t="s">
        <v>1792</v>
      </c>
    </row>
    <row r="692" spans="1:25" ht="21" customHeight="1">
      <c r="A692" s="231" t="s">
        <v>1793</v>
      </c>
      <c r="B692" s="231" t="s">
        <v>1169</v>
      </c>
      <c r="C692" s="242">
        <f>CHOOSE(C43,C693,C694,C695)</f>
        <v>23</v>
      </c>
      <c r="D692" s="232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  <c r="T692" s="232"/>
      <c r="U692" s="232"/>
      <c r="V692" s="232"/>
      <c r="W692" s="232"/>
      <c r="X692" s="231"/>
      <c r="Y692" s="231" t="s">
        <v>1794</v>
      </c>
    </row>
    <row r="693" spans="1:25" ht="21" customHeight="1">
      <c r="A693" s="231" t="s">
        <v>1795</v>
      </c>
      <c r="B693" s="231" t="s">
        <v>1169</v>
      </c>
      <c r="C693" s="268">
        <f>Valuation!C82</f>
        <v>20</v>
      </c>
      <c r="D693" s="232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  <c r="T693" s="232"/>
      <c r="U693" s="232"/>
      <c r="V693" s="232"/>
      <c r="W693" s="232"/>
      <c r="X693" s="231"/>
      <c r="Y693" s="231"/>
    </row>
    <row r="694" spans="1:25" ht="21" customHeight="1">
      <c r="A694" s="231" t="s">
        <v>1796</v>
      </c>
      <c r="B694" s="231" t="s">
        <v>1169</v>
      </c>
      <c r="C694" s="268">
        <f>Valuation!D82</f>
        <v>23</v>
      </c>
      <c r="D694" s="232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1"/>
      <c r="Y694" s="231"/>
    </row>
    <row r="695" spans="1:25" ht="21" customHeight="1">
      <c r="A695" s="231" t="s">
        <v>1797</v>
      </c>
      <c r="B695" s="231" t="s">
        <v>1169</v>
      </c>
      <c r="C695" s="268">
        <f>Valuation!E82</f>
        <v>26</v>
      </c>
      <c r="D695" s="232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  <c r="T695" s="232"/>
      <c r="U695" s="232"/>
      <c r="V695" s="232"/>
      <c r="W695" s="232"/>
      <c r="X695" s="231"/>
      <c r="Y695" s="231"/>
    </row>
    <row r="696" spans="1:25" ht="21" customHeight="1">
      <c r="A696" s="231" t="s">
        <v>1798</v>
      </c>
      <c r="B696" s="231" t="s">
        <v>1169</v>
      </c>
      <c r="C696" s="338">
        <f>IF(ISNUMBER('Valuation Inputs'!C121),'Valuation Inputs'!C121,"待定")</f>
        <v>24</v>
      </c>
      <c r="D696" s="232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  <c r="T696" s="232"/>
      <c r="U696" s="232"/>
      <c r="V696" s="232"/>
      <c r="W696" s="232"/>
      <c r="X696" s="231"/>
      <c r="Y696" s="231"/>
    </row>
    <row r="697" spans="1:25" ht="21" customHeight="1">
      <c r="A697" s="231" t="s">
        <v>1799</v>
      </c>
      <c r="B697" s="231" t="s">
        <v>1161</v>
      </c>
      <c r="C697" s="256">
        <v>2031</v>
      </c>
      <c r="D697" s="232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  <c r="T697" s="232"/>
      <c r="U697" s="232"/>
      <c r="V697" s="232"/>
      <c r="W697" s="232"/>
      <c r="X697" s="231"/>
      <c r="Y697" s="231"/>
    </row>
    <row r="698" spans="1:25" ht="21" customHeight="1">
      <c r="A698" s="231" t="s">
        <v>1800</v>
      </c>
      <c r="B698" s="231" t="s">
        <v>1455</v>
      </c>
      <c r="C698" s="242">
        <v>92</v>
      </c>
      <c r="D698" s="8" t="s">
        <v>1801</v>
      </c>
      <c r="E698" s="9"/>
      <c r="F698" s="9"/>
      <c r="G698" s="9"/>
      <c r="H698" s="9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  <c r="T698" s="232"/>
      <c r="U698" s="232"/>
      <c r="V698" s="232"/>
      <c r="W698" s="232"/>
      <c r="X698" s="231"/>
      <c r="Y698" s="262" t="s">
        <v>1802</v>
      </c>
    </row>
    <row r="699" spans="1:25" ht="21" customHeight="1">
      <c r="A699" s="231" t="s">
        <v>1759</v>
      </c>
      <c r="B699" s="231" t="s">
        <v>1066</v>
      </c>
      <c r="C699" s="267">
        <f>Valuation!C12</f>
        <v>8000</v>
      </c>
      <c r="D699" s="232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  <c r="T699" s="232"/>
      <c r="U699" s="232"/>
      <c r="V699" s="232"/>
      <c r="W699" s="232"/>
      <c r="X699" s="231"/>
      <c r="Y699" s="231"/>
    </row>
    <row r="700" spans="1:25" ht="21" customHeight="1">
      <c r="A700" s="231" t="s">
        <v>1803</v>
      </c>
      <c r="B700" s="231" t="s">
        <v>1069</v>
      </c>
      <c r="C700" s="329">
        <f>Valuation!D70</f>
        <v>0.13</v>
      </c>
      <c r="D700" s="329">
        <f>Valuation!E70</f>
        <v>0.13999999999999999</v>
      </c>
      <c r="E700" s="329">
        <f>Valuation!F70</f>
        <v>0.15</v>
      </c>
      <c r="F700" s="329">
        <f>Valuation!G70</f>
        <v>0.16</v>
      </c>
      <c r="G700" s="329">
        <f>Valuation!H70</f>
        <v>0.16999999999999998</v>
      </c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  <c r="T700" s="232"/>
      <c r="U700" s="232"/>
      <c r="V700" s="232"/>
      <c r="W700" s="232"/>
      <c r="X700" s="231"/>
      <c r="Y700" s="231"/>
    </row>
    <row r="701" spans="1:25" ht="21" customHeight="1">
      <c r="A701" s="231" t="s">
        <v>1804</v>
      </c>
      <c r="B701" s="231" t="s">
        <v>1169</v>
      </c>
      <c r="C701" s="333">
        <f>Valuation!C71</f>
        <v>19</v>
      </c>
      <c r="D701" s="333">
        <f>Valuation!C72</f>
        <v>21</v>
      </c>
      <c r="E701" s="333">
        <f>Valuation!C73</f>
        <v>23</v>
      </c>
      <c r="F701" s="333">
        <f>Valuation!C74</f>
        <v>25</v>
      </c>
      <c r="G701" s="333">
        <f>Valuation!C75</f>
        <v>27</v>
      </c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  <c r="T701" s="232"/>
      <c r="U701" s="232"/>
      <c r="V701" s="232"/>
      <c r="W701" s="232"/>
      <c r="X701" s="231"/>
      <c r="Y701" s="231"/>
    </row>
    <row r="702" spans="1:25" ht="21" customHeight="1">
      <c r="A702" s="231" t="s">
        <v>1805</v>
      </c>
      <c r="B702" s="231" t="s">
        <v>1806</v>
      </c>
      <c r="C702" s="339">
        <f>IF(ISNUMBER('Valuation Inputs'!C133),'Valuation Inputs'!C133,"待定")</f>
        <v>0</v>
      </c>
      <c r="D702" s="232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  <c r="T702" s="232"/>
      <c r="U702" s="232"/>
      <c r="V702" s="232"/>
      <c r="W702" s="232"/>
      <c r="X702" s="231"/>
      <c r="Y702" s="231" t="s">
        <v>1807</v>
      </c>
    </row>
    <row r="703" spans="1:25" ht="21" customHeight="1">
      <c r="A703" s="231" t="s">
        <v>1808</v>
      </c>
      <c r="B703" s="231" t="s">
        <v>1066</v>
      </c>
      <c r="C703" s="238">
        <v>14000</v>
      </c>
      <c r="D703" s="232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  <c r="T703" s="232"/>
      <c r="U703" s="232"/>
      <c r="V703" s="232"/>
      <c r="W703" s="232"/>
      <c r="X703" s="231"/>
      <c r="Y703" s="231" t="s">
        <v>1809</v>
      </c>
    </row>
    <row r="704" spans="1:25" ht="21" customHeight="1">
      <c r="A704" s="231" t="s">
        <v>1810</v>
      </c>
      <c r="B704" s="231" t="s">
        <v>1066</v>
      </c>
      <c r="C704" s="334">
        <f>IF(ISNUMBER('Valuation Inputs'!C134),'Valuation Inputs'!C134,"待定")</f>
        <v>1800</v>
      </c>
      <c r="D704" s="232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  <c r="T704" s="232"/>
      <c r="U704" s="232"/>
      <c r="V704" s="232"/>
      <c r="W704" s="232"/>
      <c r="X704" s="231"/>
      <c r="Y704" s="231" t="s">
        <v>1811</v>
      </c>
    </row>
    <row r="705" spans="1:25" ht="21" customHeight="1">
      <c r="A705" s="231" t="s">
        <v>1812</v>
      </c>
      <c r="B705" s="231" t="s">
        <v>1077</v>
      </c>
      <c r="C705" s="237">
        <v>3.7999999999999999E-2</v>
      </c>
      <c r="D705" s="232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  <c r="T705" s="232"/>
      <c r="U705" s="232"/>
      <c r="V705" s="232"/>
      <c r="W705" s="232"/>
      <c r="X705" s="231"/>
      <c r="Y705" s="231"/>
    </row>
    <row r="706" spans="1:25" ht="21" customHeight="1">
      <c r="A706" s="231" t="s">
        <v>1813</v>
      </c>
      <c r="B706" s="231" t="s">
        <v>1161</v>
      </c>
      <c r="C706" s="339">
        <f>IF(ISNUMBER('Valuation Inputs'!C135),'Valuation Inputs'!C135,"待定")</f>
        <v>2027</v>
      </c>
      <c r="D706" s="232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  <c r="T706" s="232"/>
      <c r="U706" s="232"/>
      <c r="V706" s="232"/>
      <c r="W706" s="232"/>
      <c r="X706" s="231"/>
      <c r="Y706" s="231"/>
    </row>
    <row r="707" spans="1:25" ht="21" customHeight="1">
      <c r="A707" s="231" t="s">
        <v>1814</v>
      </c>
      <c r="B707" s="231" t="s">
        <v>1455</v>
      </c>
      <c r="C707" s="242">
        <v>0.53</v>
      </c>
      <c r="D707" s="243">
        <f>DATE(2026,12,15)</f>
        <v>46371</v>
      </c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  <c r="T707" s="232"/>
      <c r="U707" s="232"/>
      <c r="V707" s="232"/>
      <c r="W707" s="232"/>
      <c r="X707" s="231"/>
      <c r="Y707" s="231" t="s">
        <v>1815</v>
      </c>
    </row>
    <row r="708" spans="1:25" ht="21" customHeight="1">
      <c r="A708" s="231" t="s">
        <v>1816</v>
      </c>
      <c r="B708" s="231" t="s">
        <v>1817</v>
      </c>
      <c r="C708" s="238">
        <v>1300</v>
      </c>
      <c r="D708" s="330">
        <f>IF(ISNUMBER('Valuation Inputs'!C127),'Valuation Inputs'!C127,"待定")</f>
        <v>0.05</v>
      </c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  <c r="T708" s="232"/>
      <c r="U708" s="232"/>
      <c r="V708" s="232"/>
      <c r="W708" s="232"/>
      <c r="X708" s="231"/>
      <c r="Y708" s="231" t="s">
        <v>1818</v>
      </c>
    </row>
    <row r="709" spans="1:25" ht="21" customHeight="1">
      <c r="A709" s="231" t="s">
        <v>1819</v>
      </c>
      <c r="B709" s="231" t="s">
        <v>1069</v>
      </c>
      <c r="C709" s="330">
        <f>IF(ISNUMBER('Valuation Inputs'!C125),'Valuation Inputs'!C125,"待定")</f>
        <v>2.5000000000000001E-2</v>
      </c>
      <c r="D709" s="232"/>
      <c r="E709" s="232"/>
      <c r="F709" s="232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  <c r="T709" s="232"/>
      <c r="U709" s="232"/>
      <c r="V709" s="232"/>
      <c r="W709" s="232"/>
      <c r="X709" s="231"/>
      <c r="Y709" s="231"/>
    </row>
    <row r="710" spans="1:25" ht="25" customHeight="1">
      <c r="A710" s="233" t="s">
        <v>1820</v>
      </c>
      <c r="B710" s="233"/>
      <c r="C710" s="234"/>
      <c r="D710" s="234"/>
      <c r="E710" s="234"/>
      <c r="F710" s="234"/>
      <c r="G710" s="234"/>
      <c r="H710" s="234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  <c r="T710" s="232"/>
      <c r="U710" s="232"/>
      <c r="V710" s="232"/>
      <c r="W710" s="232"/>
      <c r="X710" s="231"/>
      <c r="Y710" s="231"/>
    </row>
    <row r="711" spans="1:25" ht="21" customHeight="1">
      <c r="A711" s="236" t="s">
        <v>1050</v>
      </c>
      <c r="B711" s="236" t="s">
        <v>1051</v>
      </c>
      <c r="C711" s="236" t="s">
        <v>1057</v>
      </c>
      <c r="D711" s="236" t="s">
        <v>1105</v>
      </c>
      <c r="E711" s="236" t="s">
        <v>1106</v>
      </c>
      <c r="F711" s="236" t="s">
        <v>1107</v>
      </c>
      <c r="G711" s="236" t="s">
        <v>1108</v>
      </c>
      <c r="H711" s="236" t="s">
        <v>1109</v>
      </c>
      <c r="I711" s="232"/>
      <c r="J711" s="236" t="s">
        <v>1372</v>
      </c>
      <c r="K711" s="236" t="s">
        <v>1373</v>
      </c>
      <c r="L711" s="236" t="s">
        <v>1374</v>
      </c>
      <c r="M711" s="236" t="s">
        <v>1375</v>
      </c>
      <c r="N711" s="236" t="s">
        <v>1332</v>
      </c>
      <c r="O711" s="232"/>
      <c r="P711" s="232"/>
      <c r="Q711" s="232"/>
      <c r="R711" s="232"/>
      <c r="S711" s="232"/>
      <c r="T711" s="232"/>
      <c r="U711" s="232"/>
      <c r="V711" s="232"/>
      <c r="W711" s="232"/>
      <c r="X711" s="231"/>
      <c r="Y711" s="231"/>
    </row>
    <row r="712" spans="1:25" ht="21" customHeight="1">
      <c r="A712" s="231" t="s">
        <v>1821</v>
      </c>
      <c r="B712" s="231" t="s">
        <v>1455</v>
      </c>
      <c r="C712" s="232"/>
      <c r="D712" s="232"/>
      <c r="E712" s="232"/>
      <c r="F712" s="232"/>
      <c r="G712" s="232"/>
      <c r="H712" s="232"/>
      <c r="I712" s="232"/>
      <c r="J712" s="242">
        <v>2.3199999999999998</v>
      </c>
      <c r="K712" s="242">
        <v>2.48</v>
      </c>
      <c r="L712" s="242">
        <v>2.69</v>
      </c>
      <c r="M712" s="242">
        <v>2.88</v>
      </c>
      <c r="N712" s="242">
        <v>3</v>
      </c>
      <c r="O712" s="232"/>
      <c r="P712" s="232"/>
      <c r="Q712" s="232"/>
      <c r="R712" s="232"/>
      <c r="S712" s="232"/>
      <c r="T712" s="232"/>
      <c r="U712" s="232"/>
      <c r="V712" s="232"/>
      <c r="W712" s="232"/>
      <c r="X712" s="231"/>
      <c r="Y712" s="231"/>
    </row>
    <row r="713" spans="1:25" ht="21" customHeight="1">
      <c r="A713" s="231" t="s">
        <v>1822</v>
      </c>
      <c r="B713" s="231" t="s">
        <v>1455</v>
      </c>
      <c r="C713" s="232"/>
      <c r="D713" s="232"/>
      <c r="E713" s="232"/>
      <c r="F713" s="232"/>
      <c r="G713" s="232"/>
      <c r="H713" s="232"/>
      <c r="I713" s="232"/>
      <c r="J713" s="242">
        <v>59.21</v>
      </c>
      <c r="K713" s="242">
        <v>63.61</v>
      </c>
      <c r="L713" s="242">
        <v>58.93</v>
      </c>
      <c r="M713" s="242">
        <v>62.26</v>
      </c>
      <c r="N713" s="242">
        <v>69.91</v>
      </c>
      <c r="O713" s="232"/>
      <c r="P713" s="232"/>
      <c r="Q713" s="232"/>
      <c r="R713" s="232"/>
      <c r="S713" s="232"/>
      <c r="T713" s="232"/>
      <c r="U713" s="232"/>
      <c r="V713" s="232"/>
      <c r="W713" s="232"/>
      <c r="X713" s="231"/>
      <c r="Y713" s="231"/>
    </row>
    <row r="714" spans="1:25" ht="21" customHeight="1">
      <c r="A714" s="231" t="s">
        <v>1823</v>
      </c>
      <c r="B714" s="231" t="s">
        <v>1169</v>
      </c>
      <c r="C714" s="232"/>
      <c r="D714" s="232"/>
      <c r="E714" s="232"/>
      <c r="F714" s="232"/>
      <c r="G714" s="232"/>
      <c r="H714" s="232"/>
      <c r="I714" s="232"/>
      <c r="J714" s="242">
        <f>J713/J712</f>
        <v>25.521551724137932</v>
      </c>
      <c r="K714" s="242">
        <f>K713/K712</f>
        <v>25.649193548387096</v>
      </c>
      <c r="L714" s="242">
        <f>L713/L712</f>
        <v>21.907063197026023</v>
      </c>
      <c r="M714" s="242">
        <f>M713/M712</f>
        <v>21.618055555555557</v>
      </c>
      <c r="N714" s="242">
        <f>N713/N712</f>
        <v>23.303333333333331</v>
      </c>
      <c r="O714" s="232"/>
      <c r="P714" s="232"/>
      <c r="Q714" s="232"/>
      <c r="R714" s="232"/>
      <c r="S714" s="232"/>
      <c r="T714" s="232"/>
      <c r="U714" s="232"/>
      <c r="V714" s="232"/>
      <c r="W714" s="232"/>
      <c r="X714" s="231"/>
      <c r="Y714" s="231"/>
    </row>
    <row r="715" spans="1:25" ht="21" customHeight="1">
      <c r="A715" s="231"/>
      <c r="B715" s="231"/>
      <c r="C715" s="232"/>
      <c r="D715" s="232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  <c r="T715" s="232"/>
      <c r="U715" s="232"/>
      <c r="V715" s="232"/>
      <c r="W715" s="232"/>
      <c r="X715" s="231"/>
      <c r="Y715" s="231"/>
    </row>
    <row r="716" spans="1:25" ht="21" customHeight="1">
      <c r="A716" s="231" t="s">
        <v>1824</v>
      </c>
      <c r="B716" s="231" t="s">
        <v>1189</v>
      </c>
      <c r="C716" s="232"/>
      <c r="D716" s="232"/>
      <c r="E716" s="232"/>
      <c r="F716" s="232"/>
      <c r="G716" s="232"/>
      <c r="H716" s="232"/>
      <c r="I716" s="232"/>
      <c r="J716" s="238">
        <v>4325</v>
      </c>
      <c r="K716" s="238">
        <v>4328</v>
      </c>
      <c r="L716" s="238">
        <v>4308</v>
      </c>
      <c r="M716" s="238">
        <v>4302</v>
      </c>
      <c r="N716" s="238">
        <v>4302</v>
      </c>
      <c r="O716" s="232"/>
      <c r="P716" s="232"/>
      <c r="Q716" s="232"/>
      <c r="R716" s="232"/>
      <c r="S716" s="232"/>
      <c r="T716" s="232"/>
      <c r="U716" s="232"/>
      <c r="V716" s="232"/>
      <c r="W716" s="232"/>
      <c r="X716" s="231"/>
      <c r="Y716" s="231"/>
    </row>
    <row r="717" spans="1:25" ht="21" customHeight="1">
      <c r="A717" s="231" t="s">
        <v>1476</v>
      </c>
      <c r="B717" s="231" t="s">
        <v>1189</v>
      </c>
      <c r="C717" s="232"/>
      <c r="D717" s="232"/>
      <c r="E717" s="232"/>
      <c r="F717" s="232"/>
      <c r="G717" s="232"/>
      <c r="H717" s="232"/>
      <c r="I717" s="232"/>
      <c r="J717" s="244">
        <f>'Income Statement'!H45</f>
        <v>4340</v>
      </c>
      <c r="K717" s="244">
        <f>'Income Statement'!I45</f>
        <v>4350</v>
      </c>
      <c r="L717" s="244">
        <f>'Income Statement'!J45</f>
        <v>4339</v>
      </c>
      <c r="M717" s="244">
        <f>'Income Statement'!K45</f>
        <v>4320</v>
      </c>
      <c r="N717" s="244">
        <f>'Income Statement'!L45</f>
        <v>4313</v>
      </c>
      <c r="O717" s="232"/>
      <c r="P717" s="232"/>
      <c r="Q717" s="232"/>
      <c r="R717" s="232"/>
      <c r="S717" s="232"/>
      <c r="T717" s="232"/>
      <c r="U717" s="232"/>
      <c r="V717" s="232"/>
      <c r="W717" s="232"/>
      <c r="X717" s="231"/>
      <c r="Y717" s="231"/>
    </row>
    <row r="718" spans="1:25" ht="21" customHeight="1">
      <c r="A718" s="231" t="s">
        <v>1825</v>
      </c>
      <c r="B718" s="231" t="s">
        <v>1189</v>
      </c>
      <c r="C718" s="232"/>
      <c r="D718" s="232"/>
      <c r="E718" s="232"/>
      <c r="F718" s="232"/>
      <c r="G718" s="232"/>
      <c r="H718" s="232"/>
      <c r="I718" s="232"/>
      <c r="J718" s="238">
        <v>0</v>
      </c>
      <c r="K718" s="238">
        <v>21.3</v>
      </c>
      <c r="L718" s="238">
        <v>36.9</v>
      </c>
      <c r="M718" s="238">
        <v>26.5</v>
      </c>
      <c r="N718" s="238">
        <v>9.4</v>
      </c>
      <c r="O718" s="232"/>
      <c r="P718" s="232"/>
      <c r="Q718" s="232"/>
      <c r="R718" s="232"/>
      <c r="S718" s="232"/>
      <c r="T718" s="232"/>
      <c r="U718" s="232"/>
      <c r="V718" s="232"/>
      <c r="W718" s="232"/>
      <c r="X718" s="231"/>
      <c r="Y718" s="231"/>
    </row>
    <row r="719" spans="1:25" ht="21" customHeight="1">
      <c r="A719" s="231" t="s">
        <v>1826</v>
      </c>
      <c r="B719" s="231" t="s">
        <v>1189</v>
      </c>
      <c r="C719" s="232"/>
      <c r="D719" s="232"/>
      <c r="E719" s="232"/>
      <c r="F719" s="232"/>
      <c r="G719" s="232"/>
      <c r="H719" s="232"/>
      <c r="I719" s="232"/>
      <c r="J719" s="238" t="s">
        <v>1827</v>
      </c>
      <c r="K719" s="238">
        <f>K716-J716+K718</f>
        <v>24.3</v>
      </c>
      <c r="L719" s="238">
        <f>L716-K716+L718</f>
        <v>16.899999999999999</v>
      </c>
      <c r="M719" s="238">
        <f>M716-L716+M718</f>
        <v>20.5</v>
      </c>
      <c r="N719" s="238">
        <f>N716-M716+N718</f>
        <v>9.4</v>
      </c>
      <c r="O719" s="232"/>
      <c r="P719" s="232"/>
      <c r="Q719" s="232"/>
      <c r="R719" s="232"/>
      <c r="S719" s="232"/>
      <c r="T719" s="232"/>
      <c r="U719" s="232"/>
      <c r="V719" s="232"/>
      <c r="W719" s="232"/>
      <c r="X719" s="231"/>
      <c r="Y719" s="231" t="s">
        <v>1828</v>
      </c>
    </row>
    <row r="720" spans="1:25" ht="21" customHeight="1">
      <c r="A720" s="231" t="s">
        <v>1829</v>
      </c>
      <c r="B720" s="231" t="s">
        <v>1069</v>
      </c>
      <c r="C720" s="232"/>
      <c r="D720" s="232"/>
      <c r="E720" s="232"/>
      <c r="F720" s="232"/>
      <c r="G720" s="232"/>
      <c r="H720" s="232"/>
      <c r="I720" s="232"/>
      <c r="J720" s="232" t="s">
        <v>1827</v>
      </c>
      <c r="K720" s="237">
        <f>K719/J716</f>
        <v>5.6184971098265897E-3</v>
      </c>
      <c r="L720" s="237">
        <f>L719/K716</f>
        <v>3.9048059149722732E-3</v>
      </c>
      <c r="M720" s="237">
        <f>M719/L716</f>
        <v>4.7585886722376972E-3</v>
      </c>
      <c r="N720" s="237">
        <f>N719/M716</f>
        <v>2.1850302185030218E-3</v>
      </c>
      <c r="O720" s="232"/>
      <c r="P720" s="232"/>
      <c r="Q720" s="232"/>
      <c r="R720" s="232"/>
      <c r="S720" s="232"/>
      <c r="T720" s="232"/>
      <c r="U720" s="232"/>
      <c r="V720" s="232"/>
      <c r="W720" s="232"/>
      <c r="X720" s="231"/>
      <c r="Y720" s="231"/>
    </row>
    <row r="721" spans="1:25" ht="21" customHeight="1">
      <c r="A721" s="231"/>
      <c r="B721" s="231"/>
      <c r="C721" s="232"/>
      <c r="D721" s="232"/>
      <c r="E721" s="232"/>
      <c r="F721" s="232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  <c r="T721" s="232"/>
      <c r="U721" s="232"/>
      <c r="V721" s="232"/>
      <c r="W721" s="232"/>
      <c r="X721" s="231"/>
      <c r="Y721" s="231"/>
    </row>
    <row r="722" spans="1:25" ht="21" customHeight="1">
      <c r="A722" s="231"/>
      <c r="B722" s="231"/>
      <c r="C722" s="232"/>
      <c r="D722" s="232"/>
      <c r="E722" s="232"/>
      <c r="F722" s="232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  <c r="T722" s="232"/>
      <c r="U722" s="232"/>
      <c r="V722" s="232"/>
      <c r="W722" s="232"/>
      <c r="X722" s="231"/>
      <c r="Y722" s="231"/>
    </row>
    <row r="723" spans="1:25" ht="21" customHeight="1">
      <c r="A723" s="231"/>
      <c r="B723" s="231"/>
      <c r="C723" s="232"/>
      <c r="D723" s="232"/>
      <c r="E723" s="232"/>
      <c r="F723" s="232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  <c r="T723" s="232"/>
      <c r="U723" s="232"/>
      <c r="V723" s="232"/>
      <c r="W723" s="232"/>
      <c r="X723" s="231"/>
      <c r="Y723" s="231"/>
    </row>
    <row r="724" spans="1:25" ht="25" customHeight="1">
      <c r="A724" s="233" t="s">
        <v>1830</v>
      </c>
      <c r="B724" s="233"/>
      <c r="C724" s="234"/>
      <c r="D724" s="234"/>
      <c r="E724" s="234"/>
      <c r="F724" s="234"/>
      <c r="G724" s="234"/>
      <c r="H724" s="234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  <c r="T724" s="232"/>
      <c r="U724" s="232"/>
      <c r="V724" s="232"/>
      <c r="W724" s="232"/>
      <c r="X724" s="231"/>
      <c r="Y724" s="231"/>
    </row>
    <row r="725" spans="1:25" ht="21" customHeight="1">
      <c r="A725" s="231" t="s">
        <v>1831</v>
      </c>
      <c r="B725" s="231"/>
      <c r="C725" s="232"/>
      <c r="D725" s="232"/>
      <c r="E725" s="232"/>
      <c r="F725" s="232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  <c r="T725" s="232"/>
      <c r="U725" s="232"/>
      <c r="V725" s="232"/>
      <c r="W725" s="232"/>
      <c r="X725" s="231"/>
      <c r="Y725" s="231"/>
    </row>
    <row r="726" spans="1:25" ht="21" customHeight="1">
      <c r="A726" s="231" t="s">
        <v>1832</v>
      </c>
      <c r="B726" s="231"/>
      <c r="C726" s="232"/>
      <c r="D726" s="232"/>
      <c r="E726" s="232"/>
      <c r="F726" s="232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  <c r="T726" s="232"/>
      <c r="U726" s="232"/>
      <c r="V726" s="232"/>
      <c r="W726" s="232"/>
      <c r="X726" s="231"/>
      <c r="Y726" s="231"/>
    </row>
    <row r="727" spans="1:25" ht="21" customHeight="1">
      <c r="A727" s="231" t="s">
        <v>1833</v>
      </c>
      <c r="B727" s="231"/>
      <c r="C727" s="232"/>
      <c r="D727" s="232"/>
      <c r="E727" s="232"/>
      <c r="F727" s="232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  <c r="T727" s="232"/>
      <c r="U727" s="232"/>
      <c r="V727" s="232"/>
      <c r="W727" s="232"/>
      <c r="X727" s="231"/>
      <c r="Y727" s="231"/>
    </row>
    <row r="728" spans="1:25" ht="21" customHeight="1">
      <c r="A728" s="231" t="s">
        <v>1834</v>
      </c>
      <c r="B728" s="231"/>
      <c r="C728" s="232"/>
      <c r="D728" s="232"/>
      <c r="E728" s="232"/>
      <c r="F728" s="232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  <c r="T728" s="232"/>
      <c r="U728" s="232"/>
      <c r="V728" s="232"/>
      <c r="W728" s="232"/>
      <c r="X728" s="231"/>
      <c r="Y728" s="231"/>
    </row>
    <row r="729" spans="1:25" ht="21" customHeight="1">
      <c r="A729" s="231" t="s">
        <v>1835</v>
      </c>
      <c r="B729" s="231"/>
      <c r="C729" s="232"/>
      <c r="D729" s="232"/>
      <c r="E729" s="232"/>
      <c r="F729" s="232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  <c r="T729" s="232"/>
      <c r="U729" s="232"/>
      <c r="V729" s="232"/>
      <c r="W729" s="232"/>
      <c r="X729" s="231"/>
      <c r="Y729" s="231"/>
    </row>
    <row r="730" spans="1:25" ht="21" customHeight="1">
      <c r="A730" s="231" t="s">
        <v>1836</v>
      </c>
      <c r="B730" s="231"/>
      <c r="C730" s="232"/>
      <c r="D730" s="232"/>
      <c r="E730" s="232"/>
      <c r="F730" s="232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  <c r="T730" s="232"/>
      <c r="U730" s="232"/>
      <c r="V730" s="232"/>
      <c r="W730" s="232"/>
      <c r="X730" s="231"/>
      <c r="Y730" s="231"/>
    </row>
    <row r="731" spans="1:25" ht="21" customHeight="1">
      <c r="A731" s="231" t="s">
        <v>1837</v>
      </c>
      <c r="B731" s="231"/>
      <c r="C731" s="232"/>
      <c r="D731" s="232"/>
      <c r="E731" s="232"/>
      <c r="F731" s="232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  <c r="T731" s="232"/>
      <c r="U731" s="232"/>
      <c r="V731" s="232"/>
      <c r="W731" s="232"/>
      <c r="X731" s="231"/>
      <c r="Y731" s="231"/>
    </row>
    <row r="732" spans="1:25" ht="21" customHeight="1">
      <c r="A732" s="231" t="s">
        <v>1838</v>
      </c>
      <c r="B732" s="231"/>
      <c r="C732" s="232"/>
      <c r="D732" s="232"/>
      <c r="E732" s="232"/>
      <c r="F732" s="232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  <c r="T732" s="232"/>
      <c r="U732" s="232"/>
      <c r="V732" s="232"/>
      <c r="W732" s="232"/>
      <c r="X732" s="231"/>
      <c r="Y732" s="231"/>
    </row>
    <row r="733" spans="1:25" ht="21" customHeight="1">
      <c r="A733" s="231" t="s">
        <v>1839</v>
      </c>
      <c r="B733" s="231"/>
      <c r="C733" s="232"/>
      <c r="D733" s="232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  <c r="T733" s="232"/>
      <c r="U733" s="232"/>
      <c r="V733" s="232"/>
      <c r="W733" s="232"/>
      <c r="X733" s="231"/>
      <c r="Y733" s="231"/>
    </row>
    <row r="734" spans="1:25" ht="21" customHeight="1">
      <c r="A734" s="231" t="s">
        <v>1840</v>
      </c>
      <c r="B734" s="231"/>
      <c r="C734" s="232"/>
      <c r="D734" s="232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  <c r="T734" s="232"/>
      <c r="U734" s="232"/>
      <c r="V734" s="232"/>
      <c r="W734" s="232"/>
      <c r="X734" s="231"/>
      <c r="Y734" s="231"/>
    </row>
    <row r="735" spans="1:25" ht="21" customHeight="1">
      <c r="A735" s="231" t="s">
        <v>1841</v>
      </c>
      <c r="B735" s="231"/>
      <c r="C735" s="232"/>
      <c r="D735" s="232"/>
      <c r="E735" s="232"/>
      <c r="F735" s="232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  <c r="T735" s="232"/>
      <c r="U735" s="232"/>
      <c r="V735" s="232"/>
      <c r="W735" s="232"/>
      <c r="X735" s="231"/>
      <c r="Y735" s="231"/>
    </row>
    <row r="736" spans="1:25" ht="21" customHeight="1">
      <c r="A736" s="231" t="s">
        <v>1842</v>
      </c>
      <c r="B736" s="231"/>
      <c r="C736" s="232"/>
      <c r="D736" s="232"/>
      <c r="E736" s="232"/>
      <c r="F736" s="232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  <c r="T736" s="232"/>
      <c r="U736" s="232"/>
      <c r="V736" s="232"/>
      <c r="W736" s="232"/>
      <c r="X736" s="231"/>
      <c r="Y736" s="231"/>
    </row>
    <row r="737" spans="1:25" ht="21" customHeight="1">
      <c r="A737" s="231" t="s">
        <v>1843</v>
      </c>
      <c r="B737" s="231"/>
      <c r="C737" s="232"/>
      <c r="D737" s="232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1"/>
      <c r="Y737" s="231"/>
    </row>
    <row r="738" spans="1:25" ht="21" customHeight="1">
      <c r="A738" s="231" t="s">
        <v>1844</v>
      </c>
      <c r="B738" s="231"/>
      <c r="C738" s="232"/>
      <c r="D738" s="232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  <c r="T738" s="232"/>
      <c r="U738" s="232"/>
      <c r="V738" s="232"/>
      <c r="W738" s="232"/>
      <c r="X738" s="231"/>
      <c r="Y738" s="231"/>
    </row>
    <row r="739" spans="1:25" ht="21" customHeight="1">
      <c r="A739" s="231" t="s">
        <v>1845</v>
      </c>
      <c r="B739" s="231"/>
      <c r="C739" s="232"/>
      <c r="D739" s="232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  <c r="T739" s="232"/>
      <c r="U739" s="232"/>
      <c r="V739" s="232"/>
      <c r="W739" s="232"/>
      <c r="X739" s="231"/>
      <c r="Y739" s="231"/>
    </row>
    <row r="740" spans="1:25" ht="21" customHeight="1">
      <c r="A740" s="231" t="s">
        <v>1626</v>
      </c>
      <c r="B740" s="231"/>
      <c r="C740" s="232"/>
      <c r="D740" s="232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  <c r="T740" s="232"/>
      <c r="U740" s="232"/>
      <c r="V740" s="232"/>
      <c r="W740" s="232"/>
      <c r="X740" s="231"/>
      <c r="Y740" s="231"/>
    </row>
    <row r="741" spans="1:25" ht="21" customHeight="1">
      <c r="A741" s="231" t="s">
        <v>1846</v>
      </c>
      <c r="B741" s="231"/>
      <c r="C741" s="232"/>
      <c r="D741" s="232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  <c r="T741" s="232"/>
      <c r="U741" s="232"/>
      <c r="V741" s="232"/>
      <c r="W741" s="232"/>
      <c r="X741" s="231"/>
      <c r="Y741" s="231"/>
    </row>
    <row r="742" spans="1:25" ht="21" customHeight="1">
      <c r="A742" s="231" t="s">
        <v>592</v>
      </c>
      <c r="B742" s="231"/>
      <c r="C742" s="232"/>
      <c r="D742" s="232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  <c r="T742" s="232"/>
      <c r="U742" s="232"/>
      <c r="V742" s="232"/>
      <c r="W742" s="232"/>
      <c r="X742" s="231"/>
      <c r="Y742" s="231"/>
    </row>
    <row r="743" spans="1:25" ht="21" customHeight="1">
      <c r="A743" s="231" t="s">
        <v>1847</v>
      </c>
      <c r="B743" s="231"/>
      <c r="C743" s="232"/>
      <c r="D743" s="232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  <c r="T743" s="232"/>
      <c r="U743" s="232"/>
      <c r="V743" s="232"/>
      <c r="W743" s="232"/>
      <c r="X743" s="231"/>
      <c r="Y743" s="231"/>
    </row>
    <row r="744" spans="1:25" ht="21" customHeight="1">
      <c r="A744" s="231" t="s">
        <v>1848</v>
      </c>
      <c r="B744" s="231"/>
      <c r="C744" s="232"/>
      <c r="D744" s="232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  <c r="T744" s="232"/>
      <c r="U744" s="232"/>
      <c r="V744" s="232"/>
      <c r="W744" s="232"/>
      <c r="X744" s="231"/>
      <c r="Y744" s="231"/>
    </row>
    <row r="745" spans="1:25" ht="21" customHeight="1">
      <c r="A745" s="231" t="s">
        <v>1849</v>
      </c>
      <c r="B745" s="231"/>
      <c r="C745" s="232"/>
      <c r="D745" s="232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  <c r="T745" s="232"/>
      <c r="U745" s="232"/>
      <c r="V745" s="232"/>
      <c r="W745" s="232"/>
      <c r="X745" s="231"/>
      <c r="Y745" s="231"/>
    </row>
    <row r="746" spans="1:25" ht="21" customHeight="1">
      <c r="A746" s="231" t="s">
        <v>1850</v>
      </c>
      <c r="B746" s="231"/>
      <c r="C746" s="232"/>
      <c r="D746" s="232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  <c r="T746" s="232"/>
      <c r="U746" s="232"/>
      <c r="V746" s="232"/>
      <c r="W746" s="232"/>
      <c r="X746" s="231"/>
      <c r="Y746" s="231"/>
    </row>
    <row r="747" spans="1:25" ht="21" customHeight="1">
      <c r="A747" s="231" t="s">
        <v>1851</v>
      </c>
      <c r="B747" s="231"/>
      <c r="C747" s="232"/>
      <c r="D747" s="232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  <c r="T747" s="232"/>
      <c r="U747" s="232"/>
      <c r="V747" s="232"/>
      <c r="W747" s="232"/>
      <c r="X747" s="231"/>
      <c r="Y747" s="231"/>
    </row>
    <row r="748" spans="1:25" ht="21" customHeight="1">
      <c r="A748" s="231" t="s">
        <v>1852</v>
      </c>
      <c r="B748" s="231"/>
      <c r="C748" s="232"/>
      <c r="D748" s="232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  <c r="T748" s="232"/>
      <c r="U748" s="232"/>
      <c r="V748" s="232"/>
      <c r="W748" s="232"/>
      <c r="X748" s="231"/>
      <c r="Y748" s="231"/>
    </row>
    <row r="749" spans="1:25" ht="21" customHeight="1">
      <c r="A749" s="231" t="s">
        <v>1853</v>
      </c>
      <c r="B749" s="231"/>
      <c r="C749" s="232"/>
      <c r="D749" s="232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  <c r="T749" s="232"/>
      <c r="U749" s="232"/>
      <c r="V749" s="232"/>
      <c r="W749" s="232"/>
      <c r="X749" s="231"/>
      <c r="Y749" s="231"/>
    </row>
    <row r="750" spans="1:25" ht="21" customHeight="1">
      <c r="A750" s="262" t="s">
        <v>1854</v>
      </c>
      <c r="B750" s="231"/>
      <c r="C750" s="232"/>
      <c r="D750" s="232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  <c r="T750" s="232"/>
      <c r="U750" s="232"/>
      <c r="V750" s="232"/>
      <c r="W750" s="232"/>
      <c r="X750" s="231"/>
      <c r="Y750" s="231"/>
    </row>
    <row r="751" spans="1:25" ht="21" customHeight="1">
      <c r="A751" s="231" t="s">
        <v>1855</v>
      </c>
      <c r="B751" s="231"/>
      <c r="C751" s="232"/>
      <c r="D751" s="232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  <c r="T751" s="232"/>
      <c r="U751" s="232"/>
      <c r="V751" s="232"/>
      <c r="W751" s="232"/>
      <c r="X751" s="231"/>
      <c r="Y751" s="231"/>
    </row>
    <row r="752" spans="1:25" ht="21" customHeight="1">
      <c r="A752" s="231"/>
      <c r="B752" s="231"/>
      <c r="C752" s="232"/>
      <c r="D752" s="232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  <c r="T752" s="232"/>
      <c r="U752" s="232"/>
      <c r="V752" s="232"/>
      <c r="W752" s="232"/>
      <c r="X752" s="231"/>
      <c r="Y752" s="231"/>
    </row>
    <row r="753" spans="1:25" ht="21" customHeight="1">
      <c r="A753" s="231"/>
      <c r="B753" s="231"/>
      <c r="C753" s="232"/>
      <c r="D753" s="232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  <c r="T753" s="232"/>
      <c r="U753" s="232"/>
      <c r="V753" s="232"/>
      <c r="W753" s="232"/>
      <c r="X753" s="231"/>
      <c r="Y753" s="231"/>
    </row>
    <row r="754" spans="1:25" ht="25" customHeight="1">
      <c r="A754" s="233" t="s">
        <v>1856</v>
      </c>
      <c r="B754" s="233"/>
      <c r="C754" s="234"/>
      <c r="D754" s="234"/>
      <c r="E754" s="234"/>
      <c r="F754" s="234"/>
      <c r="G754" s="234"/>
      <c r="H754" s="234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  <c r="T754" s="232"/>
      <c r="U754" s="232"/>
      <c r="V754" s="232"/>
      <c r="W754" s="232"/>
      <c r="X754" s="231"/>
      <c r="Y754" s="231"/>
    </row>
    <row r="755" spans="1:25" ht="21" customHeight="1">
      <c r="A755" s="236" t="s">
        <v>1050</v>
      </c>
      <c r="B755" s="236" t="s">
        <v>1051</v>
      </c>
      <c r="C755" s="236" t="s">
        <v>1057</v>
      </c>
      <c r="D755" s="236" t="s">
        <v>1105</v>
      </c>
      <c r="E755" s="236" t="s">
        <v>1106</v>
      </c>
      <c r="F755" s="236" t="s">
        <v>1107</v>
      </c>
      <c r="G755" s="236" t="s">
        <v>1108</v>
      </c>
      <c r="H755" s="236" t="s">
        <v>1109</v>
      </c>
      <c r="I755" s="232"/>
      <c r="J755" s="236" t="s">
        <v>1372</v>
      </c>
      <c r="K755" s="236" t="s">
        <v>1373</v>
      </c>
      <c r="L755" s="236" t="s">
        <v>1374</v>
      </c>
      <c r="M755" s="236" t="s">
        <v>1375</v>
      </c>
      <c r="N755" s="236" t="s">
        <v>1332</v>
      </c>
      <c r="O755" s="232"/>
      <c r="P755" s="232"/>
      <c r="Q755" s="232"/>
      <c r="R755" s="232"/>
      <c r="S755" s="232"/>
      <c r="T755" s="232"/>
      <c r="U755" s="232"/>
      <c r="V755" s="232"/>
      <c r="W755" s="232"/>
      <c r="X755" s="231"/>
      <c r="Y755" s="231"/>
    </row>
    <row r="756" spans="1:25" ht="21" customHeight="1">
      <c r="A756" s="247" t="s">
        <v>1857</v>
      </c>
      <c r="B756" s="247" t="s">
        <v>1069</v>
      </c>
      <c r="C756" s="252"/>
      <c r="D756" s="248">
        <f>IF(CHOOSE($C$43,ISNUMBER(D757),ISNUMBER(D758),ISNUMBER(D759)),CHOOSE($C$43,D757,D758,D759),"待定")</f>
        <v>0.05</v>
      </c>
      <c r="E756" s="248">
        <f>IF(CHOOSE($C$43,ISNUMBER(E757),ISNUMBER(E758),ISNUMBER(E759)),CHOOSE($C$43,E757,E758,E759),"待定")</f>
        <v>0.05</v>
      </c>
      <c r="F756" s="248">
        <f>IF(CHOOSE($C$43,ISNUMBER(F757),ISNUMBER(F758),ISNUMBER(F759)),CHOOSE($C$43,F757,F758,F759),"待定")</f>
        <v>0.05</v>
      </c>
      <c r="G756" s="248">
        <f>IF(CHOOSE($C$43,ISNUMBER(G757),ISNUMBER(G758),ISNUMBER(G759)),CHOOSE($C$43,G757,G758,G759),"待定")</f>
        <v>0.05</v>
      </c>
      <c r="H756" s="248">
        <f>IF(CHOOSE($C$43,ISNUMBER(H757),ISNUMBER(H758),ISNUMBER(H759)),CHOOSE($C$43,H757,H758,H759),"待定")</f>
        <v>0.05</v>
      </c>
      <c r="I756" s="232"/>
      <c r="J756" s="252"/>
      <c r="K756" s="252"/>
      <c r="L756" s="252"/>
      <c r="M756" s="252"/>
      <c r="N756" s="252"/>
      <c r="O756" s="232"/>
      <c r="P756" s="232"/>
      <c r="Q756" s="232"/>
      <c r="R756" s="232"/>
      <c r="S756" s="232"/>
      <c r="T756" s="232"/>
      <c r="U756" s="232"/>
      <c r="V756" s="232"/>
      <c r="W756" s="232"/>
      <c r="X756" s="231"/>
      <c r="Y756" s="231"/>
    </row>
    <row r="757" spans="1:25" ht="21" customHeight="1">
      <c r="A757" s="231" t="s">
        <v>1514</v>
      </c>
      <c r="B757" s="231" t="s">
        <v>1069</v>
      </c>
      <c r="C757" s="232"/>
      <c r="D757" s="330">
        <f>IF(ISNUMBER('Valuation Inputs'!D42),'Valuation Inputs'!D42,"待定")</f>
        <v>0.03</v>
      </c>
      <c r="E757" s="330">
        <f>IF(ISNUMBER('Valuation Inputs'!E42),'Valuation Inputs'!E42,"待定")</f>
        <v>0.03</v>
      </c>
      <c r="F757" s="330">
        <f>IF(ISNUMBER('Valuation Inputs'!F42),'Valuation Inputs'!F42,"待定")</f>
        <v>0.03</v>
      </c>
      <c r="G757" s="330">
        <f>IF(ISNUMBER('Valuation Inputs'!G42),'Valuation Inputs'!G42,"待定")</f>
        <v>0.03</v>
      </c>
      <c r="H757" s="330">
        <f>IF(ISNUMBER('Valuation Inputs'!H42),'Valuation Inputs'!H42,"待定")</f>
        <v>0.03</v>
      </c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  <c r="T757" s="232"/>
      <c r="U757" s="232"/>
      <c r="V757" s="232"/>
      <c r="W757" s="232"/>
      <c r="X757" s="231"/>
      <c r="Y757" s="231"/>
    </row>
    <row r="758" spans="1:25" ht="21" customHeight="1">
      <c r="A758" s="231" t="s">
        <v>1515</v>
      </c>
      <c r="B758" s="231" t="s">
        <v>1069</v>
      </c>
      <c r="C758" s="232"/>
      <c r="D758" s="330">
        <f>IF(ISNUMBER('Valuation Inputs'!D43),'Valuation Inputs'!D43,"待定")</f>
        <v>0.05</v>
      </c>
      <c r="E758" s="330">
        <f>IF(ISNUMBER('Valuation Inputs'!E43),'Valuation Inputs'!E43,"待定")</f>
        <v>0.05</v>
      </c>
      <c r="F758" s="330">
        <f>IF(ISNUMBER('Valuation Inputs'!F43),'Valuation Inputs'!F43,"待定")</f>
        <v>0.05</v>
      </c>
      <c r="G758" s="330">
        <f>IF(ISNUMBER('Valuation Inputs'!G43),'Valuation Inputs'!G43,"待定")</f>
        <v>0.05</v>
      </c>
      <c r="H758" s="330">
        <f>IF(ISNUMBER('Valuation Inputs'!H43),'Valuation Inputs'!H43,"待定")</f>
        <v>0.05</v>
      </c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  <c r="T758" s="232"/>
      <c r="U758" s="232"/>
      <c r="V758" s="232"/>
      <c r="W758" s="232"/>
      <c r="X758" s="231"/>
      <c r="Y758" s="231"/>
    </row>
    <row r="759" spans="1:25" ht="21" customHeight="1">
      <c r="A759" s="231" t="s">
        <v>1516</v>
      </c>
      <c r="B759" s="231" t="s">
        <v>1069</v>
      </c>
      <c r="C759" s="232"/>
      <c r="D759" s="330">
        <f>IF(ISNUMBER('Valuation Inputs'!D44),'Valuation Inputs'!D44,"待定")</f>
        <v>0.06</v>
      </c>
      <c r="E759" s="330">
        <f>IF(ISNUMBER('Valuation Inputs'!E44),'Valuation Inputs'!E44,"待定")</f>
        <v>0.06</v>
      </c>
      <c r="F759" s="330">
        <f>IF(ISNUMBER('Valuation Inputs'!F44),'Valuation Inputs'!F44,"待定")</f>
        <v>0.06</v>
      </c>
      <c r="G759" s="330">
        <f>IF(ISNUMBER('Valuation Inputs'!G44),'Valuation Inputs'!G44,"待定")</f>
        <v>0.06</v>
      </c>
      <c r="H759" s="330">
        <f>IF(ISNUMBER('Valuation Inputs'!H44),'Valuation Inputs'!H44,"待定")</f>
        <v>0.06</v>
      </c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  <c r="T759" s="232"/>
      <c r="U759" s="232"/>
      <c r="V759" s="232"/>
      <c r="W759" s="232"/>
      <c r="X759" s="231"/>
      <c r="Y759" s="231"/>
    </row>
    <row r="760" spans="1:25" ht="21" customHeight="1">
      <c r="A760" s="231"/>
      <c r="B760" s="231"/>
      <c r="C760" s="232"/>
      <c r="D760" s="232"/>
      <c r="E760" s="232"/>
      <c r="F760" s="232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  <c r="T760" s="232"/>
      <c r="U760" s="232"/>
      <c r="V760" s="232"/>
      <c r="W760" s="232"/>
      <c r="X760" s="231"/>
      <c r="Y760" s="231"/>
    </row>
    <row r="761" spans="1:25" ht="21" customHeight="1">
      <c r="A761" s="247" t="s">
        <v>1858</v>
      </c>
      <c r="B761" s="247" t="s">
        <v>1069</v>
      </c>
      <c r="C761" s="252"/>
      <c r="D761" s="248">
        <f>IF(CHOOSE($C$43,ISNUMBER(D762),ISNUMBER(D763),ISNUMBER(D764)),CHOOSE($C$43,D762,D763,D764),"待定")</f>
        <v>0.20499999999999999</v>
      </c>
      <c r="E761" s="248">
        <f>IF(CHOOSE($C$43,ISNUMBER(E762),ISNUMBER(E763),ISNUMBER(E764)),CHOOSE($C$43,E762,E763,E764),"待定")</f>
        <v>0.20499999999999999</v>
      </c>
      <c r="F761" s="248">
        <f>IF(CHOOSE($C$43,ISNUMBER(F762),ISNUMBER(F763),ISNUMBER(F764)),CHOOSE($C$43,F762,F763,F764),"待定")</f>
        <v>0.20499999999999999</v>
      </c>
      <c r="G761" s="248">
        <f>IF(CHOOSE($C$43,ISNUMBER(G762),ISNUMBER(G763),ISNUMBER(G764)),CHOOSE($C$43,G762,G763,G764),"待定")</f>
        <v>0.20499999999999999</v>
      </c>
      <c r="H761" s="248">
        <f>IF(CHOOSE($C$43,ISNUMBER(H762),ISNUMBER(H763),ISNUMBER(H764)),CHOOSE($C$43,H762,H763,H764),"待定")</f>
        <v>0.20499999999999999</v>
      </c>
      <c r="I761" s="232"/>
      <c r="J761" s="252"/>
      <c r="K761" s="252"/>
      <c r="L761" s="252"/>
      <c r="M761" s="252"/>
      <c r="N761" s="252"/>
      <c r="O761" s="232"/>
      <c r="P761" s="232"/>
      <c r="Q761" s="232"/>
      <c r="R761" s="232"/>
      <c r="S761" s="232"/>
      <c r="T761" s="232"/>
      <c r="U761" s="232"/>
      <c r="V761" s="232"/>
      <c r="W761" s="232"/>
      <c r="X761" s="231"/>
      <c r="Y761" s="231"/>
    </row>
    <row r="762" spans="1:25" ht="21" customHeight="1">
      <c r="A762" s="231" t="s">
        <v>1514</v>
      </c>
      <c r="B762" s="231" t="s">
        <v>1069</v>
      </c>
      <c r="C762" s="232"/>
      <c r="D762" s="330">
        <f>IF(ISNUMBER('Valuation Inputs'!D46),'Valuation Inputs'!D46,"待定")</f>
        <v>0.22</v>
      </c>
      <c r="E762" s="330">
        <f>IF(ISNUMBER('Valuation Inputs'!E46),'Valuation Inputs'!E46,"待定")</f>
        <v>0.22</v>
      </c>
      <c r="F762" s="330">
        <f>IF(ISNUMBER('Valuation Inputs'!F46),'Valuation Inputs'!F46,"待定")</f>
        <v>0.22</v>
      </c>
      <c r="G762" s="330">
        <f>IF(ISNUMBER('Valuation Inputs'!G46),'Valuation Inputs'!G46,"待定")</f>
        <v>0.22</v>
      </c>
      <c r="H762" s="330">
        <f>IF(ISNUMBER('Valuation Inputs'!H46),'Valuation Inputs'!H46,"待定")</f>
        <v>0.22</v>
      </c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  <c r="T762" s="232"/>
      <c r="U762" s="232"/>
      <c r="V762" s="232"/>
      <c r="W762" s="232"/>
      <c r="X762" s="231"/>
      <c r="Y762" s="231"/>
    </row>
    <row r="763" spans="1:25" ht="21" customHeight="1">
      <c r="A763" s="231" t="s">
        <v>1515</v>
      </c>
      <c r="B763" s="231" t="s">
        <v>1069</v>
      </c>
      <c r="C763" s="232"/>
      <c r="D763" s="330">
        <f>IF(ISNUMBER('Valuation Inputs'!D47),'Valuation Inputs'!D47,"待定")</f>
        <v>0.20499999999999999</v>
      </c>
      <c r="E763" s="330">
        <f>IF(ISNUMBER('Valuation Inputs'!E47),'Valuation Inputs'!E47,"待定")</f>
        <v>0.20499999999999999</v>
      </c>
      <c r="F763" s="330">
        <f>IF(ISNUMBER('Valuation Inputs'!F47),'Valuation Inputs'!F47,"待定")</f>
        <v>0.20499999999999999</v>
      </c>
      <c r="G763" s="330">
        <f>IF(ISNUMBER('Valuation Inputs'!G47),'Valuation Inputs'!G47,"待定")</f>
        <v>0.20499999999999999</v>
      </c>
      <c r="H763" s="330">
        <f>IF(ISNUMBER('Valuation Inputs'!H47),'Valuation Inputs'!H47,"待定")</f>
        <v>0.20499999999999999</v>
      </c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  <c r="W763" s="232"/>
      <c r="X763" s="231"/>
      <c r="Y763" s="231"/>
    </row>
    <row r="764" spans="1:25" ht="21" customHeight="1">
      <c r="A764" s="231" t="s">
        <v>1516</v>
      </c>
      <c r="B764" s="231" t="s">
        <v>1069</v>
      </c>
      <c r="C764" s="232"/>
      <c r="D764" s="330">
        <f>IF(ISNUMBER('Valuation Inputs'!D48),'Valuation Inputs'!D48,"待定")</f>
        <v>0.2</v>
      </c>
      <c r="E764" s="330">
        <f>IF(ISNUMBER('Valuation Inputs'!E48),'Valuation Inputs'!E48,"待定")</f>
        <v>0.2</v>
      </c>
      <c r="F764" s="330">
        <f>IF(ISNUMBER('Valuation Inputs'!F48),'Valuation Inputs'!F48,"待定")</f>
        <v>0.2</v>
      </c>
      <c r="G764" s="330">
        <f>IF(ISNUMBER('Valuation Inputs'!G48),'Valuation Inputs'!G48,"待定")</f>
        <v>0.2</v>
      </c>
      <c r="H764" s="330">
        <f>IF(ISNUMBER('Valuation Inputs'!H48),'Valuation Inputs'!H48,"待定")</f>
        <v>0.2</v>
      </c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  <c r="T764" s="232"/>
      <c r="U764" s="232"/>
      <c r="V764" s="232"/>
      <c r="W764" s="232"/>
      <c r="X764" s="231"/>
      <c r="Y764" s="231"/>
    </row>
    <row r="765" spans="1:25" ht="21" customHeight="1">
      <c r="A765" s="231"/>
      <c r="B765" s="231"/>
      <c r="C765" s="232"/>
      <c r="D765" s="232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  <c r="T765" s="232"/>
      <c r="U765" s="232"/>
      <c r="V765" s="232"/>
      <c r="W765" s="232"/>
      <c r="X765" s="231"/>
      <c r="Y765" s="231"/>
    </row>
    <row r="766" spans="1:25" ht="21" customHeight="1">
      <c r="A766" s="247" t="s">
        <v>1859</v>
      </c>
      <c r="B766" s="247" t="s">
        <v>1069</v>
      </c>
      <c r="C766" s="258"/>
      <c r="D766" s="258">
        <f>IF(CHOOSE($C$43,ISNUMBER(D767),ISNUMBER(D768),ISNUMBER(D769)),CHOOSE($C$43,D767,D768,D769),"待定")</f>
        <v>0</v>
      </c>
      <c r="E766" s="258">
        <f>IF(CHOOSE($C$43,ISNUMBER(E767),ISNUMBER(E768),ISNUMBER(E769)),CHOOSE($C$43,E767,E768,E769),"待定")</f>
        <v>0</v>
      </c>
      <c r="F766" s="258">
        <f>IF(CHOOSE($C$43,ISNUMBER(F767),ISNUMBER(F768),ISNUMBER(F769)),CHOOSE($C$43,F767,F768,F769),"待定")</f>
        <v>0</v>
      </c>
      <c r="G766" s="258">
        <f>IF(CHOOSE($C$43,ISNUMBER(G767),ISNUMBER(G768),ISNUMBER(G769)),CHOOSE($C$43,G767,G768,G769),"待定")</f>
        <v>0</v>
      </c>
      <c r="H766" s="258">
        <f>IF(CHOOSE($C$43,ISNUMBER(H767),ISNUMBER(H768),ISNUMBER(H769)),CHOOSE($C$43,H767,H768,H769),"待定")</f>
        <v>0</v>
      </c>
      <c r="I766" s="232"/>
      <c r="J766" s="252"/>
      <c r="K766" s="252"/>
      <c r="L766" s="252"/>
      <c r="M766" s="252"/>
      <c r="N766" s="252"/>
      <c r="O766" s="232"/>
      <c r="P766" s="232"/>
      <c r="Q766" s="232"/>
      <c r="R766" s="232"/>
      <c r="S766" s="232"/>
      <c r="T766" s="232"/>
      <c r="U766" s="232"/>
      <c r="V766" s="232"/>
      <c r="W766" s="232"/>
      <c r="X766" s="231"/>
      <c r="Y766" s="231"/>
    </row>
    <row r="767" spans="1:25" ht="21" customHeight="1">
      <c r="A767" s="231" t="s">
        <v>1514</v>
      </c>
      <c r="B767" s="231" t="s">
        <v>1069</v>
      </c>
      <c r="C767" s="257"/>
      <c r="D767" s="332">
        <f>IF(ISNUMBER('Valuation Inputs'!D50),'Valuation Inputs'!D50,"待定")</f>
        <v>0</v>
      </c>
      <c r="E767" s="332">
        <f>IF(ISNUMBER('Valuation Inputs'!E50),'Valuation Inputs'!E50,"待定")</f>
        <v>0</v>
      </c>
      <c r="F767" s="332">
        <f>IF(ISNUMBER('Valuation Inputs'!F50),'Valuation Inputs'!F50,"待定")</f>
        <v>0</v>
      </c>
      <c r="G767" s="332">
        <f>IF(ISNUMBER('Valuation Inputs'!G50),'Valuation Inputs'!G50,"待定")</f>
        <v>0</v>
      </c>
      <c r="H767" s="332">
        <f>IF(ISNUMBER('Valuation Inputs'!H50),'Valuation Inputs'!H50,"待定")</f>
        <v>0</v>
      </c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  <c r="T767" s="232"/>
      <c r="U767" s="232"/>
      <c r="V767" s="232"/>
      <c r="W767" s="232"/>
      <c r="X767" s="231"/>
      <c r="Y767" s="231"/>
    </row>
    <row r="768" spans="1:25" ht="21" customHeight="1">
      <c r="A768" s="231" t="s">
        <v>1515</v>
      </c>
      <c r="B768" s="231" t="s">
        <v>1069</v>
      </c>
      <c r="C768" s="257"/>
      <c r="D768" s="332">
        <f>IF(ISNUMBER('Valuation Inputs'!D51),'Valuation Inputs'!D51,"待定")</f>
        <v>0</v>
      </c>
      <c r="E768" s="332">
        <f>IF(ISNUMBER('Valuation Inputs'!E51),'Valuation Inputs'!E51,"待定")</f>
        <v>0</v>
      </c>
      <c r="F768" s="332">
        <f>IF(ISNUMBER('Valuation Inputs'!F51),'Valuation Inputs'!F51,"待定")</f>
        <v>0</v>
      </c>
      <c r="G768" s="332">
        <f>IF(ISNUMBER('Valuation Inputs'!G51),'Valuation Inputs'!G51,"待定")</f>
        <v>0</v>
      </c>
      <c r="H768" s="332">
        <f>IF(ISNUMBER('Valuation Inputs'!H51),'Valuation Inputs'!H51,"待定")</f>
        <v>0</v>
      </c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  <c r="T768" s="232"/>
      <c r="U768" s="232"/>
      <c r="V768" s="232"/>
      <c r="W768" s="232"/>
      <c r="X768" s="231"/>
      <c r="Y768" s="231"/>
    </row>
    <row r="769" spans="1:25" ht="21" customHeight="1">
      <c r="A769" s="231" t="s">
        <v>1516</v>
      </c>
      <c r="B769" s="231" t="s">
        <v>1069</v>
      </c>
      <c r="C769" s="257"/>
      <c r="D769" s="332">
        <f>IF(ISNUMBER('Valuation Inputs'!D52),'Valuation Inputs'!D52,"待定")</f>
        <v>2E-3</v>
      </c>
      <c r="E769" s="332">
        <f>IF(ISNUMBER('Valuation Inputs'!E52),'Valuation Inputs'!E52,"待定")</f>
        <v>2E-3</v>
      </c>
      <c r="F769" s="332">
        <f>IF(ISNUMBER('Valuation Inputs'!F52),'Valuation Inputs'!F52,"待定")</f>
        <v>2E-3</v>
      </c>
      <c r="G769" s="332">
        <f>IF(ISNUMBER('Valuation Inputs'!G52),'Valuation Inputs'!G52,"待定")</f>
        <v>2E-3</v>
      </c>
      <c r="H769" s="332">
        <f>IF(ISNUMBER('Valuation Inputs'!H52),'Valuation Inputs'!H52,"待定")</f>
        <v>2E-3</v>
      </c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  <c r="T769" s="232"/>
      <c r="U769" s="232"/>
      <c r="V769" s="232"/>
      <c r="W769" s="232"/>
      <c r="X769" s="231"/>
      <c r="Y769" s="231"/>
    </row>
    <row r="770" spans="1:25" ht="21" customHeight="1">
      <c r="A770" s="231"/>
      <c r="B770" s="231"/>
      <c r="C770" s="232"/>
      <c r="D770" s="232"/>
      <c r="E770" s="232"/>
      <c r="F770" s="232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  <c r="T770" s="232"/>
      <c r="U770" s="232"/>
      <c r="V770" s="232"/>
      <c r="W770" s="232"/>
      <c r="X770" s="231"/>
      <c r="Y770" s="231"/>
    </row>
    <row r="771" spans="1:25" ht="21" customHeight="1">
      <c r="A771" s="231" t="s">
        <v>1860</v>
      </c>
      <c r="B771" s="231" t="s">
        <v>1066</v>
      </c>
      <c r="C771" s="232"/>
      <c r="D771" s="238">
        <f>IF(COUNT(D656:D661,D663:D664,D666)=9,MAX(0,SUM(D656:D660)-D661-D663-D664-D666),"待定")</f>
        <v>7959.3472388107948</v>
      </c>
      <c r="E771" s="238">
        <f>IF(COUNT(E656:E661,E663:E664,E666)=9,MAX(0,SUM(E656:E660)-E661-E663-E664-E666),"待定")</f>
        <v>8997.7083884226377</v>
      </c>
      <c r="F771" s="238">
        <f>IF(COUNT(F656:F661,F663:F664,F666)=9,MAX(0,SUM(F656:F660)-F661-F663-F664-F666),"待定")</f>
        <v>10273.208821852928</v>
      </c>
      <c r="G771" s="238">
        <f>IF(COUNT(G656:G661,G663:G664,G666)=9,MAX(0,SUM(G656:G660)-G661-G663-G664-G666),"待定")</f>
        <v>11725.938656502276</v>
      </c>
      <c r="H771" s="238">
        <f>IF(COUNT(H656:H661,H663:H664,H666)=9,MAX(0,SUM(H656:H660)-H661-H663-H664-H666),"待定")</f>
        <v>13314.155659864438</v>
      </c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  <c r="T771" s="232"/>
      <c r="U771" s="232"/>
      <c r="V771" s="232"/>
      <c r="W771" s="232"/>
      <c r="X771" s="231"/>
      <c r="Y771" s="231"/>
    </row>
    <row r="772" spans="1:25" ht="21" customHeight="1">
      <c r="A772" s="231" t="s">
        <v>1861</v>
      </c>
      <c r="B772" s="231" t="s">
        <v>1069</v>
      </c>
      <c r="C772" s="257"/>
      <c r="D772" s="257">
        <f>IF(ISNUMBER(D771),(D771-D638*D644*D606)/(D771+D644*D606),"待定")</f>
        <v>1.9152563841065423E-2</v>
      </c>
      <c r="E772" s="257">
        <f>IF(ISNUMBER(E771),(E771-E638*E644*E606)/(E771+E644*E606),"待定")</f>
        <v>2.0585821985017929E-2</v>
      </c>
      <c r="F772" s="257">
        <f>IF(ISNUMBER(F771),(F771-F638*F644*F606)/(F771+F644*F606),"待定")</f>
        <v>2.2466047672503969E-2</v>
      </c>
      <c r="G772" s="257">
        <f>IF(ISNUMBER(G771),(G771-G638*G644*G606)/(G771+G644*G606),"待定")</f>
        <v>2.4487804019787833E-2</v>
      </c>
      <c r="H772" s="257">
        <f>IF(ISNUMBER(H771),(H771-H638*H644*H606)/(H771+H644*H606),"待定")</f>
        <v>2.6644191242235642E-2</v>
      </c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  <c r="T772" s="232"/>
      <c r="U772" s="232"/>
      <c r="V772" s="232"/>
      <c r="W772" s="232"/>
      <c r="X772" s="231"/>
      <c r="Y772" s="231" t="s">
        <v>1862</v>
      </c>
    </row>
    <row r="773" spans="1:25" ht="21" customHeight="1">
      <c r="A773" s="231" t="s">
        <v>1863</v>
      </c>
      <c r="B773" s="231" t="s">
        <v>1069</v>
      </c>
      <c r="C773" s="257"/>
      <c r="D773" s="257">
        <f>D766</f>
        <v>0</v>
      </c>
      <c r="E773" s="257">
        <f>E766</f>
        <v>0</v>
      </c>
      <c r="F773" s="257">
        <f>F766</f>
        <v>0</v>
      </c>
      <c r="G773" s="257">
        <f>G766</f>
        <v>0</v>
      </c>
      <c r="H773" s="257">
        <f>H766</f>
        <v>0</v>
      </c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  <c r="T773" s="232"/>
      <c r="U773" s="232"/>
      <c r="V773" s="232"/>
      <c r="W773" s="232"/>
      <c r="X773" s="231"/>
      <c r="Y773" s="231"/>
    </row>
    <row r="774" spans="1:25" ht="21" customHeight="1">
      <c r="A774" s="231" t="s">
        <v>1864</v>
      </c>
      <c r="B774" s="231" t="s">
        <v>1069</v>
      </c>
      <c r="C774" s="257"/>
      <c r="D774" s="257">
        <f>IF(COUNT(D772,D773)=2,MIN(D773,MAX(0,D772)),"待定")</f>
        <v>0</v>
      </c>
      <c r="E774" s="257">
        <f>IF(COUNT(E772,E773)=2,MIN(E773,MAX(0,E772)),"待定")</f>
        <v>0</v>
      </c>
      <c r="F774" s="257">
        <f>IF(COUNT(F772,F773)=2,MIN(F773,MAX(0,F772)),"待定")</f>
        <v>0</v>
      </c>
      <c r="G774" s="257">
        <f>IF(COUNT(G772,G773)=2,MIN(G773,MAX(0,G772)),"待定")</f>
        <v>0</v>
      </c>
      <c r="H774" s="257">
        <f>IF(COUNT(H772,H773)=2,MIN(H773,MAX(0,H772)),"待定")</f>
        <v>0</v>
      </c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  <c r="T774" s="232"/>
      <c r="U774" s="232"/>
      <c r="V774" s="232"/>
      <c r="W774" s="232"/>
      <c r="X774" s="231"/>
      <c r="Y774" s="231" t="s">
        <v>1865</v>
      </c>
    </row>
    <row r="775" spans="1:25" ht="21" customHeight="1">
      <c r="A775" s="231" t="s">
        <v>1866</v>
      </c>
      <c r="B775" s="231" t="s">
        <v>1069</v>
      </c>
      <c r="C775" s="237">
        <f t="shared" ref="C775:H775" si="60">C649/C606</f>
        <v>0.64767200314677609</v>
      </c>
      <c r="D775" s="237">
        <f t="shared" si="60"/>
        <v>0.65</v>
      </c>
      <c r="E775" s="237">
        <f t="shared" si="60"/>
        <v>0.65</v>
      </c>
      <c r="F775" s="237">
        <f t="shared" si="60"/>
        <v>0.65</v>
      </c>
      <c r="G775" s="237">
        <f t="shared" si="60"/>
        <v>0.65</v>
      </c>
      <c r="H775" s="237">
        <f t="shared" si="60"/>
        <v>0.65</v>
      </c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  <c r="T775" s="232"/>
      <c r="U775" s="232"/>
      <c r="V775" s="232"/>
      <c r="W775" s="232"/>
      <c r="X775" s="231"/>
      <c r="Y775" s="231"/>
    </row>
    <row r="776" spans="1:25" ht="21" customHeight="1">
      <c r="A776" s="231" t="s">
        <v>1867</v>
      </c>
      <c r="B776" s="231" t="s">
        <v>1066</v>
      </c>
      <c r="C776" s="232"/>
      <c r="D776" s="232"/>
      <c r="E776" s="232"/>
      <c r="F776" s="232"/>
      <c r="G776" s="232"/>
      <c r="H776" s="232"/>
      <c r="I776" s="232"/>
      <c r="J776" s="232" t="s">
        <v>1868</v>
      </c>
      <c r="K776" s="232" t="s">
        <v>1868</v>
      </c>
      <c r="L776" s="238">
        <v>10702</v>
      </c>
      <c r="M776" s="238">
        <v>11510</v>
      </c>
      <c r="N776" s="238">
        <v>11977</v>
      </c>
      <c r="O776" s="232"/>
      <c r="P776" s="232"/>
      <c r="Q776" s="232"/>
      <c r="R776" s="232"/>
      <c r="S776" s="232"/>
      <c r="T776" s="232"/>
      <c r="U776" s="232"/>
      <c r="V776" s="232"/>
      <c r="W776" s="232"/>
      <c r="X776" s="231"/>
      <c r="Y776" s="231"/>
    </row>
    <row r="777" spans="1:25" ht="21" customHeight="1">
      <c r="A777" s="231" t="s">
        <v>1869</v>
      </c>
      <c r="B777" s="231" t="s">
        <v>1066</v>
      </c>
      <c r="C777" s="232"/>
      <c r="D777" s="232"/>
      <c r="E777" s="232"/>
      <c r="F777" s="232"/>
      <c r="G777" s="232"/>
      <c r="H777" s="232"/>
      <c r="I777" s="232"/>
      <c r="J777" s="232" t="s">
        <v>1868</v>
      </c>
      <c r="K777" s="232" t="s">
        <v>1868</v>
      </c>
      <c r="L777" s="238">
        <v>11510</v>
      </c>
      <c r="M777" s="238">
        <v>12354</v>
      </c>
      <c r="N777" s="238">
        <v>12840</v>
      </c>
      <c r="O777" s="232"/>
      <c r="P777" s="232"/>
      <c r="Q777" s="232"/>
      <c r="R777" s="232"/>
      <c r="S777" s="232"/>
      <c r="T777" s="232"/>
      <c r="U777" s="232"/>
      <c r="V777" s="232"/>
      <c r="W777" s="232"/>
      <c r="X777" s="231"/>
      <c r="Y777" s="231"/>
    </row>
    <row r="778" spans="1:25" ht="21" customHeight="1">
      <c r="A778" s="231" t="s">
        <v>1870</v>
      </c>
      <c r="B778" s="231" t="s">
        <v>1069</v>
      </c>
      <c r="C778" s="232"/>
      <c r="D778" s="232"/>
      <c r="E778" s="232"/>
      <c r="F778" s="232"/>
      <c r="G778" s="232"/>
      <c r="H778" s="232"/>
      <c r="I778" s="232"/>
      <c r="J778" s="232" t="s">
        <v>1868</v>
      </c>
      <c r="K778" s="232" t="s">
        <v>1868</v>
      </c>
      <c r="L778" s="237">
        <f>L776/L777</f>
        <v>0.92980017376194612</v>
      </c>
      <c r="M778" s="237">
        <f>M776/M777</f>
        <v>0.93168204630079332</v>
      </c>
      <c r="N778" s="237">
        <f>N776/N777</f>
        <v>0.93278816199376946</v>
      </c>
      <c r="O778" s="232"/>
      <c r="P778" s="232"/>
      <c r="Q778" s="232"/>
      <c r="R778" s="232"/>
      <c r="S778" s="232"/>
      <c r="T778" s="232"/>
      <c r="U778" s="232"/>
      <c r="V778" s="232"/>
      <c r="W778" s="232"/>
      <c r="X778" s="231"/>
      <c r="Y778" s="231" t="s">
        <v>1871</v>
      </c>
    </row>
    <row r="779" spans="1:25" ht="21" customHeight="1">
      <c r="A779" s="231"/>
      <c r="B779" s="231"/>
      <c r="C779" s="232"/>
      <c r="D779" s="232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  <c r="T779" s="232"/>
      <c r="U779" s="232"/>
      <c r="V779" s="232"/>
      <c r="W779" s="232"/>
      <c r="X779" s="231"/>
      <c r="Y779" s="231"/>
    </row>
    <row r="780" spans="1:25" ht="21" customHeight="1">
      <c r="A780" s="231" t="s">
        <v>1872</v>
      </c>
      <c r="B780" s="231"/>
      <c r="C780" s="232"/>
      <c r="D780" s="232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  <c r="T780" s="232"/>
      <c r="U780" s="232"/>
      <c r="V780" s="232"/>
      <c r="W780" s="232"/>
      <c r="X780" s="231"/>
      <c r="Y780" s="231"/>
    </row>
  </sheetData>
  <mergeCells count="2">
    <mergeCell ref="C690:H690"/>
    <mergeCell ref="D698:H698"/>
  </mergeCells>
  <phoneticPr fontId="9" type="noConversion"/>
  <conditionalFormatting sqref="C246:C251">
    <cfRule type="expression" dxfId="0" priority="1">
      <formula>ABS(C246)&gt;0.01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6708C"/>
  </sheetPr>
  <dimension ref="A1:J138"/>
  <sheetViews>
    <sheetView showGridLines="0" zoomScaleNormal="100" workbookViewId="0">
      <pane xSplit="2" ySplit="4" topLeftCell="C5" activePane="bottomRight" state="frozen"/>
      <selection pane="topRight"/>
      <selection pane="bottomLeft"/>
      <selection pane="bottomRight" activeCell="J31" sqref="J31"/>
    </sheetView>
  </sheetViews>
  <sheetFormatPr baseColWidth="10" defaultColWidth="8.83203125" defaultRowHeight="14"/>
  <cols>
    <col min="1" max="1" width="46" customWidth="1"/>
    <col min="2" max="8" width="14" customWidth="1"/>
    <col min="9" max="9" width="3" customWidth="1"/>
    <col min="10" max="10" width="56" customWidth="1"/>
  </cols>
  <sheetData>
    <row r="1" spans="1:10" ht="32" customHeight="1">
      <c r="A1" s="311" t="s">
        <v>1873</v>
      </c>
      <c r="B1" s="309"/>
      <c r="C1" s="310"/>
      <c r="D1" s="310"/>
      <c r="E1" s="310"/>
      <c r="F1" s="310"/>
      <c r="G1" s="310"/>
      <c r="H1" s="310"/>
      <c r="I1" s="309"/>
      <c r="J1" s="309"/>
    </row>
    <row r="2" spans="1:10" ht="22" customHeight="1">
      <c r="A2" s="309" t="s">
        <v>1874</v>
      </c>
      <c r="B2" s="309"/>
      <c r="C2" s="310"/>
      <c r="D2" s="310"/>
      <c r="E2" s="310"/>
      <c r="F2" s="310"/>
      <c r="G2" s="310"/>
      <c r="H2" s="310"/>
      <c r="I2" s="309"/>
      <c r="J2" s="309"/>
    </row>
    <row r="3" spans="1:10" ht="22" customHeight="1">
      <c r="A3" s="309" t="s">
        <v>1875</v>
      </c>
      <c r="B3" s="309"/>
      <c r="C3" s="310"/>
      <c r="D3" s="310"/>
      <c r="E3" s="310"/>
      <c r="F3" s="310"/>
      <c r="G3" s="310"/>
      <c r="H3" s="310"/>
      <c r="I3" s="309"/>
      <c r="J3" s="309"/>
    </row>
    <row r="4" spans="1:10" ht="27" customHeight="1">
      <c r="A4" s="312" t="s">
        <v>1876</v>
      </c>
      <c r="B4" s="312"/>
      <c r="C4" s="313"/>
      <c r="D4" s="313"/>
      <c r="E4" s="313"/>
      <c r="F4" s="313"/>
      <c r="G4" s="313"/>
      <c r="H4" s="313"/>
      <c r="I4" s="309"/>
      <c r="J4" s="309"/>
    </row>
    <row r="5" spans="1:10" ht="22" customHeight="1">
      <c r="A5" s="309" t="s">
        <v>1454</v>
      </c>
      <c r="B5" s="309" t="s">
        <v>1455</v>
      </c>
      <c r="C5" s="314">
        <v>92</v>
      </c>
      <c r="D5" s="342" t="s">
        <v>1877</v>
      </c>
      <c r="E5" s="310"/>
      <c r="F5" s="310"/>
      <c r="G5" s="310"/>
      <c r="H5" s="310"/>
      <c r="I5" s="309"/>
      <c r="J5" s="309"/>
    </row>
    <row r="6" spans="1:10" ht="22" customHeight="1">
      <c r="A6" s="309" t="s">
        <v>1456</v>
      </c>
      <c r="B6" s="309" t="s">
        <v>1069</v>
      </c>
      <c r="C6" s="316">
        <v>0.15</v>
      </c>
      <c r="D6" s="342" t="s">
        <v>1878</v>
      </c>
      <c r="E6" s="310"/>
      <c r="F6" s="310"/>
      <c r="G6" s="310"/>
      <c r="H6" s="310"/>
      <c r="I6" s="309"/>
      <c r="J6" s="309"/>
    </row>
    <row r="7" spans="1:10" ht="22" customHeight="1">
      <c r="A7" s="309" t="s">
        <v>1457</v>
      </c>
      <c r="B7" s="309" t="s">
        <v>1458</v>
      </c>
      <c r="C7" s="318">
        <v>2</v>
      </c>
      <c r="D7" s="342" t="s">
        <v>1543</v>
      </c>
      <c r="E7" s="310"/>
      <c r="F7" s="310"/>
      <c r="G7" s="310"/>
      <c r="H7" s="310"/>
      <c r="I7" s="309"/>
      <c r="J7" s="309"/>
    </row>
    <row r="8" spans="1:10" ht="22" customHeight="1">
      <c r="A8" s="309" t="s">
        <v>1152</v>
      </c>
      <c r="B8" s="309" t="s">
        <v>1153</v>
      </c>
      <c r="C8" s="320">
        <v>46311</v>
      </c>
      <c r="D8" s="342" t="s">
        <v>1879</v>
      </c>
      <c r="E8" s="310"/>
      <c r="F8" s="310"/>
      <c r="G8" s="310"/>
      <c r="H8" s="310"/>
      <c r="I8" s="309"/>
      <c r="J8" s="309"/>
    </row>
    <row r="9" spans="1:10" ht="22" customHeight="1">
      <c r="A9" s="309" t="s">
        <v>1880</v>
      </c>
      <c r="B9" s="309" t="s">
        <v>1169</v>
      </c>
      <c r="C9" s="323"/>
      <c r="D9" s="342" t="s">
        <v>1881</v>
      </c>
      <c r="E9" s="310"/>
      <c r="F9" s="310"/>
      <c r="G9" s="310"/>
      <c r="H9" s="310"/>
      <c r="I9" s="309"/>
      <c r="J9" s="309"/>
    </row>
    <row r="10" spans="1:10" ht="22" customHeight="1">
      <c r="A10" s="309" t="s">
        <v>1459</v>
      </c>
      <c r="B10" s="309" t="s">
        <v>1460</v>
      </c>
      <c r="C10" s="318">
        <v>2031</v>
      </c>
      <c r="D10" s="342" t="s">
        <v>1882</v>
      </c>
      <c r="E10" s="310"/>
      <c r="F10" s="310"/>
      <c r="G10" s="310"/>
      <c r="H10" s="310"/>
      <c r="I10" s="309"/>
      <c r="J10" s="309"/>
    </row>
    <row r="11" spans="1:10" ht="22" customHeight="1">
      <c r="A11" s="309" t="s">
        <v>1462</v>
      </c>
      <c r="B11" s="309" t="s">
        <v>1189</v>
      </c>
      <c r="C11" s="325">
        <v>4302.5492430000004</v>
      </c>
      <c r="D11" s="342" t="s">
        <v>1883</v>
      </c>
      <c r="E11" s="310"/>
      <c r="F11" s="310"/>
      <c r="G11" s="310"/>
      <c r="H11" s="310"/>
      <c r="I11" s="309"/>
      <c r="J11" s="309"/>
    </row>
    <row r="12" spans="1:10" ht="22" customHeight="1">
      <c r="A12" s="309" t="s">
        <v>1463</v>
      </c>
      <c r="B12" s="309" t="s">
        <v>1066</v>
      </c>
      <c r="C12" s="325">
        <v>8000</v>
      </c>
      <c r="D12" s="342" t="s">
        <v>1884</v>
      </c>
      <c r="E12" s="310"/>
      <c r="F12" s="310"/>
      <c r="G12" s="310"/>
      <c r="H12" s="310"/>
      <c r="I12" s="309"/>
      <c r="J12" s="309"/>
    </row>
    <row r="13" spans="1:10" ht="22" customHeight="1">
      <c r="A13" s="309"/>
      <c r="B13" s="309"/>
      <c r="C13" s="310"/>
      <c r="D13" s="310"/>
      <c r="E13" s="310"/>
      <c r="F13" s="310"/>
      <c r="G13" s="310"/>
      <c r="H13" s="310"/>
      <c r="I13" s="309"/>
      <c r="J13" s="309"/>
    </row>
    <row r="14" spans="1:10" ht="27" customHeight="1">
      <c r="A14" s="312" t="s">
        <v>1885</v>
      </c>
      <c r="B14" s="312"/>
      <c r="C14" s="313"/>
      <c r="D14" s="313"/>
      <c r="E14" s="313"/>
      <c r="F14" s="313"/>
      <c r="G14" s="313"/>
      <c r="H14" s="313"/>
      <c r="I14" s="309"/>
      <c r="J14" s="309"/>
    </row>
    <row r="15" spans="1:10" ht="22" customHeight="1">
      <c r="A15" s="309"/>
      <c r="B15" s="309"/>
      <c r="C15" s="310" t="s">
        <v>1514</v>
      </c>
      <c r="D15" s="310" t="s">
        <v>1515</v>
      </c>
      <c r="E15" s="310" t="s">
        <v>1516</v>
      </c>
      <c r="F15" s="310"/>
      <c r="G15" s="310"/>
      <c r="H15" s="310"/>
      <c r="I15" s="309"/>
      <c r="J15" s="309"/>
    </row>
    <row r="16" spans="1:10" ht="22" customHeight="1">
      <c r="A16" s="309" t="s">
        <v>1886</v>
      </c>
      <c r="B16" s="309" t="s">
        <v>1169</v>
      </c>
      <c r="C16" s="323">
        <v>20</v>
      </c>
      <c r="D16" s="323">
        <v>23</v>
      </c>
      <c r="E16" s="323">
        <v>26</v>
      </c>
      <c r="F16" s="310"/>
      <c r="G16" s="310"/>
      <c r="H16" s="310"/>
      <c r="I16" s="309"/>
      <c r="J16" s="309"/>
    </row>
    <row r="17" spans="1:10" ht="22" customHeight="1">
      <c r="A17" s="309"/>
      <c r="B17" s="309"/>
      <c r="C17" s="310"/>
      <c r="D17" s="310"/>
      <c r="E17" s="310"/>
      <c r="F17" s="310"/>
      <c r="G17" s="310"/>
      <c r="H17" s="310"/>
      <c r="I17" s="309"/>
      <c r="J17" s="309"/>
    </row>
    <row r="18" spans="1:10" ht="22" customHeight="1">
      <c r="A18" s="309" t="s">
        <v>1887</v>
      </c>
      <c r="B18" s="309"/>
      <c r="C18" s="322">
        <f>IF(ISNUMBER(C9),C9,CHOOSE(C7,C16,D16,E16))</f>
        <v>23</v>
      </c>
      <c r="D18" s="310"/>
      <c r="E18" s="310"/>
      <c r="F18" s="310"/>
      <c r="G18" s="310"/>
      <c r="H18" s="310"/>
      <c r="I18" s="309"/>
      <c r="J18" s="309"/>
    </row>
    <row r="19" spans="1:10" ht="22" customHeight="1">
      <c r="A19" s="309"/>
      <c r="B19" s="309"/>
      <c r="C19" s="310"/>
      <c r="D19" s="310"/>
      <c r="E19" s="310"/>
      <c r="F19" s="310"/>
      <c r="G19" s="310"/>
      <c r="H19" s="310"/>
      <c r="I19" s="309"/>
      <c r="J19" s="309"/>
    </row>
    <row r="20" spans="1:10" ht="22" customHeight="1">
      <c r="A20" s="309" t="s">
        <v>1888</v>
      </c>
      <c r="B20" s="309"/>
      <c r="C20" s="310"/>
      <c r="D20" s="310"/>
      <c r="E20" s="310"/>
      <c r="F20" s="310"/>
      <c r="G20" s="310"/>
      <c r="H20" s="310"/>
      <c r="I20" s="309"/>
      <c r="J20" s="309"/>
    </row>
    <row r="21" spans="1:10" ht="22" customHeight="1">
      <c r="A21" s="309"/>
      <c r="B21" s="309"/>
      <c r="C21" s="310"/>
      <c r="D21" s="310"/>
      <c r="E21" s="310"/>
      <c r="F21" s="310"/>
      <c r="G21" s="310"/>
      <c r="H21" s="310"/>
      <c r="I21" s="309"/>
      <c r="J21" s="309"/>
    </row>
    <row r="22" spans="1:10" ht="22" customHeight="1">
      <c r="A22" s="309"/>
      <c r="B22" s="309"/>
      <c r="C22" s="310"/>
      <c r="D22" s="310"/>
      <c r="E22" s="310"/>
      <c r="F22" s="310"/>
      <c r="G22" s="310"/>
      <c r="H22" s="310"/>
      <c r="I22" s="309"/>
      <c r="J22" s="309"/>
    </row>
    <row r="23" spans="1:10" ht="22" customHeight="1">
      <c r="A23" s="309"/>
      <c r="B23" s="309"/>
      <c r="C23" s="310"/>
      <c r="D23" s="310"/>
      <c r="E23" s="310"/>
      <c r="F23" s="310"/>
      <c r="G23" s="310"/>
      <c r="H23" s="310"/>
      <c r="I23" s="309"/>
      <c r="J23" s="309"/>
    </row>
    <row r="24" spans="1:10" ht="27" customHeight="1">
      <c r="A24" s="312" t="s">
        <v>1889</v>
      </c>
      <c r="B24" s="312"/>
      <c r="C24" s="313"/>
      <c r="D24" s="313"/>
      <c r="E24" s="313"/>
      <c r="F24" s="313"/>
      <c r="G24" s="313"/>
      <c r="H24" s="313"/>
      <c r="I24" s="309"/>
      <c r="J24" s="309"/>
    </row>
    <row r="25" spans="1:10" ht="22" customHeight="1">
      <c r="A25" s="327"/>
      <c r="B25" s="327"/>
      <c r="C25" s="328">
        <v>2026</v>
      </c>
      <c r="D25" s="328">
        <v>2027</v>
      </c>
      <c r="E25" s="328">
        <v>2028</v>
      </c>
      <c r="F25" s="328">
        <v>2029</v>
      </c>
      <c r="G25" s="328">
        <v>2030</v>
      </c>
      <c r="H25" s="328">
        <v>2031</v>
      </c>
      <c r="I25" s="309"/>
      <c r="J25" s="309"/>
    </row>
    <row r="26" spans="1:10" ht="22" customHeight="1">
      <c r="A26" s="309" t="s">
        <v>1890</v>
      </c>
      <c r="B26" s="309" t="s">
        <v>1069</v>
      </c>
      <c r="C26" s="310"/>
      <c r="D26" s="316">
        <v>0.01</v>
      </c>
      <c r="E26" s="316">
        <v>0.01</v>
      </c>
      <c r="F26" s="316">
        <v>0.01</v>
      </c>
      <c r="G26" s="316">
        <v>0.01</v>
      </c>
      <c r="H26" s="316">
        <v>0.01</v>
      </c>
      <c r="I26" s="309"/>
      <c r="J26" s="309"/>
    </row>
    <row r="27" spans="1:10" ht="22" customHeight="1">
      <c r="A27" s="309" t="s">
        <v>1891</v>
      </c>
      <c r="B27" s="309" t="s">
        <v>1069</v>
      </c>
      <c r="C27" s="310"/>
      <c r="D27" s="316">
        <v>0.02</v>
      </c>
      <c r="E27" s="316">
        <v>0.02</v>
      </c>
      <c r="F27" s="316">
        <v>0.02</v>
      </c>
      <c r="G27" s="316">
        <v>0.02</v>
      </c>
      <c r="H27" s="316">
        <v>1.4999999999999999E-2</v>
      </c>
      <c r="I27" s="309"/>
      <c r="J27" s="309"/>
    </row>
    <row r="28" spans="1:10" ht="22" customHeight="1">
      <c r="A28" s="309" t="s">
        <v>1892</v>
      </c>
      <c r="B28" s="309" t="s">
        <v>1069</v>
      </c>
      <c r="C28" s="310"/>
      <c r="D28" s="316">
        <v>0.03</v>
      </c>
      <c r="E28" s="316">
        <v>0.03</v>
      </c>
      <c r="F28" s="316">
        <v>2.5000000000000001E-2</v>
      </c>
      <c r="G28" s="316">
        <v>2.5000000000000001E-2</v>
      </c>
      <c r="H28" s="316">
        <v>0.02</v>
      </c>
      <c r="I28" s="309"/>
      <c r="J28" s="309"/>
    </row>
    <row r="29" spans="1:10" ht="22" customHeight="1">
      <c r="A29" s="309"/>
      <c r="B29" s="309"/>
      <c r="C29" s="310"/>
      <c r="D29" s="310"/>
      <c r="E29" s="310"/>
      <c r="F29" s="310"/>
      <c r="G29" s="310"/>
      <c r="H29" s="310"/>
      <c r="I29" s="309"/>
      <c r="J29" s="309"/>
    </row>
    <row r="30" spans="1:10" ht="22" customHeight="1">
      <c r="A30" s="309" t="s">
        <v>1893</v>
      </c>
      <c r="B30" s="309" t="s">
        <v>1069</v>
      </c>
      <c r="C30" s="310"/>
      <c r="D30" s="316">
        <v>0.02</v>
      </c>
      <c r="E30" s="316">
        <v>0.02</v>
      </c>
      <c r="F30" s="316">
        <v>0.02</v>
      </c>
      <c r="G30" s="316">
        <v>0.02</v>
      </c>
      <c r="H30" s="316">
        <v>0.02</v>
      </c>
      <c r="I30" s="309"/>
      <c r="J30" s="309"/>
    </row>
    <row r="31" spans="1:10" ht="22" customHeight="1">
      <c r="A31" s="309" t="s">
        <v>1894</v>
      </c>
      <c r="B31" s="309" t="s">
        <v>1069</v>
      </c>
      <c r="C31" s="310"/>
      <c r="D31" s="316">
        <v>0.03</v>
      </c>
      <c r="E31" s="316">
        <v>0.03</v>
      </c>
      <c r="F31" s="316">
        <v>2.5000000000000001E-2</v>
      </c>
      <c r="G31" s="316">
        <v>2.5000000000000001E-2</v>
      </c>
      <c r="H31" s="316">
        <v>2.5000000000000001E-2</v>
      </c>
      <c r="I31" s="309"/>
      <c r="J31" s="309"/>
    </row>
    <row r="32" spans="1:10" ht="22" customHeight="1">
      <c r="A32" s="309" t="s">
        <v>1895</v>
      </c>
      <c r="B32" s="309" t="s">
        <v>1069</v>
      </c>
      <c r="C32" s="310"/>
      <c r="D32" s="316">
        <v>0.03</v>
      </c>
      <c r="E32" s="316">
        <v>0.03</v>
      </c>
      <c r="F32" s="316">
        <v>0.03</v>
      </c>
      <c r="G32" s="316">
        <v>0.03</v>
      </c>
      <c r="H32" s="316">
        <v>0.03</v>
      </c>
      <c r="I32" s="309"/>
      <c r="J32" s="309"/>
    </row>
    <row r="33" spans="1:10" ht="22" customHeight="1">
      <c r="A33" s="309"/>
      <c r="B33" s="309"/>
      <c r="C33" s="310"/>
      <c r="D33" s="310"/>
      <c r="E33" s="310"/>
      <c r="F33" s="310"/>
      <c r="G33" s="310"/>
      <c r="H33" s="310"/>
      <c r="I33" s="309"/>
      <c r="J33" s="309"/>
    </row>
    <row r="34" spans="1:10" ht="22" customHeight="1">
      <c r="A34" s="309" t="s">
        <v>1896</v>
      </c>
      <c r="B34" s="309" t="s">
        <v>1077</v>
      </c>
      <c r="C34" s="310"/>
      <c r="D34" s="316">
        <v>-2E-3</v>
      </c>
      <c r="E34" s="316">
        <v>-2E-3</v>
      </c>
      <c r="F34" s="316">
        <v>0</v>
      </c>
      <c r="G34" s="316">
        <v>0</v>
      </c>
      <c r="H34" s="316">
        <v>0</v>
      </c>
      <c r="I34" s="309"/>
      <c r="J34" s="309"/>
    </row>
    <row r="35" spans="1:10" ht="22" customHeight="1">
      <c r="A35" s="309" t="s">
        <v>1897</v>
      </c>
      <c r="B35" s="309" t="s">
        <v>1077</v>
      </c>
      <c r="C35" s="310"/>
      <c r="D35" s="316">
        <v>3.0000000000000001E-3</v>
      </c>
      <c r="E35" s="316">
        <v>3.0000000000000001E-3</v>
      </c>
      <c r="F35" s="316">
        <v>3.0000000000000001E-3</v>
      </c>
      <c r="G35" s="316">
        <v>3.0000000000000001E-3</v>
      </c>
      <c r="H35" s="316">
        <v>3.0000000000000001E-3</v>
      </c>
      <c r="I35" s="309"/>
      <c r="J35" s="309"/>
    </row>
    <row r="36" spans="1:10" ht="22" customHeight="1">
      <c r="A36" s="309" t="s">
        <v>1898</v>
      </c>
      <c r="B36" s="309" t="s">
        <v>1077</v>
      </c>
      <c r="C36" s="310"/>
      <c r="D36" s="316">
        <v>5.0000000000000001E-3</v>
      </c>
      <c r="E36" s="316">
        <v>5.0000000000000001E-3</v>
      </c>
      <c r="F36" s="316">
        <v>4.0000000000000001E-3</v>
      </c>
      <c r="G36" s="316">
        <v>4.0000000000000001E-3</v>
      </c>
      <c r="H36" s="316">
        <v>4.0000000000000001E-3</v>
      </c>
      <c r="I36" s="309"/>
      <c r="J36" s="309"/>
    </row>
    <row r="37" spans="1:10" ht="22" customHeight="1">
      <c r="A37" s="309"/>
      <c r="B37" s="309"/>
      <c r="C37" s="310"/>
      <c r="D37" s="310"/>
      <c r="E37" s="310"/>
      <c r="F37" s="310"/>
      <c r="G37" s="310"/>
      <c r="H37" s="310"/>
      <c r="I37" s="309"/>
      <c r="J37" s="309"/>
    </row>
    <row r="38" spans="1:10" ht="22" customHeight="1">
      <c r="A38" s="309" t="s">
        <v>1899</v>
      </c>
      <c r="B38" s="309" t="s">
        <v>1069</v>
      </c>
      <c r="C38" s="310"/>
      <c r="D38" s="316">
        <v>0.04</v>
      </c>
      <c r="E38" s="316">
        <v>0.04</v>
      </c>
      <c r="F38" s="316">
        <v>3.7999999999999999E-2</v>
      </c>
      <c r="G38" s="316">
        <v>3.7999999999999999E-2</v>
      </c>
      <c r="H38" s="316">
        <v>3.7999999999999999E-2</v>
      </c>
      <c r="I38" s="309"/>
      <c r="J38" s="309"/>
    </row>
    <row r="39" spans="1:10" ht="22" customHeight="1">
      <c r="A39" s="309" t="s">
        <v>1900</v>
      </c>
      <c r="B39" s="309" t="s">
        <v>1069</v>
      </c>
      <c r="C39" s="310"/>
      <c r="D39" s="316">
        <v>0.04</v>
      </c>
      <c r="E39" s="316">
        <v>3.7999999999999999E-2</v>
      </c>
      <c r="F39" s="316">
        <v>3.5999999999999997E-2</v>
      </c>
      <c r="G39" s="316">
        <v>3.5000000000000003E-2</v>
      </c>
      <c r="H39" s="316">
        <v>3.5000000000000003E-2</v>
      </c>
      <c r="I39" s="309"/>
      <c r="J39" s="309"/>
    </row>
    <row r="40" spans="1:10" ht="22" customHeight="1">
      <c r="A40" s="309" t="s">
        <v>1901</v>
      </c>
      <c r="B40" s="309" t="s">
        <v>1069</v>
      </c>
      <c r="C40" s="310"/>
      <c r="D40" s="316">
        <v>4.2000000000000003E-2</v>
      </c>
      <c r="E40" s="316">
        <v>0.04</v>
      </c>
      <c r="F40" s="316">
        <v>3.7999999999999999E-2</v>
      </c>
      <c r="G40" s="316">
        <v>3.6999999999999998E-2</v>
      </c>
      <c r="H40" s="316">
        <v>3.5999999999999997E-2</v>
      </c>
      <c r="I40" s="309"/>
      <c r="J40" s="309"/>
    </row>
    <row r="41" spans="1:10" ht="22" customHeight="1">
      <c r="A41" s="309"/>
      <c r="B41" s="309"/>
      <c r="C41" s="310"/>
      <c r="D41" s="310"/>
      <c r="E41" s="310"/>
      <c r="F41" s="310"/>
      <c r="G41" s="310"/>
      <c r="H41" s="310"/>
      <c r="I41" s="309"/>
      <c r="J41" s="309"/>
    </row>
    <row r="42" spans="1:10" ht="22" customHeight="1">
      <c r="A42" s="309" t="s">
        <v>1902</v>
      </c>
      <c r="B42" s="309" t="s">
        <v>1069</v>
      </c>
      <c r="C42" s="310"/>
      <c r="D42" s="316">
        <v>0.03</v>
      </c>
      <c r="E42" s="316">
        <v>0.03</v>
      </c>
      <c r="F42" s="316">
        <v>0.03</v>
      </c>
      <c r="G42" s="316">
        <v>0.03</v>
      </c>
      <c r="H42" s="316">
        <v>0.03</v>
      </c>
      <c r="I42" s="309"/>
      <c r="J42" s="309"/>
    </row>
    <row r="43" spans="1:10" ht="22" customHeight="1">
      <c r="A43" s="309" t="s">
        <v>1903</v>
      </c>
      <c r="B43" s="309" t="s">
        <v>1069</v>
      </c>
      <c r="C43" s="310"/>
      <c r="D43" s="316">
        <v>0.05</v>
      </c>
      <c r="E43" s="316">
        <v>0.05</v>
      </c>
      <c r="F43" s="316">
        <v>0.05</v>
      </c>
      <c r="G43" s="316">
        <v>0.05</v>
      </c>
      <c r="H43" s="316">
        <v>0.05</v>
      </c>
      <c r="I43" s="309"/>
      <c r="J43" s="309"/>
    </row>
    <row r="44" spans="1:10" ht="22" customHeight="1">
      <c r="A44" s="309" t="s">
        <v>1904</v>
      </c>
      <c r="B44" s="309" t="s">
        <v>1069</v>
      </c>
      <c r="C44" s="310"/>
      <c r="D44" s="316">
        <v>0.06</v>
      </c>
      <c r="E44" s="316">
        <v>0.06</v>
      </c>
      <c r="F44" s="316">
        <v>0.06</v>
      </c>
      <c r="G44" s="316">
        <v>0.06</v>
      </c>
      <c r="H44" s="316">
        <v>0.06</v>
      </c>
      <c r="I44" s="309"/>
      <c r="J44" s="309"/>
    </row>
    <row r="45" spans="1:10" ht="22" customHeight="1">
      <c r="A45" s="309"/>
      <c r="B45" s="309"/>
      <c r="C45" s="310"/>
      <c r="D45" s="310"/>
      <c r="E45" s="310"/>
      <c r="F45" s="310"/>
      <c r="G45" s="310"/>
      <c r="H45" s="310"/>
      <c r="I45" s="309"/>
      <c r="J45" s="309"/>
    </row>
    <row r="46" spans="1:10" ht="22" customHeight="1">
      <c r="A46" s="309" t="s">
        <v>1905</v>
      </c>
      <c r="B46" s="309" t="s">
        <v>1069</v>
      </c>
      <c r="C46" s="310"/>
      <c r="D46" s="316">
        <v>0.22</v>
      </c>
      <c r="E46" s="316">
        <v>0.22</v>
      </c>
      <c r="F46" s="316">
        <v>0.22</v>
      </c>
      <c r="G46" s="316">
        <v>0.22</v>
      </c>
      <c r="H46" s="316">
        <v>0.22</v>
      </c>
      <c r="I46" s="309"/>
      <c r="J46" s="309"/>
    </row>
    <row r="47" spans="1:10" ht="22" customHeight="1">
      <c r="A47" s="309" t="s">
        <v>1906</v>
      </c>
      <c r="B47" s="309" t="s">
        <v>1069</v>
      </c>
      <c r="C47" s="310"/>
      <c r="D47" s="316">
        <v>0.20499999999999999</v>
      </c>
      <c r="E47" s="316">
        <v>0.20499999999999999</v>
      </c>
      <c r="F47" s="316">
        <v>0.20499999999999999</v>
      </c>
      <c r="G47" s="316">
        <v>0.20499999999999999</v>
      </c>
      <c r="H47" s="316">
        <v>0.20499999999999999</v>
      </c>
      <c r="I47" s="309"/>
      <c r="J47" s="309"/>
    </row>
    <row r="48" spans="1:10" ht="22" customHeight="1">
      <c r="A48" s="309" t="s">
        <v>1907</v>
      </c>
      <c r="B48" s="309" t="s">
        <v>1069</v>
      </c>
      <c r="C48" s="310"/>
      <c r="D48" s="316">
        <v>0.2</v>
      </c>
      <c r="E48" s="316">
        <v>0.2</v>
      </c>
      <c r="F48" s="316">
        <v>0.2</v>
      </c>
      <c r="G48" s="316">
        <v>0.2</v>
      </c>
      <c r="H48" s="316">
        <v>0.2</v>
      </c>
      <c r="I48" s="309"/>
      <c r="J48" s="309"/>
    </row>
    <row r="49" spans="1:10" ht="22" customHeight="1">
      <c r="A49" s="309"/>
      <c r="B49" s="309"/>
      <c r="C49" s="310"/>
      <c r="D49" s="310"/>
      <c r="E49" s="310"/>
      <c r="F49" s="310"/>
      <c r="G49" s="310"/>
      <c r="H49" s="310"/>
      <c r="I49" s="309"/>
      <c r="J49" s="309"/>
    </row>
    <row r="50" spans="1:10" ht="22" customHeight="1">
      <c r="A50" s="309" t="s">
        <v>1908</v>
      </c>
      <c r="B50" s="309" t="s">
        <v>1069</v>
      </c>
      <c r="C50" s="310"/>
      <c r="D50" s="331">
        <v>0</v>
      </c>
      <c r="E50" s="331">
        <v>0</v>
      </c>
      <c r="F50" s="331">
        <v>0</v>
      </c>
      <c r="G50" s="331">
        <v>0</v>
      </c>
      <c r="H50" s="331">
        <v>0</v>
      </c>
      <c r="I50" s="309"/>
      <c r="J50" s="309" t="s">
        <v>1909</v>
      </c>
    </row>
    <row r="51" spans="1:10" ht="22" customHeight="1">
      <c r="A51" s="309" t="s">
        <v>1910</v>
      </c>
      <c r="B51" s="309" t="s">
        <v>1069</v>
      </c>
      <c r="C51" s="310"/>
      <c r="D51" s="331">
        <v>0</v>
      </c>
      <c r="E51" s="331">
        <v>0</v>
      </c>
      <c r="F51" s="331">
        <v>0</v>
      </c>
      <c r="G51" s="331">
        <v>0</v>
      </c>
      <c r="H51" s="331">
        <v>0</v>
      </c>
      <c r="I51" s="309"/>
      <c r="J51" s="309"/>
    </row>
    <row r="52" spans="1:10" ht="22" customHeight="1">
      <c r="A52" s="309" t="s">
        <v>1911</v>
      </c>
      <c r="B52" s="309" t="s">
        <v>1069</v>
      </c>
      <c r="C52" s="310"/>
      <c r="D52" s="331">
        <v>2E-3</v>
      </c>
      <c r="E52" s="331">
        <v>2E-3</v>
      </c>
      <c r="F52" s="331">
        <v>2E-3</v>
      </c>
      <c r="G52" s="331">
        <v>2E-3</v>
      </c>
      <c r="H52" s="331">
        <v>2E-3</v>
      </c>
      <c r="I52" s="309"/>
      <c r="J52" s="309"/>
    </row>
    <row r="53" spans="1:10" ht="22" customHeight="1">
      <c r="A53" s="309"/>
      <c r="B53" s="309"/>
      <c r="C53" s="310"/>
      <c r="D53" s="310"/>
      <c r="E53" s="310"/>
      <c r="F53" s="310"/>
      <c r="G53" s="310"/>
      <c r="H53" s="310"/>
      <c r="I53" s="309"/>
      <c r="J53" s="309"/>
    </row>
    <row r="54" spans="1:10" ht="22" customHeight="1">
      <c r="A54" s="309"/>
      <c r="B54" s="309"/>
      <c r="C54" s="310"/>
      <c r="D54" s="310"/>
      <c r="E54" s="310"/>
      <c r="F54" s="310"/>
      <c r="G54" s="310"/>
      <c r="H54" s="310"/>
      <c r="I54" s="309"/>
      <c r="J54" s="309"/>
    </row>
    <row r="55" spans="1:10" ht="22" customHeight="1">
      <c r="A55" s="309"/>
      <c r="B55" s="309"/>
      <c r="C55" s="310"/>
      <c r="D55" s="310"/>
      <c r="E55" s="310"/>
      <c r="F55" s="310"/>
      <c r="G55" s="310"/>
      <c r="H55" s="310"/>
      <c r="I55" s="309"/>
      <c r="J55" s="309"/>
    </row>
    <row r="56" spans="1:10" ht="27" customHeight="1">
      <c r="A56" s="312" t="s">
        <v>1912</v>
      </c>
      <c r="B56" s="312"/>
      <c r="C56" s="313"/>
      <c r="D56" s="313"/>
      <c r="E56" s="313"/>
      <c r="F56" s="313"/>
      <c r="G56" s="313"/>
      <c r="H56" s="313"/>
      <c r="I56" s="309"/>
      <c r="J56" s="309"/>
    </row>
    <row r="57" spans="1:10" ht="22" customHeight="1">
      <c r="A57" s="327"/>
      <c r="B57" s="327"/>
      <c r="C57" s="328">
        <v>2026</v>
      </c>
      <c r="D57" s="328">
        <v>2027</v>
      </c>
      <c r="E57" s="328">
        <v>2028</v>
      </c>
      <c r="F57" s="328">
        <v>2029</v>
      </c>
      <c r="G57" s="328">
        <v>2030</v>
      </c>
      <c r="H57" s="328">
        <v>2031</v>
      </c>
      <c r="I57" s="309"/>
      <c r="J57" s="309"/>
    </row>
    <row r="58" spans="1:10" ht="22" customHeight="1">
      <c r="A58" s="309" t="s">
        <v>1605</v>
      </c>
      <c r="B58" s="309" t="s">
        <v>1069</v>
      </c>
      <c r="C58" s="310"/>
      <c r="D58" s="316">
        <v>0</v>
      </c>
      <c r="E58" s="316">
        <v>0</v>
      </c>
      <c r="F58" s="316">
        <v>0</v>
      </c>
      <c r="G58" s="316">
        <v>0</v>
      </c>
      <c r="H58" s="316">
        <v>0</v>
      </c>
      <c r="I58" s="309"/>
      <c r="J58" s="309"/>
    </row>
    <row r="59" spans="1:10" ht="22" customHeight="1">
      <c r="A59" s="309" t="s">
        <v>1607</v>
      </c>
      <c r="B59" s="309" t="s">
        <v>1069</v>
      </c>
      <c r="C59" s="310"/>
      <c r="D59" s="316">
        <v>2.5000000000000001E-2</v>
      </c>
      <c r="E59" s="316">
        <v>2.5000000000000001E-2</v>
      </c>
      <c r="F59" s="316">
        <v>2.5000000000000001E-2</v>
      </c>
      <c r="G59" s="316">
        <v>2.5000000000000001E-2</v>
      </c>
      <c r="H59" s="316">
        <v>2.5000000000000001E-2</v>
      </c>
      <c r="I59" s="309"/>
      <c r="J59" s="309"/>
    </row>
    <row r="60" spans="1:10" ht="22" customHeight="1">
      <c r="A60" s="309" t="s">
        <v>1123</v>
      </c>
      <c r="B60" s="309" t="s">
        <v>1069</v>
      </c>
      <c r="C60" s="310"/>
      <c r="D60" s="316">
        <v>1.9E-2</v>
      </c>
      <c r="E60" s="316">
        <v>1.9E-2</v>
      </c>
      <c r="F60" s="316">
        <v>1.9E-2</v>
      </c>
      <c r="G60" s="316">
        <v>1.9E-2</v>
      </c>
      <c r="H60" s="316">
        <v>1.9E-2</v>
      </c>
      <c r="I60" s="309"/>
      <c r="J60" s="309"/>
    </row>
    <row r="61" spans="1:10" ht="22" customHeight="1">
      <c r="A61" s="309" t="s">
        <v>1649</v>
      </c>
      <c r="B61" s="309" t="s">
        <v>1069</v>
      </c>
      <c r="C61" s="310"/>
      <c r="D61" s="316">
        <v>0.1</v>
      </c>
      <c r="E61" s="316">
        <v>0.1</v>
      </c>
      <c r="F61" s="316">
        <v>0.1</v>
      </c>
      <c r="G61" s="316">
        <v>0.1</v>
      </c>
      <c r="H61" s="316">
        <v>0.1</v>
      </c>
      <c r="I61" s="309"/>
      <c r="J61" s="309"/>
    </row>
    <row r="62" spans="1:10" ht="22" customHeight="1">
      <c r="A62" s="309" t="s">
        <v>1653</v>
      </c>
      <c r="B62" s="309" t="s">
        <v>1069</v>
      </c>
      <c r="C62" s="310"/>
      <c r="D62" s="316">
        <v>6.0000000000000001E-3</v>
      </c>
      <c r="E62" s="316">
        <v>6.0000000000000001E-3</v>
      </c>
      <c r="F62" s="316">
        <v>6.0000000000000001E-3</v>
      </c>
      <c r="G62" s="316">
        <v>6.0000000000000001E-3</v>
      </c>
      <c r="H62" s="316">
        <v>6.0000000000000001E-3</v>
      </c>
      <c r="I62" s="309"/>
      <c r="J62" s="309"/>
    </row>
    <row r="63" spans="1:10" ht="22" customHeight="1">
      <c r="A63" s="309" t="s">
        <v>1655</v>
      </c>
      <c r="B63" s="309" t="s">
        <v>1066</v>
      </c>
      <c r="C63" s="310"/>
      <c r="D63" s="325">
        <v>0</v>
      </c>
      <c r="E63" s="325">
        <v>0</v>
      </c>
      <c r="F63" s="325">
        <v>0</v>
      </c>
      <c r="G63" s="325">
        <v>0</v>
      </c>
      <c r="H63" s="325">
        <v>0</v>
      </c>
      <c r="I63" s="309"/>
      <c r="J63" s="309"/>
    </row>
    <row r="64" spans="1:10" ht="22" customHeight="1">
      <c r="A64" s="309" t="s">
        <v>1663</v>
      </c>
      <c r="B64" s="309" t="s">
        <v>1066</v>
      </c>
      <c r="C64" s="325">
        <v>800</v>
      </c>
      <c r="D64" s="325">
        <v>800</v>
      </c>
      <c r="E64" s="325">
        <v>800</v>
      </c>
      <c r="F64" s="325">
        <v>800</v>
      </c>
      <c r="G64" s="325">
        <v>800</v>
      </c>
      <c r="H64" s="325">
        <v>800</v>
      </c>
      <c r="I64" s="309"/>
      <c r="J64" s="309"/>
    </row>
    <row r="65" spans="1:10" ht="22" customHeight="1">
      <c r="A65" s="309" t="s">
        <v>1665</v>
      </c>
      <c r="B65" s="309" t="s">
        <v>1066</v>
      </c>
      <c r="C65" s="325">
        <v>1550</v>
      </c>
      <c r="D65" s="325">
        <v>1550</v>
      </c>
      <c r="E65" s="325">
        <v>1550</v>
      </c>
      <c r="F65" s="325">
        <v>1550</v>
      </c>
      <c r="G65" s="325">
        <v>1550</v>
      </c>
      <c r="H65" s="325">
        <v>1550</v>
      </c>
      <c r="I65" s="309"/>
      <c r="J65" s="309"/>
    </row>
    <row r="66" spans="1:10" ht="22" customHeight="1">
      <c r="A66" s="309" t="s">
        <v>1669</v>
      </c>
      <c r="B66" s="309" t="s">
        <v>1066</v>
      </c>
      <c r="C66" s="325">
        <v>0</v>
      </c>
      <c r="D66" s="325">
        <v>60</v>
      </c>
      <c r="E66" s="325">
        <v>0</v>
      </c>
      <c r="F66" s="325">
        <v>0</v>
      </c>
      <c r="G66" s="325">
        <v>0</v>
      </c>
      <c r="H66" s="325">
        <v>0</v>
      </c>
      <c r="I66" s="309"/>
      <c r="J66" s="309"/>
    </row>
    <row r="67" spans="1:10" ht="22" customHeight="1">
      <c r="A67" s="309" t="s">
        <v>1672</v>
      </c>
      <c r="B67" s="309" t="s">
        <v>1066</v>
      </c>
      <c r="C67" s="325">
        <v>300</v>
      </c>
      <c r="D67" s="325">
        <v>300</v>
      </c>
      <c r="E67" s="325">
        <v>300</v>
      </c>
      <c r="F67" s="325">
        <v>300</v>
      </c>
      <c r="G67" s="325">
        <v>300</v>
      </c>
      <c r="H67" s="325">
        <v>300</v>
      </c>
      <c r="I67" s="309"/>
      <c r="J67" s="309"/>
    </row>
    <row r="68" spans="1:10" ht="22" customHeight="1">
      <c r="A68" s="309" t="s">
        <v>1677</v>
      </c>
      <c r="B68" s="309" t="s">
        <v>1066</v>
      </c>
      <c r="C68" s="325">
        <v>100</v>
      </c>
      <c r="D68" s="325">
        <v>100</v>
      </c>
      <c r="E68" s="325">
        <v>100</v>
      </c>
      <c r="F68" s="325">
        <v>100</v>
      </c>
      <c r="G68" s="325">
        <v>100</v>
      </c>
      <c r="H68" s="325">
        <v>100</v>
      </c>
      <c r="I68" s="309"/>
      <c r="J68" s="309"/>
    </row>
    <row r="69" spans="1:10" ht="22" customHeight="1">
      <c r="A69" s="309" t="s">
        <v>1700</v>
      </c>
      <c r="B69" s="309" t="s">
        <v>1066</v>
      </c>
      <c r="C69" s="325">
        <v>150</v>
      </c>
      <c r="D69" s="325">
        <v>150</v>
      </c>
      <c r="E69" s="325">
        <v>150</v>
      </c>
      <c r="F69" s="325">
        <v>150</v>
      </c>
      <c r="G69" s="325">
        <v>150</v>
      </c>
      <c r="H69" s="325">
        <v>150</v>
      </c>
      <c r="I69" s="309"/>
      <c r="J69" s="309"/>
    </row>
    <row r="70" spans="1:10" ht="22" customHeight="1">
      <c r="A70" s="309" t="s">
        <v>1717</v>
      </c>
      <c r="B70" s="309" t="s">
        <v>1069</v>
      </c>
      <c r="C70" s="316">
        <v>0.5</v>
      </c>
      <c r="D70" s="316">
        <v>0.5</v>
      </c>
      <c r="E70" s="316">
        <v>0.5</v>
      </c>
      <c r="F70" s="316">
        <v>0.5</v>
      </c>
      <c r="G70" s="316">
        <v>0.5</v>
      </c>
      <c r="H70" s="316">
        <v>0.5</v>
      </c>
      <c r="I70" s="309"/>
      <c r="J70" s="309"/>
    </row>
    <row r="71" spans="1:10" ht="22" customHeight="1">
      <c r="A71" s="309" t="s">
        <v>1728</v>
      </c>
      <c r="B71" s="309" t="s">
        <v>1189</v>
      </c>
      <c r="C71" s="325">
        <v>10</v>
      </c>
      <c r="D71" s="325">
        <v>10</v>
      </c>
      <c r="E71" s="325">
        <v>10</v>
      </c>
      <c r="F71" s="325">
        <v>10</v>
      </c>
      <c r="G71" s="325">
        <v>10</v>
      </c>
      <c r="H71" s="325">
        <v>10</v>
      </c>
      <c r="I71" s="309"/>
      <c r="J71" s="309"/>
    </row>
    <row r="72" spans="1:10" ht="22" customHeight="1">
      <c r="A72" s="309" t="s">
        <v>1737</v>
      </c>
      <c r="B72" s="309" t="s">
        <v>1066</v>
      </c>
      <c r="C72" s="325">
        <v>0</v>
      </c>
      <c r="D72" s="325">
        <v>0</v>
      </c>
      <c r="E72" s="325">
        <v>0</v>
      </c>
      <c r="F72" s="325">
        <v>0</v>
      </c>
      <c r="G72" s="325">
        <v>0</v>
      </c>
      <c r="H72" s="325">
        <v>0</v>
      </c>
      <c r="I72" s="309"/>
      <c r="J72" s="309"/>
    </row>
    <row r="73" spans="1:10" ht="22" customHeight="1">
      <c r="A73" s="309" t="s">
        <v>1739</v>
      </c>
      <c r="B73" s="309" t="s">
        <v>1069</v>
      </c>
      <c r="C73" s="310"/>
      <c r="D73" s="316">
        <v>0.65</v>
      </c>
      <c r="E73" s="316">
        <v>0.65</v>
      </c>
      <c r="F73" s="316">
        <v>0.65</v>
      </c>
      <c r="G73" s="316">
        <v>0.65</v>
      </c>
      <c r="H73" s="316">
        <v>0.65</v>
      </c>
      <c r="I73" s="309"/>
      <c r="J73" s="309"/>
    </row>
    <row r="74" spans="1:10" ht="22" customHeight="1">
      <c r="A74" s="309" t="s">
        <v>1749</v>
      </c>
      <c r="B74" s="309" t="s">
        <v>1066</v>
      </c>
      <c r="C74" s="325">
        <v>0</v>
      </c>
      <c r="D74" s="325">
        <v>0</v>
      </c>
      <c r="E74" s="325">
        <v>0</v>
      </c>
      <c r="F74" s="325">
        <v>0</v>
      </c>
      <c r="G74" s="325">
        <v>0</v>
      </c>
      <c r="H74" s="325">
        <v>0</v>
      </c>
      <c r="I74" s="309"/>
      <c r="J74" s="309"/>
    </row>
    <row r="75" spans="1:10" ht="22" customHeight="1">
      <c r="A75" s="309" t="s">
        <v>1751</v>
      </c>
      <c r="B75" s="309" t="s">
        <v>1066</v>
      </c>
      <c r="C75" s="310"/>
      <c r="D75" s="325">
        <v>0</v>
      </c>
      <c r="E75" s="325">
        <v>0</v>
      </c>
      <c r="F75" s="325">
        <v>0</v>
      </c>
      <c r="G75" s="325">
        <v>0</v>
      </c>
      <c r="H75" s="325">
        <v>0</v>
      </c>
      <c r="I75" s="309"/>
      <c r="J75" s="309"/>
    </row>
    <row r="76" spans="1:10" ht="22" customHeight="1">
      <c r="A76" s="309"/>
      <c r="B76" s="309"/>
      <c r="C76" s="310"/>
      <c r="D76" s="310"/>
      <c r="E76" s="310"/>
      <c r="F76" s="310"/>
      <c r="G76" s="310"/>
      <c r="H76" s="310"/>
      <c r="I76" s="309"/>
      <c r="J76" s="309"/>
    </row>
    <row r="77" spans="1:10" ht="22" customHeight="1">
      <c r="A77" s="309"/>
      <c r="B77" s="309"/>
      <c r="C77" s="310"/>
      <c r="D77" s="310"/>
      <c r="E77" s="310"/>
      <c r="F77" s="310"/>
      <c r="G77" s="310"/>
      <c r="H77" s="310"/>
      <c r="I77" s="309"/>
      <c r="J77" s="309"/>
    </row>
    <row r="78" spans="1:10" ht="27" customHeight="1">
      <c r="A78" s="312" t="s">
        <v>1913</v>
      </c>
      <c r="B78" s="312"/>
      <c r="C78" s="313"/>
      <c r="D78" s="313"/>
      <c r="E78" s="313"/>
      <c r="F78" s="313"/>
      <c r="G78" s="313"/>
      <c r="H78" s="313"/>
      <c r="I78" s="309"/>
      <c r="J78" s="309"/>
    </row>
    <row r="79" spans="1:10" ht="22" customHeight="1">
      <c r="A79" s="309"/>
      <c r="B79" s="309"/>
      <c r="C79" s="310"/>
      <c r="D79" s="310"/>
      <c r="E79" s="310"/>
      <c r="F79" s="310"/>
      <c r="G79" s="310"/>
      <c r="H79" s="310"/>
      <c r="I79" s="309"/>
      <c r="J79" s="309"/>
    </row>
    <row r="80" spans="1:10" ht="22" customHeight="1">
      <c r="A80" s="309" t="s">
        <v>1243</v>
      </c>
      <c r="B80" s="309" t="s">
        <v>1069</v>
      </c>
      <c r="C80" s="316">
        <v>0.05</v>
      </c>
      <c r="D80" s="310"/>
      <c r="E80" s="310"/>
      <c r="F80" s="310"/>
      <c r="G80" s="310"/>
      <c r="H80" s="310"/>
      <c r="I80" s="309"/>
      <c r="J80" s="309" t="s">
        <v>1914</v>
      </c>
    </row>
    <row r="81" spans="1:10" ht="22" customHeight="1">
      <c r="A81" s="309" t="s">
        <v>1246</v>
      </c>
      <c r="B81" s="309" t="s">
        <v>1077</v>
      </c>
      <c r="C81" s="316">
        <v>0.01</v>
      </c>
      <c r="D81" s="310"/>
      <c r="E81" s="310"/>
      <c r="F81" s="310"/>
      <c r="G81" s="310"/>
      <c r="H81" s="310"/>
      <c r="I81" s="309"/>
      <c r="J81" s="309" t="s">
        <v>1914</v>
      </c>
    </row>
    <row r="82" spans="1:10" ht="22" customHeight="1">
      <c r="A82" s="309" t="s">
        <v>1247</v>
      </c>
      <c r="B82" s="309" t="s">
        <v>1077</v>
      </c>
      <c r="C82" s="316">
        <v>-2.5000000000000001E-2</v>
      </c>
      <c r="D82" s="310"/>
      <c r="E82" s="310"/>
      <c r="F82" s="310"/>
      <c r="G82" s="310"/>
      <c r="H82" s="310"/>
      <c r="I82" s="309"/>
      <c r="J82" s="309" t="s">
        <v>1914</v>
      </c>
    </row>
    <row r="83" spans="1:10" ht="22" customHeight="1">
      <c r="A83" s="309" t="s">
        <v>1249</v>
      </c>
      <c r="B83" s="309" t="s">
        <v>1066</v>
      </c>
      <c r="C83" s="325">
        <v>14600</v>
      </c>
      <c r="D83" s="310"/>
      <c r="E83" s="310"/>
      <c r="F83" s="310"/>
      <c r="G83" s="310"/>
      <c r="H83" s="310"/>
      <c r="I83" s="309"/>
      <c r="J83" s="309" t="s">
        <v>1914</v>
      </c>
    </row>
    <row r="84" spans="1:10" ht="22" customHeight="1">
      <c r="A84" s="309" t="s">
        <v>1250</v>
      </c>
      <c r="B84" s="309" t="s">
        <v>1066</v>
      </c>
      <c r="C84" s="325">
        <v>2200</v>
      </c>
      <c r="D84" s="310"/>
      <c r="E84" s="310"/>
      <c r="F84" s="310"/>
      <c r="G84" s="310"/>
      <c r="H84" s="310"/>
      <c r="I84" s="309"/>
      <c r="J84" s="309" t="s">
        <v>1914</v>
      </c>
    </row>
    <row r="85" spans="1:10" ht="22" customHeight="1">
      <c r="A85" s="309" t="s">
        <v>1251</v>
      </c>
      <c r="B85" s="309" t="s">
        <v>1066</v>
      </c>
      <c r="C85" s="325">
        <v>12400</v>
      </c>
      <c r="D85" s="310"/>
      <c r="E85" s="310"/>
      <c r="F85" s="310"/>
      <c r="G85" s="310"/>
      <c r="H85" s="310"/>
      <c r="I85" s="309"/>
      <c r="J85" s="309" t="s">
        <v>1914</v>
      </c>
    </row>
    <row r="86" spans="1:10" ht="22" customHeight="1">
      <c r="A86" s="309" t="s">
        <v>1252</v>
      </c>
      <c r="B86" s="309" t="s">
        <v>1069</v>
      </c>
      <c r="C86" s="316">
        <v>0.19900000000000001</v>
      </c>
      <c r="D86" s="310"/>
      <c r="E86" s="310"/>
      <c r="F86" s="310"/>
      <c r="G86" s="310"/>
      <c r="H86" s="310"/>
      <c r="I86" s="309"/>
      <c r="J86" s="309" t="s">
        <v>1914</v>
      </c>
    </row>
    <row r="87" spans="1:10" ht="22" customHeight="1">
      <c r="A87" s="309" t="s">
        <v>1253</v>
      </c>
      <c r="B87" s="309" t="s">
        <v>1077</v>
      </c>
      <c r="C87" s="316">
        <v>0.01</v>
      </c>
      <c r="D87" s="310"/>
      <c r="E87" s="310"/>
      <c r="F87" s="310"/>
      <c r="G87" s="310"/>
      <c r="H87" s="310"/>
      <c r="I87" s="309"/>
      <c r="J87" s="309" t="s">
        <v>1914</v>
      </c>
    </row>
    <row r="88" spans="1:10" ht="22" customHeight="1">
      <c r="A88" s="309" t="s">
        <v>1254</v>
      </c>
      <c r="B88" s="309" t="s">
        <v>1077</v>
      </c>
      <c r="C88" s="316">
        <v>-0.01</v>
      </c>
      <c r="D88" s="310"/>
      <c r="E88" s="310"/>
      <c r="F88" s="310"/>
      <c r="G88" s="310"/>
      <c r="H88" s="310"/>
      <c r="I88" s="309"/>
      <c r="J88" s="309" t="s">
        <v>1914</v>
      </c>
    </row>
    <row r="89" spans="1:10" ht="22" customHeight="1">
      <c r="A89" s="309" t="s">
        <v>1915</v>
      </c>
      <c r="B89" s="309" t="s">
        <v>1069</v>
      </c>
      <c r="C89" s="316">
        <v>0.04</v>
      </c>
      <c r="D89" s="310"/>
      <c r="E89" s="310"/>
      <c r="F89" s="310"/>
      <c r="G89" s="310"/>
      <c r="H89" s="310"/>
      <c r="I89" s="309"/>
      <c r="J89" s="309" t="s">
        <v>1916</v>
      </c>
    </row>
    <row r="90" spans="1:10" ht="22" customHeight="1">
      <c r="A90" s="309"/>
      <c r="B90" s="309"/>
      <c r="C90" s="310"/>
      <c r="D90" s="310"/>
      <c r="E90" s="310"/>
      <c r="F90" s="310"/>
      <c r="G90" s="310"/>
      <c r="H90" s="310"/>
      <c r="I90" s="309"/>
      <c r="J90" s="309"/>
    </row>
    <row r="91" spans="1:10" ht="22" customHeight="1">
      <c r="A91" s="309"/>
      <c r="B91" s="309"/>
      <c r="C91" s="310"/>
      <c r="D91" s="310"/>
      <c r="E91" s="310"/>
      <c r="F91" s="310"/>
      <c r="G91" s="310"/>
      <c r="H91" s="310"/>
      <c r="I91" s="309"/>
      <c r="J91" s="309"/>
    </row>
    <row r="92" spans="1:10" ht="27" customHeight="1">
      <c r="A92" s="312" t="s">
        <v>1917</v>
      </c>
      <c r="B92" s="312"/>
      <c r="C92" s="313"/>
      <c r="D92" s="313"/>
      <c r="E92" s="313"/>
      <c r="F92" s="313"/>
      <c r="G92" s="313"/>
      <c r="H92" s="313"/>
      <c r="I92" s="309"/>
      <c r="J92" s="309"/>
    </row>
    <row r="93" spans="1:10" ht="22" customHeight="1">
      <c r="A93" s="309"/>
      <c r="B93" s="309"/>
      <c r="C93" s="310"/>
      <c r="D93" s="310"/>
      <c r="E93" s="310" t="s">
        <v>1054</v>
      </c>
      <c r="F93" s="310" t="s">
        <v>1055</v>
      </c>
      <c r="G93" s="310"/>
      <c r="H93" s="310"/>
      <c r="I93" s="309"/>
      <c r="J93" s="309"/>
    </row>
    <row r="94" spans="1:10" ht="22" customHeight="1">
      <c r="A94" s="309" t="s">
        <v>1306</v>
      </c>
      <c r="B94" s="309" t="s">
        <v>1077</v>
      </c>
      <c r="C94" s="310"/>
      <c r="D94" s="310"/>
      <c r="E94" s="316">
        <v>4.0000000000000001E-3</v>
      </c>
      <c r="F94" s="316">
        <v>4.0000000000000001E-3</v>
      </c>
      <c r="G94" s="310"/>
      <c r="H94" s="310"/>
      <c r="I94" s="309"/>
      <c r="J94" s="309" t="s">
        <v>1918</v>
      </c>
    </row>
    <row r="95" spans="1:10" ht="22" customHeight="1">
      <c r="A95" s="309" t="s">
        <v>1307</v>
      </c>
      <c r="B95" s="309" t="s">
        <v>1077</v>
      </c>
      <c r="C95" s="310"/>
      <c r="D95" s="310"/>
      <c r="E95" s="316">
        <v>2E-3</v>
      </c>
      <c r="F95" s="316">
        <v>2E-3</v>
      </c>
      <c r="G95" s="310"/>
      <c r="H95" s="310"/>
      <c r="I95" s="309"/>
      <c r="J95" s="309" t="s">
        <v>1918</v>
      </c>
    </row>
    <row r="96" spans="1:10" ht="22" customHeight="1">
      <c r="A96" s="309" t="s">
        <v>1308</v>
      </c>
      <c r="B96" s="309" t="s">
        <v>1069</v>
      </c>
      <c r="C96" s="310"/>
      <c r="D96" s="310"/>
      <c r="E96" s="316">
        <v>0.1</v>
      </c>
      <c r="F96" s="316">
        <v>0.1</v>
      </c>
      <c r="G96" s="310"/>
      <c r="H96" s="310"/>
      <c r="I96" s="309"/>
      <c r="J96" s="309" t="s">
        <v>1918</v>
      </c>
    </row>
    <row r="97" spans="1:10" ht="22" customHeight="1">
      <c r="A97" s="309"/>
      <c r="B97" s="309"/>
      <c r="C97" s="310"/>
      <c r="D97" s="310"/>
      <c r="E97" s="310"/>
      <c r="F97" s="310"/>
      <c r="G97" s="310"/>
      <c r="H97" s="310"/>
      <c r="I97" s="309"/>
      <c r="J97" s="309"/>
    </row>
    <row r="98" spans="1:10" ht="22" customHeight="1">
      <c r="A98" s="309"/>
      <c r="B98" s="309"/>
      <c r="C98" s="310"/>
      <c r="D98" s="310"/>
      <c r="E98" s="310"/>
      <c r="F98" s="310"/>
      <c r="G98" s="310"/>
      <c r="H98" s="310"/>
      <c r="I98" s="309"/>
      <c r="J98" s="309"/>
    </row>
    <row r="99" spans="1:10" ht="27" customHeight="1">
      <c r="A99" s="312" t="s">
        <v>1919</v>
      </c>
      <c r="B99" s="312"/>
      <c r="C99" s="313"/>
      <c r="D99" s="313"/>
      <c r="E99" s="313"/>
      <c r="F99" s="313"/>
      <c r="G99" s="313"/>
      <c r="H99" s="313"/>
      <c r="I99" s="309"/>
      <c r="J99" s="309"/>
    </row>
    <row r="100" spans="1:10" ht="22" customHeight="1">
      <c r="A100" s="309"/>
      <c r="B100" s="309"/>
      <c r="C100" s="310"/>
      <c r="D100" s="310"/>
      <c r="E100" s="310"/>
      <c r="F100" s="310"/>
      <c r="G100" s="310"/>
      <c r="H100" s="310"/>
      <c r="I100" s="309"/>
      <c r="J100" s="309"/>
    </row>
    <row r="101" spans="1:10" ht="22" customHeight="1">
      <c r="A101" s="309" t="s">
        <v>1920</v>
      </c>
      <c r="B101" s="309" t="s">
        <v>1066</v>
      </c>
      <c r="C101" s="325">
        <v>100</v>
      </c>
      <c r="D101" s="310"/>
      <c r="E101" s="310"/>
      <c r="F101" s="310"/>
      <c r="G101" s="310"/>
      <c r="H101" s="310"/>
      <c r="I101" s="309"/>
      <c r="J101" s="309"/>
    </row>
    <row r="102" spans="1:10" ht="22" customHeight="1">
      <c r="A102" s="309" t="s">
        <v>1091</v>
      </c>
      <c r="B102" s="309" t="s">
        <v>1066</v>
      </c>
      <c r="C102" s="325">
        <v>1100</v>
      </c>
      <c r="D102" s="310"/>
      <c r="E102" s="310"/>
      <c r="F102" s="310"/>
      <c r="G102" s="310"/>
      <c r="H102" s="310"/>
      <c r="I102" s="309"/>
      <c r="J102" s="309"/>
    </row>
    <row r="103" spans="1:10" ht="22" customHeight="1">
      <c r="A103" s="309" t="s">
        <v>1921</v>
      </c>
      <c r="B103" s="309" t="s">
        <v>1069</v>
      </c>
      <c r="C103" s="316">
        <v>0.22</v>
      </c>
      <c r="D103" s="310"/>
      <c r="E103" s="310"/>
      <c r="F103" s="310"/>
      <c r="G103" s="310"/>
      <c r="H103" s="310"/>
      <c r="I103" s="309"/>
      <c r="J103" s="309"/>
    </row>
    <row r="104" spans="1:10" ht="22" customHeight="1">
      <c r="A104" s="309" t="s">
        <v>1922</v>
      </c>
      <c r="B104" s="309" t="s">
        <v>1066</v>
      </c>
      <c r="C104" s="325">
        <v>300</v>
      </c>
      <c r="D104" s="310"/>
      <c r="E104" s="310"/>
      <c r="F104" s="310"/>
      <c r="G104" s="310"/>
      <c r="H104" s="310"/>
      <c r="I104" s="309"/>
      <c r="J104" s="309"/>
    </row>
    <row r="105" spans="1:10" ht="22" customHeight="1">
      <c r="A105" s="309" t="s">
        <v>1923</v>
      </c>
      <c r="B105" s="309" t="s">
        <v>1066</v>
      </c>
      <c r="C105" s="325">
        <v>-300</v>
      </c>
      <c r="D105" s="310"/>
      <c r="E105" s="310"/>
      <c r="F105" s="310"/>
      <c r="G105" s="310"/>
      <c r="H105" s="310"/>
      <c r="I105" s="309"/>
      <c r="J105" s="309"/>
    </row>
    <row r="106" spans="1:10" ht="22" customHeight="1">
      <c r="A106" s="309" t="s">
        <v>1386</v>
      </c>
      <c r="B106" s="309" t="s">
        <v>1066</v>
      </c>
      <c r="C106" s="325">
        <v>0</v>
      </c>
      <c r="D106" s="310"/>
      <c r="E106" s="310"/>
      <c r="F106" s="310"/>
      <c r="G106" s="310"/>
      <c r="H106" s="310"/>
      <c r="I106" s="309"/>
      <c r="J106" s="309"/>
    </row>
    <row r="107" spans="1:10" ht="22" customHeight="1">
      <c r="A107" s="309" t="s">
        <v>1924</v>
      </c>
      <c r="B107" s="309" t="s">
        <v>1066</v>
      </c>
      <c r="C107" s="325">
        <v>500</v>
      </c>
      <c r="D107" s="310"/>
      <c r="E107" s="310"/>
      <c r="F107" s="310"/>
      <c r="G107" s="310"/>
      <c r="H107" s="310"/>
      <c r="I107" s="309"/>
      <c r="J107" s="309"/>
    </row>
    <row r="108" spans="1:10" ht="22" customHeight="1">
      <c r="A108" s="309" t="s">
        <v>1925</v>
      </c>
      <c r="B108" s="309" t="s">
        <v>1066</v>
      </c>
      <c r="C108" s="325">
        <v>0</v>
      </c>
      <c r="D108" s="310"/>
      <c r="E108" s="310"/>
      <c r="F108" s="310"/>
      <c r="G108" s="310"/>
      <c r="H108" s="310"/>
      <c r="I108" s="309"/>
      <c r="J108" s="309"/>
    </row>
    <row r="109" spans="1:10" ht="22" customHeight="1">
      <c r="A109" s="309" t="s">
        <v>1926</v>
      </c>
      <c r="B109" s="309" t="s">
        <v>1066</v>
      </c>
      <c r="C109" s="325">
        <v>1500</v>
      </c>
      <c r="D109" s="310"/>
      <c r="E109" s="310"/>
      <c r="F109" s="310"/>
      <c r="G109" s="310"/>
      <c r="H109" s="310"/>
      <c r="I109" s="309"/>
      <c r="J109" s="309"/>
    </row>
    <row r="110" spans="1:10" ht="22" customHeight="1">
      <c r="A110" s="309" t="s">
        <v>1927</v>
      </c>
      <c r="B110" s="309" t="s">
        <v>1066</v>
      </c>
      <c r="C110" s="325">
        <v>800</v>
      </c>
      <c r="D110" s="310"/>
      <c r="E110" s="310"/>
      <c r="F110" s="310"/>
      <c r="G110" s="310"/>
      <c r="H110" s="310"/>
      <c r="I110" s="309"/>
      <c r="J110" s="309"/>
    </row>
    <row r="111" spans="1:10" ht="22" customHeight="1">
      <c r="A111" s="309" t="s">
        <v>1928</v>
      </c>
      <c r="B111" s="309" t="s">
        <v>1066</v>
      </c>
      <c r="C111" s="325">
        <v>1050</v>
      </c>
      <c r="D111" s="310"/>
      <c r="E111" s="310"/>
      <c r="F111" s="310"/>
      <c r="G111" s="310"/>
      <c r="H111" s="310"/>
      <c r="I111" s="309"/>
      <c r="J111" s="309"/>
    </row>
    <row r="112" spans="1:10" ht="22" customHeight="1">
      <c r="A112" s="309" t="s">
        <v>1929</v>
      </c>
      <c r="B112" s="309" t="s">
        <v>1066</v>
      </c>
      <c r="C112" s="325">
        <v>250</v>
      </c>
      <c r="D112" s="310"/>
      <c r="E112" s="310"/>
      <c r="F112" s="310"/>
      <c r="G112" s="310"/>
      <c r="H112" s="310"/>
      <c r="I112" s="309"/>
      <c r="J112" s="309"/>
    </row>
    <row r="113" spans="1:10" ht="22" customHeight="1">
      <c r="A113" s="309" t="s">
        <v>1930</v>
      </c>
      <c r="B113" s="309" t="s">
        <v>1066</v>
      </c>
      <c r="C113" s="325">
        <v>2100</v>
      </c>
      <c r="D113" s="310"/>
      <c r="E113" s="310"/>
      <c r="F113" s="310"/>
      <c r="G113" s="310"/>
      <c r="H113" s="310"/>
      <c r="I113" s="309"/>
      <c r="J113" s="309"/>
    </row>
    <row r="114" spans="1:10" ht="22" customHeight="1">
      <c r="A114" s="309" t="s">
        <v>1931</v>
      </c>
      <c r="B114" s="309" t="s">
        <v>1069</v>
      </c>
      <c r="C114" s="331">
        <v>0</v>
      </c>
      <c r="D114" s="310"/>
      <c r="E114" s="310"/>
      <c r="F114" s="310"/>
      <c r="G114" s="310"/>
      <c r="H114" s="310"/>
      <c r="I114" s="309"/>
      <c r="J114" s="309"/>
    </row>
    <row r="115" spans="1:10" ht="22" customHeight="1">
      <c r="A115" s="309" t="s">
        <v>1932</v>
      </c>
      <c r="B115" s="309" t="s">
        <v>1189</v>
      </c>
      <c r="C115" s="325">
        <v>4313</v>
      </c>
      <c r="D115" s="310"/>
      <c r="E115" s="310"/>
      <c r="F115" s="310"/>
      <c r="G115" s="310"/>
      <c r="H115" s="310"/>
      <c r="I115" s="309"/>
      <c r="J115" s="309"/>
    </row>
    <row r="116" spans="1:10" ht="22" customHeight="1">
      <c r="A116" s="309"/>
      <c r="B116" s="309"/>
      <c r="C116" s="310"/>
      <c r="D116" s="310"/>
      <c r="E116" s="310"/>
      <c r="F116" s="310"/>
      <c r="G116" s="310"/>
      <c r="H116" s="310"/>
      <c r="I116" s="309"/>
      <c r="J116" s="309"/>
    </row>
    <row r="117" spans="1:10" ht="22" customHeight="1">
      <c r="A117" s="309"/>
      <c r="B117" s="309"/>
      <c r="C117" s="310"/>
      <c r="D117" s="310"/>
      <c r="E117" s="310"/>
      <c r="F117" s="310"/>
      <c r="G117" s="310"/>
      <c r="H117" s="310"/>
      <c r="I117" s="309"/>
      <c r="J117" s="309"/>
    </row>
    <row r="118" spans="1:10" ht="27" customHeight="1">
      <c r="A118" s="312" t="s">
        <v>1933</v>
      </c>
      <c r="B118" s="312"/>
      <c r="C118" s="313"/>
      <c r="D118" s="313"/>
      <c r="E118" s="313"/>
      <c r="F118" s="313"/>
      <c r="G118" s="313"/>
      <c r="H118" s="313"/>
      <c r="I118" s="309"/>
      <c r="J118" s="309"/>
    </row>
    <row r="119" spans="1:10" ht="22" customHeight="1">
      <c r="A119" s="309"/>
      <c r="B119" s="309"/>
      <c r="C119" s="310"/>
      <c r="D119" s="310"/>
      <c r="E119" s="310"/>
      <c r="F119" s="310"/>
      <c r="G119" s="310"/>
      <c r="H119" s="310"/>
      <c r="I119" s="309"/>
      <c r="J119" s="309"/>
    </row>
    <row r="120" spans="1:10" ht="22" customHeight="1">
      <c r="A120" s="309" t="s">
        <v>1934</v>
      </c>
      <c r="B120" s="309" t="s">
        <v>1069</v>
      </c>
      <c r="C120" s="316">
        <v>3.0000000000000001E-3</v>
      </c>
      <c r="D120" s="310"/>
      <c r="E120" s="310"/>
      <c r="F120" s="310"/>
      <c r="G120" s="310"/>
      <c r="H120" s="310"/>
      <c r="I120" s="309"/>
      <c r="J120" s="309" t="s">
        <v>1935</v>
      </c>
    </row>
    <row r="121" spans="1:10" ht="22" customHeight="1">
      <c r="A121" s="309" t="s">
        <v>1798</v>
      </c>
      <c r="B121" s="309" t="s">
        <v>1169</v>
      </c>
      <c r="C121" s="314">
        <v>24</v>
      </c>
      <c r="D121" s="310"/>
      <c r="E121" s="310"/>
      <c r="F121" s="310"/>
      <c r="G121" s="310"/>
      <c r="H121" s="310"/>
      <c r="I121" s="309"/>
      <c r="J121" s="309" t="s">
        <v>1936</v>
      </c>
    </row>
    <row r="122" spans="1:10" ht="22" customHeight="1">
      <c r="A122" s="309" t="s">
        <v>1937</v>
      </c>
      <c r="B122" s="309" t="s">
        <v>1066</v>
      </c>
      <c r="C122" s="325">
        <v>174</v>
      </c>
      <c r="D122" s="310"/>
      <c r="E122" s="310"/>
      <c r="F122" s="310"/>
      <c r="G122" s="310"/>
      <c r="H122" s="310"/>
      <c r="I122" s="309"/>
      <c r="J122" s="309"/>
    </row>
    <row r="123" spans="1:10" ht="22" customHeight="1">
      <c r="A123" s="309" t="s">
        <v>1938</v>
      </c>
      <c r="B123" s="309" t="s">
        <v>1066</v>
      </c>
      <c r="C123" s="325">
        <v>300</v>
      </c>
      <c r="D123" s="310"/>
      <c r="E123" s="310"/>
      <c r="F123" s="310"/>
      <c r="G123" s="310"/>
      <c r="H123" s="310"/>
      <c r="I123" s="309"/>
      <c r="J123" s="309"/>
    </row>
    <row r="124" spans="1:10" ht="22" customHeight="1">
      <c r="A124" s="309" t="s">
        <v>1939</v>
      </c>
      <c r="B124" s="309" t="s">
        <v>1066</v>
      </c>
      <c r="C124" s="325">
        <v>700</v>
      </c>
      <c r="D124" s="310"/>
      <c r="E124" s="310"/>
      <c r="F124" s="310"/>
      <c r="G124" s="310"/>
      <c r="H124" s="310"/>
      <c r="I124" s="309"/>
      <c r="J124" s="309" t="s">
        <v>1940</v>
      </c>
    </row>
    <row r="125" spans="1:10" ht="22" customHeight="1">
      <c r="A125" s="309" t="s">
        <v>1941</v>
      </c>
      <c r="B125" s="309" t="s">
        <v>1069</v>
      </c>
      <c r="C125" s="316">
        <v>2.5000000000000001E-2</v>
      </c>
      <c r="D125" s="310"/>
      <c r="E125" s="310"/>
      <c r="F125" s="310"/>
      <c r="G125" s="310"/>
      <c r="H125" s="310"/>
      <c r="I125" s="309"/>
      <c r="J125" s="309"/>
    </row>
    <row r="126" spans="1:10" ht="22" customHeight="1">
      <c r="A126" s="309" t="s">
        <v>1942</v>
      </c>
      <c r="B126" s="309" t="s">
        <v>1066</v>
      </c>
      <c r="C126" s="325">
        <v>300</v>
      </c>
      <c r="D126" s="310"/>
      <c r="E126" s="310"/>
      <c r="F126" s="310"/>
      <c r="G126" s="310"/>
      <c r="H126" s="310"/>
      <c r="I126" s="309"/>
      <c r="J126" s="309" t="s">
        <v>1943</v>
      </c>
    </row>
    <row r="127" spans="1:10" ht="22" customHeight="1">
      <c r="A127" s="309" t="s">
        <v>1944</v>
      </c>
      <c r="B127" s="309" t="s">
        <v>1069</v>
      </c>
      <c r="C127" s="316">
        <v>0.05</v>
      </c>
      <c r="D127" s="310"/>
      <c r="E127" s="310"/>
      <c r="F127" s="310"/>
      <c r="G127" s="310"/>
      <c r="H127" s="310"/>
      <c r="I127" s="309"/>
      <c r="J127" s="309" t="s">
        <v>1945</v>
      </c>
    </row>
    <row r="128" spans="1:10" ht="22" customHeight="1">
      <c r="A128" s="309" t="s">
        <v>1946</v>
      </c>
      <c r="B128" s="309" t="s">
        <v>1584</v>
      </c>
      <c r="C128" s="325">
        <v>3</v>
      </c>
      <c r="D128" s="310"/>
      <c r="E128" s="310"/>
      <c r="F128" s="310"/>
      <c r="G128" s="310"/>
      <c r="H128" s="310"/>
      <c r="I128" s="309"/>
      <c r="J128" s="309" t="s">
        <v>1947</v>
      </c>
    </row>
    <row r="129" spans="1:10" ht="22" customHeight="1">
      <c r="A129" s="309"/>
      <c r="B129" s="309"/>
      <c r="C129" s="310"/>
      <c r="D129" s="310"/>
      <c r="E129" s="310"/>
      <c r="F129" s="310"/>
      <c r="G129" s="310"/>
      <c r="H129" s="310"/>
      <c r="I129" s="309"/>
      <c r="J129" s="309"/>
    </row>
    <row r="130" spans="1:10" ht="22" customHeight="1">
      <c r="A130" s="309"/>
      <c r="B130" s="309"/>
      <c r="C130" s="310"/>
      <c r="D130" s="310"/>
      <c r="E130" s="310"/>
      <c r="F130" s="310"/>
      <c r="G130" s="310"/>
      <c r="H130" s="310"/>
      <c r="I130" s="309"/>
      <c r="J130" s="309"/>
    </row>
    <row r="131" spans="1:10" ht="27" customHeight="1">
      <c r="A131" s="312" t="s">
        <v>1948</v>
      </c>
      <c r="B131" s="312"/>
      <c r="C131" s="313"/>
      <c r="D131" s="313"/>
      <c r="E131" s="313"/>
      <c r="F131" s="313"/>
      <c r="G131" s="313"/>
      <c r="H131" s="313"/>
      <c r="I131" s="309"/>
      <c r="J131" s="309"/>
    </row>
    <row r="132" spans="1:10" ht="22" customHeight="1">
      <c r="A132" s="309"/>
      <c r="B132" s="309"/>
      <c r="C132" s="310"/>
      <c r="D132" s="310"/>
      <c r="E132" s="310"/>
      <c r="F132" s="310"/>
      <c r="G132" s="310"/>
      <c r="H132" s="310"/>
      <c r="I132" s="309"/>
      <c r="J132" s="309"/>
    </row>
    <row r="133" spans="1:10" ht="22" customHeight="1">
      <c r="A133" s="309" t="s">
        <v>1949</v>
      </c>
      <c r="B133" s="309" t="s">
        <v>1806</v>
      </c>
      <c r="C133" s="318">
        <v>0</v>
      </c>
      <c r="D133" s="310"/>
      <c r="E133" s="310"/>
      <c r="F133" s="310"/>
      <c r="G133" s="310"/>
      <c r="H133" s="310"/>
      <c r="I133" s="309"/>
      <c r="J133" s="309" t="s">
        <v>1950</v>
      </c>
    </row>
    <row r="134" spans="1:10" ht="22" customHeight="1">
      <c r="A134" s="309" t="s">
        <v>1951</v>
      </c>
      <c r="B134" s="309" t="s">
        <v>1066</v>
      </c>
      <c r="C134" s="325">
        <v>1800</v>
      </c>
      <c r="D134" s="310"/>
      <c r="E134" s="310"/>
      <c r="F134" s="310"/>
      <c r="G134" s="310"/>
      <c r="H134" s="310"/>
      <c r="I134" s="309"/>
      <c r="J134" s="309" t="s">
        <v>1952</v>
      </c>
    </row>
    <row r="135" spans="1:10" ht="22" customHeight="1">
      <c r="A135" s="309" t="s">
        <v>1953</v>
      </c>
      <c r="B135" s="309" t="s">
        <v>1161</v>
      </c>
      <c r="C135" s="318">
        <v>2027</v>
      </c>
      <c r="D135" s="310"/>
      <c r="E135" s="310"/>
      <c r="F135" s="310"/>
      <c r="G135" s="310"/>
      <c r="H135" s="310"/>
      <c r="I135" s="309"/>
      <c r="J135" s="309" t="s">
        <v>1954</v>
      </c>
    </row>
    <row r="136" spans="1:10" ht="22" customHeight="1">
      <c r="A136" s="309" t="s">
        <v>1955</v>
      </c>
      <c r="B136" s="309" t="s">
        <v>1069</v>
      </c>
      <c r="C136" s="340">
        <v>0</v>
      </c>
      <c r="D136" s="310"/>
      <c r="E136" s="310"/>
      <c r="F136" s="310"/>
      <c r="G136" s="310"/>
      <c r="H136" s="310"/>
      <c r="I136" s="309"/>
      <c r="J136" s="309" t="s">
        <v>1956</v>
      </c>
    </row>
    <row r="137" spans="1:10" ht="22" customHeight="1">
      <c r="A137" s="309" t="s">
        <v>1957</v>
      </c>
      <c r="B137" s="309" t="s">
        <v>1069</v>
      </c>
      <c r="C137" s="316">
        <v>0.1</v>
      </c>
      <c r="D137" s="310"/>
      <c r="E137" s="310"/>
      <c r="F137" s="310"/>
      <c r="G137" s="310"/>
      <c r="H137" s="310"/>
      <c r="I137" s="309"/>
      <c r="J137" s="309" t="s">
        <v>1958</v>
      </c>
    </row>
    <row r="138" spans="1:10" ht="22" customHeight="1">
      <c r="A138" s="309"/>
      <c r="B138" s="309"/>
      <c r="C138" s="310"/>
      <c r="D138" s="310"/>
      <c r="E138" s="310"/>
      <c r="F138" s="310"/>
      <c r="G138" s="310"/>
      <c r="H138" s="310"/>
      <c r="I138" s="309"/>
      <c r="J138" s="309"/>
    </row>
  </sheetData>
  <phoneticPr fontId="9" type="noConversion"/>
  <dataValidations count="3">
    <dataValidation type="list" sqref="C7" xr:uid="{00000000-0002-0000-0D00-000000000000}">
      <formula1>"1,2,3"</formula1>
    </dataValidation>
    <dataValidation type="list" sqref="C10" xr:uid="{00000000-0002-0000-0D00-000001000000}">
      <formula1>"2027,2028,2029,2030,2031"</formula1>
    </dataValidation>
    <dataValidation type="whole" sqref="C8" xr:uid="{00000000-0002-0000-0D00-000002000000}">
      <formula1>46311</formula1>
      <formula2>46356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00000"/>
  </sheetPr>
  <dimension ref="A1:N122"/>
  <sheetViews>
    <sheetView tabSelected="1" workbookViewId="0">
      <pane xSplit="2" ySplit="4" topLeftCell="C13" activePane="bottomRight" state="frozen"/>
      <selection pane="topRight"/>
      <selection pane="bottomLeft"/>
      <selection pane="bottomRight" activeCell="R29" sqref="R29"/>
    </sheetView>
  </sheetViews>
  <sheetFormatPr baseColWidth="10" defaultColWidth="8.83203125" defaultRowHeight="14"/>
  <cols>
    <col min="1" max="1" width="39" customWidth="1"/>
    <col min="2" max="2" width="13" customWidth="1"/>
    <col min="3" max="8" width="16" customWidth="1"/>
    <col min="9" max="9" width="3" customWidth="1"/>
    <col min="10" max="14" width="15" customWidth="1"/>
  </cols>
  <sheetData>
    <row r="1" spans="1:14" ht="36" customHeight="1">
      <c r="A1" s="2" t="s">
        <v>1452</v>
      </c>
      <c r="B1" s="2"/>
      <c r="C1" s="1"/>
      <c r="D1" s="1"/>
      <c r="E1" s="1"/>
      <c r="F1" s="1"/>
      <c r="G1" s="1"/>
      <c r="H1" s="1"/>
      <c r="I1" s="271"/>
      <c r="J1" s="271"/>
      <c r="K1" s="271"/>
      <c r="L1" s="271"/>
      <c r="M1" s="271"/>
      <c r="N1" s="271"/>
    </row>
    <row r="2" spans="1:14" ht="31" customHeight="1">
      <c r="A2" s="5" t="s">
        <v>1453</v>
      </c>
      <c r="B2" s="5"/>
      <c r="C2" s="4"/>
      <c r="D2" s="4"/>
      <c r="E2" s="4"/>
      <c r="F2" s="4"/>
      <c r="G2" s="4"/>
      <c r="H2" s="4"/>
      <c r="I2" s="271"/>
      <c r="J2" s="271"/>
      <c r="K2" s="271"/>
      <c r="L2" s="271"/>
      <c r="M2" s="271"/>
      <c r="N2" s="271"/>
    </row>
    <row r="3" spans="1:14" ht="23" customHeight="1">
      <c r="A3" s="270"/>
      <c r="B3" s="270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</row>
    <row r="4" spans="1:14" ht="26" customHeight="1">
      <c r="A4" s="7" t="s">
        <v>1960</v>
      </c>
      <c r="B4" s="7"/>
      <c r="C4" s="6"/>
      <c r="D4" s="6"/>
      <c r="E4" s="6"/>
      <c r="F4" s="6"/>
      <c r="G4" s="6"/>
      <c r="H4" s="6"/>
      <c r="I4" s="271"/>
      <c r="J4" s="271"/>
      <c r="K4" s="271"/>
      <c r="L4" s="271"/>
      <c r="M4" s="271"/>
      <c r="N4" s="271"/>
    </row>
    <row r="5" spans="1:14" ht="23" customHeight="1">
      <c r="A5" s="270" t="s">
        <v>1454</v>
      </c>
      <c r="B5" s="270" t="s">
        <v>1455</v>
      </c>
      <c r="C5" s="315">
        <f>IF(ISNUMBER('Valuation Inputs'!C5),'Valuation Inputs'!C5,"待定")</f>
        <v>92</v>
      </c>
      <c r="D5" s="13" t="s">
        <v>1961</v>
      </c>
      <c r="E5" s="13"/>
      <c r="F5" s="13"/>
      <c r="G5" s="13"/>
      <c r="H5" s="13"/>
      <c r="I5" s="271"/>
      <c r="J5" s="271"/>
      <c r="K5" s="271"/>
      <c r="L5" s="271"/>
      <c r="M5" s="271"/>
      <c r="N5" s="271"/>
    </row>
    <row r="6" spans="1:14" ht="23" customHeight="1">
      <c r="A6" s="270" t="s">
        <v>1456</v>
      </c>
      <c r="B6" s="270" t="s">
        <v>1069</v>
      </c>
      <c r="C6" s="317">
        <f>IF(ISNUMBER('Valuation Inputs'!C6),'Valuation Inputs'!C6,"待定")</f>
        <v>0.15</v>
      </c>
      <c r="D6" s="3" t="s">
        <v>1962</v>
      </c>
      <c r="E6" s="13"/>
      <c r="F6" s="13"/>
      <c r="G6" s="13"/>
      <c r="H6" s="13"/>
      <c r="I6" s="271"/>
      <c r="J6" s="271"/>
      <c r="K6" s="271"/>
      <c r="L6" s="271"/>
      <c r="M6" s="271"/>
      <c r="N6" s="271"/>
    </row>
    <row r="7" spans="1:14" ht="23" customHeight="1">
      <c r="A7" s="270" t="s">
        <v>1457</v>
      </c>
      <c r="B7" s="270" t="s">
        <v>1458</v>
      </c>
      <c r="C7" s="319">
        <f>IF(ISNUMBER('Valuation Inputs'!C7),'Valuation Inputs'!C7,"待定")</f>
        <v>2</v>
      </c>
      <c r="D7" s="13" t="s">
        <v>1963</v>
      </c>
      <c r="E7" s="13"/>
      <c r="F7" s="13"/>
      <c r="G7" s="13"/>
      <c r="H7" s="13"/>
      <c r="I7" s="271"/>
      <c r="J7" s="271"/>
      <c r="K7" s="271"/>
      <c r="L7" s="271"/>
      <c r="M7" s="271"/>
      <c r="N7" s="271"/>
    </row>
    <row r="8" spans="1:14" ht="23" customHeight="1">
      <c r="A8" s="270" t="s">
        <v>1152</v>
      </c>
      <c r="B8" s="270" t="s">
        <v>1153</v>
      </c>
      <c r="C8" s="321">
        <f>IF(ISNUMBER('Valuation Inputs'!C8),'Valuation Inputs'!C8,"待定")</f>
        <v>46311</v>
      </c>
      <c r="D8" s="13" t="s">
        <v>1964</v>
      </c>
      <c r="E8" s="13"/>
      <c r="F8" s="13"/>
      <c r="G8" s="13"/>
      <c r="H8" s="13"/>
      <c r="I8" s="271"/>
      <c r="J8" s="271"/>
      <c r="K8" s="271"/>
      <c r="L8" s="271"/>
      <c r="M8" s="271"/>
      <c r="N8" s="271"/>
    </row>
    <row r="9" spans="1:14" ht="23" customHeight="1">
      <c r="A9" s="270" t="s">
        <v>1880</v>
      </c>
      <c r="B9" s="270" t="s">
        <v>1169</v>
      </c>
      <c r="C9" s="324" t="str">
        <f>IF(ISNUMBER('Valuation Inputs'!C9),'Valuation Inputs'!C9,"")</f>
        <v/>
      </c>
      <c r="D9" s="3" t="str">
        <f>"留空按情景；填数覆盖全部情景。当前实际采用 "&amp;TEXT(C54,"0.0")&amp;" 倍。"</f>
        <v>留空按情景；填数覆盖全部情景。当前实际采用 23.0 倍。</v>
      </c>
      <c r="E9" s="13"/>
      <c r="F9" s="13"/>
      <c r="G9" s="13"/>
      <c r="H9" s="13"/>
      <c r="I9" s="271"/>
      <c r="J9" s="271"/>
      <c r="K9" s="271"/>
      <c r="L9" s="271"/>
      <c r="M9" s="271"/>
      <c r="N9" s="271"/>
    </row>
    <row r="10" spans="1:14" ht="23" customHeight="1">
      <c r="A10" s="270" t="s">
        <v>1459</v>
      </c>
      <c r="B10" s="270" t="s">
        <v>1460</v>
      </c>
      <c r="C10" s="319">
        <f>IF(ISNUMBER('Valuation Inputs'!C10),'Valuation Inputs'!C10,"待定")</f>
        <v>2031</v>
      </c>
      <c r="D10" s="13" t="s">
        <v>1461</v>
      </c>
      <c r="E10" s="13"/>
      <c r="F10" s="13"/>
      <c r="G10" s="13"/>
      <c r="H10" s="13"/>
      <c r="I10" s="271"/>
      <c r="J10" s="271"/>
      <c r="K10" s="271"/>
      <c r="L10" s="271"/>
      <c r="M10" s="271"/>
      <c r="N10" s="271"/>
    </row>
    <row r="11" spans="1:14" ht="23" customHeight="1">
      <c r="A11" s="270" t="s">
        <v>1462</v>
      </c>
      <c r="B11" s="270" t="s">
        <v>1189</v>
      </c>
      <c r="C11" s="326">
        <f>IF(ISNUMBER('Valuation Inputs'!C11),'Valuation Inputs'!C11,"待定")</f>
        <v>4302.5492430000004</v>
      </c>
      <c r="D11" s="13" t="s">
        <v>1965</v>
      </c>
      <c r="E11" s="13"/>
      <c r="F11" s="13"/>
      <c r="G11" s="13"/>
      <c r="H11" s="13"/>
      <c r="I11" s="271"/>
      <c r="J11" s="271"/>
      <c r="K11" s="271"/>
      <c r="L11" s="271"/>
      <c r="M11" s="271"/>
      <c r="N11" s="271"/>
    </row>
    <row r="12" spans="1:14" ht="23" customHeight="1">
      <c r="A12" s="270" t="s">
        <v>1463</v>
      </c>
      <c r="B12" s="270" t="s">
        <v>1066</v>
      </c>
      <c r="C12" s="326">
        <f>IF(ISNUMBER('Valuation Inputs'!C12),'Valuation Inputs'!C12,"待定")</f>
        <v>8000</v>
      </c>
      <c r="D12" s="13" t="s">
        <v>1966</v>
      </c>
      <c r="E12" s="13"/>
      <c r="F12" s="13"/>
      <c r="G12" s="13"/>
      <c r="H12" s="13"/>
      <c r="I12" s="271"/>
      <c r="J12" s="271"/>
      <c r="K12" s="271"/>
      <c r="L12" s="271"/>
      <c r="M12" s="271"/>
      <c r="N12" s="271"/>
    </row>
    <row r="13" spans="1:14" ht="31" customHeight="1">
      <c r="A13" s="5" t="s">
        <v>1464</v>
      </c>
      <c r="B13" s="5"/>
      <c r="C13" s="4"/>
      <c r="D13" s="4"/>
      <c r="E13" s="4"/>
      <c r="F13" s="4"/>
      <c r="G13" s="4"/>
      <c r="H13" s="4"/>
      <c r="I13" s="271"/>
      <c r="J13" s="271"/>
      <c r="K13" s="271"/>
      <c r="L13" s="271"/>
      <c r="M13" s="271"/>
      <c r="N13" s="271"/>
    </row>
    <row r="14" spans="1:14" ht="23" customHeight="1">
      <c r="A14" s="270"/>
      <c r="B14" s="270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1"/>
    </row>
    <row r="15" spans="1:14" ht="26" customHeight="1">
      <c r="A15" s="7" t="s">
        <v>1465</v>
      </c>
      <c r="B15" s="7"/>
      <c r="C15" s="6"/>
      <c r="D15" s="6"/>
      <c r="E15" s="6"/>
      <c r="F15" s="6"/>
      <c r="G15" s="6"/>
      <c r="H15" s="6"/>
      <c r="I15" s="271"/>
      <c r="J15" s="271"/>
      <c r="K15" s="271"/>
      <c r="L15" s="271"/>
      <c r="M15" s="271"/>
      <c r="N15" s="271"/>
    </row>
    <row r="16" spans="1:14" ht="23" customHeight="1">
      <c r="A16" s="283" t="s">
        <v>1466</v>
      </c>
      <c r="B16" s="308">
        <f>C58</f>
        <v>55.490501587544685</v>
      </c>
      <c r="C16" s="284">
        <v>1</v>
      </c>
      <c r="D16" s="284">
        <v>2</v>
      </c>
      <c r="E16" s="284">
        <v>3</v>
      </c>
      <c r="F16" s="271"/>
      <c r="G16" s="271"/>
      <c r="H16" s="271"/>
      <c r="I16" s="271"/>
      <c r="J16" s="271"/>
      <c r="K16" s="271"/>
      <c r="L16" s="271"/>
      <c r="M16" s="271"/>
      <c r="N16" s="271"/>
    </row>
    <row r="17" spans="1:14" ht="23" customHeight="1">
      <c r="A17" s="270"/>
      <c r="B17" s="285">
        <v>2028</v>
      </c>
      <c r="C17" s="272">
        <f t="dataTable" ref="C17:E18" dt2D="1" dtr="0" r1="C7" r2="C10"/>
        <v>52.639098601987357</v>
      </c>
      <c r="D17" s="272">
        <v>65.217856578567961</v>
      </c>
      <c r="E17" s="272">
        <v>76.160629180674604</v>
      </c>
      <c r="F17" s="271"/>
      <c r="G17" s="271"/>
      <c r="H17" s="271"/>
      <c r="I17" s="271"/>
      <c r="J17" s="271"/>
      <c r="K17" s="271"/>
      <c r="L17" s="271"/>
      <c r="M17" s="271"/>
      <c r="N17" s="271"/>
    </row>
    <row r="18" spans="1:14" ht="23" customHeight="1">
      <c r="A18" s="286"/>
      <c r="B18" s="287">
        <v>2031</v>
      </c>
      <c r="C18" s="288">
        <v>42.848024108135341</v>
      </c>
      <c r="D18" s="288">
        <v>55.490501587544685</v>
      </c>
      <c r="E18" s="288">
        <v>66.657943203210664</v>
      </c>
      <c r="F18" s="289"/>
      <c r="G18" s="289"/>
      <c r="H18" s="289"/>
      <c r="I18" s="271"/>
      <c r="J18" s="271"/>
      <c r="K18" s="271"/>
      <c r="L18" s="271"/>
      <c r="M18" s="271"/>
      <c r="N18" s="271"/>
    </row>
    <row r="19" spans="1:14" ht="23" customHeight="1">
      <c r="A19" s="270"/>
      <c r="B19" s="270"/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</row>
    <row r="20" spans="1:14" ht="23" customHeight="1">
      <c r="A20" s="283" t="s">
        <v>1467</v>
      </c>
      <c r="B20" s="308">
        <f>C59</f>
        <v>3.7300315499305722E-2</v>
      </c>
      <c r="C20" s="284">
        <v>1</v>
      </c>
      <c r="D20" s="284">
        <v>2</v>
      </c>
      <c r="E20" s="284">
        <v>3</v>
      </c>
      <c r="F20" s="271"/>
      <c r="G20" s="271"/>
      <c r="H20" s="271"/>
      <c r="I20" s="271"/>
      <c r="J20" s="271"/>
      <c r="K20" s="271"/>
      <c r="L20" s="271"/>
      <c r="M20" s="271"/>
      <c r="N20" s="271"/>
    </row>
    <row r="21" spans="1:14" ht="23" customHeight="1">
      <c r="A21" s="270"/>
      <c r="B21" s="285">
        <v>2028</v>
      </c>
      <c r="C21" s="274">
        <f t="dataTable" ref="C21:E22" dt2D="1" dtr="0" r1="C7" r2="C10"/>
        <v>-0.11141844876110554</v>
      </c>
      <c r="D21" s="274">
        <v>-1.8591067194938665E-2</v>
      </c>
      <c r="E21" s="274">
        <v>5.4271176457405104E-2</v>
      </c>
      <c r="F21" s="271"/>
      <c r="G21" s="271"/>
      <c r="H21" s="271"/>
      <c r="I21" s="271"/>
      <c r="J21" s="271"/>
      <c r="K21" s="271"/>
      <c r="L21" s="271"/>
      <c r="M21" s="271"/>
      <c r="N21" s="271"/>
    </row>
    <row r="22" spans="1:14" ht="23" customHeight="1">
      <c r="A22" s="286"/>
      <c r="B22" s="287">
        <v>2031</v>
      </c>
      <c r="C22" s="290">
        <v>-1.7235597968101504E-2</v>
      </c>
      <c r="D22" s="290">
        <v>3.7300315499305722E-2</v>
      </c>
      <c r="E22" s="290">
        <v>7.7248349785804762E-2</v>
      </c>
      <c r="F22" s="289"/>
      <c r="G22" s="289"/>
      <c r="H22" s="289"/>
      <c r="I22" s="271"/>
      <c r="J22" s="271"/>
      <c r="K22" s="271"/>
      <c r="L22" s="271"/>
      <c r="M22" s="271"/>
      <c r="N22" s="271"/>
    </row>
    <row r="23" spans="1:14" ht="26" customHeight="1">
      <c r="A23" s="7" t="s">
        <v>1468</v>
      </c>
      <c r="B23" s="7"/>
      <c r="C23" s="6"/>
      <c r="D23" s="6"/>
      <c r="E23" s="6"/>
      <c r="F23" s="6"/>
      <c r="G23" s="6"/>
      <c r="H23" s="6"/>
      <c r="I23" s="271"/>
      <c r="J23" s="271"/>
      <c r="K23" s="271"/>
      <c r="L23" s="271"/>
      <c r="M23" s="271"/>
      <c r="N23" s="271"/>
    </row>
    <row r="24" spans="1:14" ht="23" customHeight="1">
      <c r="A24" s="283" t="s">
        <v>1050</v>
      </c>
      <c r="B24" s="283" t="s">
        <v>1051</v>
      </c>
      <c r="C24" s="291">
        <v>2026</v>
      </c>
      <c r="D24" s="291">
        <v>2027</v>
      </c>
      <c r="E24" s="291">
        <v>2028</v>
      </c>
      <c r="F24" s="291">
        <v>2029</v>
      </c>
      <c r="G24" s="291">
        <v>2030</v>
      </c>
      <c r="H24" s="291">
        <v>2031</v>
      </c>
      <c r="I24" s="292"/>
      <c r="J24" s="293">
        <v>2021</v>
      </c>
      <c r="K24" s="293">
        <v>2022</v>
      </c>
      <c r="L24" s="293">
        <v>2023</v>
      </c>
      <c r="M24" s="293">
        <v>2024</v>
      </c>
      <c r="N24" s="293">
        <v>2025</v>
      </c>
    </row>
    <row r="25" spans="1:14" ht="23" customHeight="1">
      <c r="A25" s="270" t="s">
        <v>1469</v>
      </c>
      <c r="B25" s="270" t="s">
        <v>1066</v>
      </c>
      <c r="C25" s="281">
        <f>'Valuation Driver Build'!C49</f>
        <v>49744.17</v>
      </c>
      <c r="D25" s="281">
        <f>'Valuation Driver Build'!D49</f>
        <v>49921.378499999999</v>
      </c>
      <c r="E25" s="281">
        <f>'Valuation Driver Build'!E49</f>
        <v>52417.447424999998</v>
      </c>
      <c r="F25" s="281">
        <f>'Valuation Driver Build'!F49</f>
        <v>54776.232559124997</v>
      </c>
      <c r="G25" s="281">
        <f>'Valuation Driver Build'!G49</f>
        <v>57241.163024285619</v>
      </c>
      <c r="H25" s="281">
        <f>'Valuation Driver Build'!H49</f>
        <v>59530.809545257041</v>
      </c>
      <c r="I25" s="271"/>
      <c r="J25" s="281">
        <f>'Valuation Driver Build'!J49</f>
        <v>38658</v>
      </c>
      <c r="K25" s="281">
        <f>'Valuation Driver Build'!K49</f>
        <v>43046</v>
      </c>
      <c r="L25" s="281">
        <f>'Valuation Driver Build'!L49</f>
        <v>45784</v>
      </c>
      <c r="M25" s="281">
        <f>'Valuation Driver Build'!M49</f>
        <v>46897</v>
      </c>
      <c r="N25" s="281">
        <f>'Valuation Driver Build'!N49</f>
        <v>48062</v>
      </c>
    </row>
    <row r="26" spans="1:14" ht="23" customHeight="1">
      <c r="A26" s="286" t="s">
        <v>1470</v>
      </c>
      <c r="B26" s="286" t="s">
        <v>1066</v>
      </c>
      <c r="C26" s="295">
        <f>'Valuation Driver Build'!C606</f>
        <v>14083.369901497656</v>
      </c>
      <c r="D26" s="295">
        <f>'Valuation Driver Build'!D606</f>
        <v>14683.976289564156</v>
      </c>
      <c r="E26" s="295">
        <f>'Valuation Driver Build'!E606</f>
        <v>15568.115403650991</v>
      </c>
      <c r="F26" s="295">
        <f>'Valuation Driver Build'!F606</f>
        <v>16431.044698968795</v>
      </c>
      <c r="G26" s="295">
        <f>'Valuation Driver Build'!G606</f>
        <v>17339.199111266564</v>
      </c>
      <c r="H26" s="295">
        <f>'Valuation Driver Build'!H606</f>
        <v>18215.219417323486</v>
      </c>
      <c r="I26" s="271"/>
      <c r="J26" s="281">
        <f>'Valuation Driver Build'!J606</f>
        <v>9771</v>
      </c>
      <c r="K26" s="281">
        <f>'Valuation Driver Build'!K606</f>
        <v>9542</v>
      </c>
      <c r="L26" s="281">
        <f>'Valuation Driver Build'!L606</f>
        <v>10714</v>
      </c>
      <c r="M26" s="281">
        <f>'Valuation Driver Build'!M606</f>
        <v>10631</v>
      </c>
      <c r="N26" s="281">
        <f>'Valuation Driver Build'!N606</f>
        <v>13107</v>
      </c>
    </row>
    <row r="27" spans="1:14" ht="23" customHeight="1">
      <c r="A27" s="270" t="s">
        <v>1471</v>
      </c>
      <c r="B27" s="270" t="s">
        <v>1069</v>
      </c>
      <c r="C27" s="275" t="str">
        <f>'Valuation Driver Build'!C607</f>
        <v>口径不同</v>
      </c>
      <c r="D27" s="275">
        <f>'Valuation Driver Build'!D607</f>
        <v>4.2646496702655634E-2</v>
      </c>
      <c r="E27" s="275">
        <f>'Valuation Driver Build'!E607</f>
        <v>6.0211151029655907E-2</v>
      </c>
      <c r="F27" s="275">
        <f>'Valuation Driver Build'!F607</f>
        <v>5.5429271491360677E-2</v>
      </c>
      <c r="G27" s="275">
        <f>'Valuation Driver Build'!G607</f>
        <v>5.5270643403140696E-2</v>
      </c>
      <c r="H27" s="275">
        <f>'Valuation Driver Build'!H607</f>
        <v>5.0522535697032689E-2</v>
      </c>
      <c r="I27" s="271"/>
      <c r="J27" s="275">
        <f>'Valuation Driver Build'!J607</f>
        <v>0.26126242416419254</v>
      </c>
      <c r="K27" s="275">
        <f>'Valuation Driver Build'!K607</f>
        <v>-2.3436700440077729E-2</v>
      </c>
      <c r="L27" s="275">
        <f>'Valuation Driver Build'!L607</f>
        <v>0.12282540347935433</v>
      </c>
      <c r="M27" s="275">
        <f>'Valuation Driver Build'!M607</f>
        <v>-7.7468732499533788E-3</v>
      </c>
      <c r="N27" s="275">
        <f>'Valuation Driver Build'!N607</f>
        <v>0.2329037719875835</v>
      </c>
    </row>
    <row r="28" spans="1:14" ht="23" customHeight="1">
      <c r="A28" s="270" t="s">
        <v>1472</v>
      </c>
      <c r="B28" s="270" t="s">
        <v>1066</v>
      </c>
      <c r="C28" s="281">
        <f>'Valuation Driver Build'!C628</f>
        <v>12400</v>
      </c>
      <c r="D28" s="281">
        <f>'Valuation Driver Build'!D628</f>
        <v>12066.768819404744</v>
      </c>
      <c r="E28" s="281">
        <f>'Valuation Driver Build'!E628</f>
        <v>12932.382454833607</v>
      </c>
      <c r="F28" s="281">
        <f>'Valuation Driver Build'!F628</f>
        <v>13812.021296822877</v>
      </c>
      <c r="G28" s="281">
        <f>'Valuation Driver Build'!G628</f>
        <v>14660.067912798368</v>
      </c>
      <c r="H28" s="281">
        <f>'Valuation Driver Build'!H628</f>
        <v>15449.200984071122</v>
      </c>
      <c r="I28" s="271"/>
      <c r="J28" s="281">
        <f>'Valuation Driver Build'!J628</f>
        <v>11258</v>
      </c>
      <c r="K28" s="281">
        <f>'Valuation Driver Build'!K628</f>
        <v>9534</v>
      </c>
      <c r="L28" s="281">
        <f>'Valuation Driver Build'!L628</f>
        <v>9747</v>
      </c>
      <c r="M28" s="281">
        <f>'Valuation Driver Build'!M628</f>
        <v>10741</v>
      </c>
      <c r="N28" s="281">
        <f>'Valuation Driver Build'!N628</f>
        <v>11365</v>
      </c>
    </row>
    <row r="29" spans="1:14" ht="23" customHeight="1">
      <c r="A29" s="270" t="s">
        <v>1473</v>
      </c>
      <c r="B29" s="270" t="s">
        <v>1069</v>
      </c>
      <c r="C29" s="275">
        <f>'Valuation Driver Build'!C629</f>
        <v>0.88047108658854145</v>
      </c>
      <c r="D29" s="275">
        <f>'Valuation Driver Build'!D629</f>
        <v>0.82176439007059343</v>
      </c>
      <c r="E29" s="275">
        <f>'Valuation Driver Build'!E629</f>
        <v>0.83069672336837519</v>
      </c>
      <c r="F29" s="275">
        <f>'Valuation Driver Build'!F629</f>
        <v>0.84060518061214407</v>
      </c>
      <c r="G29" s="275">
        <f>'Valuation Driver Build'!G629</f>
        <v>0.84548702732599879</v>
      </c>
      <c r="H29" s="275">
        <f>'Valuation Driver Build'!H629</f>
        <v>0.84814794870811394</v>
      </c>
      <c r="I29" s="271"/>
      <c r="J29" s="275">
        <f>'Valuation Driver Build'!J629</f>
        <v>1.1521850373554396</v>
      </c>
      <c r="K29" s="275">
        <f>'Valuation Driver Build'!K629</f>
        <v>0.99916160134143783</v>
      </c>
      <c r="L29" s="275">
        <f>'Valuation Driver Build'!L629</f>
        <v>0.9097442598469293</v>
      </c>
      <c r="M29" s="275">
        <f>'Valuation Driver Build'!M629</f>
        <v>1.010347098109303</v>
      </c>
      <c r="N29" s="275">
        <f>'Valuation Driver Build'!N629</f>
        <v>0.86709391927977419</v>
      </c>
    </row>
    <row r="30" spans="1:14" ht="23" customHeight="1">
      <c r="A30" s="270" t="s">
        <v>1474</v>
      </c>
      <c r="B30" s="270" t="s">
        <v>1069</v>
      </c>
      <c r="C30" s="294">
        <f>'Valuation Driver Build'!C637</f>
        <v>0</v>
      </c>
      <c r="D30" s="294">
        <f>'Valuation Driver Build'!D637</f>
        <v>0</v>
      </c>
      <c r="E30" s="294">
        <f>'Valuation Driver Build'!E637</f>
        <v>0</v>
      </c>
      <c r="F30" s="294">
        <f>'Valuation Driver Build'!F637</f>
        <v>0</v>
      </c>
      <c r="G30" s="294">
        <f>'Valuation Driver Build'!G637</f>
        <v>0</v>
      </c>
      <c r="H30" s="294">
        <f>'Valuation Driver Build'!H637</f>
        <v>0</v>
      </c>
      <c r="I30" s="271"/>
      <c r="J30" s="294" t="str">
        <f>'Valuation Driver Build'!J637</f>
        <v>n.a.</v>
      </c>
      <c r="K30" s="294">
        <f>'Valuation Driver Build'!K637</f>
        <v>-6.9364161849705397E-4</v>
      </c>
      <c r="L30" s="294">
        <f>'Valuation Driver Build'!L637</f>
        <v>4.6210720887245316E-3</v>
      </c>
      <c r="M30" s="294">
        <f>'Valuation Driver Build'!M637</f>
        <v>1.3927576601671099E-3</v>
      </c>
      <c r="N30" s="294">
        <f>'Valuation Driver Build'!N637</f>
        <v>0</v>
      </c>
    </row>
    <row r="31" spans="1:14" ht="23" customHeight="1">
      <c r="A31" s="286" t="s">
        <v>1475</v>
      </c>
      <c r="B31" s="286" t="s">
        <v>1189</v>
      </c>
      <c r="C31" s="295">
        <f>'Valuation Driver Build'!C641</f>
        <v>4302.5492430000004</v>
      </c>
      <c r="D31" s="295">
        <f>'Valuation Driver Build'!D641</f>
        <v>4302.5492430000004</v>
      </c>
      <c r="E31" s="295">
        <f>'Valuation Driver Build'!E641</f>
        <v>4302.5492430000004</v>
      </c>
      <c r="F31" s="295">
        <f>'Valuation Driver Build'!F641</f>
        <v>4302.5492430000004</v>
      </c>
      <c r="G31" s="295">
        <f>'Valuation Driver Build'!G641</f>
        <v>4302.5492430000004</v>
      </c>
      <c r="H31" s="295">
        <f>'Valuation Driver Build'!H641</f>
        <v>4302.5492430000004</v>
      </c>
      <c r="I31" s="271"/>
      <c r="J31" s="281">
        <f>'Valuation Driver Build'!J641</f>
        <v>4325</v>
      </c>
      <c r="K31" s="281">
        <f>'Valuation Driver Build'!K641</f>
        <v>4328</v>
      </c>
      <c r="L31" s="281">
        <f>'Valuation Driver Build'!L641</f>
        <v>4308</v>
      </c>
      <c r="M31" s="281">
        <f>'Valuation Driver Build'!M641</f>
        <v>4302</v>
      </c>
      <c r="N31" s="281">
        <f>'Valuation Driver Build'!N641</f>
        <v>4302</v>
      </c>
    </row>
    <row r="32" spans="1:14" ht="23" customHeight="1">
      <c r="A32" s="270" t="s">
        <v>1476</v>
      </c>
      <c r="B32" s="270" t="s">
        <v>1189</v>
      </c>
      <c r="C32" s="281">
        <f>'Valuation Driver Build'!C643</f>
        <v>4313</v>
      </c>
      <c r="D32" s="281">
        <f>'Valuation Driver Build'!D643</f>
        <v>4312.5492430000004</v>
      </c>
      <c r="E32" s="281">
        <f>'Valuation Driver Build'!E643</f>
        <v>4312.5492430000004</v>
      </c>
      <c r="F32" s="281">
        <f>'Valuation Driver Build'!F643</f>
        <v>4312.5492430000004</v>
      </c>
      <c r="G32" s="281">
        <f>'Valuation Driver Build'!G643</f>
        <v>4312.5492430000004</v>
      </c>
      <c r="H32" s="281">
        <f>'Valuation Driver Build'!H643</f>
        <v>4312.5492430000004</v>
      </c>
      <c r="I32" s="271"/>
      <c r="J32" s="281">
        <f>'Valuation Driver Build'!J643</f>
        <v>4340</v>
      </c>
      <c r="K32" s="281">
        <f>'Valuation Driver Build'!K643</f>
        <v>4350</v>
      </c>
      <c r="L32" s="281">
        <f>'Valuation Driver Build'!L643</f>
        <v>4339</v>
      </c>
      <c r="M32" s="281">
        <f>'Valuation Driver Build'!M643</f>
        <v>4320</v>
      </c>
      <c r="N32" s="281">
        <f>'Valuation Driver Build'!N643</f>
        <v>4313</v>
      </c>
    </row>
    <row r="33" spans="1:14" ht="23" customHeight="1">
      <c r="A33" s="270" t="s">
        <v>1477</v>
      </c>
      <c r="B33" s="270" t="s">
        <v>1455</v>
      </c>
      <c r="C33" s="273">
        <f>'Valuation Driver Build'!C611</f>
        <v>3.2653303736372954</v>
      </c>
      <c r="D33" s="273">
        <f>'Valuation Driver Build'!D611</f>
        <v>3.4049411292865219</v>
      </c>
      <c r="E33" s="273">
        <f>'Valuation Driver Build'!E611</f>
        <v>3.6099565538690799</v>
      </c>
      <c r="F33" s="273">
        <f>'Valuation Driver Build'!F611</f>
        <v>3.8100538157655057</v>
      </c>
      <c r="G33" s="273">
        <f>'Valuation Driver Build'!G611</f>
        <v>4.0206379415634563</v>
      </c>
      <c r="H33" s="273">
        <f>'Valuation Driver Build'!H611</f>
        <v>4.22377076549094</v>
      </c>
      <c r="I33" s="271"/>
      <c r="J33" s="273">
        <f>'Valuation Driver Build'!J611</f>
        <v>2.25</v>
      </c>
      <c r="K33" s="273">
        <f>'Valuation Driver Build'!K611</f>
        <v>2.19</v>
      </c>
      <c r="L33" s="273">
        <f>'Valuation Driver Build'!L611</f>
        <v>2.4700000000000002</v>
      </c>
      <c r="M33" s="273">
        <f>'Valuation Driver Build'!M611</f>
        <v>2.46</v>
      </c>
      <c r="N33" s="273">
        <f>'Valuation Driver Build'!N611</f>
        <v>3.04</v>
      </c>
    </row>
    <row r="34" spans="1:14" ht="23" customHeight="1">
      <c r="A34" s="270" t="s">
        <v>1478</v>
      </c>
      <c r="B34" s="270" t="s">
        <v>1069</v>
      </c>
      <c r="C34" s="275">
        <f>'Valuation Driver Build'!C775</f>
        <v>0.64767200314677609</v>
      </c>
      <c r="D34" s="275">
        <f>'Valuation Driver Build'!D775</f>
        <v>0.65</v>
      </c>
      <c r="E34" s="275">
        <f>'Valuation Driver Build'!E775</f>
        <v>0.65</v>
      </c>
      <c r="F34" s="275">
        <f>'Valuation Driver Build'!F775</f>
        <v>0.65</v>
      </c>
      <c r="G34" s="275">
        <f>'Valuation Driver Build'!G775</f>
        <v>0.65</v>
      </c>
      <c r="H34" s="275">
        <f>'Valuation Driver Build'!H775</f>
        <v>0.65</v>
      </c>
      <c r="I34" s="271"/>
      <c r="J34" s="274">
        <f>J35/J26</f>
        <v>0.74219629515914443</v>
      </c>
      <c r="K34" s="274">
        <f>K35/K26</f>
        <v>0.79815552295116332</v>
      </c>
      <c r="L34" s="274">
        <f>L35/L26</f>
        <v>0.74220645883890235</v>
      </c>
      <c r="M34" s="274">
        <f>M35/M26</f>
        <v>0.78628539177876022</v>
      </c>
      <c r="N34" s="274">
        <f>N35/N26</f>
        <v>0.66979476615548939</v>
      </c>
    </row>
    <row r="35" spans="1:14" ht="23" customHeight="1">
      <c r="A35" s="270" t="s">
        <v>1479</v>
      </c>
      <c r="B35" s="270" t="s">
        <v>1066</v>
      </c>
      <c r="C35" s="281">
        <f>'Valuation Driver Build'!C649</f>
        <v>9121.4043951600015</v>
      </c>
      <c r="D35" s="281">
        <f>'Valuation Driver Build'!D649</f>
        <v>9544.5845882167014</v>
      </c>
      <c r="E35" s="281">
        <f>'Valuation Driver Build'!E649</f>
        <v>10119.275012373144</v>
      </c>
      <c r="F35" s="281">
        <f>'Valuation Driver Build'!F649</f>
        <v>10680.179054329717</v>
      </c>
      <c r="G35" s="281">
        <f>'Valuation Driver Build'!G649</f>
        <v>11270.479422323267</v>
      </c>
      <c r="H35" s="281">
        <f>'Valuation Driver Build'!H649</f>
        <v>11839.892621260266</v>
      </c>
      <c r="I35" s="271"/>
      <c r="J35" s="281">
        <f>'Valuation Driver Build'!J649</f>
        <v>7252</v>
      </c>
      <c r="K35" s="281">
        <f>'Valuation Driver Build'!K649</f>
        <v>7616</v>
      </c>
      <c r="L35" s="281">
        <f>'Valuation Driver Build'!L649</f>
        <v>7952</v>
      </c>
      <c r="M35" s="281">
        <f>'Valuation Driver Build'!M649</f>
        <v>8359</v>
      </c>
      <c r="N35" s="281">
        <f>'Valuation Driver Build'!N649</f>
        <v>8779</v>
      </c>
    </row>
    <row r="36" spans="1:14" ht="23" customHeight="1">
      <c r="A36" s="270" t="s">
        <v>1480</v>
      </c>
      <c r="B36" s="270" t="s">
        <v>1066</v>
      </c>
      <c r="C36" s="281">
        <f>'Valuation Driver Build'!C650</f>
        <v>2280.3510987900004</v>
      </c>
      <c r="D36" s="281">
        <f>'Valuation Driver Build'!D650</f>
        <v>9544.5845882167014</v>
      </c>
      <c r="E36" s="281">
        <f>'Valuation Driver Build'!E650</f>
        <v>10119.275012373144</v>
      </c>
      <c r="F36" s="281">
        <f>'Valuation Driver Build'!F650</f>
        <v>10680.179054329717</v>
      </c>
      <c r="G36" s="281">
        <f>'Valuation Driver Build'!G650</f>
        <v>11270.479422323267</v>
      </c>
      <c r="H36" s="281">
        <f>'Valuation Driver Build'!H650</f>
        <v>11839.892621260266</v>
      </c>
      <c r="I36" s="271"/>
      <c r="J36" s="281" t="str">
        <f>'Valuation Driver Build'!J650</f>
        <v>历史已支付</v>
      </c>
      <c r="K36" s="281" t="str">
        <f>'Valuation Driver Build'!K650</f>
        <v>历史已支付</v>
      </c>
      <c r="L36" s="281" t="str">
        <f>'Valuation Driver Build'!L650</f>
        <v>历史已支付</v>
      </c>
      <c r="M36" s="281" t="str">
        <f>'Valuation Driver Build'!M650</f>
        <v>历史已支付</v>
      </c>
      <c r="N36" s="281" t="str">
        <f>'Valuation Driver Build'!N650</f>
        <v>历史已支付</v>
      </c>
    </row>
    <row r="37" spans="1:14" ht="23" customHeight="1">
      <c r="A37" s="286" t="s">
        <v>1481</v>
      </c>
      <c r="B37" s="286" t="s">
        <v>1455</v>
      </c>
      <c r="C37" s="296">
        <f>'Valuation Driver Build'!C651</f>
        <v>0.53</v>
      </c>
      <c r="D37" s="296">
        <f>'Valuation Driver Build'!D651</f>
        <v>2.2183556884898388</v>
      </c>
      <c r="E37" s="296">
        <f>'Valuation Driver Build'!E651</f>
        <v>2.3519254378869969</v>
      </c>
      <c r="F37" s="296">
        <f>'Valuation Driver Build'!F651</f>
        <v>2.4822909515110729</v>
      </c>
      <c r="G37" s="296">
        <f>'Valuation Driver Build'!G651</f>
        <v>2.6194887695148843</v>
      </c>
      <c r="H37" s="296">
        <f>'Valuation Driver Build'!H651</f>
        <v>2.7518319843806758</v>
      </c>
      <c r="I37" s="271"/>
      <c r="J37" s="273" t="str">
        <f>'Valuation Driver Build'!J651</f>
        <v>历史已支付</v>
      </c>
      <c r="K37" s="273" t="str">
        <f>'Valuation Driver Build'!K651</f>
        <v>历史已支付</v>
      </c>
      <c r="L37" s="273" t="str">
        <f>'Valuation Driver Build'!L651</f>
        <v>历史已支付</v>
      </c>
      <c r="M37" s="273" t="str">
        <f>'Valuation Driver Build'!M651</f>
        <v>历史已支付</v>
      </c>
      <c r="N37" s="273" t="str">
        <f>'Valuation Driver Build'!N651</f>
        <v>历史已支付</v>
      </c>
    </row>
    <row r="38" spans="1:14" ht="23" customHeight="1">
      <c r="A38" s="270" t="s">
        <v>1482</v>
      </c>
      <c r="B38" s="270" t="s">
        <v>1455</v>
      </c>
      <c r="C38" s="272">
        <f t="shared" ref="C38:H38" si="0">C26/C31</f>
        <v>3.2732617585749857</v>
      </c>
      <c r="D38" s="272">
        <f t="shared" si="0"/>
        <v>3.4128549053689832</v>
      </c>
      <c r="E38" s="272">
        <f t="shared" si="0"/>
        <v>3.6183468275184572</v>
      </c>
      <c r="F38" s="272">
        <f t="shared" si="0"/>
        <v>3.8189091561708812</v>
      </c>
      <c r="G38" s="272">
        <f t="shared" si="0"/>
        <v>4.0299827223305904</v>
      </c>
      <c r="H38" s="272">
        <f t="shared" si="0"/>
        <v>4.2335876682779627</v>
      </c>
      <c r="I38" s="271"/>
      <c r="J38" s="271" t="s">
        <v>1483</v>
      </c>
      <c r="K38" s="271" t="s">
        <v>1483</v>
      </c>
      <c r="L38" s="271" t="s">
        <v>1483</v>
      </c>
      <c r="M38" s="271" t="s">
        <v>1483</v>
      </c>
      <c r="N38" s="271" t="s">
        <v>1483</v>
      </c>
    </row>
    <row r="39" spans="1:14" ht="23" customHeight="1">
      <c r="A39" s="270" t="s">
        <v>1484</v>
      </c>
      <c r="B39" s="270" t="s">
        <v>1066</v>
      </c>
      <c r="C39" s="281">
        <f>'Valuation Driver Build'!C665</f>
        <v>14137.163007622752</v>
      </c>
      <c r="D39" s="281">
        <f>'Valuation Driver Build'!D665</f>
        <v>14902.100945962175</v>
      </c>
      <c r="E39" s="281">
        <f>'Valuation Driver Build'!E665</f>
        <v>15876.804079359768</v>
      </c>
      <c r="F39" s="281">
        <f>'Valuation Driver Build'!F665</f>
        <v>17090.173603527175</v>
      </c>
      <c r="G39" s="281">
        <f>'Valuation Driver Build'!G665</f>
        <v>18477.516320491086</v>
      </c>
      <c r="H39" s="281">
        <f>'Valuation Driver Build'!H665</f>
        <v>20002.659861817148</v>
      </c>
      <c r="I39" s="271"/>
      <c r="J39" s="281">
        <f>'Valuation Driver Build'!J665</f>
        <v>10025</v>
      </c>
      <c r="K39" s="281">
        <f>'Valuation Driver Build'!K665</f>
        <v>9825</v>
      </c>
      <c r="L39" s="281">
        <f>'Valuation Driver Build'!L665</f>
        <v>9692</v>
      </c>
      <c r="M39" s="281">
        <f>'Valuation Driver Build'!M665</f>
        <v>11488</v>
      </c>
      <c r="N39" s="281">
        <f>'Valuation Driver Build'!N665</f>
        <v>11010</v>
      </c>
    </row>
    <row r="40" spans="1:14" ht="23" customHeight="1">
      <c r="A40" s="286" t="s">
        <v>1485</v>
      </c>
      <c r="B40" s="286" t="s">
        <v>1066</v>
      </c>
      <c r="C40" s="295">
        <f>'Valuation Driver Build'!C668</f>
        <v>0</v>
      </c>
      <c r="D40" s="295">
        <f>'Valuation Driver Build'!D668</f>
        <v>0</v>
      </c>
      <c r="E40" s="295">
        <f>'Valuation Driver Build'!E668</f>
        <v>0</v>
      </c>
      <c r="F40" s="295">
        <f>'Valuation Driver Build'!F668</f>
        <v>0</v>
      </c>
      <c r="G40" s="295">
        <f>'Valuation Driver Build'!G668</f>
        <v>0</v>
      </c>
      <c r="H40" s="295">
        <f>'Valuation Driver Build'!H668</f>
        <v>0</v>
      </c>
      <c r="I40" s="271"/>
      <c r="J40" s="281" t="str">
        <f>'Valuation Driver Build'!J668</f>
        <v>n.a.</v>
      </c>
      <c r="K40" s="281" t="str">
        <f>'Valuation Driver Build'!K668</f>
        <v>n.a.</v>
      </c>
      <c r="L40" s="281" t="str">
        <f>'Valuation Driver Build'!L668</f>
        <v>n.a.</v>
      </c>
      <c r="M40" s="281" t="str">
        <f>'Valuation Driver Build'!M668</f>
        <v>n.a.</v>
      </c>
      <c r="N40" s="281" t="str">
        <f>'Valuation Driver Build'!N668</f>
        <v>n.a.</v>
      </c>
    </row>
    <row r="41" spans="1:14" ht="23" customHeight="1">
      <c r="A41" s="270"/>
      <c r="B41" s="270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</row>
    <row r="42" spans="1:14" ht="26" customHeight="1">
      <c r="A42" s="7" t="s">
        <v>1486</v>
      </c>
      <c r="B42" s="7"/>
      <c r="C42" s="6"/>
      <c r="D42" s="6"/>
      <c r="E42" s="6"/>
      <c r="F42" s="6"/>
      <c r="G42" s="6"/>
      <c r="H42" s="6"/>
      <c r="I42" s="271"/>
      <c r="J42" s="271"/>
      <c r="K42" s="271"/>
      <c r="L42" s="271"/>
      <c r="M42" s="271"/>
      <c r="N42" s="271"/>
    </row>
    <row r="43" spans="1:14" ht="23" customHeight="1">
      <c r="A43" s="283" t="s">
        <v>1487</v>
      </c>
      <c r="B43" s="283" t="s">
        <v>1051</v>
      </c>
      <c r="C43" s="297">
        <f t="shared" ref="C43:H43" si="1">C24</f>
        <v>2026</v>
      </c>
      <c r="D43" s="297">
        <f t="shared" si="1"/>
        <v>2027</v>
      </c>
      <c r="E43" s="297">
        <f t="shared" si="1"/>
        <v>2028</v>
      </c>
      <c r="F43" s="297">
        <f t="shared" si="1"/>
        <v>2029</v>
      </c>
      <c r="G43" s="297">
        <f t="shared" si="1"/>
        <v>2030</v>
      </c>
      <c r="H43" s="297">
        <f t="shared" si="1"/>
        <v>2031</v>
      </c>
      <c r="I43" s="271"/>
      <c r="J43" s="271"/>
      <c r="K43" s="271"/>
      <c r="L43" s="271"/>
      <c r="M43" s="271"/>
      <c r="N43" s="271"/>
    </row>
    <row r="44" spans="1:14" ht="23" customHeight="1">
      <c r="A44" s="270" t="s">
        <v>1488</v>
      </c>
      <c r="B44" s="270" t="s">
        <v>1153</v>
      </c>
      <c r="C44" s="278">
        <f>'Valuation Driver Build'!D707</f>
        <v>46371</v>
      </c>
      <c r="D44" s="277">
        <f>DATE(D24,12,31)</f>
        <v>46752</v>
      </c>
      <c r="E44" s="277">
        <f>DATE(E24,12,31)</f>
        <v>47118</v>
      </c>
      <c r="F44" s="277">
        <f>DATE(F24,12,31)</f>
        <v>47483</v>
      </c>
      <c r="G44" s="277">
        <f>DATE(G24,12,31)</f>
        <v>47848</v>
      </c>
      <c r="H44" s="277">
        <f>DATE(H24,12,31)</f>
        <v>48213</v>
      </c>
      <c r="I44" s="271"/>
      <c r="J44" s="271"/>
      <c r="K44" s="271"/>
      <c r="L44" s="271"/>
      <c r="M44" s="271"/>
      <c r="N44" s="271"/>
    </row>
    <row r="45" spans="1:14" ht="23" customHeight="1">
      <c r="A45" s="270" t="s">
        <v>1489</v>
      </c>
      <c r="B45" s="270" t="s">
        <v>1490</v>
      </c>
      <c r="C45" s="272">
        <f t="shared" ref="C45:H45" si="2">(C44-$C$8)/365</f>
        <v>0.16438356164383561</v>
      </c>
      <c r="D45" s="272">
        <f t="shared" si="2"/>
        <v>1.2082191780821918</v>
      </c>
      <c r="E45" s="272">
        <f t="shared" si="2"/>
        <v>2.2109589041095892</v>
      </c>
      <c r="F45" s="272">
        <f t="shared" si="2"/>
        <v>3.2109589041095892</v>
      </c>
      <c r="G45" s="272">
        <f t="shared" si="2"/>
        <v>4.2109589041095887</v>
      </c>
      <c r="H45" s="272">
        <f t="shared" si="2"/>
        <v>5.2109589041095887</v>
      </c>
      <c r="I45" s="271"/>
      <c r="J45" s="271"/>
      <c r="K45" s="271"/>
      <c r="L45" s="271"/>
      <c r="M45" s="271"/>
      <c r="N45" s="271"/>
    </row>
    <row r="46" spans="1:14" ht="23" customHeight="1">
      <c r="A46" s="270" t="s">
        <v>1491</v>
      </c>
      <c r="B46" s="270" t="s">
        <v>1492</v>
      </c>
      <c r="C46" s="276">
        <f t="shared" ref="C46:H46" si="3">IF(C24&lt;=$C$10,1,0)</f>
        <v>1</v>
      </c>
      <c r="D46" s="276">
        <f t="shared" si="3"/>
        <v>1</v>
      </c>
      <c r="E46" s="276">
        <f t="shared" si="3"/>
        <v>1</v>
      </c>
      <c r="F46" s="276">
        <f t="shared" si="3"/>
        <v>1</v>
      </c>
      <c r="G46" s="276">
        <f t="shared" si="3"/>
        <v>1</v>
      </c>
      <c r="H46" s="276">
        <f t="shared" si="3"/>
        <v>1</v>
      </c>
      <c r="I46" s="271"/>
      <c r="J46" s="271"/>
      <c r="K46" s="271"/>
      <c r="L46" s="271"/>
      <c r="M46" s="271"/>
      <c r="N46" s="271"/>
    </row>
    <row r="47" spans="1:14" ht="23" customHeight="1">
      <c r="A47" s="270" t="s">
        <v>1493</v>
      </c>
      <c r="B47" s="270" t="s">
        <v>1455</v>
      </c>
      <c r="C47" s="272">
        <f t="shared" ref="C47:H47" si="4">C37*C46</f>
        <v>0.53</v>
      </c>
      <c r="D47" s="272">
        <f t="shared" si="4"/>
        <v>2.2183556884898388</v>
      </c>
      <c r="E47" s="272">
        <f t="shared" si="4"/>
        <v>2.3519254378869969</v>
      </c>
      <c r="F47" s="272">
        <f t="shared" si="4"/>
        <v>2.4822909515110729</v>
      </c>
      <c r="G47" s="272">
        <f t="shared" si="4"/>
        <v>2.6194887695148843</v>
      </c>
      <c r="H47" s="272">
        <f t="shared" si="4"/>
        <v>2.7518319843806758</v>
      </c>
      <c r="I47" s="271"/>
      <c r="J47" s="271"/>
      <c r="K47" s="271"/>
      <c r="L47" s="271"/>
      <c r="M47" s="271"/>
      <c r="N47" s="271"/>
    </row>
    <row r="48" spans="1:14" ht="23" customHeight="1">
      <c r="A48" s="270" t="s">
        <v>1494</v>
      </c>
      <c r="B48" s="270" t="s">
        <v>1455</v>
      </c>
      <c r="C48" s="272">
        <f t="shared" ref="C48:H48" si="5">C47/(1+$C$6)^C45</f>
        <v>0.51796229015258499</v>
      </c>
      <c r="D48" s="272">
        <f t="shared" si="5"/>
        <v>1.8736776952672254</v>
      </c>
      <c r="E48" s="272">
        <f t="shared" si="5"/>
        <v>1.7267247689448748</v>
      </c>
      <c r="F48" s="272">
        <f t="shared" si="5"/>
        <v>1.5847268390900675</v>
      </c>
      <c r="G48" s="272">
        <f t="shared" si="5"/>
        <v>1.4541875748737403</v>
      </c>
      <c r="H48" s="272">
        <f t="shared" si="5"/>
        <v>1.328397233509113</v>
      </c>
      <c r="I48" s="271"/>
      <c r="J48" s="271"/>
      <c r="K48" s="271"/>
      <c r="L48" s="271"/>
      <c r="M48" s="271"/>
      <c r="N48" s="271"/>
    </row>
    <row r="49" spans="1:14" ht="23" customHeight="1">
      <c r="A49" s="270" t="s">
        <v>1495</v>
      </c>
      <c r="B49" s="270" t="s">
        <v>1153</v>
      </c>
      <c r="C49" s="277">
        <f>DATE(C10,12,31)</f>
        <v>48213</v>
      </c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</row>
    <row r="50" spans="1:14" ht="23" customHeight="1">
      <c r="A50" s="270" t="s">
        <v>1496</v>
      </c>
      <c r="B50" s="270" t="s">
        <v>1490</v>
      </c>
      <c r="C50" s="272">
        <f>(C49-C8)/365</f>
        <v>5.2109589041095887</v>
      </c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</row>
    <row r="51" spans="1:14" ht="23" customHeight="1">
      <c r="A51" s="270" t="s">
        <v>1497</v>
      </c>
      <c r="B51" s="270" t="s">
        <v>1066</v>
      </c>
      <c r="C51" s="280">
        <f>INDEX(C26:H26,1,MATCH(C10,C24:H24,0))</f>
        <v>18215.219417323486</v>
      </c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</row>
    <row r="52" spans="1:14" ht="23" customHeight="1">
      <c r="A52" s="270" t="s">
        <v>1498</v>
      </c>
      <c r="B52" s="270" t="s">
        <v>1189</v>
      </c>
      <c r="C52" s="280">
        <f>INDEX(C31:H31,1,MATCH(C10,C24:H24,0))</f>
        <v>4302.5492430000004</v>
      </c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</row>
    <row r="53" spans="1:14" ht="23" customHeight="1">
      <c r="A53" s="270" t="s">
        <v>1499</v>
      </c>
      <c r="B53" s="270" t="s">
        <v>1455</v>
      </c>
      <c r="C53" s="272">
        <f>C51/C52</f>
        <v>4.2335876682779627</v>
      </c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</row>
    <row r="54" spans="1:14" ht="23" customHeight="1">
      <c r="A54" s="270" t="s">
        <v>1500</v>
      </c>
      <c r="B54" s="270" t="s">
        <v>1169</v>
      </c>
      <c r="C54" s="279">
        <f>IF(ISNUMBER(C9),C9,'Valuation Driver Build'!C692)</f>
        <v>23</v>
      </c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</row>
    <row r="55" spans="1:14" ht="23" customHeight="1">
      <c r="A55" s="270" t="s">
        <v>1501</v>
      </c>
      <c r="B55" s="270" t="s">
        <v>1455</v>
      </c>
      <c r="C55" s="272">
        <f>C53*C54</f>
        <v>97.372516370393143</v>
      </c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</row>
    <row r="56" spans="1:14" ht="23" customHeight="1">
      <c r="A56" s="270" t="s">
        <v>1502</v>
      </c>
      <c r="B56" s="270" t="s">
        <v>1455</v>
      </c>
      <c r="C56" s="272">
        <f>C55/(1+C6)^C50</f>
        <v>47.004825185707077</v>
      </c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</row>
    <row r="57" spans="1:14" ht="23" customHeight="1">
      <c r="A57" s="270" t="s">
        <v>1503</v>
      </c>
      <c r="B57" s="270" t="s">
        <v>1455</v>
      </c>
      <c r="C57" s="272">
        <f>SUM(C48:H48)</f>
        <v>8.4856764018376065</v>
      </c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</row>
    <row r="58" spans="1:14" ht="23" customHeight="1">
      <c r="A58" s="286" t="s">
        <v>1504</v>
      </c>
      <c r="B58" s="286" t="s">
        <v>1455</v>
      </c>
      <c r="C58" s="288">
        <f>SUM(C56:C57)</f>
        <v>55.490501587544685</v>
      </c>
      <c r="D58" s="289"/>
      <c r="E58" s="289"/>
      <c r="F58" s="289"/>
      <c r="G58" s="289"/>
      <c r="H58" s="289"/>
      <c r="I58" s="271"/>
      <c r="J58" s="271"/>
      <c r="K58" s="271"/>
      <c r="L58" s="271"/>
      <c r="M58" s="271"/>
      <c r="N58" s="271"/>
    </row>
    <row r="59" spans="1:14" ht="23" customHeight="1">
      <c r="A59" s="286" t="s">
        <v>1505</v>
      </c>
      <c r="B59" s="286" t="s">
        <v>1069</v>
      </c>
      <c r="C59" s="290">
        <f>XIRR(B65:H65,B64:H64)</f>
        <v>3.7300315499305722E-2</v>
      </c>
      <c r="D59" s="289"/>
      <c r="E59" s="289"/>
      <c r="F59" s="289"/>
      <c r="G59" s="289"/>
      <c r="H59" s="289"/>
      <c r="I59" s="271"/>
      <c r="J59" s="271"/>
      <c r="K59" s="271"/>
      <c r="L59" s="271"/>
      <c r="M59" s="271"/>
      <c r="N59" s="271"/>
    </row>
    <row r="60" spans="1:14" ht="23" customHeight="1">
      <c r="A60" s="270" t="s">
        <v>1506</v>
      </c>
      <c r="B60" s="270" t="s">
        <v>1069</v>
      </c>
      <c r="C60" s="274">
        <f>C58/C5-1</f>
        <v>-0.39684237404842737</v>
      </c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</row>
    <row r="61" spans="1:14" ht="23" customHeight="1">
      <c r="A61" s="270" t="s">
        <v>1507</v>
      </c>
      <c r="B61" s="270" t="s">
        <v>1169</v>
      </c>
      <c r="C61" s="279">
        <f>(C5-C57)*(1+C6)^C50/C53</f>
        <v>40.864516252723099</v>
      </c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</row>
    <row r="62" spans="1:14" ht="23" customHeight="1">
      <c r="A62" s="270"/>
      <c r="B62" s="270"/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</row>
    <row r="63" spans="1:14" ht="23" customHeight="1">
      <c r="A63" s="270" t="s">
        <v>1508</v>
      </c>
      <c r="B63" s="270" t="s">
        <v>1509</v>
      </c>
      <c r="C63" s="271">
        <v>2026</v>
      </c>
      <c r="D63" s="271">
        <v>2027</v>
      </c>
      <c r="E63" s="271">
        <v>2028</v>
      </c>
      <c r="F63" s="271">
        <v>2029</v>
      </c>
      <c r="G63" s="271">
        <v>2030</v>
      </c>
      <c r="H63" s="271">
        <v>2031</v>
      </c>
      <c r="I63" s="271"/>
      <c r="J63" s="271"/>
      <c r="K63" s="271"/>
      <c r="L63" s="271"/>
      <c r="M63" s="271"/>
      <c r="N63" s="271"/>
    </row>
    <row r="64" spans="1:14" ht="23" customHeight="1">
      <c r="A64" s="270"/>
      <c r="B64" s="298">
        <f>C8</f>
        <v>46311</v>
      </c>
      <c r="C64" s="277">
        <f t="shared" ref="C64:H64" si="6">C44</f>
        <v>46371</v>
      </c>
      <c r="D64" s="277">
        <f t="shared" si="6"/>
        <v>46752</v>
      </c>
      <c r="E64" s="277">
        <f t="shared" si="6"/>
        <v>47118</v>
      </c>
      <c r="F64" s="277">
        <f t="shared" si="6"/>
        <v>47483</v>
      </c>
      <c r="G64" s="277">
        <f t="shared" si="6"/>
        <v>47848</v>
      </c>
      <c r="H64" s="277">
        <f t="shared" si="6"/>
        <v>48213</v>
      </c>
      <c r="I64" s="271"/>
      <c r="J64" s="271"/>
      <c r="K64" s="271"/>
      <c r="L64" s="271"/>
      <c r="M64" s="271"/>
      <c r="N64" s="271"/>
    </row>
    <row r="65" spans="1:14" ht="23" customHeight="1">
      <c r="A65" s="270"/>
      <c r="B65" s="282">
        <f>-C5</f>
        <v>-92</v>
      </c>
      <c r="C65" s="272">
        <f t="shared" ref="C65:H65" si="7">C47+IF(C24=$C$10,$C$55,0)</f>
        <v>0.53</v>
      </c>
      <c r="D65" s="272">
        <f t="shared" si="7"/>
        <v>2.2183556884898388</v>
      </c>
      <c r="E65" s="272">
        <f t="shared" si="7"/>
        <v>2.3519254378869969</v>
      </c>
      <c r="F65" s="272">
        <f t="shared" si="7"/>
        <v>2.4822909515110729</v>
      </c>
      <c r="G65" s="272">
        <f t="shared" si="7"/>
        <v>2.6194887695148843</v>
      </c>
      <c r="H65" s="272">
        <f t="shared" si="7"/>
        <v>100.12434835477382</v>
      </c>
      <c r="I65" s="271"/>
      <c r="J65" s="271"/>
      <c r="K65" s="271"/>
      <c r="L65" s="271"/>
      <c r="M65" s="271"/>
      <c r="N65" s="271"/>
    </row>
    <row r="66" spans="1:14" ht="23" customHeight="1">
      <c r="A66" s="270"/>
      <c r="B66" s="270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</row>
    <row r="67" spans="1:14" ht="23" customHeight="1">
      <c r="A67" s="270"/>
      <c r="B67" s="270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</row>
    <row r="68" spans="1:14" ht="26" customHeight="1">
      <c r="A68" s="7" t="s">
        <v>1510</v>
      </c>
      <c r="B68" s="7"/>
      <c r="C68" s="6"/>
      <c r="D68" s="6"/>
      <c r="E68" s="6"/>
      <c r="F68" s="6"/>
      <c r="G68" s="6"/>
      <c r="H68" s="6"/>
      <c r="I68" s="271"/>
      <c r="J68" s="271"/>
      <c r="K68" s="271"/>
      <c r="L68" s="271"/>
      <c r="M68" s="271"/>
      <c r="N68" s="271"/>
    </row>
    <row r="69" spans="1:14" ht="31" customHeight="1">
      <c r="A69" s="5" t="s">
        <v>1511</v>
      </c>
      <c r="B69" s="5"/>
      <c r="C69" s="4"/>
      <c r="D69" s="4"/>
      <c r="E69" s="4"/>
      <c r="F69" s="4"/>
      <c r="G69" s="4"/>
      <c r="H69" s="4"/>
      <c r="I69" s="271"/>
      <c r="J69" s="271"/>
      <c r="K69" s="271"/>
      <c r="L69" s="271"/>
      <c r="M69" s="271"/>
      <c r="N69" s="271"/>
    </row>
    <row r="70" spans="1:14" ht="23" customHeight="1">
      <c r="A70" s="270"/>
      <c r="B70" s="270"/>
      <c r="C70" s="307">
        <f>C58</f>
        <v>55.490501587544685</v>
      </c>
      <c r="D70" s="300">
        <f>'Valuation Inputs'!$C$6+-2%</f>
        <v>0.13</v>
      </c>
      <c r="E70" s="300">
        <f>'Valuation Inputs'!$C$6+-1%</f>
        <v>0.13999999999999999</v>
      </c>
      <c r="F70" s="300">
        <f>'Valuation Inputs'!$C$6+0%</f>
        <v>0.15</v>
      </c>
      <c r="G70" s="300">
        <f>'Valuation Inputs'!$C$6+1%</f>
        <v>0.16</v>
      </c>
      <c r="H70" s="300">
        <f>'Valuation Inputs'!$C$6+2%</f>
        <v>0.16999999999999998</v>
      </c>
      <c r="I70" s="271"/>
      <c r="J70" s="271"/>
      <c r="K70" s="271"/>
      <c r="L70" s="271"/>
      <c r="M70" s="271"/>
      <c r="N70" s="271"/>
    </row>
    <row r="71" spans="1:14" ht="23" customHeight="1">
      <c r="A71" s="270"/>
      <c r="B71" s="270"/>
      <c r="C71" s="301">
        <f>'Valuation Inputs'!$C$18+-4</f>
        <v>19</v>
      </c>
      <c r="D71" s="272">
        <f t="dataTable" ref="D71:H75" dt2D="1" dtr="0" r1="C6" r2="C9" ca="1"/>
        <v>51.473471757910907</v>
      </c>
      <c r="E71" s="272">
        <v>49.339456181761534</v>
      </c>
      <c r="F71" s="272">
        <v>47.315749381334761</v>
      </c>
      <c r="G71" s="272">
        <v>45.395704208717369</v>
      </c>
      <c r="H71" s="272">
        <v>43.573128109895549</v>
      </c>
      <c r="I71" s="271"/>
      <c r="J71" s="271"/>
      <c r="K71" s="271"/>
      <c r="L71" s="271"/>
      <c r="M71" s="271"/>
      <c r="N71" s="271"/>
    </row>
    <row r="72" spans="1:14" ht="23" customHeight="1">
      <c r="A72" s="270"/>
      <c r="B72" s="270"/>
      <c r="C72" s="301">
        <f>'Valuation Inputs'!$C$18+-2</f>
        <v>21</v>
      </c>
      <c r="D72" s="272">
        <v>55.952140745006389</v>
      </c>
      <c r="E72" s="272">
        <v>53.617150150301939</v>
      </c>
      <c r="F72" s="272">
        <v>51.40312548443972</v>
      </c>
      <c r="G72" s="272">
        <v>49.302769063035221</v>
      </c>
      <c r="H72" s="272">
        <v>47.30928263206188</v>
      </c>
      <c r="I72" s="271"/>
      <c r="J72" s="271"/>
      <c r="K72" s="271"/>
      <c r="L72" s="271"/>
      <c r="M72" s="271"/>
      <c r="N72" s="271"/>
    </row>
    <row r="73" spans="1:14" ht="23" customHeight="1">
      <c r="A73" s="270"/>
      <c r="B73" s="270"/>
      <c r="C73" s="301">
        <f>'Valuation Inputs'!$C$18+0</f>
        <v>23</v>
      </c>
      <c r="D73" s="272">
        <v>60.430809732101864</v>
      </c>
      <c r="E73" s="272">
        <v>57.89484411884235</v>
      </c>
      <c r="F73" s="302">
        <v>55.490501587544685</v>
      </c>
      <c r="G73" s="272">
        <v>53.209833917353073</v>
      </c>
      <c r="H73" s="272">
        <v>51.045437154228203</v>
      </c>
      <c r="I73" s="271"/>
      <c r="J73" s="271"/>
      <c r="K73" s="271"/>
      <c r="L73" s="271"/>
      <c r="M73" s="271"/>
      <c r="N73" s="271"/>
    </row>
    <row r="74" spans="1:14" ht="23" customHeight="1">
      <c r="A74" s="270"/>
      <c r="B74" s="270"/>
      <c r="C74" s="301">
        <f>'Valuation Inputs'!$C$18+2</f>
        <v>25</v>
      </c>
      <c r="D74" s="272">
        <v>64.909478719197338</v>
      </c>
      <c r="E74" s="272">
        <v>62.172538087382755</v>
      </c>
      <c r="F74" s="272">
        <v>59.57787769064965</v>
      </c>
      <c r="G74" s="272">
        <v>57.116898771670925</v>
      </c>
      <c r="H74" s="272">
        <v>54.781591676394534</v>
      </c>
      <c r="I74" s="271"/>
      <c r="J74" s="271"/>
      <c r="K74" s="271"/>
      <c r="L74" s="271"/>
      <c r="M74" s="271"/>
      <c r="N74" s="271"/>
    </row>
    <row r="75" spans="1:14" ht="23" customHeight="1">
      <c r="A75" s="270"/>
      <c r="B75" s="270"/>
      <c r="C75" s="301">
        <f>'Valuation Inputs'!$C$18+4</f>
        <v>27</v>
      </c>
      <c r="D75" s="272">
        <v>69.388147706292813</v>
      </c>
      <c r="E75" s="272">
        <v>66.450232055923166</v>
      </c>
      <c r="F75" s="272">
        <v>63.665253793754616</v>
      </c>
      <c r="G75" s="272">
        <v>61.02396362598877</v>
      </c>
      <c r="H75" s="272">
        <v>58.517746198560857</v>
      </c>
      <c r="I75" s="271"/>
      <c r="J75" s="271"/>
      <c r="K75" s="271"/>
      <c r="L75" s="271"/>
      <c r="M75" s="271"/>
      <c r="N75" s="271"/>
    </row>
    <row r="76" spans="1:14" ht="23" customHeight="1">
      <c r="A76" s="270"/>
      <c r="B76" s="270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</row>
    <row r="77" spans="1:14" ht="31" customHeight="1">
      <c r="A77" s="5" t="s">
        <v>1967</v>
      </c>
      <c r="B77" s="5"/>
      <c r="C77" s="4"/>
      <c r="D77" s="4"/>
      <c r="E77" s="4"/>
      <c r="F77" s="4"/>
      <c r="G77" s="4"/>
      <c r="H77" s="4"/>
      <c r="I77" s="271"/>
      <c r="J77" s="271"/>
      <c r="K77" s="271"/>
      <c r="L77" s="271"/>
      <c r="M77" s="271"/>
      <c r="N77" s="271"/>
    </row>
    <row r="78" spans="1:14" ht="23" customHeight="1">
      <c r="A78" s="270"/>
      <c r="B78" s="270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</row>
    <row r="79" spans="1:14" ht="26" customHeight="1">
      <c r="A79" s="7" t="s">
        <v>1512</v>
      </c>
      <c r="B79" s="7"/>
      <c r="C79" s="6"/>
      <c r="D79" s="6"/>
      <c r="E79" s="6"/>
      <c r="F79" s="6"/>
      <c r="G79" s="6"/>
      <c r="H79" s="6"/>
      <c r="I79" s="271"/>
      <c r="J79" s="271"/>
      <c r="K79" s="271"/>
      <c r="L79" s="271"/>
      <c r="M79" s="271"/>
      <c r="N79" s="271"/>
    </row>
    <row r="80" spans="1:14" ht="31" customHeight="1">
      <c r="A80" s="5" t="s">
        <v>1968</v>
      </c>
      <c r="B80" s="5"/>
      <c r="C80" s="4"/>
      <c r="D80" s="4"/>
      <c r="E80" s="4"/>
      <c r="F80" s="4"/>
      <c r="G80" s="4"/>
      <c r="H80" s="4"/>
      <c r="I80" s="271"/>
      <c r="J80" s="271"/>
      <c r="K80" s="271"/>
      <c r="L80" s="271"/>
      <c r="M80" s="271"/>
      <c r="N80" s="271"/>
    </row>
    <row r="81" spans="1:14" ht="23" customHeight="1">
      <c r="A81" s="283" t="s">
        <v>1513</v>
      </c>
      <c r="B81" s="283" t="s">
        <v>1051</v>
      </c>
      <c r="C81" s="292" t="s">
        <v>1514</v>
      </c>
      <c r="D81" s="292" t="s">
        <v>1515</v>
      </c>
      <c r="E81" s="292" t="s">
        <v>1516</v>
      </c>
      <c r="F81" s="271"/>
      <c r="G81" s="271"/>
      <c r="H81" s="271"/>
      <c r="I81" s="271"/>
      <c r="J81" s="271"/>
      <c r="K81" s="271"/>
      <c r="L81" s="271"/>
      <c r="M81" s="271"/>
      <c r="N81" s="271"/>
    </row>
    <row r="82" spans="1:14" ht="23" customHeight="1">
      <c r="A82" s="270" t="s">
        <v>1500</v>
      </c>
      <c r="B82" s="270" t="s">
        <v>1169</v>
      </c>
      <c r="C82" s="324">
        <f>IF(ISNUMBER('Valuation Inputs'!C16),'Valuation Inputs'!C16,"待定")</f>
        <v>20</v>
      </c>
      <c r="D82" s="324">
        <f>IF(ISNUMBER('Valuation Inputs'!D16),'Valuation Inputs'!D16,"待定")</f>
        <v>23</v>
      </c>
      <c r="E82" s="324">
        <f>IF(ISNUMBER('Valuation Inputs'!E16),'Valuation Inputs'!E16,"待定")</f>
        <v>26</v>
      </c>
      <c r="F82" s="271"/>
      <c r="G82" s="271"/>
      <c r="H82" s="271"/>
      <c r="I82" s="271"/>
      <c r="J82" s="271"/>
      <c r="K82" s="271"/>
      <c r="L82" s="271"/>
      <c r="M82" s="271"/>
      <c r="N82" s="271"/>
    </row>
    <row r="83" spans="1:14" ht="23" customHeight="1">
      <c r="A83" s="270" t="s">
        <v>1517</v>
      </c>
      <c r="B83" s="270" t="s">
        <v>1069</v>
      </c>
      <c r="C83" s="294">
        <f>'Valuation Driver Build'!H767</f>
        <v>0</v>
      </c>
      <c r="D83" s="294">
        <f>'Valuation Driver Build'!H768</f>
        <v>0</v>
      </c>
      <c r="E83" s="294">
        <f>'Valuation Driver Build'!H769</f>
        <v>2E-3</v>
      </c>
      <c r="F83" s="271"/>
      <c r="G83" s="271"/>
      <c r="H83" s="271"/>
      <c r="I83" s="271"/>
      <c r="J83" s="271"/>
      <c r="K83" s="271"/>
      <c r="L83" s="271"/>
      <c r="M83" s="271"/>
      <c r="N83" s="271"/>
    </row>
    <row r="84" spans="1:14" ht="23" customHeight="1">
      <c r="A84" s="270" t="s">
        <v>1518</v>
      </c>
      <c r="B84" s="270" t="s">
        <v>1069</v>
      </c>
      <c r="C84" s="275">
        <f>'Valuation Driver Build'!H762</f>
        <v>0.22</v>
      </c>
      <c r="D84" s="275">
        <f>'Valuation Driver Build'!H763</f>
        <v>0.20499999999999999</v>
      </c>
      <c r="E84" s="275">
        <f>'Valuation Driver Build'!H764</f>
        <v>0.2</v>
      </c>
      <c r="F84" s="271"/>
      <c r="G84" s="271"/>
      <c r="H84" s="271"/>
      <c r="I84" s="271"/>
      <c r="J84" s="271"/>
      <c r="K84" s="271"/>
      <c r="L84" s="271"/>
      <c r="M84" s="271"/>
      <c r="N84" s="271"/>
    </row>
    <row r="85" spans="1:14" ht="23" customHeight="1">
      <c r="A85" s="270" t="s">
        <v>1519</v>
      </c>
      <c r="B85" s="270" t="s">
        <v>1069</v>
      </c>
      <c r="C85" s="275">
        <f>'Valuation Driver Build'!H582</f>
        <v>3.7999999999999999E-2</v>
      </c>
      <c r="D85" s="275">
        <f>'Valuation Driver Build'!H583</f>
        <v>3.5000000000000003E-2</v>
      </c>
      <c r="E85" s="275">
        <f>'Valuation Driver Build'!H584</f>
        <v>3.5999999999999997E-2</v>
      </c>
      <c r="F85" s="271"/>
      <c r="G85" s="271"/>
      <c r="H85" s="271"/>
      <c r="I85" s="271"/>
      <c r="J85" s="271"/>
      <c r="K85" s="271"/>
      <c r="L85" s="271"/>
      <c r="M85" s="271"/>
      <c r="N85" s="271"/>
    </row>
    <row r="86" spans="1:14" ht="23" customHeight="1">
      <c r="A86" s="270" t="s">
        <v>1520</v>
      </c>
      <c r="B86" s="270" t="s">
        <v>1069</v>
      </c>
      <c r="C86" s="275">
        <f>'Valuation Driver Build'!H757</f>
        <v>0.03</v>
      </c>
      <c r="D86" s="275">
        <f>'Valuation Driver Build'!H758</f>
        <v>0.05</v>
      </c>
      <c r="E86" s="275">
        <f>'Valuation Driver Build'!H759</f>
        <v>0.06</v>
      </c>
      <c r="F86" s="271"/>
      <c r="G86" s="271"/>
      <c r="H86" s="271"/>
      <c r="I86" s="271"/>
      <c r="J86" s="271"/>
      <c r="K86" s="271"/>
      <c r="L86" s="271"/>
      <c r="M86" s="271"/>
      <c r="N86" s="271"/>
    </row>
    <row r="87" spans="1:14" ht="23" customHeight="1">
      <c r="A87" s="270"/>
      <c r="B87" s="270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</row>
    <row r="88" spans="1:14" ht="31" customHeight="1">
      <c r="A88" s="5" t="s">
        <v>1521</v>
      </c>
      <c r="B88" s="5"/>
      <c r="C88" s="4"/>
      <c r="D88" s="4"/>
      <c r="E88" s="4"/>
      <c r="F88" s="4"/>
      <c r="G88" s="4"/>
      <c r="H88" s="4"/>
      <c r="I88" s="271"/>
      <c r="J88" s="271"/>
      <c r="K88" s="271"/>
      <c r="L88" s="271"/>
      <c r="M88" s="271"/>
      <c r="N88" s="271"/>
    </row>
    <row r="89" spans="1:14" ht="23" customHeight="1">
      <c r="A89" s="270"/>
      <c r="B89" s="270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</row>
    <row r="90" spans="1:14" ht="23" customHeight="1">
      <c r="A90" s="270"/>
      <c r="B90" s="270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</row>
    <row r="91" spans="1:14" ht="23" customHeight="1">
      <c r="A91" s="270"/>
      <c r="B91" s="270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</row>
    <row r="92" spans="1:14" ht="26" customHeight="1">
      <c r="A92" s="7" t="s">
        <v>1522</v>
      </c>
      <c r="B92" s="7"/>
      <c r="C92" s="6"/>
      <c r="D92" s="6"/>
      <c r="E92" s="6"/>
      <c r="F92" s="6"/>
      <c r="G92" s="6"/>
      <c r="H92" s="6"/>
      <c r="I92" s="271"/>
      <c r="J92" s="271"/>
      <c r="K92" s="271"/>
      <c r="L92" s="271"/>
      <c r="M92" s="271"/>
      <c r="N92" s="271"/>
    </row>
    <row r="93" spans="1:14" ht="31" customHeight="1">
      <c r="A93" s="5" t="s">
        <v>1969</v>
      </c>
      <c r="B93" s="5"/>
      <c r="C93" s="4"/>
      <c r="D93" s="4"/>
      <c r="E93" s="4"/>
      <c r="F93" s="4"/>
      <c r="G93" s="4"/>
      <c r="H93" s="4"/>
      <c r="I93" s="271"/>
      <c r="J93" s="271"/>
      <c r="K93" s="271"/>
      <c r="L93" s="271"/>
      <c r="M93" s="271"/>
      <c r="N93" s="271"/>
    </row>
    <row r="94" spans="1:14" ht="23" customHeight="1">
      <c r="A94" s="270"/>
      <c r="B94" s="308">
        <f>C59</f>
        <v>3.7300315499305722E-2</v>
      </c>
      <c r="C94" s="299">
        <f>'Valuation Inputs'!$C$5*0.9</f>
        <v>82.8</v>
      </c>
      <c r="D94" s="303">
        <f>'Valuation Inputs'!$C$5*1</f>
        <v>92</v>
      </c>
      <c r="E94" s="299">
        <f>'Valuation Inputs'!$C$5*1.1</f>
        <v>101.2</v>
      </c>
      <c r="F94" s="271"/>
      <c r="G94" s="271"/>
      <c r="H94" s="271"/>
      <c r="I94" s="271"/>
      <c r="J94" s="271"/>
      <c r="K94" s="271"/>
      <c r="L94" s="271"/>
      <c r="M94" s="271"/>
      <c r="N94" s="271"/>
    </row>
    <row r="95" spans="1:14" ht="23" customHeight="1">
      <c r="A95" s="270"/>
      <c r="B95" s="304">
        <f>'Valuation Inputs'!$C$18+-4</f>
        <v>19</v>
      </c>
      <c r="C95" s="274">
        <f t="dataTable" ref="C95:E99" dt2D="1" dtr="0" r1="C5" r2="C9" ca="1"/>
        <v>2.4767085909843448E-2</v>
      </c>
      <c r="D95" s="274">
        <v>3.0513018369674686E-3</v>
      </c>
      <c r="E95" s="274">
        <v>-1.6132053732872007E-2</v>
      </c>
      <c r="F95" s="271"/>
      <c r="G95" s="271"/>
      <c r="H95" s="271"/>
      <c r="I95" s="271"/>
      <c r="J95" s="271"/>
      <c r="K95" s="271"/>
      <c r="L95" s="271"/>
      <c r="M95" s="271"/>
      <c r="N95" s="271"/>
    </row>
    <row r="96" spans="1:14" ht="23" customHeight="1">
      <c r="A96" s="270"/>
      <c r="B96" s="304">
        <f>'Valuation Inputs'!$C$18+-2</f>
        <v>21</v>
      </c>
      <c r="C96" s="274">
        <v>4.2850378155708316E-2</v>
      </c>
      <c r="D96" s="274">
        <v>2.0796433091163635E-2</v>
      </c>
      <c r="E96" s="274">
        <v>1.3117104768753053E-3</v>
      </c>
      <c r="F96" s="271"/>
      <c r="G96" s="271"/>
      <c r="H96" s="271"/>
      <c r="I96" s="271"/>
      <c r="J96" s="271"/>
      <c r="K96" s="271"/>
      <c r="L96" s="271"/>
      <c r="M96" s="271"/>
      <c r="N96" s="271"/>
    </row>
    <row r="97" spans="1:14" ht="23" customHeight="1">
      <c r="A97" s="270"/>
      <c r="B97" s="304">
        <f>'Valuation Inputs'!$C$18+0</f>
        <v>23</v>
      </c>
      <c r="C97" s="274">
        <v>5.9670093655586232E-2</v>
      </c>
      <c r="D97" s="305">
        <v>3.7300315499305722E-2</v>
      </c>
      <c r="E97" s="274">
        <v>1.7534211277961731E-2</v>
      </c>
      <c r="F97" s="271"/>
      <c r="G97" s="271"/>
      <c r="H97" s="271"/>
      <c r="I97" s="271"/>
      <c r="J97" s="271"/>
      <c r="K97" s="271"/>
      <c r="L97" s="271"/>
      <c r="M97" s="271"/>
      <c r="N97" s="271"/>
    </row>
    <row r="98" spans="1:14" ht="23" customHeight="1">
      <c r="A98" s="270"/>
      <c r="B98" s="304">
        <f>'Valuation Inputs'!$C$18+2</f>
        <v>25</v>
      </c>
      <c r="C98" s="274">
        <v>7.5408920645713834E-2</v>
      </c>
      <c r="D98" s="274">
        <v>5.2742567658424389E-2</v>
      </c>
      <c r="E98" s="274">
        <v>3.2712295651435852E-2</v>
      </c>
      <c r="F98" s="271"/>
      <c r="G98" s="271"/>
      <c r="H98" s="271"/>
      <c r="I98" s="271"/>
      <c r="J98" s="271"/>
      <c r="K98" s="271"/>
      <c r="L98" s="271"/>
      <c r="M98" s="271"/>
      <c r="N98" s="271"/>
    </row>
    <row r="99" spans="1:14" ht="23" customHeight="1">
      <c r="A99" s="270"/>
      <c r="B99" s="304">
        <f>'Valuation Inputs'!$C$18+4</f>
        <v>27</v>
      </c>
      <c r="C99" s="274">
        <v>9.0211471915245062E-2</v>
      </c>
      <c r="D99" s="274">
        <v>6.7265334725379933E-2</v>
      </c>
      <c r="E99" s="274">
        <v>4.6985897421836842E-2</v>
      </c>
      <c r="F99" s="271"/>
      <c r="G99" s="271"/>
      <c r="H99" s="271"/>
      <c r="I99" s="271"/>
      <c r="J99" s="271"/>
      <c r="K99" s="271"/>
      <c r="L99" s="271"/>
      <c r="M99" s="271"/>
      <c r="N99" s="271"/>
    </row>
    <row r="100" spans="1:14" ht="23" customHeight="1">
      <c r="A100" s="270"/>
      <c r="B100" s="270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</row>
    <row r="101" spans="1:14" ht="26" customHeight="1">
      <c r="A101" s="7" t="s">
        <v>1523</v>
      </c>
      <c r="B101" s="7"/>
      <c r="C101" s="6"/>
      <c r="D101" s="6"/>
      <c r="E101" s="6"/>
      <c r="F101" s="6"/>
      <c r="G101" s="6"/>
      <c r="H101" s="6"/>
      <c r="I101" s="271"/>
      <c r="J101" s="271"/>
      <c r="K101" s="271"/>
      <c r="L101" s="271"/>
      <c r="M101" s="271"/>
      <c r="N101" s="271"/>
    </row>
    <row r="102" spans="1:14" ht="31" customHeight="1">
      <c r="A102" s="5" t="s">
        <v>1524</v>
      </c>
      <c r="B102" s="5"/>
      <c r="C102" s="4"/>
      <c r="D102" s="4"/>
      <c r="E102" s="4"/>
      <c r="F102" s="4"/>
      <c r="G102" s="4"/>
      <c r="H102" s="4"/>
      <c r="I102" s="271"/>
      <c r="J102" s="271"/>
      <c r="K102" s="271"/>
      <c r="L102" s="271"/>
      <c r="M102" s="271"/>
      <c r="N102" s="271"/>
    </row>
    <row r="103" spans="1:14" ht="31" customHeight="1">
      <c r="A103" s="5" t="s">
        <v>1525</v>
      </c>
      <c r="B103" s="5"/>
      <c r="C103" s="4"/>
      <c r="D103" s="4"/>
      <c r="E103" s="4"/>
      <c r="F103" s="4"/>
      <c r="G103" s="4"/>
      <c r="H103" s="4"/>
      <c r="I103" s="271"/>
      <c r="J103" s="271"/>
      <c r="K103" s="271"/>
      <c r="L103" s="271"/>
      <c r="M103" s="271"/>
      <c r="N103" s="271"/>
    </row>
    <row r="104" spans="1:14" ht="31" customHeight="1">
      <c r="A104" s="5" t="s">
        <v>1526</v>
      </c>
      <c r="B104" s="5"/>
      <c r="C104" s="4"/>
      <c r="D104" s="4"/>
      <c r="E104" s="4"/>
      <c r="F104" s="4"/>
      <c r="G104" s="4"/>
      <c r="H104" s="4"/>
      <c r="I104" s="271"/>
      <c r="J104" s="271"/>
      <c r="K104" s="271"/>
      <c r="L104" s="271"/>
      <c r="M104" s="271"/>
      <c r="N104" s="271"/>
    </row>
    <row r="105" spans="1:14" ht="31" customHeight="1">
      <c r="A105" s="5" t="s">
        <v>1527</v>
      </c>
      <c r="B105" s="5"/>
      <c r="C105" s="4"/>
      <c r="D105" s="4"/>
      <c r="E105" s="4"/>
      <c r="F105" s="4"/>
      <c r="G105" s="4"/>
      <c r="H105" s="4"/>
      <c r="I105" s="271"/>
      <c r="J105" s="271"/>
      <c r="K105" s="271"/>
      <c r="L105" s="271"/>
      <c r="M105" s="271"/>
      <c r="N105" s="271"/>
    </row>
    <row r="106" spans="1:14" ht="31" customHeight="1">
      <c r="A106" s="5" t="s">
        <v>1970</v>
      </c>
      <c r="B106" s="5"/>
      <c r="C106" s="4"/>
      <c r="D106" s="4"/>
      <c r="E106" s="4"/>
      <c r="F106" s="4"/>
      <c r="G106" s="4"/>
      <c r="H106" s="4"/>
      <c r="I106" s="271"/>
      <c r="J106" s="271"/>
      <c r="K106" s="271"/>
      <c r="L106" s="271"/>
      <c r="M106" s="271"/>
      <c r="N106" s="271"/>
    </row>
    <row r="107" spans="1:14" ht="31" customHeight="1">
      <c r="A107" s="5" t="s">
        <v>1971</v>
      </c>
      <c r="B107" s="5"/>
      <c r="C107" s="4"/>
      <c r="D107" s="4"/>
      <c r="E107" s="4"/>
      <c r="F107" s="4"/>
      <c r="G107" s="4"/>
      <c r="H107" s="4"/>
      <c r="I107" s="271"/>
      <c r="J107" s="271"/>
      <c r="K107" s="271"/>
      <c r="L107" s="271"/>
      <c r="M107" s="271"/>
      <c r="N107" s="271"/>
    </row>
    <row r="108" spans="1:14" ht="31" customHeight="1">
      <c r="A108" s="5" t="s">
        <v>1528</v>
      </c>
      <c r="B108" s="5"/>
      <c r="C108" s="4"/>
      <c r="D108" s="4"/>
      <c r="E108" s="4"/>
      <c r="F108" s="4"/>
      <c r="G108" s="4"/>
      <c r="H108" s="4"/>
      <c r="I108" s="271"/>
      <c r="J108" s="271"/>
      <c r="K108" s="271"/>
      <c r="L108" s="271"/>
      <c r="M108" s="271"/>
      <c r="N108" s="271"/>
    </row>
    <row r="109" spans="1:14" ht="31" customHeight="1">
      <c r="A109" s="5" t="s">
        <v>1972</v>
      </c>
      <c r="B109" s="5"/>
      <c r="C109" s="4"/>
      <c r="D109" s="4"/>
      <c r="E109" s="4"/>
      <c r="F109" s="4"/>
      <c r="G109" s="4"/>
      <c r="H109" s="4"/>
      <c r="I109" s="271"/>
      <c r="J109" s="271"/>
      <c r="K109" s="271"/>
      <c r="L109" s="271"/>
      <c r="M109" s="271"/>
      <c r="N109" s="271"/>
    </row>
    <row r="110" spans="1:14" ht="31" customHeight="1">
      <c r="A110" s="5" t="s">
        <v>1973</v>
      </c>
      <c r="B110" s="5"/>
      <c r="C110" s="4"/>
      <c r="D110" s="4"/>
      <c r="E110" s="4"/>
      <c r="F110" s="4"/>
      <c r="G110" s="4"/>
      <c r="H110" s="4"/>
      <c r="I110" s="271"/>
      <c r="J110" s="271"/>
      <c r="K110" s="271"/>
      <c r="L110" s="271"/>
      <c r="M110" s="271"/>
      <c r="N110" s="271"/>
    </row>
    <row r="111" spans="1:14" ht="31" customHeight="1">
      <c r="A111" s="5" t="s">
        <v>1529</v>
      </c>
      <c r="B111" s="5"/>
      <c r="C111" s="4"/>
      <c r="D111" s="4"/>
      <c r="E111" s="4"/>
      <c r="F111" s="4"/>
      <c r="G111" s="4"/>
      <c r="H111" s="4"/>
      <c r="I111" s="271"/>
      <c r="J111" s="271"/>
      <c r="K111" s="271"/>
      <c r="L111" s="271"/>
      <c r="M111" s="271"/>
      <c r="N111" s="271"/>
    </row>
    <row r="112" spans="1:14" ht="31" customHeight="1">
      <c r="A112" s="5" t="s">
        <v>1530</v>
      </c>
      <c r="B112" s="5"/>
      <c r="C112" s="4"/>
      <c r="D112" s="4"/>
      <c r="E112" s="4"/>
      <c r="F112" s="4"/>
      <c r="G112" s="4"/>
      <c r="H112" s="4"/>
      <c r="I112" s="271"/>
      <c r="J112" s="271"/>
      <c r="K112" s="271"/>
      <c r="L112" s="271"/>
      <c r="M112" s="271"/>
      <c r="N112" s="271"/>
    </row>
    <row r="113" spans="1:14" ht="23" customHeight="1">
      <c r="A113" s="270"/>
      <c r="B113" s="270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</row>
    <row r="114" spans="1:14" ht="26" customHeight="1">
      <c r="A114" s="7" t="s">
        <v>1531</v>
      </c>
      <c r="B114" s="7"/>
      <c r="C114" s="6"/>
      <c r="D114" s="6"/>
      <c r="E114" s="6"/>
      <c r="F114" s="6"/>
      <c r="G114" s="6"/>
      <c r="H114" s="6"/>
      <c r="I114" s="271"/>
      <c r="J114" s="271"/>
      <c r="K114" s="271"/>
      <c r="L114" s="271"/>
      <c r="M114" s="271"/>
      <c r="N114" s="271"/>
    </row>
    <row r="115" spans="1:14" ht="23" customHeight="1">
      <c r="A115" s="270" t="s">
        <v>1532</v>
      </c>
      <c r="B115" s="270" t="s">
        <v>1455</v>
      </c>
      <c r="C115" s="306">
        <f>XNPV(C6,B65:H65,B64:H64)+C5-C58</f>
        <v>0</v>
      </c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</row>
    <row r="116" spans="1:14" ht="23" customHeight="1">
      <c r="A116" s="270" t="s">
        <v>1533</v>
      </c>
      <c r="B116" s="270" t="s">
        <v>1455</v>
      </c>
      <c r="C116" s="306">
        <f>XNPV(C59,B65:H65,B64:H64)</f>
        <v>5.2824367458015331E-7</v>
      </c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</row>
    <row r="117" spans="1:14" ht="23" customHeight="1">
      <c r="A117" s="270" t="s">
        <v>1534</v>
      </c>
      <c r="B117" s="270" t="s">
        <v>1535</v>
      </c>
      <c r="C117" s="276">
        <f>COUNTIF(C24:H24,C10)</f>
        <v>1</v>
      </c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</row>
    <row r="118" spans="1:14" ht="23" customHeight="1">
      <c r="A118" s="270" t="s">
        <v>1536</v>
      </c>
      <c r="B118" s="270" t="s">
        <v>1066</v>
      </c>
      <c r="C118" s="280">
        <f>MAX(C40:H40)</f>
        <v>0</v>
      </c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</row>
    <row r="119" spans="1:14" ht="23" customHeight="1">
      <c r="A119" s="270" t="s">
        <v>1537</v>
      </c>
      <c r="B119" s="270" t="s">
        <v>1069</v>
      </c>
      <c r="C119" s="274">
        <f>C56/C58</f>
        <v>0.84707875836281343</v>
      </c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</row>
    <row r="120" spans="1:14" ht="23" customHeight="1">
      <c r="A120" s="270" t="s">
        <v>1538</v>
      </c>
      <c r="B120" s="270" t="s">
        <v>1539</v>
      </c>
      <c r="C120" s="280" t="str">
        <f>CHOOSE(C7,"保守","基准","乐观")</f>
        <v>基准</v>
      </c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</row>
    <row r="121" spans="1:14" ht="23" customHeight="1">
      <c r="A121" s="270"/>
      <c r="B121" s="270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  <row r="122" spans="1:14" ht="23" customHeight="1">
      <c r="A122" s="270"/>
      <c r="B122" s="270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</row>
  </sheetData>
  <mergeCells count="36">
    <mergeCell ref="A1:H1"/>
    <mergeCell ref="A2:H2"/>
    <mergeCell ref="A4:H4"/>
    <mergeCell ref="D5:H5"/>
    <mergeCell ref="D6:H6"/>
    <mergeCell ref="D7:H7"/>
    <mergeCell ref="D8:H8"/>
    <mergeCell ref="D9:H9"/>
    <mergeCell ref="D10:H10"/>
    <mergeCell ref="D11:H11"/>
    <mergeCell ref="D12:H12"/>
    <mergeCell ref="A13:H13"/>
    <mergeCell ref="A15:H15"/>
    <mergeCell ref="A23:H23"/>
    <mergeCell ref="A42:H42"/>
    <mergeCell ref="A68:H68"/>
    <mergeCell ref="A69:H69"/>
    <mergeCell ref="A77:H77"/>
    <mergeCell ref="A79:H79"/>
    <mergeCell ref="A80:H80"/>
    <mergeCell ref="A88:H88"/>
    <mergeCell ref="A92:H92"/>
    <mergeCell ref="A93:H93"/>
    <mergeCell ref="A101:H101"/>
    <mergeCell ref="A102:H102"/>
    <mergeCell ref="A103:H103"/>
    <mergeCell ref="A104:H104"/>
    <mergeCell ref="A105:H105"/>
    <mergeCell ref="A106:H106"/>
    <mergeCell ref="A107:H107"/>
    <mergeCell ref="A114:H114"/>
    <mergeCell ref="A108:H108"/>
    <mergeCell ref="A109:H109"/>
    <mergeCell ref="A110:H110"/>
    <mergeCell ref="A111:H111"/>
    <mergeCell ref="A112:H11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21</vt:i4>
      </vt:variant>
    </vt:vector>
  </HeadingPairs>
  <TitlesOfParts>
    <vt:vector size="36" baseType="lpstr">
      <vt:lpstr>Cover</vt:lpstr>
      <vt:lpstr>Income Statement</vt:lpstr>
      <vt:lpstr>Balance Sheet</vt:lpstr>
      <vt:lpstr>Cash Flow</vt:lpstr>
      <vt:lpstr>Segments</vt:lpstr>
      <vt:lpstr>Geography</vt:lpstr>
      <vt:lpstr>Operating Metrics</vt:lpstr>
      <vt:lpstr>产品销量</vt:lpstr>
      <vt:lpstr>Derived Metrics</vt:lpstr>
      <vt:lpstr>Note Schedules</vt:lpstr>
      <vt:lpstr>Sources</vt:lpstr>
      <vt:lpstr>Audit 2026-10-14</vt:lpstr>
      <vt:lpstr>Valuation Driver Build</vt:lpstr>
      <vt:lpstr>Valuation Inputs</vt:lpstr>
      <vt:lpstr>Valuation</vt:lpstr>
      <vt:lpstr>'Audit 2026-10-14'!Print_Area</vt:lpstr>
      <vt:lpstr>'Balance Sheet'!Print_Area</vt:lpstr>
      <vt:lpstr>'Cash Flow'!Print_Area</vt:lpstr>
      <vt:lpstr>Cover!Print_Area</vt:lpstr>
      <vt:lpstr>'Derived Metrics'!Print_Area</vt:lpstr>
      <vt:lpstr>Geography!Print_Area</vt:lpstr>
      <vt:lpstr>'Income Statement'!Print_Area</vt:lpstr>
      <vt:lpstr>'Note Schedules'!Print_Area</vt:lpstr>
      <vt:lpstr>'Operating Metrics'!Print_Area</vt:lpstr>
      <vt:lpstr>Segments!Print_Area</vt:lpstr>
      <vt:lpstr>Sources!Print_Area</vt:lpstr>
      <vt:lpstr>'Audit 2026-10-14'!Print_Titles</vt:lpstr>
      <vt:lpstr>'Balance Sheet'!Print_Titles</vt:lpstr>
      <vt:lpstr>'Cash Flow'!Print_Titles</vt:lpstr>
      <vt:lpstr>'Derived Metrics'!Print_Titles</vt:lpstr>
      <vt:lpstr>Geography!Print_Titles</vt:lpstr>
      <vt:lpstr>'Income Statement'!Print_Titles</vt:lpstr>
      <vt:lpstr>'Note Schedules'!Print_Titles</vt:lpstr>
      <vt:lpstr>'Operating Metrics'!Print_Titles</vt:lpstr>
      <vt:lpstr>Segments!Print_Titles</vt:lpstr>
      <vt:lpstr>Sources!Print_Titles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e69900</cp:lastModifiedBy>
  <dcterms:created xsi:type="dcterms:W3CDTF">2026-10-14T05:55:43Z</dcterms:created>
  <dcterms:modified xsi:type="dcterms:W3CDTF">2026-10-16T10:17:51Z</dcterms:modified>
</cp:coreProperties>
</file>