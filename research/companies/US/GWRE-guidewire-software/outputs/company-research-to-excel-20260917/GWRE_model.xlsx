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tccc/Desktop/AI Invest/Workspace/research/companies/US/GWRE-guidewire-software/outputs/company-research-to-excel-20260917/"/>
    </mc:Choice>
  </mc:AlternateContent>
  <xr:revisionPtr revIDLastSave="0" documentId="13_ncr:1_{597EED65-C123-9B45-8296-9A828FA79BB9}" xr6:coauthVersionLast="47" xr6:coauthVersionMax="47" xr10:uidLastSave="{00000000-0000-0000-0000-000000000000}"/>
  <bookViews>
    <workbookView xWindow="17640" yWindow="600" windowWidth="19620" windowHeight="19320" activeTab="1" xr2:uid="{00000000-000D-0000-FFFF-FFFF00000000}"/>
  </bookViews>
  <sheets>
    <sheet name="Cover" sheetId="1" r:id="rId1"/>
    <sheet name="Income Statement" sheetId="2" r:id="rId2"/>
    <sheet name="Balance Sheet" sheetId="3" r:id="rId3"/>
    <sheet name="Cash Flow Statement" sheetId="4" r:id="rId4"/>
    <sheet name="Derived Metrics" sheetId="5" r:id="rId5"/>
    <sheet name="Operating Metrics" sheetId="6" r:id="rId6"/>
    <sheet name="Segments" sheetId="7" r:id="rId7"/>
    <sheet name="Note Schedules" sheetId="8" r:id="rId8"/>
    <sheet name="Sourc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8" i="7" l="1"/>
  <c r="Y18" i="7"/>
  <c r="X18" i="7"/>
  <c r="W18" i="7"/>
  <c r="V18" i="7"/>
  <c r="U18" i="7"/>
  <c r="T18" i="7"/>
  <c r="S18" i="7"/>
  <c r="R18" i="7"/>
  <c r="L18" i="7"/>
  <c r="K18" i="7"/>
  <c r="J18" i="7"/>
  <c r="I18" i="7"/>
  <c r="H18" i="7"/>
  <c r="G18" i="7"/>
  <c r="F18" i="7"/>
  <c r="E18" i="7"/>
  <c r="D18" i="7"/>
  <c r="C18" i="7"/>
  <c r="Z17" i="7"/>
  <c r="Y17" i="7"/>
  <c r="X17" i="7"/>
  <c r="W17" i="7"/>
  <c r="V17" i="7"/>
  <c r="U17" i="7"/>
  <c r="T17" i="7"/>
  <c r="S17" i="7"/>
  <c r="R17" i="7"/>
  <c r="L17" i="7"/>
  <c r="K17" i="7"/>
  <c r="J17" i="7"/>
  <c r="I17" i="7"/>
  <c r="H17" i="7"/>
  <c r="G17" i="7"/>
  <c r="F17" i="7"/>
  <c r="E17" i="7"/>
  <c r="D17" i="7"/>
  <c r="C17" i="7"/>
  <c r="Z16" i="7"/>
  <c r="Y16" i="7"/>
  <c r="X16" i="7"/>
  <c r="W16" i="7"/>
  <c r="V16" i="7"/>
  <c r="U16" i="7"/>
  <c r="T16" i="7"/>
  <c r="S16" i="7"/>
  <c r="R16" i="7"/>
  <c r="L16" i="7"/>
  <c r="K16" i="7"/>
  <c r="J16" i="7"/>
  <c r="I16" i="7"/>
  <c r="H16" i="7"/>
  <c r="G16" i="7"/>
  <c r="F16" i="7"/>
  <c r="E16" i="7"/>
  <c r="D16" i="7"/>
  <c r="C16" i="7"/>
  <c r="L37" i="6"/>
  <c r="K37" i="6"/>
  <c r="J37" i="6"/>
  <c r="I37" i="6"/>
  <c r="H37" i="6"/>
  <c r="G37" i="6"/>
  <c r="F37" i="6"/>
  <c r="E37" i="6"/>
  <c r="Z36" i="6"/>
  <c r="Y36" i="6"/>
  <c r="X36" i="6"/>
  <c r="W36" i="6"/>
  <c r="V36" i="6"/>
  <c r="U36" i="6"/>
  <c r="T36" i="6"/>
  <c r="S36" i="6"/>
  <c r="R36" i="6"/>
  <c r="L36" i="6"/>
  <c r="K36" i="6"/>
  <c r="J36" i="6"/>
  <c r="I36" i="6"/>
  <c r="H36" i="6"/>
  <c r="G36" i="6"/>
  <c r="F36" i="6"/>
  <c r="E36" i="6"/>
  <c r="D36" i="6"/>
  <c r="C36" i="6"/>
  <c r="Z35" i="6"/>
  <c r="Y35" i="6"/>
  <c r="X35" i="6"/>
  <c r="W35" i="6"/>
  <c r="V35" i="6"/>
  <c r="U35" i="6"/>
  <c r="T35" i="6"/>
  <c r="S35" i="6"/>
  <c r="R35" i="6"/>
  <c r="L35" i="6"/>
  <c r="K35" i="6"/>
  <c r="J35" i="6"/>
  <c r="I35" i="6"/>
  <c r="H35" i="6"/>
  <c r="G35" i="6"/>
  <c r="F35" i="6"/>
  <c r="E35" i="6"/>
  <c r="D35" i="6"/>
  <c r="C35" i="6"/>
  <c r="K31" i="6"/>
  <c r="L28" i="6"/>
  <c r="K28" i="6"/>
  <c r="J28" i="6"/>
  <c r="I28" i="6"/>
  <c r="H28" i="6"/>
  <c r="G28" i="6"/>
  <c r="F28" i="6"/>
  <c r="E28" i="6"/>
  <c r="L27" i="6"/>
  <c r="K27" i="6"/>
  <c r="J27" i="6"/>
  <c r="I27" i="6"/>
  <c r="H27" i="6"/>
  <c r="G27" i="6"/>
  <c r="F27" i="6"/>
  <c r="E27" i="6"/>
  <c r="L25" i="6"/>
  <c r="K25" i="6"/>
  <c r="J25" i="6"/>
  <c r="I25" i="6"/>
  <c r="H25" i="6"/>
  <c r="G25" i="6"/>
  <c r="F25" i="6"/>
  <c r="E25" i="6"/>
  <c r="L23" i="6"/>
  <c r="K23" i="6"/>
  <c r="J23" i="6"/>
  <c r="I23" i="6"/>
  <c r="H23" i="6"/>
  <c r="G23" i="6"/>
  <c r="F23" i="6"/>
  <c r="E23" i="6"/>
  <c r="D23" i="6"/>
  <c r="Z19" i="6"/>
  <c r="I19" i="6"/>
  <c r="H19" i="6"/>
  <c r="F19" i="6"/>
  <c r="Z18" i="6"/>
  <c r="Y18" i="6"/>
  <c r="Y19" i="6" s="1"/>
  <c r="X18" i="6"/>
  <c r="W18" i="6"/>
  <c r="W19" i="6" s="1"/>
  <c r="V18" i="6"/>
  <c r="U18" i="6"/>
  <c r="T18" i="6"/>
  <c r="X19" i="6" s="1"/>
  <c r="S18" i="6"/>
  <c r="R18" i="6"/>
  <c r="V19" i="6" s="1"/>
  <c r="L18" i="6"/>
  <c r="K18" i="6"/>
  <c r="L19" i="6" s="1"/>
  <c r="J18" i="6"/>
  <c r="K19" i="6" s="1"/>
  <c r="I18" i="6"/>
  <c r="J19" i="6" s="1"/>
  <c r="H18" i="6"/>
  <c r="G18" i="6"/>
  <c r="F18" i="6"/>
  <c r="G19" i="6" s="1"/>
  <c r="Z16" i="6"/>
  <c r="Y16" i="6"/>
  <c r="X16" i="6"/>
  <c r="W16" i="6"/>
  <c r="V16" i="6"/>
  <c r="U16" i="6"/>
  <c r="T16" i="6"/>
  <c r="S16" i="6"/>
  <c r="R16" i="6"/>
  <c r="L16" i="6"/>
  <c r="K16" i="6"/>
  <c r="J16" i="6"/>
  <c r="I16" i="6"/>
  <c r="H16" i="6"/>
  <c r="G16" i="6"/>
  <c r="F16" i="6"/>
  <c r="E16" i="6"/>
  <c r="D16" i="6"/>
  <c r="Z15" i="6"/>
  <c r="Y15" i="6"/>
  <c r="X15" i="6"/>
  <c r="W15" i="6"/>
  <c r="V15" i="6"/>
  <c r="L15" i="6"/>
  <c r="K15" i="6"/>
  <c r="J15" i="6"/>
  <c r="I15" i="6"/>
  <c r="H15" i="6"/>
  <c r="G15" i="6"/>
  <c r="F15" i="6"/>
  <c r="E15" i="6"/>
  <c r="D15" i="6"/>
  <c r="A10" i="6"/>
  <c r="A9" i="6"/>
  <c r="A8" i="6"/>
  <c r="A7" i="6"/>
  <c r="Z62" i="5"/>
  <c r="Y62" i="5"/>
  <c r="X62" i="5"/>
  <c r="W62" i="5"/>
  <c r="V62" i="5"/>
  <c r="U62" i="5"/>
  <c r="T62" i="5"/>
  <c r="S62" i="5"/>
  <c r="L62" i="5"/>
  <c r="K62" i="5"/>
  <c r="J62" i="5"/>
  <c r="I62" i="5"/>
  <c r="H62" i="5"/>
  <c r="G62" i="5"/>
  <c r="F62" i="5"/>
  <c r="E62" i="5"/>
  <c r="D62" i="5"/>
  <c r="Z61" i="5"/>
  <c r="Y61" i="5"/>
  <c r="X61" i="5"/>
  <c r="W61" i="5"/>
  <c r="V61" i="5"/>
  <c r="U61" i="5"/>
  <c r="T61" i="5"/>
  <c r="S61" i="5"/>
  <c r="L61" i="5"/>
  <c r="K61" i="5"/>
  <c r="J61" i="5"/>
  <c r="I61" i="5"/>
  <c r="H61" i="5"/>
  <c r="G61" i="5"/>
  <c r="F61" i="5"/>
  <c r="E61" i="5"/>
  <c r="D61" i="5"/>
  <c r="Z60" i="5"/>
  <c r="Y60" i="5"/>
  <c r="X60" i="5"/>
  <c r="W60" i="5"/>
  <c r="V60" i="5"/>
  <c r="U60" i="5"/>
  <c r="T60" i="5"/>
  <c r="S60" i="5"/>
  <c r="R60" i="5"/>
  <c r="L60" i="5"/>
  <c r="K60" i="5"/>
  <c r="J60" i="5"/>
  <c r="I60" i="5"/>
  <c r="H60" i="5"/>
  <c r="G60" i="5"/>
  <c r="F60" i="5"/>
  <c r="E60" i="5"/>
  <c r="D60" i="5"/>
  <c r="C60" i="5"/>
  <c r="Z59" i="5"/>
  <c r="Y59" i="5"/>
  <c r="X59" i="5"/>
  <c r="W59" i="5"/>
  <c r="V59" i="5"/>
  <c r="U59" i="5"/>
  <c r="T59" i="5"/>
  <c r="S59" i="5"/>
  <c r="R59" i="5"/>
  <c r="L59" i="5"/>
  <c r="K59" i="5"/>
  <c r="J59" i="5"/>
  <c r="I59" i="5"/>
  <c r="H59" i="5"/>
  <c r="G59" i="5"/>
  <c r="F59" i="5"/>
  <c r="E59" i="5"/>
  <c r="D59" i="5"/>
  <c r="C59" i="5"/>
  <c r="V58" i="5"/>
  <c r="K58" i="5"/>
  <c r="C58" i="5"/>
  <c r="U57" i="5"/>
  <c r="R57" i="5"/>
  <c r="K57" i="5"/>
  <c r="H57" i="5"/>
  <c r="Z56" i="5"/>
  <c r="W56" i="5"/>
  <c r="V56" i="5"/>
  <c r="S56" i="5"/>
  <c r="R56" i="5"/>
  <c r="L56" i="5"/>
  <c r="G56" i="5"/>
  <c r="D56" i="5"/>
  <c r="C56" i="5"/>
  <c r="X55" i="5"/>
  <c r="W55" i="5"/>
  <c r="V55" i="5"/>
  <c r="L55" i="5"/>
  <c r="H55" i="5"/>
  <c r="E55" i="5"/>
  <c r="D55" i="5"/>
  <c r="C55" i="5"/>
  <c r="Z54" i="5"/>
  <c r="Y54" i="5"/>
  <c r="Y57" i="5" s="1"/>
  <c r="X54" i="5"/>
  <c r="W54" i="5"/>
  <c r="W57" i="5" s="1"/>
  <c r="V54" i="5"/>
  <c r="V57" i="5" s="1"/>
  <c r="U54" i="5"/>
  <c r="T54" i="5"/>
  <c r="T57" i="5" s="1"/>
  <c r="S54" i="5"/>
  <c r="S57" i="5" s="1"/>
  <c r="R54" i="5"/>
  <c r="L54" i="5"/>
  <c r="L58" i="5" s="1"/>
  <c r="K54" i="5"/>
  <c r="J54" i="5"/>
  <c r="J57" i="5" s="1"/>
  <c r="I54" i="5"/>
  <c r="I57" i="5" s="1"/>
  <c r="H54" i="5"/>
  <c r="G54" i="5"/>
  <c r="F54" i="5"/>
  <c r="F57" i="5" s="1"/>
  <c r="E54" i="5"/>
  <c r="D54" i="5"/>
  <c r="D57" i="5" s="1"/>
  <c r="C54" i="5"/>
  <c r="C57" i="5" s="1"/>
  <c r="Z53" i="5"/>
  <c r="Y53" i="5"/>
  <c r="X53" i="5"/>
  <c r="W53" i="5"/>
  <c r="V53" i="5"/>
  <c r="U53" i="5"/>
  <c r="T53" i="5"/>
  <c r="S53" i="5"/>
  <c r="R53" i="5"/>
  <c r="L53" i="5"/>
  <c r="K53" i="5"/>
  <c r="J53" i="5"/>
  <c r="I53" i="5"/>
  <c r="H53" i="5"/>
  <c r="H58" i="5" s="1"/>
  <c r="G53" i="5"/>
  <c r="F53" i="5"/>
  <c r="E53" i="5"/>
  <c r="D53" i="5"/>
  <c r="C53" i="5"/>
  <c r="Z52" i="5"/>
  <c r="Y52" i="5"/>
  <c r="Y56" i="5" s="1"/>
  <c r="X52" i="5"/>
  <c r="X56" i="5" s="1"/>
  <c r="W52" i="5"/>
  <c r="V52" i="5"/>
  <c r="U52" i="5"/>
  <c r="T52" i="5"/>
  <c r="T56" i="5" s="1"/>
  <c r="S52" i="5"/>
  <c r="R52" i="5"/>
  <c r="L52" i="5"/>
  <c r="K52" i="5"/>
  <c r="K56" i="5" s="1"/>
  <c r="J52" i="5"/>
  <c r="J56" i="5" s="1"/>
  <c r="I52" i="5"/>
  <c r="I56" i="5" s="1"/>
  <c r="H52" i="5"/>
  <c r="H56" i="5" s="1"/>
  <c r="G52" i="5"/>
  <c r="F52" i="5"/>
  <c r="F56" i="5" s="1"/>
  <c r="E52" i="5"/>
  <c r="E56" i="5" s="1"/>
  <c r="D52" i="5"/>
  <c r="C52" i="5"/>
  <c r="Z51" i="5"/>
  <c r="Y51" i="5"/>
  <c r="Y55" i="5" s="1"/>
  <c r="X51" i="5"/>
  <c r="W51" i="5"/>
  <c r="W58" i="5" s="1"/>
  <c r="V51" i="5"/>
  <c r="U51" i="5"/>
  <c r="U55" i="5" s="1"/>
  <c r="T51" i="5"/>
  <c r="T55" i="5" s="1"/>
  <c r="S51" i="5"/>
  <c r="S55" i="5" s="1"/>
  <c r="R51" i="5"/>
  <c r="R58" i="5" s="1"/>
  <c r="L51" i="5"/>
  <c r="K51" i="5"/>
  <c r="K55" i="5" s="1"/>
  <c r="J51" i="5"/>
  <c r="J55" i="5" s="1"/>
  <c r="I51" i="5"/>
  <c r="H51" i="5"/>
  <c r="G51" i="5"/>
  <c r="F51" i="5"/>
  <c r="F55" i="5" s="1"/>
  <c r="E51" i="5"/>
  <c r="D51" i="5"/>
  <c r="D58" i="5" s="1"/>
  <c r="C51" i="5"/>
  <c r="Z50" i="5"/>
  <c r="Z57" i="5" s="1"/>
  <c r="Y50" i="5"/>
  <c r="Y58" i="5" s="1"/>
  <c r="X50" i="5"/>
  <c r="X57" i="5" s="1"/>
  <c r="W50" i="5"/>
  <c r="V50" i="5"/>
  <c r="U50" i="5"/>
  <c r="U58" i="5" s="1"/>
  <c r="T50" i="5"/>
  <c r="T58" i="5" s="1"/>
  <c r="S50" i="5"/>
  <c r="S58" i="5" s="1"/>
  <c r="R50" i="5"/>
  <c r="L50" i="5"/>
  <c r="K50" i="5"/>
  <c r="J50" i="5"/>
  <c r="J58" i="5" s="1"/>
  <c r="I50" i="5"/>
  <c r="I58" i="5" s="1"/>
  <c r="H50" i="5"/>
  <c r="G50" i="5"/>
  <c r="G57" i="5" s="1"/>
  <c r="F50" i="5"/>
  <c r="F58" i="5" s="1"/>
  <c r="E50" i="5"/>
  <c r="E57" i="5" s="1"/>
  <c r="D50" i="5"/>
  <c r="C50" i="5"/>
  <c r="Z46" i="5"/>
  <c r="Y46" i="5"/>
  <c r="X46" i="5"/>
  <c r="W46" i="5"/>
  <c r="V46" i="5"/>
  <c r="U46" i="5"/>
  <c r="T46" i="5"/>
  <c r="S46" i="5"/>
  <c r="R46" i="5"/>
  <c r="L46" i="5"/>
  <c r="K46" i="5"/>
  <c r="J46" i="5"/>
  <c r="I46" i="5"/>
  <c r="H46" i="5"/>
  <c r="G46" i="5"/>
  <c r="F46" i="5"/>
  <c r="E46" i="5"/>
  <c r="D46" i="5"/>
  <c r="C46" i="5"/>
  <c r="Z43" i="5"/>
  <c r="Y43" i="5"/>
  <c r="X43" i="5"/>
  <c r="W43" i="5"/>
  <c r="V43" i="5"/>
  <c r="U43" i="5"/>
  <c r="T43" i="5"/>
  <c r="S43" i="5"/>
  <c r="R43" i="5"/>
  <c r="L43" i="5"/>
  <c r="K43" i="5"/>
  <c r="J43" i="5"/>
  <c r="I43" i="5"/>
  <c r="H43" i="5"/>
  <c r="G43" i="5"/>
  <c r="F43" i="5"/>
  <c r="E43" i="5"/>
  <c r="D43" i="5"/>
  <c r="C43" i="5"/>
  <c r="Z42" i="5"/>
  <c r="Y42" i="5"/>
  <c r="X42" i="5"/>
  <c r="W42" i="5"/>
  <c r="V42" i="5"/>
  <c r="U42" i="5"/>
  <c r="T42" i="5"/>
  <c r="S42" i="5"/>
  <c r="R42" i="5"/>
  <c r="L42" i="5"/>
  <c r="K42" i="5"/>
  <c r="J42" i="5"/>
  <c r="I42" i="5"/>
  <c r="H42" i="5"/>
  <c r="G42" i="5"/>
  <c r="F42" i="5"/>
  <c r="E42" i="5"/>
  <c r="D42" i="5"/>
  <c r="C42" i="5"/>
  <c r="Z41" i="5"/>
  <c r="Y41" i="5"/>
  <c r="X41" i="5"/>
  <c r="W41" i="5"/>
  <c r="V41" i="5"/>
  <c r="U41" i="5"/>
  <c r="T41" i="5"/>
  <c r="S41" i="5"/>
  <c r="R41" i="5"/>
  <c r="L41" i="5"/>
  <c r="K41" i="5"/>
  <c r="J41" i="5"/>
  <c r="I41" i="5"/>
  <c r="H41" i="5"/>
  <c r="G41" i="5"/>
  <c r="F41" i="5"/>
  <c r="E41" i="5"/>
  <c r="D41" i="5"/>
  <c r="C41" i="5"/>
  <c r="Z38" i="5"/>
  <c r="Y38" i="5"/>
  <c r="X38" i="5"/>
  <c r="W38" i="5"/>
  <c r="V38" i="5"/>
  <c r="U38" i="5"/>
  <c r="T38" i="5"/>
  <c r="S38" i="5"/>
  <c r="R38" i="5"/>
  <c r="L38" i="5"/>
  <c r="K38" i="5"/>
  <c r="J38" i="5"/>
  <c r="I38" i="5"/>
  <c r="H38" i="5"/>
  <c r="G38" i="5"/>
  <c r="F38" i="5"/>
  <c r="E38" i="5"/>
  <c r="D38" i="5"/>
  <c r="C38" i="5"/>
  <c r="Z37" i="5"/>
  <c r="Y37" i="5"/>
  <c r="X37" i="5"/>
  <c r="W37" i="5"/>
  <c r="V37" i="5"/>
  <c r="U37" i="5"/>
  <c r="T37" i="5"/>
  <c r="S37" i="5"/>
  <c r="R37" i="5"/>
  <c r="L37" i="5"/>
  <c r="K37" i="5"/>
  <c r="J37" i="5"/>
  <c r="I37" i="5"/>
  <c r="H37" i="5"/>
  <c r="G37" i="5"/>
  <c r="F37" i="5"/>
  <c r="E37" i="5"/>
  <c r="D37" i="5"/>
  <c r="C37" i="5"/>
  <c r="Z34" i="5"/>
  <c r="Y34" i="5"/>
  <c r="X34" i="5"/>
  <c r="W34" i="5"/>
  <c r="V34" i="5"/>
  <c r="U34" i="5"/>
  <c r="T34" i="5"/>
  <c r="S34" i="5"/>
  <c r="R34" i="5"/>
  <c r="L34" i="5"/>
  <c r="K34" i="5"/>
  <c r="J34" i="5"/>
  <c r="I34" i="5"/>
  <c r="H34" i="5"/>
  <c r="G34" i="5"/>
  <c r="F34" i="5"/>
  <c r="E34" i="5"/>
  <c r="D34" i="5"/>
  <c r="C34" i="5"/>
  <c r="Z33" i="5"/>
  <c r="Y33" i="5"/>
  <c r="X33" i="5"/>
  <c r="W33" i="5"/>
  <c r="V33" i="5"/>
  <c r="U33" i="5"/>
  <c r="T33" i="5"/>
  <c r="S33" i="5"/>
  <c r="R33" i="5"/>
  <c r="L33" i="5"/>
  <c r="K33" i="5"/>
  <c r="J33" i="5"/>
  <c r="I33" i="5"/>
  <c r="H33" i="5"/>
  <c r="G33" i="5"/>
  <c r="F33" i="5"/>
  <c r="E33" i="5"/>
  <c r="D33" i="5"/>
  <c r="C33" i="5"/>
  <c r="Z32" i="5"/>
  <c r="Y32" i="5"/>
  <c r="X32" i="5"/>
  <c r="W32" i="5"/>
  <c r="V32" i="5"/>
  <c r="U32" i="5"/>
  <c r="T32" i="5"/>
  <c r="S32" i="5"/>
  <c r="R32" i="5"/>
  <c r="L32" i="5"/>
  <c r="K32" i="5"/>
  <c r="J32" i="5"/>
  <c r="I32" i="5"/>
  <c r="H32" i="5"/>
  <c r="G32" i="5"/>
  <c r="F32" i="5"/>
  <c r="E32" i="5"/>
  <c r="D32" i="5"/>
  <c r="C32" i="5"/>
  <c r="Z31" i="5"/>
  <c r="Y31" i="5"/>
  <c r="X31" i="5"/>
  <c r="W31" i="5"/>
  <c r="V31" i="5"/>
  <c r="U31" i="5"/>
  <c r="T31" i="5"/>
  <c r="S31" i="5"/>
  <c r="R31" i="5"/>
  <c r="L31" i="5"/>
  <c r="K31" i="5"/>
  <c r="J31" i="5"/>
  <c r="I31" i="5"/>
  <c r="H31" i="5"/>
  <c r="G31" i="5"/>
  <c r="F31" i="5"/>
  <c r="E31" i="5"/>
  <c r="D31" i="5"/>
  <c r="C31" i="5"/>
  <c r="Z30" i="5"/>
  <c r="Y30" i="5"/>
  <c r="X30" i="5"/>
  <c r="W30" i="5"/>
  <c r="V30" i="5"/>
  <c r="U30" i="5"/>
  <c r="T30" i="5"/>
  <c r="S30" i="5"/>
  <c r="R30" i="5"/>
  <c r="L30" i="5"/>
  <c r="K30" i="5"/>
  <c r="J30" i="5"/>
  <c r="I30" i="5"/>
  <c r="H30" i="5"/>
  <c r="G30" i="5"/>
  <c r="F30" i="5"/>
  <c r="E30" i="5"/>
  <c r="D30" i="5"/>
  <c r="C30" i="5"/>
  <c r="Z27" i="5"/>
  <c r="Y27" i="5"/>
  <c r="X27" i="5"/>
  <c r="W27" i="5"/>
  <c r="V27" i="5"/>
  <c r="U27" i="5"/>
  <c r="T27" i="5"/>
  <c r="S27" i="5"/>
  <c r="R27" i="5"/>
  <c r="L27" i="5"/>
  <c r="K27" i="5"/>
  <c r="J27" i="5"/>
  <c r="I27" i="5"/>
  <c r="H27" i="5"/>
  <c r="G27" i="5"/>
  <c r="F27" i="5"/>
  <c r="E27" i="5"/>
  <c r="D27" i="5"/>
  <c r="C27" i="5"/>
  <c r="Z24" i="5"/>
  <c r="Y24" i="5"/>
  <c r="X24" i="5"/>
  <c r="W24" i="5"/>
  <c r="V24" i="5"/>
  <c r="U24" i="5"/>
  <c r="T24" i="5"/>
  <c r="S24" i="5"/>
  <c r="R24" i="5"/>
  <c r="L24" i="5"/>
  <c r="K24" i="5"/>
  <c r="J24" i="5"/>
  <c r="I24" i="5"/>
  <c r="H24" i="5"/>
  <c r="G24" i="5"/>
  <c r="F24" i="5"/>
  <c r="E24" i="5"/>
  <c r="D24" i="5"/>
  <c r="C24" i="5"/>
  <c r="Z23" i="5"/>
  <c r="Y23" i="5"/>
  <c r="X23" i="5"/>
  <c r="W23" i="5"/>
  <c r="V23" i="5"/>
  <c r="U23" i="5"/>
  <c r="T23" i="5"/>
  <c r="S23" i="5"/>
  <c r="R23" i="5"/>
  <c r="L23" i="5"/>
  <c r="K23" i="5"/>
  <c r="J23" i="5"/>
  <c r="I23" i="5"/>
  <c r="H23" i="5"/>
  <c r="G23" i="5"/>
  <c r="F23" i="5"/>
  <c r="E23" i="5"/>
  <c r="D23" i="5"/>
  <c r="C23" i="5"/>
  <c r="Z20" i="5"/>
  <c r="Y20" i="5"/>
  <c r="X20" i="5"/>
  <c r="W20" i="5"/>
  <c r="V20" i="5"/>
  <c r="U20" i="5"/>
  <c r="T20" i="5"/>
  <c r="S20" i="5"/>
  <c r="R20" i="5"/>
  <c r="L20" i="5"/>
  <c r="K20" i="5"/>
  <c r="J20" i="5"/>
  <c r="I20" i="5"/>
  <c r="H20" i="5"/>
  <c r="G20" i="5"/>
  <c r="F20" i="5"/>
  <c r="E20" i="5"/>
  <c r="D20" i="5"/>
  <c r="C20" i="5"/>
  <c r="Z19" i="5"/>
  <c r="Y19" i="5"/>
  <c r="X19" i="5"/>
  <c r="W19" i="5"/>
  <c r="V19" i="5"/>
  <c r="U19" i="5"/>
  <c r="T19" i="5"/>
  <c r="S19" i="5"/>
  <c r="R19" i="5"/>
  <c r="L19" i="5"/>
  <c r="K19" i="5"/>
  <c r="J19" i="5"/>
  <c r="I19" i="5"/>
  <c r="H19" i="5"/>
  <c r="G19" i="5"/>
  <c r="F19" i="5"/>
  <c r="E19" i="5"/>
  <c r="D19" i="5"/>
  <c r="C19" i="5"/>
  <c r="Z16" i="5"/>
  <c r="Y16" i="5"/>
  <c r="X16" i="5"/>
  <c r="W16" i="5"/>
  <c r="V16" i="5"/>
  <c r="U16" i="5"/>
  <c r="T16" i="5"/>
  <c r="S16" i="5"/>
  <c r="R16" i="5"/>
  <c r="L16" i="5"/>
  <c r="K16" i="5"/>
  <c r="J16" i="5"/>
  <c r="I16" i="5"/>
  <c r="H16" i="5"/>
  <c r="G16" i="5"/>
  <c r="F16" i="5"/>
  <c r="E16" i="5"/>
  <c r="D16" i="5"/>
  <c r="C16" i="5"/>
  <c r="Z15" i="5"/>
  <c r="Y15" i="5"/>
  <c r="X15" i="5"/>
  <c r="W15" i="5"/>
  <c r="V15" i="5"/>
  <c r="U15" i="5"/>
  <c r="T15" i="5"/>
  <c r="S15" i="5"/>
  <c r="R15" i="5"/>
  <c r="L15" i="5"/>
  <c r="K15" i="5"/>
  <c r="J15" i="5"/>
  <c r="I15" i="5"/>
  <c r="H15" i="5"/>
  <c r="G15" i="5"/>
  <c r="F15" i="5"/>
  <c r="E15" i="5"/>
  <c r="D15" i="5"/>
  <c r="C15" i="5"/>
  <c r="Z14" i="5"/>
  <c r="Y14" i="5"/>
  <c r="X14" i="5"/>
  <c r="W14" i="5"/>
  <c r="V14" i="5"/>
  <c r="U14" i="5"/>
  <c r="T14" i="5"/>
  <c r="S14" i="5"/>
  <c r="R14" i="5"/>
  <c r="L14" i="5"/>
  <c r="K14" i="5"/>
  <c r="J14" i="5"/>
  <c r="I14" i="5"/>
  <c r="H14" i="5"/>
  <c r="G14" i="5"/>
  <c r="F14" i="5"/>
  <c r="E14" i="5"/>
  <c r="D14" i="5"/>
  <c r="C14" i="5"/>
  <c r="Z11" i="5"/>
  <c r="Y11" i="5"/>
  <c r="X11" i="5"/>
  <c r="W11" i="5"/>
  <c r="V11" i="5"/>
  <c r="U11" i="5"/>
  <c r="T11" i="5"/>
  <c r="S11" i="5"/>
  <c r="R11" i="5"/>
  <c r="L11" i="5"/>
  <c r="K11" i="5"/>
  <c r="J11" i="5"/>
  <c r="I11" i="5"/>
  <c r="H11" i="5"/>
  <c r="G11" i="5"/>
  <c r="F11" i="5"/>
  <c r="E11" i="5"/>
  <c r="D11" i="5"/>
  <c r="C11" i="5"/>
  <c r="Z10" i="5"/>
  <c r="Y10" i="5"/>
  <c r="X10" i="5"/>
  <c r="W10" i="5"/>
  <c r="V10" i="5"/>
  <c r="U10" i="5"/>
  <c r="T10" i="5"/>
  <c r="S10" i="5"/>
  <c r="R10" i="5"/>
  <c r="L10" i="5"/>
  <c r="K10" i="5"/>
  <c r="J10" i="5"/>
  <c r="I10" i="5"/>
  <c r="H10" i="5"/>
  <c r="G10" i="5"/>
  <c r="F10" i="5"/>
  <c r="E10" i="5"/>
  <c r="D10" i="5"/>
  <c r="C10" i="5"/>
  <c r="Z9" i="5"/>
  <c r="Y9" i="5"/>
  <c r="X9" i="5"/>
  <c r="W9" i="5"/>
  <c r="V9" i="5"/>
  <c r="U9" i="5"/>
  <c r="T9" i="5"/>
  <c r="S9" i="5"/>
  <c r="R9" i="5"/>
  <c r="L9" i="5"/>
  <c r="K9" i="5"/>
  <c r="J9" i="5"/>
  <c r="I9" i="5"/>
  <c r="H9" i="5"/>
  <c r="G9" i="5"/>
  <c r="F9" i="5"/>
  <c r="E9" i="5"/>
  <c r="D9" i="5"/>
  <c r="C9" i="5"/>
  <c r="Z8" i="5"/>
  <c r="Y8" i="5"/>
  <c r="X8" i="5"/>
  <c r="W8" i="5"/>
  <c r="V8" i="5"/>
  <c r="U8" i="5"/>
  <c r="T8" i="5"/>
  <c r="S8" i="5"/>
  <c r="R8" i="5"/>
  <c r="L8" i="5"/>
  <c r="K8" i="5"/>
  <c r="J8" i="5"/>
  <c r="I8" i="5"/>
  <c r="H8" i="5"/>
  <c r="G8" i="5"/>
  <c r="F8" i="5"/>
  <c r="E8" i="5"/>
  <c r="D8" i="5"/>
  <c r="C8" i="5"/>
  <c r="Z7" i="5"/>
  <c r="Y7" i="5"/>
  <c r="X7" i="5"/>
  <c r="W7" i="5"/>
  <c r="V7" i="5"/>
  <c r="U7" i="5"/>
  <c r="T7" i="5"/>
  <c r="S7" i="5"/>
  <c r="R7" i="5"/>
  <c r="L7" i="5"/>
  <c r="K7" i="5"/>
  <c r="J7" i="5"/>
  <c r="I7" i="5"/>
  <c r="H7" i="5"/>
  <c r="G7" i="5"/>
  <c r="F7" i="5"/>
  <c r="E7" i="5"/>
  <c r="D7" i="5"/>
  <c r="C7" i="5"/>
  <c r="Z43" i="3"/>
  <c r="Y43" i="3"/>
  <c r="X43" i="3"/>
  <c r="W43" i="3"/>
  <c r="V43" i="3"/>
  <c r="U43" i="3"/>
  <c r="T43" i="3"/>
  <c r="S43" i="3"/>
  <c r="R43" i="3"/>
  <c r="L43" i="3"/>
  <c r="K43" i="3"/>
  <c r="J43" i="3"/>
  <c r="I43" i="3"/>
  <c r="H43" i="3"/>
  <c r="G43" i="3"/>
  <c r="F43" i="3"/>
  <c r="E43" i="3"/>
  <c r="D43" i="3"/>
  <c r="C43" i="3"/>
  <c r="Z73" i="2"/>
  <c r="Y73" i="2"/>
  <c r="X73" i="2"/>
  <c r="W73" i="2"/>
  <c r="V73" i="2"/>
  <c r="U73" i="2"/>
  <c r="T73" i="2"/>
  <c r="S73" i="2"/>
  <c r="R73" i="2"/>
  <c r="L73" i="2"/>
  <c r="K73" i="2"/>
  <c r="J73" i="2"/>
  <c r="I73" i="2"/>
  <c r="H73" i="2"/>
  <c r="G73" i="2"/>
  <c r="F73" i="2"/>
  <c r="E73" i="2"/>
  <c r="D73" i="2"/>
  <c r="C73" i="2"/>
  <c r="Z70" i="2"/>
  <c r="Y70" i="2"/>
  <c r="X70" i="2"/>
  <c r="W70" i="2"/>
  <c r="V70" i="2"/>
  <c r="U70" i="2"/>
  <c r="T70" i="2"/>
  <c r="S70" i="2"/>
  <c r="R70" i="2"/>
  <c r="L70" i="2"/>
  <c r="K70" i="2"/>
  <c r="J70" i="2"/>
  <c r="I70" i="2"/>
  <c r="H70" i="2"/>
  <c r="G70" i="2"/>
  <c r="F70" i="2"/>
  <c r="E70" i="2"/>
  <c r="D70" i="2"/>
  <c r="C70" i="2"/>
  <c r="Z69" i="2"/>
  <c r="Y69" i="2"/>
  <c r="X69" i="2"/>
  <c r="W69" i="2"/>
  <c r="V69" i="2"/>
  <c r="L69" i="2"/>
  <c r="K69" i="2"/>
  <c r="J69" i="2"/>
  <c r="I69" i="2"/>
  <c r="H69" i="2"/>
  <c r="G69" i="2"/>
  <c r="F69" i="2"/>
  <c r="E69" i="2"/>
  <c r="D69" i="2"/>
  <c r="Z68" i="2"/>
  <c r="Y68" i="2"/>
  <c r="X68" i="2"/>
  <c r="W68" i="2"/>
  <c r="V68" i="2"/>
  <c r="L68" i="2"/>
  <c r="K68" i="2"/>
  <c r="J68" i="2"/>
  <c r="I68" i="2"/>
  <c r="H68" i="2"/>
  <c r="G68" i="2"/>
  <c r="F68" i="2"/>
  <c r="E68" i="2"/>
  <c r="D68" i="2"/>
  <c r="Z67" i="2"/>
  <c r="Y67" i="2"/>
  <c r="X67" i="2"/>
  <c r="W67" i="2"/>
  <c r="V67" i="2"/>
  <c r="L67" i="2"/>
  <c r="K67" i="2"/>
  <c r="J67" i="2"/>
  <c r="I67" i="2"/>
  <c r="H67" i="2"/>
  <c r="G67" i="2"/>
  <c r="F67" i="2"/>
  <c r="E67" i="2"/>
  <c r="D67" i="2"/>
  <c r="Z66" i="2"/>
  <c r="Y66" i="2"/>
  <c r="X66" i="2"/>
  <c r="W66" i="2"/>
  <c r="V66" i="2"/>
  <c r="U66" i="2"/>
  <c r="T66" i="2"/>
  <c r="S66" i="2"/>
  <c r="R66" i="2"/>
  <c r="L66" i="2"/>
  <c r="K66" i="2"/>
  <c r="J66" i="2"/>
  <c r="I66" i="2"/>
  <c r="H66" i="2"/>
  <c r="G66" i="2"/>
  <c r="F66" i="2"/>
  <c r="E66" i="2"/>
  <c r="D66" i="2"/>
  <c r="C66" i="2"/>
  <c r="Z65" i="2"/>
  <c r="Y65" i="2"/>
  <c r="X65" i="2"/>
  <c r="W65" i="2"/>
  <c r="V65" i="2"/>
  <c r="U65" i="2"/>
  <c r="T65" i="2"/>
  <c r="S65" i="2"/>
  <c r="R65" i="2"/>
  <c r="L65" i="2"/>
  <c r="K65" i="2"/>
  <c r="J65" i="2"/>
  <c r="I65" i="2"/>
  <c r="H65" i="2"/>
  <c r="G65" i="2"/>
  <c r="F65" i="2"/>
  <c r="E65" i="2"/>
  <c r="D65" i="2"/>
  <c r="C65" i="2"/>
  <c r="Z64" i="2"/>
  <c r="Y64" i="2"/>
  <c r="X64" i="2"/>
  <c r="W64" i="2"/>
  <c r="V64" i="2"/>
  <c r="U64" i="2"/>
  <c r="T64" i="2"/>
  <c r="S64" i="2"/>
  <c r="R64" i="2"/>
  <c r="L64" i="2"/>
  <c r="K64" i="2"/>
  <c r="J64" i="2"/>
  <c r="I64" i="2"/>
  <c r="H64" i="2"/>
  <c r="G64" i="2"/>
  <c r="F64" i="2"/>
  <c r="E64" i="2"/>
  <c r="D64" i="2"/>
  <c r="C64" i="2"/>
  <c r="Z63" i="2"/>
  <c r="Y63" i="2"/>
  <c r="X63" i="2"/>
  <c r="W63" i="2"/>
  <c r="V63" i="2"/>
  <c r="U63" i="2"/>
  <c r="T63" i="2"/>
  <c r="S63" i="2"/>
  <c r="R63" i="2"/>
  <c r="L63" i="2"/>
  <c r="K63" i="2"/>
  <c r="J63" i="2"/>
  <c r="I63" i="2"/>
  <c r="H63" i="2"/>
  <c r="G63" i="2"/>
  <c r="F63" i="2"/>
  <c r="E63" i="2"/>
  <c r="D63" i="2"/>
  <c r="C63" i="2"/>
  <c r="Z62" i="2"/>
  <c r="Y62" i="2"/>
  <c r="X62" i="2"/>
  <c r="W62" i="2"/>
  <c r="V62" i="2"/>
  <c r="U62" i="2"/>
  <c r="T62" i="2"/>
  <c r="S62" i="2"/>
  <c r="R62" i="2"/>
  <c r="L62" i="2"/>
  <c r="K62" i="2"/>
  <c r="J62" i="2"/>
  <c r="I62" i="2"/>
  <c r="H62" i="2"/>
  <c r="G62" i="2"/>
  <c r="F62" i="2"/>
  <c r="E62" i="2"/>
  <c r="D62" i="2"/>
  <c r="C62" i="2"/>
  <c r="Z61" i="2"/>
  <c r="Y61" i="2"/>
  <c r="X61" i="2"/>
  <c r="W61" i="2"/>
  <c r="V61" i="2"/>
  <c r="U61" i="2"/>
  <c r="T61" i="2"/>
  <c r="S61" i="2"/>
  <c r="R61" i="2"/>
  <c r="L61" i="2"/>
  <c r="K61" i="2"/>
  <c r="J61" i="2"/>
  <c r="I61" i="2"/>
  <c r="H61" i="2"/>
  <c r="G61" i="2"/>
  <c r="F61" i="2"/>
  <c r="E61" i="2"/>
  <c r="D61" i="2"/>
  <c r="C61" i="2"/>
  <c r="Z60" i="2"/>
  <c r="Y60" i="2"/>
  <c r="X60" i="2"/>
  <c r="W60" i="2"/>
  <c r="V60" i="2"/>
  <c r="U60" i="2"/>
  <c r="T60" i="2"/>
  <c r="S60" i="2"/>
  <c r="R60" i="2"/>
  <c r="L60" i="2"/>
  <c r="K60" i="2"/>
  <c r="J60" i="2"/>
  <c r="I60" i="2"/>
  <c r="H60" i="2"/>
  <c r="G60" i="2"/>
  <c r="F60" i="2"/>
  <c r="E60" i="2"/>
  <c r="D60" i="2"/>
  <c r="C60" i="2"/>
  <c r="Z59" i="2"/>
  <c r="Y59" i="2"/>
  <c r="X59" i="2"/>
  <c r="W59" i="2"/>
  <c r="V59" i="2"/>
  <c r="U59" i="2"/>
  <c r="T59" i="2"/>
  <c r="S59" i="2"/>
  <c r="R59" i="2"/>
  <c r="L59" i="2"/>
  <c r="K59" i="2"/>
  <c r="J59" i="2"/>
  <c r="I59" i="2"/>
  <c r="H59" i="2"/>
  <c r="G59" i="2"/>
  <c r="F59" i="2"/>
  <c r="E59" i="2"/>
  <c r="D59" i="2"/>
  <c r="C59" i="2"/>
  <c r="Z58" i="2"/>
  <c r="Y58" i="2"/>
  <c r="X58" i="2"/>
  <c r="W58" i="2"/>
  <c r="V58" i="2"/>
  <c r="U58" i="2"/>
  <c r="T58" i="2"/>
  <c r="S58" i="2"/>
  <c r="R58" i="2"/>
  <c r="L58" i="2"/>
  <c r="K58" i="2"/>
  <c r="J58" i="2"/>
  <c r="I58" i="2"/>
  <c r="H58" i="2"/>
  <c r="G58" i="2"/>
  <c r="F58" i="2"/>
  <c r="E58" i="2"/>
  <c r="D58" i="2"/>
  <c r="C58" i="2"/>
  <c r="Z57" i="2"/>
  <c r="Z31" i="6" s="1"/>
  <c r="Y57" i="2"/>
  <c r="Y31" i="6" s="1"/>
  <c r="X57" i="2"/>
  <c r="X31" i="6" s="1"/>
  <c r="W57" i="2"/>
  <c r="W31" i="6" s="1"/>
  <c r="V57" i="2"/>
  <c r="V31" i="6" s="1"/>
  <c r="U57" i="2"/>
  <c r="U31" i="6" s="1"/>
  <c r="T57" i="2"/>
  <c r="T31" i="6" s="1"/>
  <c r="S57" i="2"/>
  <c r="S31" i="6" s="1"/>
  <c r="R57" i="2"/>
  <c r="R31" i="6" s="1"/>
  <c r="L57" i="2"/>
  <c r="L31" i="6" s="1"/>
  <c r="K57" i="2"/>
  <c r="J57" i="2"/>
  <c r="J31" i="6" s="1"/>
  <c r="I57" i="2"/>
  <c r="I31" i="6" s="1"/>
  <c r="H57" i="2"/>
  <c r="H31" i="6" s="1"/>
  <c r="G57" i="2"/>
  <c r="G31" i="6" s="1"/>
  <c r="F57" i="2"/>
  <c r="F31" i="6" s="1"/>
  <c r="E57" i="2"/>
  <c r="E31" i="6" s="1"/>
  <c r="D57" i="2"/>
  <c r="D31" i="6" s="1"/>
  <c r="C57" i="2"/>
  <c r="C31" i="6" s="1"/>
  <c r="Z48" i="2"/>
  <c r="Y48" i="2"/>
  <c r="X48" i="2"/>
  <c r="W48" i="2"/>
  <c r="V48" i="2"/>
  <c r="L48" i="2"/>
  <c r="K48" i="2"/>
  <c r="J48" i="2"/>
  <c r="I48" i="2"/>
  <c r="H48" i="2"/>
  <c r="G48" i="2"/>
  <c r="F48" i="2"/>
  <c r="E48" i="2"/>
  <c r="D48" i="2"/>
  <c r="Z47" i="2"/>
  <c r="Y47" i="2"/>
  <c r="X47" i="2"/>
  <c r="W47" i="2"/>
  <c r="V47" i="2"/>
  <c r="U47" i="2"/>
  <c r="T47" i="2"/>
  <c r="S47" i="2"/>
  <c r="R47" i="2"/>
  <c r="L47" i="2"/>
  <c r="K47" i="2"/>
  <c r="J47" i="2"/>
  <c r="I47" i="2"/>
  <c r="H47" i="2"/>
  <c r="G47" i="2"/>
  <c r="F47" i="2"/>
  <c r="E47" i="2"/>
  <c r="D47" i="2"/>
  <c r="C47" i="2"/>
  <c r="Z39" i="2"/>
  <c r="Y39" i="2"/>
  <c r="X39" i="2"/>
  <c r="W39" i="2"/>
  <c r="V39" i="2"/>
  <c r="U39" i="2"/>
  <c r="T39" i="2"/>
  <c r="S39" i="2"/>
  <c r="R39" i="2"/>
  <c r="L39" i="2"/>
  <c r="K39" i="2"/>
  <c r="J39" i="2"/>
  <c r="I39" i="2"/>
  <c r="H39" i="2"/>
  <c r="G39" i="2"/>
  <c r="F39" i="2"/>
  <c r="E39" i="2"/>
  <c r="D39" i="2"/>
  <c r="C39" i="2"/>
  <c r="Z31" i="2"/>
  <c r="Y31" i="2"/>
  <c r="X31" i="2"/>
  <c r="W31" i="2"/>
  <c r="V31" i="2"/>
  <c r="U31" i="2"/>
  <c r="T31" i="2"/>
  <c r="S31" i="2"/>
  <c r="R31" i="2"/>
  <c r="L31" i="2"/>
  <c r="K31" i="2"/>
  <c r="J31" i="2"/>
  <c r="I31" i="2"/>
  <c r="H31" i="2"/>
  <c r="G31" i="2"/>
  <c r="F31" i="2"/>
  <c r="E31" i="2"/>
  <c r="D31" i="2"/>
  <c r="C31" i="2"/>
  <c r="L29" i="2"/>
  <c r="K29" i="2"/>
  <c r="J29" i="2"/>
  <c r="I29" i="2"/>
  <c r="H29" i="2"/>
  <c r="G29" i="2"/>
  <c r="F29" i="2"/>
  <c r="E29" i="2"/>
  <c r="D29" i="2"/>
  <c r="L27" i="2"/>
  <c r="K27" i="2"/>
  <c r="J27" i="2"/>
  <c r="I27" i="2"/>
  <c r="H27" i="2"/>
  <c r="G27" i="2"/>
  <c r="F27" i="2"/>
  <c r="E27" i="2"/>
  <c r="D27" i="2"/>
  <c r="L25" i="2"/>
  <c r="K25" i="2"/>
  <c r="J25" i="2"/>
  <c r="I25" i="2"/>
  <c r="H25" i="2"/>
  <c r="G25" i="2"/>
  <c r="F25" i="2"/>
  <c r="E25" i="2"/>
  <c r="D25" i="2"/>
  <c r="L21" i="2"/>
  <c r="K21" i="2"/>
  <c r="J21" i="2"/>
  <c r="I21" i="2"/>
  <c r="H21" i="2"/>
  <c r="G21" i="2"/>
  <c r="F21" i="2"/>
  <c r="E21" i="2"/>
  <c r="D21" i="2"/>
  <c r="L19" i="2"/>
  <c r="K19" i="2"/>
  <c r="J19" i="2"/>
  <c r="I19" i="2"/>
  <c r="H19" i="2"/>
  <c r="G19" i="2"/>
  <c r="F19" i="2"/>
  <c r="E19" i="2"/>
  <c r="D19" i="2"/>
  <c r="L17" i="2"/>
  <c r="K17" i="2"/>
  <c r="J17" i="2"/>
  <c r="I17" i="2"/>
  <c r="H17" i="2"/>
  <c r="G17" i="2"/>
  <c r="F17" i="2"/>
  <c r="E17" i="2"/>
  <c r="D17" i="2"/>
  <c r="Z14" i="2"/>
  <c r="Y14" i="2"/>
  <c r="X14" i="2"/>
  <c r="W14" i="2"/>
  <c r="V14" i="2"/>
  <c r="L14" i="2"/>
  <c r="K14" i="2"/>
  <c r="J14" i="2"/>
  <c r="I14" i="2"/>
  <c r="H14" i="2"/>
  <c r="G14" i="2"/>
  <c r="F14" i="2"/>
  <c r="E14" i="2"/>
  <c r="D14" i="2"/>
  <c r="L12" i="2"/>
  <c r="K12" i="2"/>
  <c r="J12" i="2"/>
  <c r="I12" i="2"/>
  <c r="H12" i="2"/>
  <c r="G12" i="2"/>
  <c r="F12" i="2"/>
  <c r="E12" i="2"/>
  <c r="D12" i="2"/>
  <c r="L10" i="2"/>
  <c r="K10" i="2"/>
  <c r="J10" i="2"/>
  <c r="I10" i="2"/>
  <c r="H10" i="2"/>
  <c r="G10" i="2"/>
  <c r="F10" i="2"/>
  <c r="E10" i="2"/>
  <c r="D10" i="2"/>
  <c r="L8" i="2"/>
  <c r="K8" i="2"/>
  <c r="J8" i="2"/>
  <c r="I8" i="2"/>
  <c r="H8" i="2"/>
  <c r="G8" i="2"/>
  <c r="F8" i="2"/>
  <c r="E8" i="2"/>
  <c r="D8" i="2"/>
  <c r="L70" i="4"/>
  <c r="K70" i="4"/>
  <c r="J70" i="4"/>
  <c r="I70" i="4"/>
  <c r="H70" i="4"/>
  <c r="G70" i="4"/>
  <c r="F70" i="4"/>
  <c r="E70" i="4"/>
  <c r="D70" i="4"/>
  <c r="C70" i="4"/>
  <c r="Z67" i="4"/>
  <c r="Y67" i="4"/>
  <c r="X67" i="4"/>
  <c r="W67" i="4"/>
  <c r="V67" i="4"/>
  <c r="U67" i="4"/>
  <c r="T67" i="4"/>
  <c r="S67" i="4"/>
  <c r="R67" i="4"/>
  <c r="L67" i="4"/>
  <c r="K67" i="4"/>
  <c r="J67" i="4"/>
  <c r="I67" i="4"/>
  <c r="H67" i="4"/>
  <c r="G67" i="4"/>
  <c r="F67" i="4"/>
  <c r="E67" i="4"/>
  <c r="D67" i="4"/>
  <c r="C67" i="4"/>
  <c r="Z66" i="4"/>
  <c r="Y66" i="4"/>
  <c r="X66" i="4"/>
  <c r="W66" i="4"/>
  <c r="V66" i="4"/>
  <c r="U66" i="4"/>
  <c r="T66" i="4"/>
  <c r="S66" i="4"/>
  <c r="R66" i="4"/>
  <c r="L66" i="4"/>
  <c r="K66" i="4"/>
  <c r="J66" i="4"/>
  <c r="I66" i="4"/>
  <c r="H66" i="4"/>
  <c r="G66" i="4"/>
  <c r="F66" i="4"/>
  <c r="E66" i="4"/>
  <c r="D66" i="4"/>
  <c r="C66" i="4"/>
  <c r="Z65" i="4"/>
  <c r="Y65" i="4"/>
  <c r="X65" i="4"/>
  <c r="W65" i="4"/>
  <c r="V65" i="4"/>
  <c r="U65" i="4"/>
  <c r="T65" i="4"/>
  <c r="S65" i="4"/>
  <c r="R65" i="4"/>
  <c r="L65" i="4"/>
  <c r="K65" i="4"/>
  <c r="J65" i="4"/>
  <c r="I65" i="4"/>
  <c r="H65" i="4"/>
  <c r="G65" i="4"/>
  <c r="F65" i="4"/>
  <c r="E65" i="4"/>
  <c r="D65" i="4"/>
  <c r="C65" i="4"/>
  <c r="Z64" i="4"/>
  <c r="Y64" i="4"/>
  <c r="X64" i="4"/>
  <c r="W64" i="4"/>
  <c r="V64" i="4"/>
  <c r="U64" i="4"/>
  <c r="T64" i="4"/>
  <c r="S64" i="4"/>
  <c r="R64" i="4"/>
  <c r="L64" i="4"/>
  <c r="K64" i="4"/>
  <c r="J64" i="4"/>
  <c r="I64" i="4"/>
  <c r="H64" i="4"/>
  <c r="G64" i="4"/>
  <c r="F64" i="4"/>
  <c r="E64" i="4"/>
  <c r="D64" i="4"/>
  <c r="C64" i="4"/>
  <c r="H63" i="4"/>
  <c r="G63" i="4"/>
  <c r="F63" i="4"/>
  <c r="E63" i="4"/>
  <c r="Z62" i="4"/>
  <c r="Y62" i="4"/>
  <c r="X62" i="4"/>
  <c r="W62" i="4"/>
  <c r="V62" i="4"/>
  <c r="Z63" i="4" s="1"/>
  <c r="U62" i="4"/>
  <c r="Y63" i="4" s="1"/>
  <c r="T62" i="4"/>
  <c r="X63" i="4" s="1"/>
  <c r="S62" i="4"/>
  <c r="W63" i="4" s="1"/>
  <c r="R62" i="4"/>
  <c r="L62" i="4"/>
  <c r="L63" i="4" s="1"/>
  <c r="K62" i="4"/>
  <c r="J62" i="4"/>
  <c r="K63" i="4" s="1"/>
  <c r="I62" i="4"/>
  <c r="J63" i="4" s="1"/>
  <c r="H62" i="4"/>
  <c r="I63" i="4" s="1"/>
  <c r="G62" i="4"/>
  <c r="F62" i="4"/>
  <c r="E62" i="4"/>
  <c r="D62" i="4"/>
  <c r="C62" i="4"/>
  <c r="D63" i="4" s="1"/>
  <c r="E58" i="5" l="1"/>
  <c r="X58" i="5"/>
  <c r="G55" i="5"/>
  <c r="Z55" i="5"/>
  <c r="U56" i="5"/>
  <c r="L57" i="5"/>
  <c r="G58" i="5"/>
  <c r="Z58" i="5"/>
  <c r="I55" i="5"/>
  <c r="R55" i="5"/>
  <c r="V6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10-K Verification</author>
  </authors>
  <commentList>
    <comment ref="A10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10-K verification (2026-09-18): GWRE's 10-K repeats this concept once in the current-liability/asset section and once in the non-current section. The original extraction only captured one occurrence; the other was missing. Corrected/added using primary 10-K figures (FY2024/25/26 confirmed against original filing text; FY2017-23 derived via exact reconciliation to Total Current Assets/Liabilities, which were already correct). Quarterly columns (M-Z) were not re-verified against 10-Qs and are left as originally modeled.</t>
        </r>
      </text>
    </comment>
    <comment ref="A25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10-K verification (2026-09-18): GWRE's 10-K repeats this concept once in the current-liability/asset section and once in the non-current section. The original extraction only captured one occurrence; the other was missing. Corrected/added using primary 10-K figures (FY2024/25/26 confirmed against original filing text; FY2017-23 derived via exact reconciliation to Total Current Assets/Liabilities, which were already correct). Quarterly columns (M-Z) were not re-verified against 10-Qs and are left as originally modeled.</t>
        </r>
      </text>
    </comment>
    <comment ref="A28" authorId="0" shapeId="0" xr:uid="{00000000-0006-0000-0200-000003000000}">
      <text>
        <r>
          <rPr>
            <sz val="11"/>
            <color rgb="FF000000"/>
            <rFont val="宋体"/>
            <family val="3"/>
            <charset val="134"/>
          </rPr>
          <t>Reclassified from non-current to current for FY2024 only: the 2018 convertible notes (due April 2025) became due within 12 months as of the July 31, 2024 balance sheet date. See 10-K verification note on row 10/25/30/31.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4" authorId="0" shapeId="0" xr:uid="{00000000-0006-0000-0500-000001000000}">
      <text>
        <r>
          <rPr>
            <sz val="11"/>
            <color theme="1"/>
            <rFont val="宋体"/>
            <family val="2"/>
            <scheme val="minor"/>
          </rPr>
          <t>投研备注(KPI质量层, 2026-09-18, 据FY2026Q4电话会): ARR增速主要由存量客户云迁移合同(cloud transition agreements)驱动,而非新客户净增,公司未披露新客/迁移/提价的具体拆分。完全爬坡ARR(fully ramped ARR)同比增速连续两年超过22%,持续高于当期ARR增速,说明当期ARR系统性低估已签约合同的完全放量价值。FY2026全年ARR客户流失率&lt;1.5%(核心系统客户&lt;1%,该指标有记录以来最低),拉动当年ARR增长约1个百分点;FY2027指引已假设流失率回归正常水平,不可将FY26超低流失率外推。</t>
        </r>
      </text>
    </comment>
    <comment ref="A22" authorId="0" shapeId="0" xr:uid="{00000000-0006-0000-0500-000002000000}">
      <text>
        <r>
          <rPr>
            <sz val="11"/>
            <color theme="1"/>
            <rFont val="宋体"/>
            <family val="2"/>
            <scheme val="minor"/>
          </rPr>
          <t>投研备注(KPI质量层, 2026-09-18): 该客户数序列存在口径断层(定义变更导致HazardHub分析类客户仅计入FY22-23),不适合用于跨年度人均客户产出/客户净增等比率分析,详见row23 Customer YoY Growth(FY19→FY26仅CAGR约7%,与同期ARR CAGR约17%明显背离,主因即口径断层而非真实客户深耕放缓)。更可靠的大客户深度指标(据FY2026Q4电话会): 完全爬坡ARR超过500万美元的客户数,FY2025=86家,FY2026=105家(YoY+22%),该序列口径连续但目前仅披露2年数据。另需注意: GWRE未披露Net Dollar Retention/Gross Retention等标准SaaS留存指标,流失率仅在Q4财报电话会做一次性年度披露,无法跟踪季度趋势。</t>
        </r>
      </text>
    </comment>
    <comment ref="A39" authorId="0" shapeId="0" xr:uid="{00000000-0006-0000-0500-000003000000}">
      <text>
        <r>
          <rPr>
            <sz val="11"/>
            <color theme="1"/>
            <rFont val="宋体"/>
            <family val="2"/>
            <scheme val="minor"/>
          </rPr>
          <t>已按用户要求移除(2026-09-18): Rule of 40口径依赖Cash Flow Statement中未建模的FCF Analytics区块(rows 61-67,原本无公式/无缓存值),且RevGrowth+FCFmargin与RevGrowth+GAAP营业利润率两种口径结果差异巨大(详见KPI质量层投研分析),存在口径选择主观性问题,应用户要求整体移除。</t>
        </r>
      </text>
    </comment>
    <comment ref="A41" authorId="0" shapeId="0" xr:uid="{00000000-0006-0000-0500-000004000000}">
      <text>
        <r>
          <rPr>
            <sz val="11"/>
            <color theme="1"/>
            <rFont val="宋体"/>
            <family val="2"/>
            <scheme val="minor"/>
          </rPr>
          <t>已按用户要求移除(2026-09-18): Estimated Billings依赖递延收入变动做间接估算,在并购(如HazardHub购买法调整)及汇率折算年份与资产负债表口径存在非平凡偏差(详见KPI质量层投研分析),应用户要求整体移除,不再作为KPI质量层的一部分。</t>
        </r>
      </text>
    </comment>
  </commentList>
</comments>
</file>

<file path=xl/sharedStrings.xml><?xml version="1.0" encoding="utf-8"?>
<sst xmlns="http://schemas.openxmlformats.org/spreadsheetml/2006/main" count="534" uniqueCount="345">
  <si>
    <t>Guidewire Software, Inc. — Cash Flow Statement</t>
  </si>
  <si>
    <t>$ in thousands except per-share data  |  USD  |  as of 2026-09-17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</si>
  <si>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</si>
  <si>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</si>
  <si>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</si>
  <si>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</si>
  <si>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</si>
  <si>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</si>
  <si>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</si>
  <si>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</si>
  <si>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</si>
  <si>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</si>
  <si>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·</t>
  </si>
  <si>
    <t>1Q2024</t>
  </si>
  <si>
    <t>2Q2024</t>
  </si>
  <si>
    <t>3Q2024</t>
  </si>
  <si>
    <t>1Q2025</t>
  </si>
  <si>
    <t>2Q2025</t>
  </si>
  <si>
    <t>3Q2025</t>
  </si>
  <si>
    <t>1Q2026</t>
  </si>
  <si>
    <t>2Q2026</t>
  </si>
  <si>
    <t>3Q2026</t>
  </si>
  <si>
    <t>1. CASH FLOW STATEMENT</t>
  </si>
  <si>
    <t>Net Income (Loss)</t>
  </si>
  <si>
    <t>Depreciation and Amortization</t>
  </si>
  <si>
    <t>Amortization of Debt Issuance Costs</t>
  </si>
  <si>
    <t>Amortization of Contract Costs</t>
  </si>
  <si>
    <t>Stock-based Compensation</t>
  </si>
  <si>
    <t>Changes to Allowances / Credit Losses</t>
  </si>
  <si>
    <t>Deferred Income Tax</t>
  </si>
  <si>
    <t>Amortization of Premium on Securities</t>
  </si>
  <si>
    <t>Gains/Losses on Strategic Investments</t>
  </si>
  <si>
    <t>Changes in Fair Value of Strategic Investments</t>
  </si>
  <si>
    <t>Loss on Retirement of Debt</t>
  </si>
  <si>
    <t>Accelerated Depreciation (Lease)</t>
  </si>
  <si>
    <t>Gain from Lease Assignment</t>
  </si>
  <si>
    <t>Excess Tax Benefit from Stock Options/RSUs</t>
  </si>
  <si>
    <t>Other Non-cash Items</t>
  </si>
  <si>
    <t>Change in Accounts Receivable</t>
  </si>
  <si>
    <t>Change in Unbilled Accounts Receivable</t>
  </si>
  <si>
    <t>Change in Prepaid Expenses and Other Assets</t>
  </si>
  <si>
    <t>Change in Operating Lease Assets</t>
  </si>
  <si>
    <t>Change in Accounts Payable</t>
  </si>
  <si>
    <t>Change in Accrued Employee Compensation</t>
  </si>
  <si>
    <t>Change in Deferred Revenue</t>
  </si>
  <si>
    <t>Change in Lease Liabilities</t>
  </si>
  <si>
    <t>Change in Other Liabilities</t>
  </si>
  <si>
    <t>Net Cash from Operating Activities</t>
  </si>
  <si>
    <t>Purchases of Available-for-Sale Securities</t>
  </si>
  <si>
    <t>Maturities and Sales of AFS Securities</t>
  </si>
  <si>
    <t>Purchases of Property and Equipment</t>
  </si>
  <si>
    <t>Capitalized Software Development Costs</t>
  </si>
  <si>
    <t>Acquisition of Strategic Investments</t>
  </si>
  <si>
    <t>Sale of Strategic Investments</t>
  </si>
  <si>
    <t>Acquisitions, Net of Cash</t>
  </si>
  <si>
    <t>Net Cash from Investing Activities</t>
  </si>
  <si>
    <t>Proceeds from Convertible Notes</t>
  </si>
  <si>
    <t>Payment for Retirement of Convertible Notes</t>
  </si>
  <si>
    <t>Payment for Maturity of Convertible Notes</t>
  </si>
  <si>
    <t>Purchase of Capped Calls</t>
  </si>
  <si>
    <t>Payment of Revolving Credit Facility Costs</t>
  </si>
  <si>
    <t>Proceeds from Common Stock, Net</t>
  </si>
  <si>
    <t>Proceeds from ESPP</t>
  </si>
  <si>
    <t>Proceeds from Stock Option Exercises</t>
  </si>
  <si>
    <t>Repurchase and Retirement of Common Stock</t>
  </si>
  <si>
    <t>Excess Tax Benefit (Financing)</t>
  </si>
  <si>
    <t>Net Cash from Financing Activities</t>
  </si>
  <si>
    <t>Effect of Foreign Exchange on Cash</t>
  </si>
  <si>
    <t>Net Change in Cash</t>
  </si>
  <si>
    <t>Cash, Beginning of Period</t>
  </si>
  <si>
    <t>Cash, End of Period</t>
  </si>
  <si>
    <t>2. FCF ANALYTICS</t>
  </si>
  <si>
    <t>Free Cash Flow</t>
  </si>
  <si>
    <t>FCF Growth YoY</t>
  </si>
  <si>
    <t>Total Capex</t>
  </si>
  <si>
    <t>Capex % of Revenue</t>
  </si>
  <si>
    <t>FCF Margin</t>
  </si>
  <si>
    <t>FCF Conversion (FCF/Net Income)</t>
  </si>
  <si>
    <t>3. CF CHECK</t>
  </si>
  <si>
    <t>CF Check (should be 0)</t>
  </si>
  <si>
    <t>Guidewire Software, Inc. — Cover</t>
  </si>
  <si>
    <t>Guidewire Software, Inc.</t>
  </si>
  <si>
    <t>Ticker</t>
  </si>
  <si>
    <t>GWRE</t>
  </si>
  <si>
    <t>Exchange</t>
  </si>
  <si>
    <t>NYSE</t>
  </si>
  <si>
    <t>Currency</t>
  </si>
  <si>
    <t>USD</t>
  </si>
  <si>
    <t>Units</t>
  </si>
  <si>
    <t>In thousands except per-share data</t>
  </si>
  <si>
    <t>Reporting Framework</t>
  </si>
  <si>
    <t>US GAAP</t>
  </si>
  <si>
    <t>Fiscal Year End</t>
  </si>
  <si>
    <t>July 31</t>
  </si>
  <si>
    <t>SIC Code</t>
  </si>
  <si>
    <t>7372 — Prepackaged Software</t>
  </si>
  <si>
    <t>Model Date</t>
  </si>
  <si>
    <t>2026-09-17</t>
  </si>
  <si>
    <t>As-of Date</t>
  </si>
  <si>
    <t>2026-07-31</t>
  </si>
  <si>
    <t>Annual Periods</t>
  </si>
  <si>
    <t>FY2017 – FY2026 (10 years)</t>
  </si>
  <si>
    <t>Quarterly Periods</t>
  </si>
  <si>
    <t>1Q2024 – 3Q2026 (9 quarters)</t>
  </si>
  <si>
    <t>Sheet Directory</t>
  </si>
  <si>
    <t>IS</t>
  </si>
  <si>
    <t>Income Statement — as-reported with margins, growth, EPS</t>
  </si>
  <si>
    <t>BS</t>
  </si>
  <si>
    <t>Balance Sheet — full detail with balance check</t>
  </si>
  <si>
    <t>CF</t>
  </si>
  <si>
    <t>Cash Flow — all line items with FCF analytics</t>
  </si>
  <si>
    <t>DM</t>
  </si>
  <si>
    <t>Derived Metrics — profitability, returns, leverage, quality</t>
  </si>
  <si>
    <t>SEG</t>
  </si>
  <si>
    <t>Segments — geographic revenue breakdown</t>
  </si>
  <si>
    <t>NS</t>
  </si>
  <si>
    <t>Note Schedules — debt, intangibles, leases, revenue contracts</t>
  </si>
  <si>
    <t>Color Legend</t>
  </si>
  <si>
    <t>Blue</t>
  </si>
  <si>
    <t>Input values from SEC filings</t>
  </si>
  <si>
    <t>Black</t>
  </si>
  <si>
    <t>Formulas / Calculations</t>
  </si>
  <si>
    <t>Green</t>
  </si>
  <si>
    <t>Cross-sheet links</t>
  </si>
  <si>
    <t>Grey Italic</t>
  </si>
  <si>
    <t>Memo / analytical annotations</t>
  </si>
  <si>
    <t>Guidewire Software, Inc. — Income Statement</t>
  </si>
  <si>
    <t>1. INCOME STATEMENT</t>
  </si>
  <si>
    <t>Subscription and Support Revenue</t>
  </si>
  <si>
    <t>yoy</t>
  </si>
  <si>
    <t>License Revenue</t>
  </si>
  <si>
    <t>Services Revenue</t>
  </si>
  <si>
    <t>Total Revenue</t>
  </si>
  <si>
    <t>Revenue Growth YoY</t>
  </si>
  <si>
    <t>Cost of Revenue - Subscription and Support</t>
  </si>
  <si>
    <t>Cost of Revenue - License</t>
  </si>
  <si>
    <t>Cost of Revenue - Services</t>
  </si>
  <si>
    <t>Total Cost of Revenue</t>
  </si>
  <si>
    <t>Gross Profit - Subscription and Support</t>
  </si>
  <si>
    <t>Gross Profit - License</t>
  </si>
  <si>
    <t>Gross Profit - Services</t>
  </si>
  <si>
    <t>Total Gross Profit</t>
  </si>
  <si>
    <t>Gross Margin</t>
  </si>
  <si>
    <t>Research and Development</t>
  </si>
  <si>
    <t>Sales and Marketing</t>
  </si>
  <si>
    <t>General and Administrative</t>
  </si>
  <si>
    <t>Total Operating Expenses</t>
  </si>
  <si>
    <t>Income (Loss) from Operations</t>
  </si>
  <si>
    <t>Operating Margin</t>
  </si>
  <si>
    <t>Interest Income</t>
  </si>
  <si>
    <t>Interest Expense</t>
  </si>
  <si>
    <t>Other Income (Expense), Net</t>
  </si>
  <si>
    <t>Income (Loss) Before Income Taxes</t>
  </si>
  <si>
    <t>Provision for (Benefit from) Income Taxes</t>
  </si>
  <si>
    <t>Net Margin</t>
  </si>
  <si>
    <t>Net Income Growth YoY</t>
  </si>
  <si>
    <t>2. EPS &amp; SHARE COUNT</t>
  </si>
  <si>
    <t>Basic EPS</t>
  </si>
  <si>
    <t>Diluted EPS</t>
  </si>
  <si>
    <t>Weighted Avg Shares - Basic</t>
  </si>
  <si>
    <t>Weighted Avg Shares - Diluted</t>
  </si>
  <si>
    <t>3. MARGINS &amp; GROWTH</t>
  </si>
  <si>
    <t>Subscription &amp; Support % of Revenue</t>
  </si>
  <si>
    <t>License % of Revenue</t>
  </si>
  <si>
    <t>Services % of Revenue</t>
  </si>
  <si>
    <t>Subscription &amp; Support Gross Margin</t>
  </si>
  <si>
    <t>License Gross Margin</t>
  </si>
  <si>
    <t>Services Gross Margin</t>
  </si>
  <si>
    <t>R&amp;D % of Revenue</t>
  </si>
  <si>
    <t>S&amp;M % of Revenue</t>
  </si>
  <si>
    <t>G&amp;A % of Revenue</t>
  </si>
  <si>
    <t>Total Opex % of Revenue</t>
  </si>
  <si>
    <t>Sub &amp; Support Revenue Growth YoY</t>
  </si>
  <si>
    <t>License Revenue Growth YoY</t>
  </si>
  <si>
    <t>Services Revenue Growth YoY</t>
  </si>
  <si>
    <t>Effective Tax Rate</t>
  </si>
  <si>
    <t>4. IS CHECK</t>
  </si>
  <si>
    <t>IS Check (should be 0)</t>
  </si>
  <si>
    <t>Guidewire Software, Inc. — Balance Sheet</t>
  </si>
  <si>
    <t>1. BALANCE SHEET</t>
  </si>
  <si>
    <t>Cash and Cash Equivalents</t>
  </si>
  <si>
    <t>Short-term Investments</t>
  </si>
  <si>
    <t>Accounts Receivable, Net</t>
  </si>
  <si>
    <t>Unbilled Accounts Receivable, Net (Current)</t>
  </si>
  <si>
    <t>Prepaid Expenses and Other Current Assets</t>
  </si>
  <si>
    <t>Total Current Assets</t>
  </si>
  <si>
    <t>Unbilled Accounts Receivable, Net (Non-current)</t>
  </si>
  <si>
    <t>Long-term Investments</t>
  </si>
  <si>
    <t>Property and Equipment, Net</t>
  </si>
  <si>
    <t>Operating Lease Assets</t>
  </si>
  <si>
    <t>Intangible Assets, Net</t>
  </si>
  <si>
    <t>Goodwill</t>
  </si>
  <si>
    <t>Deferred Tax Assets, Net</t>
  </si>
  <si>
    <t>Other Assets</t>
  </si>
  <si>
    <t>TOTAL ASSETS</t>
  </si>
  <si>
    <t>Accounts Payable</t>
  </si>
  <si>
    <t>Accrued Employee Compensation</t>
  </si>
  <si>
    <t>Other Current Liabilities</t>
  </si>
  <si>
    <t>Total Current Liabilities</t>
  </si>
  <si>
    <t>Convertible Senior Notes, Net (Current)</t>
  </si>
  <si>
    <t>Lease Liabilities (Non-current)</t>
  </si>
  <si>
    <t>Convertible Senior Notes, Net (Non-current)</t>
  </si>
  <si>
    <t>Deferred Revenue (Non-current)</t>
  </si>
  <si>
    <t>Other Liabilities</t>
  </si>
  <si>
    <t>Total Liabilities</t>
  </si>
  <si>
    <t>Common Stock</t>
  </si>
  <si>
    <t>Additional Paid-in Capital</t>
  </si>
  <si>
    <t>Accumulated Other Comprehensive Income (Loss)</t>
  </si>
  <si>
    <t>Retained Earnings (Accumulated Deficit)</t>
  </si>
  <si>
    <t>Total Stockholders' Equity</t>
  </si>
  <si>
    <t>TOTAL LIABILITIES AND STOCKHOLDERS' EQUITY</t>
  </si>
  <si>
    <t>2. BS CHECK</t>
  </si>
  <si>
    <t>BS Check (should be 0)</t>
  </si>
  <si>
    <t>Guidewire Software, Inc. — Derived Metrics</t>
  </si>
  <si>
    <t>1. PROFITABILITY</t>
  </si>
  <si>
    <t>2. RETURNS</t>
  </si>
  <si>
    <t>Return on Assets (ROA)</t>
  </si>
  <si>
    <t>Return on Equity (ROE)</t>
  </si>
  <si>
    <t>Asset Turnover</t>
  </si>
  <si>
    <t>3. SOLVENCY</t>
  </si>
  <si>
    <t>Equity Ratio</t>
  </si>
  <si>
    <t>Debt to Assets</t>
  </si>
  <si>
    <t>4. LIQUIDITY</t>
  </si>
  <si>
    <t>Current Ratio</t>
  </si>
  <si>
    <t>Cash Ratio</t>
  </si>
  <si>
    <t>5. COVERAGE</t>
  </si>
  <si>
    <t>Interest Coverage</t>
  </si>
  <si>
    <t>6. CASH CONVERSION</t>
  </si>
  <si>
    <t>CFO Margin</t>
  </si>
  <si>
    <t>Capex Intensity</t>
  </si>
  <si>
    <t>D&amp;A / Capex</t>
  </si>
  <si>
    <t>7. EARNINGS QUALITY</t>
  </si>
  <si>
    <t>CFO / Net Income</t>
  </si>
  <si>
    <t>Accrual Ratio</t>
  </si>
  <si>
    <t>8. GROWTH</t>
  </si>
  <si>
    <t>CFO Growth YoY</t>
  </si>
  <si>
    <t>9. WORKING CAPITAL</t>
  </si>
  <si>
    <t>Days Sales Outstanding (DSO)</t>
  </si>
  <si>
    <t>10. CASH FLOW DIRECTION (SOURCES &amp; USES OF CFO)</t>
  </si>
  <si>
    <t>Operating Cash Flow (Source, $K)</t>
  </si>
  <si>
    <t>Capex Deployed (Uses, $K)</t>
  </si>
  <si>
    <t>M&amp;A Deployed (Uses, $K)</t>
  </si>
  <si>
    <t>Net Debt Service (Uses, $K)</t>
  </si>
  <si>
    <t>Buybacks Deployed (Uses, $K)</t>
  </si>
  <si>
    <t>Capex % of CFO</t>
  </si>
  <si>
    <t>M&amp;A % of CFO</t>
  </si>
  <si>
    <t>Buybacks % of CFO</t>
  </si>
  <si>
    <t>Residual Cash After Capex/M&amp;A/Debt/Buybacks ($K)</t>
  </si>
  <si>
    <t>SBC (Non-cash Comp) % of CFO</t>
  </si>
  <si>
    <t>Weighted Avg Diluted Shares (thousands)</t>
  </si>
  <si>
    <t>Diluted Shares Change vs. Prior Period (%)</t>
  </si>
  <si>
    <t>Net Change in Diluted Shares (thousands) -- Buyback vs. SBC Dilution</t>
  </si>
  <si>
    <t>Guidewire Software, Inc. — Operating Metrics</t>
  </si>
  <si>
    <t>CONTENTS</t>
  </si>
  <si>
    <t>1. ANNUAL RECURRING REVENUE (ARR)</t>
  </si>
  <si>
    <t>Annual Recurring Revenue (ARR)</t>
  </si>
  <si>
    <t>Per company disclosure, non-GAAP</t>
  </si>
  <si>
    <t xml:space="preserve">  ARR YoY Growth</t>
  </si>
  <si>
    <t xml:space="preserve">  ARR as % of Revenue</t>
  </si>
  <si>
    <t>Implied Net New ARR</t>
  </si>
  <si>
    <t xml:space="preserve">  Net New ARR YoY Growth</t>
  </si>
  <si>
    <t>2. CUSTOMERS &amp; EMPLOYEES</t>
  </si>
  <si>
    <t>Customers</t>
  </si>
  <si>
    <t>Definition changed: includes HazardHub FY22-23</t>
  </si>
  <si>
    <t xml:space="preserve">  Customer YoY Growth</t>
  </si>
  <si>
    <t>Total Employees</t>
  </si>
  <si>
    <t>As of fiscal year end</t>
  </si>
  <si>
    <t xml:space="preserve">  Employee Growth YoY</t>
  </si>
  <si>
    <t>ARR per Employee</t>
  </si>
  <si>
    <t>In $K</t>
  </si>
  <si>
    <t>Revenue per Employee</t>
  </si>
  <si>
    <t>3. BUSINESS MIX &amp; CONCENTRATION</t>
  </si>
  <si>
    <t>Top 10 Customer Concentration</t>
  </si>
  <si>
    <t>Per 10-K risk factor disclosure</t>
  </si>
  <si>
    <t>4. SBC &amp; EFFICIENCY</t>
  </si>
  <si>
    <t>Stock-Based Compensation</t>
  </si>
  <si>
    <t xml:space="preserve">  SBC % of Revenue</t>
  </si>
  <si>
    <t xml:space="preserve">  SBC per Employee</t>
  </si>
  <si>
    <t>Guidewire Software, Inc. — Segments</t>
  </si>
  <si>
    <t>1. GEOGRAPHIC REVENUE</t>
  </si>
  <si>
    <t>U.S. Revenue</t>
  </si>
  <si>
    <t>Canada Revenue</t>
  </si>
  <si>
    <t>Other Americas Revenue</t>
  </si>
  <si>
    <t>Total Americas Revenue</t>
  </si>
  <si>
    <t>Total EMEA Revenue</t>
  </si>
  <si>
    <t>Total APAC Revenue</t>
  </si>
  <si>
    <t>Total Revenue (Geographic)</t>
  </si>
  <si>
    <t>2. GEOGRAPHIC MIX</t>
  </si>
  <si>
    <t>Americas % of Revenue</t>
  </si>
  <si>
    <t>EMEA % of Revenue</t>
  </si>
  <si>
    <t>APAC % of Revenue</t>
  </si>
  <si>
    <t>Guidewire Software, Inc. — Note Schedules</t>
  </si>
  <si>
    <t>1. CONVERTIBLE SENIOR NOTES</t>
  </si>
  <si>
    <t>2029 Convertible Senior Notes - Principal</t>
  </si>
  <si>
    <t>Less: Unamortized Debt Issuance Costs</t>
  </si>
  <si>
    <t>Net Carrying Amount</t>
  </si>
  <si>
    <t>2. INTANGIBLE ASSETS</t>
  </si>
  <si>
    <t>Acquired Technology, Net</t>
  </si>
  <si>
    <t>Customer Contracts &amp; Relationships, Net</t>
  </si>
  <si>
    <t>Trademarks, Net</t>
  </si>
  <si>
    <t>Total Intangible Assets, Net</t>
  </si>
  <si>
    <t>3. OPERATING LEASES</t>
  </si>
  <si>
    <t>Operating Lease Costs</t>
  </si>
  <si>
    <t>Variable Lease Costs</t>
  </si>
  <si>
    <t>Net Operating Lease Costs</t>
  </si>
  <si>
    <t>Current Lease Liabilities</t>
  </si>
  <si>
    <t>Non-current Lease Liabilities</t>
  </si>
  <si>
    <t>Total Lease Liabilities</t>
  </si>
  <si>
    <t>4. REVENUE CONTRACT BALANCES</t>
  </si>
  <si>
    <t>Unbilled Accounts Receivable, Net</t>
  </si>
  <si>
    <t>Contract Acquisition Costs, Net</t>
  </si>
  <si>
    <t>Costs to Fulfill a Contract, Net</t>
  </si>
  <si>
    <t>Deferred Revenue, Net (Total)</t>
  </si>
  <si>
    <t>Guidewire Software, Inc. — Sources</t>
  </si>
  <si>
    <t>Data Sources</t>
  </si>
  <si>
    <t>Source Type</t>
  </si>
  <si>
    <t>Details</t>
  </si>
  <si>
    <t>Annual 10-K</t>
  </si>
  <si>
    <t>FY2017–FY2026 (10 filings) from SEC EDGAR</t>
  </si>
  <si>
    <t>Quarterly 10-Q</t>
  </si>
  <si>
    <t>1Q2024–3Q2026 (9 filings) from SEC EDGAR</t>
  </si>
  <si>
    <t>CIK</t>
  </si>
  <si>
    <t>0001528396</t>
  </si>
  <si>
    <t>Filing Coverage</t>
  </si>
  <si>
    <t>10-K filed September 2017 (ended Jul 31, 2017)</t>
  </si>
  <si>
    <t>10-K filed September 2018 (ended Jul 31, 2018)</t>
  </si>
  <si>
    <t>10-K filed September 2019 (ended Jul 31, 2019)</t>
  </si>
  <si>
    <t>10-K filed September 2020 (ended Jul 31, 2020)</t>
  </si>
  <si>
    <t>10-K filed September 2021 (ended Jul 31, 2021)</t>
  </si>
  <si>
    <t>10-K filed September 2022 (ended Jul 31, 2022)</t>
  </si>
  <si>
    <t>10-K filed September 2023 (ended Jul 31, 2023)</t>
  </si>
  <si>
    <t>10-K filed September 2024 (ended Jul 31, 2024)</t>
  </si>
  <si>
    <t>10-K filed September 2025 (ended Jul 31, 2025)</t>
  </si>
  <si>
    <t>10-K filed September 2026 (ended Jul 31, 2026)</t>
  </si>
  <si>
    <t>Notes</t>
  </si>
  <si>
    <t>Override policy</t>
  </si>
  <si>
    <t>Later filings override earlier filings for the same period</t>
  </si>
  <si>
    <t>Revenue labels</t>
  </si>
  <si>
    <t>FY2017-2018: "License and other" + "Maintenance"; FY2019+: "Subscription and support" + "License"</t>
  </si>
  <si>
    <t>All financial data in thousands USD unless noted</t>
  </si>
  <si>
    <t>EPS</t>
  </si>
  <si>
    <t>Per-share amounts in dollars</t>
  </si>
  <si>
    <t>Quarterly CF</t>
  </si>
  <si>
    <t>Cumulative YTD figures as reported in 10-Q filings</t>
  </si>
  <si>
    <t>Deferred Revenue (Current)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</si>
</sst>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(#,##0\);&quot;-&quot;"/>
    <numFmt numFmtId="177" formatCode="0.0%;\(0.0%\);&quot;-&quot;"/>
    <numFmt numFmtId="178" formatCode="#,##0.00;\(#,##0.00\);&quot;-&quot;"/>
    <numFmt numFmtId="179" formatCode="0.0&quot;x&quot;;\(0.0&quot;x&quot;\);&quot;-&quot;"/>
  </numFmts>
  <fonts count="19">
    <font>
      <sz val="11"/>
      <color theme="1"/>
      <name val="宋体"/>
      <family val="2"/>
      <scheme val="minor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i/>
      <sz val="8"/>
      <color rgb="FF808080"/>
      <name val="Arial"/>
      <family val="2"/>
    </font>
    <font>
      <i/>
      <sz val="9"/>
      <color rgb="FF999999"/>
      <name val="Arial"/>
      <family val="2"/>
    </font>
    <font>
      <b/>
      <sz val="10"/>
      <color rgb="FFFFFFFF"/>
      <name val="Arial"/>
      <family val="2"/>
    </font>
    <font>
      <sz val="10"/>
      <color rgb="FF0000CC"/>
      <name val="Arial"/>
      <family val="2"/>
    </font>
    <font>
      <b/>
      <sz val="10"/>
      <color rgb="FF0000CC"/>
      <name val="Arial"/>
      <family val="2"/>
    </font>
    <font>
      <i/>
      <sz val="10"/>
      <color rgb="FFBF8F00"/>
      <name val="Arial"/>
      <family val="2"/>
    </font>
    <font>
      <u/>
      <sz val="9"/>
      <color rgb="FF0563C1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4"/>
      <color rgb="FFFFFFFF"/>
      <name val="Arial"/>
      <family val="2"/>
    </font>
    <font>
      <sz val="9"/>
      <name val="宋体"/>
      <family val="3"/>
      <charset val="134"/>
      <scheme val="minor"/>
    </font>
    <font>
      <b/>
      <sz val="10"/>
      <color rgb="FF333333"/>
      <name val="Arial"/>
      <family val="2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4" borderId="0" xfId="0" applyFill="1"/>
    <xf numFmtId="0" fontId="8" fillId="2" borderId="0" xfId="0" applyFont="1" applyFill="1"/>
    <xf numFmtId="0" fontId="4" fillId="0" borderId="0" xfId="0" applyFont="1" applyAlignment="1">
      <alignment indent="1"/>
    </xf>
    <xf numFmtId="176" fontId="9" fillId="0" borderId="0" xfId="0" applyNumberFormat="1" applyFont="1" applyAlignment="1">
      <alignment horizontal="right"/>
    </xf>
    <xf numFmtId="0" fontId="5" fillId="0" borderId="0" xfId="0" applyFont="1"/>
    <xf numFmtId="176" fontId="10" fillId="0" borderId="0" xfId="0" applyNumberFormat="1" applyFont="1" applyAlignment="1">
      <alignment horizontal="right"/>
    </xf>
    <xf numFmtId="177" fontId="4" fillId="0" borderId="0" xfId="0" applyNumberFormat="1" applyFont="1" applyAlignment="1">
      <alignment horizontal="right"/>
    </xf>
    <xf numFmtId="0" fontId="7" fillId="0" borderId="0" xfId="0" applyFont="1"/>
    <xf numFmtId="177" fontId="7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176" fontId="11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/>
    </xf>
    <xf numFmtId="179" fontId="4" fillId="0" borderId="0" xfId="0" applyNumberFormat="1" applyFont="1" applyAlignment="1">
      <alignment horizontal="right"/>
    </xf>
    <xf numFmtId="0" fontId="12" fillId="0" borderId="0" xfId="0" applyFont="1" applyAlignment="1">
      <alignment indent="1"/>
    </xf>
    <xf numFmtId="0" fontId="6" fillId="0" borderId="0" xfId="0" applyFont="1" applyAlignment="1">
      <alignment vertical="top" wrapText="1"/>
    </xf>
    <xf numFmtId="176" fontId="7" fillId="0" borderId="0" xfId="0" applyNumberFormat="1" applyFont="1" applyAlignment="1">
      <alignment horizontal="right"/>
    </xf>
    <xf numFmtId="176" fontId="13" fillId="0" borderId="0" xfId="0" applyNumberFormat="1" applyFont="1" applyAlignment="1">
      <alignment horizontal="right"/>
    </xf>
    <xf numFmtId="177" fontId="9" fillId="0" borderId="0" xfId="0" applyNumberFormat="1" applyFont="1" applyAlignment="1">
      <alignment horizontal="right"/>
    </xf>
    <xf numFmtId="176" fontId="14" fillId="0" borderId="0" xfId="0" applyNumberFormat="1" applyFont="1" applyAlignment="1">
      <alignment horizontal="right"/>
    </xf>
    <xf numFmtId="177" fontId="5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17" fillId="0" borderId="0" xfId="0" applyFont="1"/>
  </cellXfs>
  <cellStyles count="1">
    <cellStyle name="常规" xfId="0" builtinId="0"/>
  </cellStyles>
  <dxfs count="2"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31"/>
  <sheetViews>
    <sheetView showGridLines="0" zoomScale="85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28" customWidth="1"/>
    <col min="2" max="2" width="60" customWidth="1"/>
  </cols>
  <sheetData>
    <row r="1" spans="1:8" ht="28" customHeight="1">
      <c r="A1" s="1" t="s">
        <v>80</v>
      </c>
      <c r="B1" s="2"/>
      <c r="C1" s="2"/>
      <c r="D1" s="2"/>
      <c r="E1" s="2"/>
      <c r="F1" s="2"/>
      <c r="G1" s="2"/>
      <c r="H1" s="2"/>
    </row>
    <row r="2" spans="1:8" ht="16" customHeight="1">
      <c r="A2" s="3" t="s">
        <v>1</v>
      </c>
    </row>
    <row r="4" spans="1:8">
      <c r="A4" s="4" t="s">
        <v>81</v>
      </c>
    </row>
    <row r="6" spans="1:8">
      <c r="A6" s="5" t="s">
        <v>82</v>
      </c>
      <c r="B6" s="5" t="s">
        <v>83</v>
      </c>
    </row>
    <row r="7" spans="1:8">
      <c r="A7" s="5" t="s">
        <v>84</v>
      </c>
      <c r="B7" s="5" t="s">
        <v>85</v>
      </c>
    </row>
    <row r="8" spans="1:8">
      <c r="A8" s="5" t="s">
        <v>86</v>
      </c>
      <c r="B8" s="5" t="s">
        <v>87</v>
      </c>
    </row>
    <row r="9" spans="1:8">
      <c r="A9" s="5" t="s">
        <v>88</v>
      </c>
      <c r="B9" s="5" t="s">
        <v>89</v>
      </c>
    </row>
    <row r="10" spans="1:8">
      <c r="A10" s="5" t="s">
        <v>90</v>
      </c>
      <c r="B10" s="5" t="s">
        <v>91</v>
      </c>
    </row>
    <row r="11" spans="1:8">
      <c r="A11" s="5" t="s">
        <v>92</v>
      </c>
      <c r="B11" s="5" t="s">
        <v>93</v>
      </c>
    </row>
    <row r="12" spans="1:8">
      <c r="A12" s="5" t="s">
        <v>94</v>
      </c>
      <c r="B12" s="5" t="s">
        <v>95</v>
      </c>
    </row>
    <row r="14" spans="1:8">
      <c r="A14" s="5" t="s">
        <v>96</v>
      </c>
      <c r="B14" s="5" t="s">
        <v>97</v>
      </c>
    </row>
    <row r="15" spans="1:8">
      <c r="A15" s="5" t="s">
        <v>98</v>
      </c>
      <c r="B15" s="5" t="s">
        <v>99</v>
      </c>
    </row>
    <row r="16" spans="1:8">
      <c r="A16" s="5" t="s">
        <v>100</v>
      </c>
      <c r="B16" s="5" t="s">
        <v>101</v>
      </c>
    </row>
    <row r="17" spans="1:2">
      <c r="A17" s="5" t="s">
        <v>102</v>
      </c>
      <c r="B17" s="5" t="s">
        <v>103</v>
      </c>
    </row>
    <row r="19" spans="1:2">
      <c r="A19" s="4" t="s">
        <v>104</v>
      </c>
    </row>
    <row r="20" spans="1:2">
      <c r="A20" s="5" t="s">
        <v>105</v>
      </c>
      <c r="B20" s="5" t="s">
        <v>106</v>
      </c>
    </row>
    <row r="21" spans="1:2">
      <c r="A21" s="5" t="s">
        <v>107</v>
      </c>
      <c r="B21" s="5" t="s">
        <v>108</v>
      </c>
    </row>
    <row r="22" spans="1:2">
      <c r="A22" s="5" t="s">
        <v>109</v>
      </c>
      <c r="B22" s="5" t="s">
        <v>110</v>
      </c>
    </row>
    <row r="23" spans="1:2">
      <c r="A23" s="5" t="s">
        <v>111</v>
      </c>
      <c r="B23" s="5" t="s">
        <v>112</v>
      </c>
    </row>
    <row r="24" spans="1:2">
      <c r="A24" s="5" t="s">
        <v>113</v>
      </c>
      <c r="B24" s="5" t="s">
        <v>114</v>
      </c>
    </row>
    <row r="25" spans="1:2">
      <c r="A25" s="5" t="s">
        <v>115</v>
      </c>
      <c r="B25" s="5" t="s">
        <v>116</v>
      </c>
    </row>
    <row r="27" spans="1:2">
      <c r="A27" s="4" t="s">
        <v>117</v>
      </c>
    </row>
    <row r="28" spans="1:2">
      <c r="A28" s="4" t="s">
        <v>118</v>
      </c>
      <c r="B28" s="5" t="s">
        <v>119</v>
      </c>
    </row>
    <row r="29" spans="1:2">
      <c r="A29" s="4" t="s">
        <v>120</v>
      </c>
      <c r="B29" s="5" t="s">
        <v>121</v>
      </c>
    </row>
    <row r="30" spans="1:2">
      <c r="A30" s="4" t="s">
        <v>122</v>
      </c>
      <c r="B30" s="5" t="s">
        <v>123</v>
      </c>
    </row>
    <row r="31" spans="1:2">
      <c r="A31" s="4" t="s">
        <v>124</v>
      </c>
      <c r="B31" s="5" t="s">
        <v>125</v>
      </c>
    </row>
  </sheetData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Z74"/>
  <sheetViews>
    <sheetView showGridLines="0" tabSelected="1" zoomScaleNormal="100" workbookViewId="0">
      <pane xSplit="2" ySplit="5" topLeftCell="E6" activePane="bottomRight" state="frozen"/>
      <selection pane="topRight"/>
      <selection pane="bottomLeft"/>
      <selection pane="bottomRight" activeCell="D13" sqref="D13"/>
    </sheetView>
  </sheetViews>
  <sheetFormatPr baseColWidth="10" defaultColWidth="8.83203125" defaultRowHeight="14"/>
  <cols>
    <col min="1" max="1" width="34.33203125" customWidth="1"/>
    <col min="2" max="2" width="4.1640625" customWidth="1"/>
    <col min="3" max="12" width="12" customWidth="1"/>
    <col min="13" max="17" width="9" customWidth="1"/>
    <col min="18" max="26" width="12" customWidth="1"/>
  </cols>
  <sheetData>
    <row r="1" spans="1:26" ht="28" customHeight="1">
      <c r="A1" s="30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3" t="s">
        <v>1</v>
      </c>
    </row>
    <row r="3" spans="1:26"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</row>
    <row r="4" spans="1:26" hidden="1"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8"/>
      <c r="S4" s="8"/>
      <c r="T4" s="8"/>
      <c r="U4" s="8"/>
      <c r="V4" s="8"/>
      <c r="W4" s="8"/>
      <c r="X4" s="8"/>
      <c r="Y4" s="8"/>
      <c r="Z4" s="8"/>
    </row>
    <row r="5" spans="1:26" ht="8" hidden="1" customHeight="1">
      <c r="M5" s="9"/>
      <c r="N5" s="9"/>
      <c r="O5" s="9"/>
      <c r="P5" s="9"/>
      <c r="Q5" s="9"/>
    </row>
    <row r="6" spans="1:26" ht="20" customHeight="1">
      <c r="A6" s="10" t="s">
        <v>127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1" t="s">
        <v>128</v>
      </c>
      <c r="C7" s="12">
        <v>68643</v>
      </c>
      <c r="D7" s="12">
        <v>110738</v>
      </c>
      <c r="E7" s="12">
        <v>150474</v>
      </c>
      <c r="F7" s="12">
        <v>203473</v>
      </c>
      <c r="G7" s="12">
        <v>252358</v>
      </c>
      <c r="H7" s="12">
        <v>343708</v>
      </c>
      <c r="I7" s="12">
        <v>429667</v>
      </c>
      <c r="J7" s="12">
        <v>549087</v>
      </c>
      <c r="K7" s="12">
        <v>731296</v>
      </c>
      <c r="L7" s="12">
        <v>970885</v>
      </c>
      <c r="M7" s="9"/>
      <c r="N7" s="9"/>
      <c r="O7" s="9"/>
      <c r="P7" s="9"/>
      <c r="Q7" s="9"/>
      <c r="R7" s="12">
        <v>127627</v>
      </c>
      <c r="S7" s="12">
        <v>131642</v>
      </c>
      <c r="T7" s="12">
        <v>137970</v>
      </c>
      <c r="U7" s="12">
        <v>169742</v>
      </c>
      <c r="V7" s="12">
        <v>177838</v>
      </c>
      <c r="W7" s="12">
        <v>181823</v>
      </c>
      <c r="X7" s="12">
        <v>222203</v>
      </c>
      <c r="Y7" s="12">
        <v>237209</v>
      </c>
      <c r="Z7" s="12">
        <v>244738</v>
      </c>
    </row>
    <row r="8" spans="1:26">
      <c r="A8" s="16" t="s">
        <v>129</v>
      </c>
      <c r="C8" s="12"/>
      <c r="D8" s="15">
        <f t="shared" ref="D8:L8" si="0">D7/C7-1</f>
        <v>0.6132453418411199</v>
      </c>
      <c r="E8" s="15">
        <f t="shared" si="0"/>
        <v>0.3588289476060611</v>
      </c>
      <c r="F8" s="15">
        <f t="shared" si="0"/>
        <v>0.35221367146483784</v>
      </c>
      <c r="G8" s="15">
        <f t="shared" si="0"/>
        <v>0.24025300654140835</v>
      </c>
      <c r="H8" s="15">
        <f t="shared" si="0"/>
        <v>0.36198575040220637</v>
      </c>
      <c r="I8" s="15">
        <f t="shared" si="0"/>
        <v>0.25009310228449722</v>
      </c>
      <c r="J8" s="15">
        <f t="shared" si="0"/>
        <v>0.27793616917287101</v>
      </c>
      <c r="K8" s="15">
        <f t="shared" si="0"/>
        <v>0.33183994521815308</v>
      </c>
      <c r="L8" s="15">
        <f t="shared" si="0"/>
        <v>0.32762246750973611</v>
      </c>
      <c r="M8" s="9"/>
      <c r="N8" s="9"/>
      <c r="O8" s="9"/>
      <c r="P8" s="9"/>
      <c r="Q8" s="9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1" t="s">
        <v>130</v>
      </c>
      <c r="C9" s="12">
        <v>271462</v>
      </c>
      <c r="D9" s="12">
        <v>275606</v>
      </c>
      <c r="E9" s="12">
        <v>320272</v>
      </c>
      <c r="F9" s="12">
        <v>331554</v>
      </c>
      <c r="G9" s="12">
        <v>303792</v>
      </c>
      <c r="H9" s="12">
        <v>258631</v>
      </c>
      <c r="I9" s="12">
        <v>265593</v>
      </c>
      <c r="J9" s="12">
        <v>250176</v>
      </c>
      <c r="K9" s="12">
        <v>251935</v>
      </c>
      <c r="L9" s="12">
        <v>234578</v>
      </c>
      <c r="M9" s="9"/>
      <c r="N9" s="9"/>
      <c r="O9" s="9"/>
      <c r="P9" s="9"/>
      <c r="Q9" s="9"/>
      <c r="R9" s="12">
        <v>34025</v>
      </c>
      <c r="S9" s="12">
        <v>71083</v>
      </c>
      <c r="T9" s="12">
        <v>56210</v>
      </c>
      <c r="U9" s="12">
        <v>37370</v>
      </c>
      <c r="V9" s="12">
        <v>63694</v>
      </c>
      <c r="W9" s="12">
        <v>57233</v>
      </c>
      <c r="X9" s="12">
        <v>41967</v>
      </c>
      <c r="Y9" s="12">
        <v>59528</v>
      </c>
      <c r="Z9" s="12">
        <v>55996</v>
      </c>
    </row>
    <row r="10" spans="1:26">
      <c r="A10" s="16" t="s">
        <v>129</v>
      </c>
      <c r="C10" s="12"/>
      <c r="D10" s="15">
        <f t="shared" ref="D10:L10" si="1">D9/C9-1</f>
        <v>1.5265488355644674E-2</v>
      </c>
      <c r="E10" s="15">
        <f t="shared" si="1"/>
        <v>0.16206468654528572</v>
      </c>
      <c r="F10" s="15">
        <f t="shared" si="1"/>
        <v>3.5226307638507315E-2</v>
      </c>
      <c r="G10" s="15">
        <f t="shared" si="1"/>
        <v>-8.3732966575580492E-2</v>
      </c>
      <c r="H10" s="15">
        <f t="shared" si="1"/>
        <v>-0.1486576341707484</v>
      </c>
      <c r="I10" s="15">
        <f t="shared" si="1"/>
        <v>2.6918660176080911E-2</v>
      </c>
      <c r="J10" s="15">
        <f t="shared" si="1"/>
        <v>-5.8047463600320759E-2</v>
      </c>
      <c r="K10" s="15">
        <f t="shared" si="1"/>
        <v>7.031050140700934E-3</v>
      </c>
      <c r="L10" s="15">
        <f t="shared" si="1"/>
        <v>-6.8894754599400643E-2</v>
      </c>
      <c r="M10" s="9"/>
      <c r="N10" s="9"/>
      <c r="O10" s="9"/>
      <c r="P10" s="9"/>
      <c r="Q10" s="9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1" t="s">
        <v>131</v>
      </c>
      <c r="C11" s="12">
        <v>174179</v>
      </c>
      <c r="D11" s="12">
        <v>266505</v>
      </c>
      <c r="E11" s="12">
        <v>248768</v>
      </c>
      <c r="F11" s="12">
        <v>207280</v>
      </c>
      <c r="G11" s="12">
        <v>187117</v>
      </c>
      <c r="H11" s="12">
        <v>210275</v>
      </c>
      <c r="I11" s="12">
        <v>210081</v>
      </c>
      <c r="J11" s="12">
        <v>181234</v>
      </c>
      <c r="K11" s="12">
        <v>219228</v>
      </c>
      <c r="L11" s="12">
        <v>269900</v>
      </c>
      <c r="M11" s="9"/>
      <c r="N11" s="9"/>
      <c r="O11" s="9"/>
      <c r="P11" s="9"/>
      <c r="Q11" s="9"/>
      <c r="R11" s="12">
        <v>45755</v>
      </c>
      <c r="S11" s="12">
        <v>38172</v>
      </c>
      <c r="T11" s="12">
        <v>46498</v>
      </c>
      <c r="U11" s="12">
        <v>55789</v>
      </c>
      <c r="V11" s="12">
        <v>47948</v>
      </c>
      <c r="W11" s="12">
        <v>54452</v>
      </c>
      <c r="X11" s="12">
        <v>68469</v>
      </c>
      <c r="Y11" s="12">
        <v>62358</v>
      </c>
      <c r="Z11" s="12">
        <v>71807</v>
      </c>
    </row>
    <row r="12" spans="1:26">
      <c r="A12" s="16" t="s">
        <v>129</v>
      </c>
      <c r="C12" s="12"/>
      <c r="D12" s="15">
        <f t="shared" ref="D12:L12" si="2">D11/C11-1</f>
        <v>0.53006389978125945</v>
      </c>
      <c r="E12" s="15">
        <f t="shared" si="2"/>
        <v>-6.6554098422168417E-2</v>
      </c>
      <c r="F12" s="15">
        <f t="shared" si="2"/>
        <v>-0.16677386158991514</v>
      </c>
      <c r="G12" s="15">
        <f t="shared" si="2"/>
        <v>-9.7274218448475502E-2</v>
      </c>
      <c r="H12" s="15">
        <f t="shared" si="2"/>
        <v>0.12376213812748182</v>
      </c>
      <c r="I12" s="15">
        <f t="shared" si="2"/>
        <v>-9.2260135536792465E-4</v>
      </c>
      <c r="J12" s="15">
        <f t="shared" si="2"/>
        <v>-0.13731370280986854</v>
      </c>
      <c r="K12" s="15">
        <f t="shared" si="2"/>
        <v>0.20964057516801482</v>
      </c>
      <c r="L12" s="15">
        <f t="shared" si="2"/>
        <v>0.23113835823891105</v>
      </c>
      <c r="M12" s="9"/>
      <c r="N12" s="9"/>
      <c r="O12" s="9"/>
      <c r="P12" s="9"/>
      <c r="Q12" s="9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3" t="s">
        <v>132</v>
      </c>
      <c r="C13" s="14">
        <v>509533</v>
      </c>
      <c r="D13" s="14">
        <v>652849</v>
      </c>
      <c r="E13" s="14">
        <v>719514</v>
      </c>
      <c r="F13" s="14">
        <v>742307</v>
      </c>
      <c r="G13" s="14">
        <v>743267</v>
      </c>
      <c r="H13" s="14">
        <v>812614</v>
      </c>
      <c r="I13" s="14">
        <v>905341</v>
      </c>
      <c r="J13" s="14">
        <v>980497</v>
      </c>
      <c r="K13" s="14">
        <v>1202459</v>
      </c>
      <c r="L13" s="14">
        <v>1475363</v>
      </c>
      <c r="M13" s="9"/>
      <c r="N13" s="9"/>
      <c r="O13" s="9"/>
      <c r="P13" s="9"/>
      <c r="Q13" s="9"/>
      <c r="R13" s="14">
        <v>207407</v>
      </c>
      <c r="S13" s="14">
        <v>240897</v>
      </c>
      <c r="T13" s="14">
        <v>240678</v>
      </c>
      <c r="U13" s="14">
        <v>262901</v>
      </c>
      <c r="V13" s="14">
        <v>289480</v>
      </c>
      <c r="W13" s="14">
        <v>293508</v>
      </c>
      <c r="X13" s="14">
        <v>332639</v>
      </c>
      <c r="Y13" s="14">
        <v>359095</v>
      </c>
      <c r="Z13" s="14">
        <v>372541</v>
      </c>
    </row>
    <row r="14" spans="1:26">
      <c r="A14" s="5" t="s">
        <v>133</v>
      </c>
      <c r="D14" s="15">
        <f t="shared" ref="D14:L14" si="3">IF(N(C13)=0,"",D13/C13-1)</f>
        <v>0.28126931916087861</v>
      </c>
      <c r="E14" s="15">
        <f t="shared" si="3"/>
        <v>0.10211396509759529</v>
      </c>
      <c r="F14" s="15">
        <f t="shared" si="3"/>
        <v>3.1678327315382226E-2</v>
      </c>
      <c r="G14" s="15">
        <f t="shared" si="3"/>
        <v>1.2932654548589717E-3</v>
      </c>
      <c r="H14" s="15">
        <f t="shared" si="3"/>
        <v>9.3300254148240169E-2</v>
      </c>
      <c r="I14" s="15">
        <f t="shared" si="3"/>
        <v>0.11410952801699215</v>
      </c>
      <c r="J14" s="15">
        <f t="shared" si="3"/>
        <v>8.3014024549865839E-2</v>
      </c>
      <c r="K14" s="15">
        <f t="shared" si="3"/>
        <v>0.22637703124027908</v>
      </c>
      <c r="L14" s="15">
        <f t="shared" si="3"/>
        <v>0.22695493151949453</v>
      </c>
      <c r="M14" s="9"/>
      <c r="N14" s="9"/>
      <c r="O14" s="9"/>
      <c r="P14" s="9"/>
      <c r="Q14" s="9"/>
      <c r="V14" s="15">
        <f>IF(N(R13)=0,"",V13/R13-1)</f>
        <v>0.39570988443013011</v>
      </c>
      <c r="W14" s="15">
        <f>IF(N(S13)=0,"",W13/S13-1)</f>
        <v>0.21839624403790836</v>
      </c>
      <c r="X14" s="15">
        <f>IF(N(T13)=0,"",X13/T13-1)</f>
        <v>0.38209142505754579</v>
      </c>
      <c r="Y14" s="15">
        <f>IF(N(U13)=0,"",Y13/U13-1)</f>
        <v>0.36589438609971059</v>
      </c>
      <c r="Z14" s="15">
        <f>IF(N(V13)=0,"",Z13/V13-1)</f>
        <v>0.28693173967113439</v>
      </c>
    </row>
    <row r="15" spans="1:26">
      <c r="M15" s="9"/>
      <c r="N15" s="9"/>
      <c r="O15" s="9"/>
      <c r="P15" s="9"/>
      <c r="Q15" s="9"/>
    </row>
    <row r="16" spans="1:26">
      <c r="A16" s="11" t="s">
        <v>134</v>
      </c>
      <c r="C16" s="12">
        <v>13397</v>
      </c>
      <c r="D16" s="12">
        <v>45134</v>
      </c>
      <c r="E16" s="12">
        <v>73597</v>
      </c>
      <c r="F16" s="12">
        <v>117158</v>
      </c>
      <c r="G16" s="12">
        <v>157488</v>
      </c>
      <c r="H16" s="12">
        <v>202832</v>
      </c>
      <c r="I16" s="12">
        <v>210507</v>
      </c>
      <c r="J16" s="12">
        <v>204794</v>
      </c>
      <c r="K16" s="12">
        <v>235106</v>
      </c>
      <c r="L16" s="12">
        <v>265203</v>
      </c>
      <c r="M16" s="9"/>
      <c r="N16" s="9"/>
      <c r="O16" s="9"/>
      <c r="P16" s="9"/>
      <c r="Q16" s="9"/>
      <c r="R16" s="12">
        <v>48054</v>
      </c>
      <c r="S16" s="12">
        <v>49934</v>
      </c>
      <c r="T16" s="12">
        <v>51185</v>
      </c>
      <c r="U16" s="12">
        <v>54024</v>
      </c>
      <c r="V16" s="12">
        <v>59096</v>
      </c>
      <c r="W16" s="12">
        <v>57411</v>
      </c>
      <c r="X16" s="12">
        <v>63927</v>
      </c>
      <c r="Y16" s="12">
        <v>63928</v>
      </c>
      <c r="Z16" s="12">
        <v>67882</v>
      </c>
    </row>
    <row r="17" spans="1:26">
      <c r="A17" s="16" t="s">
        <v>129</v>
      </c>
      <c r="C17" s="12"/>
      <c r="D17" s="15">
        <f t="shared" ref="D17:L17" si="4">D16/C16-1</f>
        <v>2.3689632007165784</v>
      </c>
      <c r="E17" s="15">
        <f t="shared" si="4"/>
        <v>0.63063322550627032</v>
      </c>
      <c r="F17" s="15">
        <f t="shared" si="4"/>
        <v>0.59188553881272332</v>
      </c>
      <c r="G17" s="15">
        <f t="shared" si="4"/>
        <v>0.34423598900629915</v>
      </c>
      <c r="H17" s="15">
        <f t="shared" si="4"/>
        <v>0.28792034948694512</v>
      </c>
      <c r="I17" s="15">
        <f t="shared" si="4"/>
        <v>3.7839196970892219E-2</v>
      </c>
      <c r="J17" s="15">
        <f t="shared" si="4"/>
        <v>-2.7139240025272349E-2</v>
      </c>
      <c r="K17" s="15">
        <f t="shared" si="4"/>
        <v>0.14801214879342162</v>
      </c>
      <c r="L17" s="15">
        <f t="shared" si="4"/>
        <v>0.12801459767083778</v>
      </c>
      <c r="M17" s="9"/>
      <c r="N17" s="9"/>
      <c r="O17" s="9"/>
      <c r="P17" s="9"/>
      <c r="Q17" s="9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1" t="s">
        <v>135</v>
      </c>
      <c r="C18" s="12">
        <v>17046</v>
      </c>
      <c r="D18" s="12">
        <v>5101</v>
      </c>
      <c r="E18" s="12">
        <v>7700</v>
      </c>
      <c r="F18" s="12">
        <v>11566</v>
      </c>
      <c r="G18" s="12">
        <v>10569</v>
      </c>
      <c r="H18" s="12">
        <v>8754</v>
      </c>
      <c r="I18" s="12">
        <v>6488</v>
      </c>
      <c r="J18" s="12">
        <v>4536</v>
      </c>
      <c r="K18" s="12">
        <v>3624</v>
      </c>
      <c r="L18" s="12">
        <v>1982</v>
      </c>
      <c r="M18" s="9"/>
      <c r="N18" s="9"/>
      <c r="O18" s="9"/>
      <c r="P18" s="9"/>
      <c r="Q18" s="9"/>
      <c r="R18" s="12">
        <v>1219</v>
      </c>
      <c r="S18" s="12">
        <v>1483</v>
      </c>
      <c r="T18" s="12">
        <v>837</v>
      </c>
      <c r="U18" s="12">
        <v>881</v>
      </c>
      <c r="V18" s="12">
        <v>942</v>
      </c>
      <c r="W18" s="12">
        <v>892</v>
      </c>
      <c r="X18" s="12">
        <v>644</v>
      </c>
      <c r="Y18" s="12">
        <v>442</v>
      </c>
      <c r="Z18" s="12">
        <v>374</v>
      </c>
    </row>
    <row r="19" spans="1:26">
      <c r="A19" s="16" t="s">
        <v>129</v>
      </c>
      <c r="C19" s="12"/>
      <c r="D19" s="15">
        <f t="shared" ref="D19:L19" si="5">D18/C18-1</f>
        <v>-0.70075090930423567</v>
      </c>
      <c r="E19" s="15">
        <f t="shared" si="5"/>
        <v>0.50950793961968244</v>
      </c>
      <c r="F19" s="15">
        <f t="shared" si="5"/>
        <v>0.50207792207792212</v>
      </c>
      <c r="G19" s="15">
        <f t="shared" si="5"/>
        <v>-8.6200933771398924E-2</v>
      </c>
      <c r="H19" s="15">
        <f t="shared" si="5"/>
        <v>-0.17172864036332669</v>
      </c>
      <c r="I19" s="15">
        <f t="shared" si="5"/>
        <v>-0.25885309572766735</v>
      </c>
      <c r="J19" s="15">
        <f t="shared" si="5"/>
        <v>-0.30086313193588166</v>
      </c>
      <c r="K19" s="15">
        <f t="shared" si="5"/>
        <v>-0.20105820105820105</v>
      </c>
      <c r="L19" s="15">
        <f t="shared" si="5"/>
        <v>-0.45309050772626935</v>
      </c>
      <c r="M19" s="9"/>
      <c r="N19" s="9"/>
      <c r="O19" s="9"/>
      <c r="P19" s="9"/>
      <c r="Q19" s="9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1" t="s">
        <v>136</v>
      </c>
      <c r="C20" s="12">
        <v>161116</v>
      </c>
      <c r="D20" s="12">
        <v>246548</v>
      </c>
      <c r="E20" s="12">
        <v>243053</v>
      </c>
      <c r="F20" s="12">
        <v>209291</v>
      </c>
      <c r="G20" s="12">
        <v>185650</v>
      </c>
      <c r="H20" s="12">
        <v>223852</v>
      </c>
      <c r="I20" s="12">
        <v>230135</v>
      </c>
      <c r="J20" s="12">
        <v>187806</v>
      </c>
      <c r="K20" s="12">
        <v>211676</v>
      </c>
      <c r="L20" s="12">
        <v>260810</v>
      </c>
      <c r="M20" s="9"/>
      <c r="N20" s="9"/>
      <c r="O20" s="9"/>
      <c r="P20" s="9"/>
      <c r="Q20" s="9"/>
      <c r="R20" s="12">
        <v>45842</v>
      </c>
      <c r="S20" s="12">
        <v>47074</v>
      </c>
      <c r="T20" s="12">
        <v>46429</v>
      </c>
      <c r="U20" s="12">
        <v>49604</v>
      </c>
      <c r="V20" s="12">
        <v>50290</v>
      </c>
      <c r="W20" s="12">
        <v>52507</v>
      </c>
      <c r="X20" s="12">
        <v>58546</v>
      </c>
      <c r="Y20" s="12">
        <v>63205</v>
      </c>
      <c r="Z20" s="12">
        <v>67639</v>
      </c>
    </row>
    <row r="21" spans="1:26">
      <c r="A21" s="16" t="s">
        <v>129</v>
      </c>
      <c r="C21" s="12"/>
      <c r="D21" s="15">
        <f t="shared" ref="D21:L21" si="6">D20/C20-1</f>
        <v>0.53025149581667863</v>
      </c>
      <c r="E21" s="15">
        <f t="shared" si="6"/>
        <v>-1.4175738598569021E-2</v>
      </c>
      <c r="F21" s="15">
        <f t="shared" si="6"/>
        <v>-0.13890797480384942</v>
      </c>
      <c r="G21" s="15">
        <f t="shared" si="6"/>
        <v>-0.11295755670334606</v>
      </c>
      <c r="H21" s="15">
        <f t="shared" si="6"/>
        <v>0.20577430649070827</v>
      </c>
      <c r="I21" s="15">
        <f t="shared" si="6"/>
        <v>2.8067651841395147E-2</v>
      </c>
      <c r="J21" s="15">
        <f t="shared" si="6"/>
        <v>-0.18393117083451016</v>
      </c>
      <c r="K21" s="15">
        <f t="shared" si="6"/>
        <v>0.12709924070583467</v>
      </c>
      <c r="L21" s="15">
        <f t="shared" si="6"/>
        <v>0.23211889869423086</v>
      </c>
      <c r="M21" s="9"/>
      <c r="N21" s="9"/>
      <c r="O21" s="9"/>
      <c r="P21" s="9"/>
      <c r="Q21" s="9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3" t="s">
        <v>137</v>
      </c>
      <c r="C22" s="14">
        <v>191559</v>
      </c>
      <c r="D22" s="14">
        <v>296783</v>
      </c>
      <c r="E22" s="14">
        <v>324350</v>
      </c>
      <c r="F22" s="14">
        <v>338015</v>
      </c>
      <c r="G22" s="14">
        <v>353707</v>
      </c>
      <c r="H22" s="14">
        <v>435438</v>
      </c>
      <c r="I22" s="14">
        <v>447130</v>
      </c>
      <c r="J22" s="14">
        <v>397136</v>
      </c>
      <c r="K22" s="14">
        <v>450406</v>
      </c>
      <c r="L22" s="14">
        <v>527995</v>
      </c>
      <c r="M22" s="9"/>
      <c r="N22" s="9"/>
      <c r="O22" s="9"/>
      <c r="P22" s="9"/>
      <c r="Q22" s="9"/>
      <c r="R22" s="14">
        <v>95115</v>
      </c>
      <c r="S22" s="14">
        <v>98491</v>
      </c>
      <c r="T22" s="14">
        <v>98451</v>
      </c>
      <c r="U22" s="14">
        <v>104509</v>
      </c>
      <c r="V22" s="14">
        <v>110328</v>
      </c>
      <c r="W22" s="14">
        <v>110810</v>
      </c>
      <c r="X22" s="14">
        <v>123117</v>
      </c>
      <c r="Y22" s="14">
        <v>127574</v>
      </c>
      <c r="Z22" s="14">
        <v>135896</v>
      </c>
    </row>
    <row r="23" spans="1:26">
      <c r="M23" s="9"/>
      <c r="N23" s="9"/>
      <c r="O23" s="9"/>
      <c r="P23" s="9"/>
      <c r="Q23" s="9"/>
    </row>
    <row r="24" spans="1:26">
      <c r="A24" s="11" t="s">
        <v>138</v>
      </c>
      <c r="C24" s="12">
        <v>55246</v>
      </c>
      <c r="D24" s="12">
        <v>65604</v>
      </c>
      <c r="E24" s="12">
        <v>76877</v>
      </c>
      <c r="F24" s="12">
        <v>86315</v>
      </c>
      <c r="G24" s="12">
        <v>94870</v>
      </c>
      <c r="H24" s="12">
        <v>140876</v>
      </c>
      <c r="I24" s="12">
        <v>219160</v>
      </c>
      <c r="J24" s="12">
        <v>344293</v>
      </c>
      <c r="K24" s="12">
        <v>496190</v>
      </c>
      <c r="L24" s="12">
        <v>705682</v>
      </c>
      <c r="M24" s="9"/>
      <c r="N24" s="9"/>
      <c r="O24" s="9"/>
      <c r="P24" s="9"/>
      <c r="Q24" s="9"/>
      <c r="R24" s="12">
        <v>79573</v>
      </c>
      <c r="S24" s="12">
        <v>81708</v>
      </c>
      <c r="T24" s="12">
        <v>86785</v>
      </c>
      <c r="U24" s="12">
        <v>115718</v>
      </c>
      <c r="V24" s="12">
        <v>118742</v>
      </c>
      <c r="W24" s="12">
        <v>124412</v>
      </c>
      <c r="X24" s="12">
        <v>158276</v>
      </c>
      <c r="Y24" s="12">
        <v>173281</v>
      </c>
      <c r="Z24" s="12">
        <v>176856</v>
      </c>
    </row>
    <row r="25" spans="1:26">
      <c r="A25" s="16" t="s">
        <v>129</v>
      </c>
      <c r="C25" s="12"/>
      <c r="D25" s="15">
        <f t="shared" ref="D25:L25" si="7">D24/C24-1</f>
        <v>0.18748868696376197</v>
      </c>
      <c r="E25" s="15">
        <f t="shared" si="7"/>
        <v>0.17183403451009083</v>
      </c>
      <c r="F25" s="15">
        <f t="shared" si="7"/>
        <v>0.1227675377551154</v>
      </c>
      <c r="G25" s="15">
        <f t="shared" si="7"/>
        <v>9.9113711405897087E-2</v>
      </c>
      <c r="H25" s="15">
        <f t="shared" si="7"/>
        <v>0.48493728259723823</v>
      </c>
      <c r="I25" s="15">
        <f t="shared" si="7"/>
        <v>0.55569436951645423</v>
      </c>
      <c r="J25" s="15">
        <f t="shared" si="7"/>
        <v>0.57096641722942132</v>
      </c>
      <c r="K25" s="15">
        <f t="shared" si="7"/>
        <v>0.44118526952334203</v>
      </c>
      <c r="L25" s="15">
        <f t="shared" si="7"/>
        <v>0.42220117293778592</v>
      </c>
      <c r="M25" s="9"/>
      <c r="N25" s="9"/>
      <c r="O25" s="9"/>
      <c r="P25" s="9"/>
      <c r="Q25" s="9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1" t="s">
        <v>139</v>
      </c>
      <c r="C26" s="12">
        <v>254416</v>
      </c>
      <c r="D26" s="12">
        <v>270505</v>
      </c>
      <c r="E26" s="12">
        <v>312572</v>
      </c>
      <c r="F26" s="12">
        <v>319988</v>
      </c>
      <c r="G26" s="12">
        <v>293223</v>
      </c>
      <c r="H26" s="12">
        <v>249877</v>
      </c>
      <c r="I26" s="12">
        <v>259105</v>
      </c>
      <c r="J26" s="12">
        <v>245640</v>
      </c>
      <c r="K26" s="12">
        <v>248311</v>
      </c>
      <c r="L26" s="12">
        <v>232596</v>
      </c>
      <c r="M26" s="9"/>
      <c r="N26" s="9"/>
      <c r="O26" s="9"/>
      <c r="P26" s="9"/>
      <c r="Q26" s="9"/>
      <c r="R26" s="12">
        <v>32806</v>
      </c>
      <c r="S26" s="12">
        <v>69600</v>
      </c>
      <c r="T26" s="12">
        <v>55373</v>
      </c>
      <c r="U26" s="12">
        <v>36489</v>
      </c>
      <c r="V26" s="12">
        <v>62752</v>
      </c>
      <c r="W26" s="12">
        <v>56341</v>
      </c>
      <c r="X26" s="12">
        <v>41323</v>
      </c>
      <c r="Y26" s="12">
        <v>59086</v>
      </c>
      <c r="Z26" s="12">
        <v>55622</v>
      </c>
    </row>
    <row r="27" spans="1:26">
      <c r="A27" s="16" t="s">
        <v>129</v>
      </c>
      <c r="C27" s="12"/>
      <c r="D27" s="15">
        <f t="shared" ref="D27:L27" si="8">D26/C26-1</f>
        <v>6.3238947236022858E-2</v>
      </c>
      <c r="E27" s="15">
        <f t="shared" si="8"/>
        <v>0.15551283710097774</v>
      </c>
      <c r="F27" s="15">
        <f t="shared" si="8"/>
        <v>2.3725733590980624E-2</v>
      </c>
      <c r="G27" s="15">
        <f t="shared" si="8"/>
        <v>-8.3643761641061576E-2</v>
      </c>
      <c r="H27" s="15">
        <f t="shared" si="8"/>
        <v>-0.14782605730109843</v>
      </c>
      <c r="I27" s="15">
        <f t="shared" si="8"/>
        <v>3.6930169643464517E-2</v>
      </c>
      <c r="J27" s="15">
        <f t="shared" si="8"/>
        <v>-5.1967349144169339E-2</v>
      </c>
      <c r="K27" s="15">
        <f t="shared" si="8"/>
        <v>1.0873636215600113E-2</v>
      </c>
      <c r="L27" s="15">
        <f t="shared" si="8"/>
        <v>-6.3287570828517437E-2</v>
      </c>
      <c r="M27" s="9"/>
      <c r="N27" s="9"/>
      <c r="O27" s="9"/>
      <c r="P27" s="9"/>
      <c r="Q27" s="9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1" t="s">
        <v>140</v>
      </c>
      <c r="C28" s="12">
        <v>13063</v>
      </c>
      <c r="D28" s="12">
        <v>19957</v>
      </c>
      <c r="E28" s="12">
        <v>5715</v>
      </c>
      <c r="F28" s="12">
        <v>-2011</v>
      </c>
      <c r="G28" s="12">
        <v>1467</v>
      </c>
      <c r="H28" s="12">
        <v>-13577</v>
      </c>
      <c r="I28" s="12">
        <v>-20054</v>
      </c>
      <c r="J28" s="12">
        <v>-6572</v>
      </c>
      <c r="K28" s="12">
        <v>7552</v>
      </c>
      <c r="L28" s="12">
        <v>9090</v>
      </c>
      <c r="M28" s="9"/>
      <c r="N28" s="9"/>
      <c r="O28" s="9"/>
      <c r="P28" s="9"/>
      <c r="Q28" s="9"/>
      <c r="R28" s="12">
        <v>-87</v>
      </c>
      <c r="S28" s="12">
        <v>-8902</v>
      </c>
      <c r="T28" s="12">
        <v>69</v>
      </c>
      <c r="U28" s="12">
        <v>6185</v>
      </c>
      <c r="V28" s="12">
        <v>-2342</v>
      </c>
      <c r="W28" s="12">
        <v>1945</v>
      </c>
      <c r="X28" s="12">
        <v>9923</v>
      </c>
      <c r="Y28" s="12">
        <v>-847</v>
      </c>
      <c r="Z28" s="12">
        <v>4167</v>
      </c>
    </row>
    <row r="29" spans="1:26">
      <c r="A29" s="16" t="s">
        <v>129</v>
      </c>
      <c r="C29" s="12"/>
      <c r="D29" s="15">
        <f t="shared" ref="D29:L29" si="9">D28/C28-1</f>
        <v>0.52775013396616388</v>
      </c>
      <c r="E29" s="15">
        <f t="shared" si="9"/>
        <v>-0.7136343137746155</v>
      </c>
      <c r="F29" s="15">
        <f t="shared" si="9"/>
        <v>-1.3518810148731408</v>
      </c>
      <c r="G29" s="15">
        <f t="shared" si="9"/>
        <v>-1.7294878170064645</v>
      </c>
      <c r="H29" s="15">
        <f t="shared" si="9"/>
        <v>-10.25494205862304</v>
      </c>
      <c r="I29" s="15">
        <f t="shared" si="9"/>
        <v>0.47705678721367017</v>
      </c>
      <c r="J29" s="15">
        <f t="shared" si="9"/>
        <v>-0.67228483095641767</v>
      </c>
      <c r="K29" s="15">
        <f t="shared" si="9"/>
        <v>-2.1491174680462568</v>
      </c>
      <c r="L29" s="15">
        <f t="shared" si="9"/>
        <v>0.20365466101694918</v>
      </c>
      <c r="M29" s="9"/>
      <c r="N29" s="9"/>
      <c r="O29" s="9"/>
      <c r="P29" s="9"/>
      <c r="Q29" s="9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3" t="s">
        <v>141</v>
      </c>
      <c r="C30" s="14">
        <v>317974</v>
      </c>
      <c r="D30" s="14">
        <v>356066</v>
      </c>
      <c r="E30" s="14">
        <v>395164</v>
      </c>
      <c r="F30" s="14">
        <v>404292</v>
      </c>
      <c r="G30" s="14">
        <v>389560</v>
      </c>
      <c r="H30" s="14">
        <v>377176</v>
      </c>
      <c r="I30" s="14">
        <v>458211</v>
      </c>
      <c r="J30" s="14">
        <v>583361</v>
      </c>
      <c r="K30" s="14">
        <v>752053</v>
      </c>
      <c r="L30" s="14">
        <v>947368</v>
      </c>
      <c r="M30" s="9"/>
      <c r="N30" s="9"/>
      <c r="O30" s="9"/>
      <c r="P30" s="9"/>
      <c r="Q30" s="9"/>
      <c r="R30" s="14">
        <v>112292</v>
      </c>
      <c r="S30" s="14">
        <v>142406</v>
      </c>
      <c r="T30" s="14">
        <v>142227</v>
      </c>
      <c r="U30" s="14">
        <v>158392</v>
      </c>
      <c r="V30" s="14">
        <v>179152</v>
      </c>
      <c r="W30" s="14">
        <v>182698</v>
      </c>
      <c r="X30" s="14">
        <v>209522</v>
      </c>
      <c r="Y30" s="14">
        <v>231521</v>
      </c>
      <c r="Z30" s="14">
        <v>236645</v>
      </c>
    </row>
    <row r="31" spans="1:26">
      <c r="A31" s="16" t="s">
        <v>142</v>
      </c>
      <c r="C31" s="17">
        <f t="shared" ref="C31:L31" si="10">C30/C13</f>
        <v>0.62404986526878536</v>
      </c>
      <c r="D31" s="17">
        <f t="shared" si="10"/>
        <v>0.54540330152914385</v>
      </c>
      <c r="E31" s="17">
        <f t="shared" si="10"/>
        <v>0.54920960537251529</v>
      </c>
      <c r="F31" s="17">
        <f t="shared" si="10"/>
        <v>0.54464258049567094</v>
      </c>
      <c r="G31" s="17">
        <f t="shared" si="10"/>
        <v>0.52411851999348824</v>
      </c>
      <c r="H31" s="17">
        <f t="shared" si="10"/>
        <v>0.46415149135998152</v>
      </c>
      <c r="I31" s="17">
        <f t="shared" si="10"/>
        <v>0.50611979353635816</v>
      </c>
      <c r="J31" s="17">
        <f t="shared" si="10"/>
        <v>0.5949645944862656</v>
      </c>
      <c r="K31" s="17">
        <f t="shared" si="10"/>
        <v>0.62542922461389538</v>
      </c>
      <c r="L31" s="17">
        <f t="shared" si="10"/>
        <v>0.64212536169064838</v>
      </c>
      <c r="M31" s="9"/>
      <c r="N31" s="9"/>
      <c r="O31" s="9"/>
      <c r="P31" s="9"/>
      <c r="Q31" s="9"/>
      <c r="R31" s="17">
        <f t="shared" ref="R31:Z31" si="11">R30/R13</f>
        <v>0.5414089206246655</v>
      </c>
      <c r="S31" s="17">
        <f t="shared" si="11"/>
        <v>0.59114891426626315</v>
      </c>
      <c r="T31" s="17">
        <f t="shared" si="11"/>
        <v>0.59094308578266397</v>
      </c>
      <c r="U31" s="17">
        <f t="shared" si="11"/>
        <v>0.6024777387685859</v>
      </c>
      <c r="V31" s="17">
        <f t="shared" si="11"/>
        <v>0.61887522454055544</v>
      </c>
      <c r="W31" s="17">
        <f t="shared" si="11"/>
        <v>0.62246344222303995</v>
      </c>
      <c r="X31" s="17">
        <f t="shared" si="11"/>
        <v>0.62987803594888148</v>
      </c>
      <c r="Y31" s="17">
        <f t="shared" si="11"/>
        <v>0.6447346802378201</v>
      </c>
      <c r="Z31" s="17">
        <f t="shared" si="11"/>
        <v>0.63521867391777009</v>
      </c>
    </row>
    <row r="32" spans="1:26">
      <c r="M32" s="9"/>
      <c r="N32" s="9"/>
      <c r="O32" s="9"/>
      <c r="P32" s="9"/>
      <c r="Q32" s="9"/>
    </row>
    <row r="33" spans="1:26">
      <c r="A33" s="11" t="s">
        <v>143</v>
      </c>
      <c r="C33" s="12">
        <v>130323</v>
      </c>
      <c r="D33" s="12">
        <v>171657</v>
      </c>
      <c r="E33" s="12">
        <v>188541</v>
      </c>
      <c r="F33" s="12">
        <v>200575</v>
      </c>
      <c r="G33" s="12">
        <v>201465</v>
      </c>
      <c r="H33" s="12">
        <v>229230</v>
      </c>
      <c r="I33" s="12">
        <v>249746</v>
      </c>
      <c r="J33" s="12">
        <v>269381</v>
      </c>
      <c r="K33" s="12">
        <v>296160</v>
      </c>
      <c r="L33" s="12">
        <v>340097</v>
      </c>
      <c r="M33" s="9"/>
      <c r="N33" s="9"/>
      <c r="O33" s="9"/>
      <c r="P33" s="9"/>
      <c r="Q33" s="9"/>
      <c r="R33" s="12">
        <v>62469</v>
      </c>
      <c r="S33" s="12">
        <v>65458</v>
      </c>
      <c r="T33" s="12">
        <v>66134</v>
      </c>
      <c r="U33" s="12">
        <v>68880</v>
      </c>
      <c r="V33" s="12">
        <v>70268</v>
      </c>
      <c r="W33" s="12">
        <v>72915</v>
      </c>
      <c r="X33" s="12">
        <v>78317</v>
      </c>
      <c r="Y33" s="12">
        <v>83324</v>
      </c>
      <c r="Z33" s="12">
        <v>87868</v>
      </c>
    </row>
    <row r="34" spans="1:26">
      <c r="A34" s="11" t="s">
        <v>144</v>
      </c>
      <c r="C34" s="12">
        <v>109239</v>
      </c>
      <c r="D34" s="12">
        <v>124117</v>
      </c>
      <c r="E34" s="12">
        <v>130751</v>
      </c>
      <c r="F34" s="12">
        <v>142420</v>
      </c>
      <c r="G34" s="12">
        <v>150521</v>
      </c>
      <c r="H34" s="12">
        <v>182620</v>
      </c>
      <c r="I34" s="12">
        <v>188224</v>
      </c>
      <c r="J34" s="12">
        <v>199033</v>
      </c>
      <c r="K34" s="12">
        <v>230346</v>
      </c>
      <c r="L34" s="12">
        <v>258937</v>
      </c>
      <c r="M34" s="9"/>
      <c r="N34" s="9"/>
      <c r="O34" s="9"/>
      <c r="P34" s="9"/>
      <c r="Q34" s="9"/>
      <c r="R34" s="12">
        <v>44581</v>
      </c>
      <c r="S34" s="12">
        <v>49181</v>
      </c>
      <c r="T34" s="12">
        <v>50487</v>
      </c>
      <c r="U34" s="12">
        <v>51478</v>
      </c>
      <c r="V34" s="12">
        <v>55452</v>
      </c>
      <c r="W34" s="12">
        <v>57768</v>
      </c>
      <c r="X34" s="12">
        <v>64258</v>
      </c>
      <c r="Y34" s="12">
        <v>61475</v>
      </c>
      <c r="Z34" s="12">
        <v>68201</v>
      </c>
    </row>
    <row r="35" spans="1:26">
      <c r="A35" s="11" t="s">
        <v>145</v>
      </c>
      <c r="C35" s="12">
        <v>56551</v>
      </c>
      <c r="D35" s="12">
        <v>75916</v>
      </c>
      <c r="E35" s="12">
        <v>74401</v>
      </c>
      <c r="F35" s="12">
        <v>85183</v>
      </c>
      <c r="G35" s="12">
        <v>143158</v>
      </c>
      <c r="H35" s="12">
        <v>164773</v>
      </c>
      <c r="I35" s="12">
        <v>169731</v>
      </c>
      <c r="J35" s="12">
        <v>167520</v>
      </c>
      <c r="K35" s="12">
        <v>184479</v>
      </c>
      <c r="L35" s="12">
        <v>198460</v>
      </c>
      <c r="M35" s="9"/>
      <c r="N35" s="9"/>
      <c r="O35" s="9"/>
      <c r="P35" s="9"/>
      <c r="Q35" s="9"/>
      <c r="R35" s="12">
        <v>39023</v>
      </c>
      <c r="S35" s="12">
        <v>40177</v>
      </c>
      <c r="T35" s="12">
        <v>42302</v>
      </c>
      <c r="U35" s="12">
        <v>42754</v>
      </c>
      <c r="V35" s="12">
        <v>41709</v>
      </c>
      <c r="W35" s="12">
        <v>47547</v>
      </c>
      <c r="X35" s="12">
        <v>48469</v>
      </c>
      <c r="Y35" s="12">
        <v>48281</v>
      </c>
      <c r="Z35" s="12">
        <v>49939</v>
      </c>
    </row>
    <row r="36" spans="1:26">
      <c r="A36" s="13" t="s">
        <v>146</v>
      </c>
      <c r="C36" s="14">
        <v>296113</v>
      </c>
      <c r="D36" s="14">
        <v>371690</v>
      </c>
      <c r="E36" s="14">
        <v>393693</v>
      </c>
      <c r="F36" s="14">
        <v>428178</v>
      </c>
      <c r="G36" s="14">
        <v>495144</v>
      </c>
      <c r="H36" s="14">
        <v>576623</v>
      </c>
      <c r="I36" s="14">
        <v>607701</v>
      </c>
      <c r="J36" s="14">
        <v>635934</v>
      </c>
      <c r="K36" s="14">
        <v>710985</v>
      </c>
      <c r="L36" s="14">
        <v>797494</v>
      </c>
      <c r="M36" s="9"/>
      <c r="N36" s="9"/>
      <c r="O36" s="9"/>
      <c r="P36" s="9"/>
      <c r="Q36" s="9"/>
      <c r="R36" s="14">
        <v>146073</v>
      </c>
      <c r="S36" s="14">
        <v>154816</v>
      </c>
      <c r="T36" s="14">
        <v>158923</v>
      </c>
      <c r="U36" s="14">
        <v>163112</v>
      </c>
      <c r="V36" s="14">
        <v>167429</v>
      </c>
      <c r="W36" s="14">
        <v>178230</v>
      </c>
      <c r="X36" s="14">
        <v>191044</v>
      </c>
      <c r="Y36" s="14">
        <v>193080</v>
      </c>
      <c r="Z36" s="14">
        <v>206008</v>
      </c>
    </row>
    <row r="37" spans="1:26">
      <c r="M37" s="9"/>
      <c r="N37" s="9"/>
      <c r="O37" s="9"/>
      <c r="P37" s="9"/>
      <c r="Q37" s="9"/>
    </row>
    <row r="38" spans="1:26">
      <c r="A38" s="13" t="s">
        <v>147</v>
      </c>
      <c r="C38" s="14">
        <v>21861</v>
      </c>
      <c r="D38" s="14">
        <v>-15624</v>
      </c>
      <c r="E38" s="14">
        <v>1471</v>
      </c>
      <c r="F38" s="14">
        <v>-23886</v>
      </c>
      <c r="G38" s="14">
        <v>-105584</v>
      </c>
      <c r="H38" s="14">
        <v>-199447</v>
      </c>
      <c r="I38" s="14">
        <v>-149490</v>
      </c>
      <c r="J38" s="14">
        <v>-52573</v>
      </c>
      <c r="K38" s="14">
        <v>41068</v>
      </c>
      <c r="L38" s="14">
        <v>149874</v>
      </c>
      <c r="M38" s="9"/>
      <c r="N38" s="9"/>
      <c r="O38" s="9"/>
      <c r="P38" s="9"/>
      <c r="Q38" s="9"/>
      <c r="R38" s="14">
        <v>-33781</v>
      </c>
      <c r="S38" s="14">
        <v>-12410</v>
      </c>
      <c r="T38" s="14">
        <v>-16696</v>
      </c>
      <c r="U38" s="14">
        <v>-4720</v>
      </c>
      <c r="V38" s="14">
        <v>11723</v>
      </c>
      <c r="W38" s="14">
        <v>4468</v>
      </c>
      <c r="X38" s="14">
        <v>18478</v>
      </c>
      <c r="Y38" s="14">
        <v>38441</v>
      </c>
      <c r="Z38" s="14">
        <v>30637</v>
      </c>
    </row>
    <row r="39" spans="1:26">
      <c r="A39" s="16" t="s">
        <v>148</v>
      </c>
      <c r="C39" s="17">
        <f t="shared" ref="C39:L39" si="12">C38/C13</f>
        <v>4.290399247938799E-2</v>
      </c>
      <c r="D39" s="17">
        <f t="shared" si="12"/>
        <v>-2.3932027160951462E-2</v>
      </c>
      <c r="E39" s="17">
        <f t="shared" si="12"/>
        <v>2.0444355495515027E-3</v>
      </c>
      <c r="F39" s="17">
        <f t="shared" si="12"/>
        <v>-3.2178061098709833E-2</v>
      </c>
      <c r="G39" s="17">
        <f t="shared" si="12"/>
        <v>-0.1420539321670409</v>
      </c>
      <c r="H39" s="17">
        <f t="shared" si="12"/>
        <v>-0.24543879381846731</v>
      </c>
      <c r="I39" s="17">
        <f t="shared" si="12"/>
        <v>-0.16512010391664578</v>
      </c>
      <c r="J39" s="17">
        <f t="shared" si="12"/>
        <v>-5.3618726013440123E-2</v>
      </c>
      <c r="K39" s="17">
        <f t="shared" si="12"/>
        <v>3.4153347432220142E-2</v>
      </c>
      <c r="L39" s="17">
        <f t="shared" si="12"/>
        <v>0.10158449140991065</v>
      </c>
      <c r="M39" s="9"/>
      <c r="N39" s="9"/>
      <c r="O39" s="9"/>
      <c r="P39" s="9"/>
      <c r="Q39" s="9"/>
      <c r="R39" s="17">
        <f t="shared" ref="R39:Z39" si="13">R38/R13</f>
        <v>-0.16287299850053277</v>
      </c>
      <c r="S39" s="17">
        <f t="shared" si="13"/>
        <v>-5.1515793056783603E-2</v>
      </c>
      <c r="T39" s="17">
        <f t="shared" si="13"/>
        <v>-6.9370694454831766E-2</v>
      </c>
      <c r="U39" s="17">
        <f t="shared" si="13"/>
        <v>-1.7953526232307979E-2</v>
      </c>
      <c r="V39" s="17">
        <f t="shared" si="13"/>
        <v>4.0496752798120768E-2</v>
      </c>
      <c r="W39" s="17">
        <f t="shared" si="13"/>
        <v>1.5222753723918939E-2</v>
      </c>
      <c r="X39" s="17">
        <f t="shared" si="13"/>
        <v>5.5549710046025873E-2</v>
      </c>
      <c r="Y39" s="17">
        <f t="shared" si="13"/>
        <v>0.10704966652278645</v>
      </c>
      <c r="Z39" s="17">
        <f t="shared" si="13"/>
        <v>8.2237928174348593E-2</v>
      </c>
    </row>
    <row r="40" spans="1:26">
      <c r="M40" s="9"/>
      <c r="N40" s="9"/>
      <c r="O40" s="9"/>
      <c r="P40" s="9"/>
      <c r="Q40" s="9"/>
    </row>
    <row r="41" spans="1:26">
      <c r="A41" s="11" t="s">
        <v>149</v>
      </c>
      <c r="C41" s="12">
        <v>5867</v>
      </c>
      <c r="D41" s="12">
        <v>13281</v>
      </c>
      <c r="E41" s="12">
        <v>30182</v>
      </c>
      <c r="F41" s="12">
        <v>24705</v>
      </c>
      <c r="G41" s="12">
        <v>7395</v>
      </c>
      <c r="H41" s="12">
        <v>6277</v>
      </c>
      <c r="I41" s="12">
        <v>24389</v>
      </c>
      <c r="J41" s="12">
        <v>43478</v>
      </c>
      <c r="K41" s="12">
        <v>56625</v>
      </c>
      <c r="L41" s="12">
        <v>48564</v>
      </c>
      <c r="M41" s="9"/>
      <c r="N41" s="9"/>
      <c r="O41" s="9"/>
      <c r="P41" s="9"/>
      <c r="Q41" s="9"/>
      <c r="R41" s="12">
        <v>10613</v>
      </c>
      <c r="S41" s="12">
        <v>10290</v>
      </c>
      <c r="T41" s="12">
        <v>10824</v>
      </c>
      <c r="U41" s="12">
        <v>13606</v>
      </c>
      <c r="V41" s="12">
        <v>15722</v>
      </c>
      <c r="W41" s="12">
        <v>13794</v>
      </c>
      <c r="X41" s="12">
        <v>14650</v>
      </c>
      <c r="Y41" s="12">
        <v>12487</v>
      </c>
      <c r="Z41" s="12">
        <v>11295</v>
      </c>
    </row>
    <row r="42" spans="1:26">
      <c r="A42" s="11" t="s">
        <v>150</v>
      </c>
      <c r="C42" s="12">
        <v>-13</v>
      </c>
      <c r="D42" s="12">
        <v>-6442</v>
      </c>
      <c r="E42" s="12">
        <v>-17334</v>
      </c>
      <c r="F42" s="12">
        <v>-17945</v>
      </c>
      <c r="G42" s="12">
        <v>-18711</v>
      </c>
      <c r="H42" s="12">
        <v>-19446</v>
      </c>
      <c r="I42" s="12">
        <v>-6716</v>
      </c>
      <c r="J42" s="12">
        <v>-6738</v>
      </c>
      <c r="K42" s="12">
        <v>-13211</v>
      </c>
      <c r="L42" s="12">
        <v>-13324</v>
      </c>
      <c r="M42" s="9"/>
      <c r="N42" s="9"/>
      <c r="O42" s="9"/>
      <c r="P42" s="9"/>
      <c r="Q42" s="9"/>
      <c r="R42" s="12">
        <v>-1683</v>
      </c>
      <c r="S42" s="12">
        <v>-1692</v>
      </c>
      <c r="T42" s="12">
        <v>-1686</v>
      </c>
      <c r="U42" s="12">
        <v>-2062</v>
      </c>
      <c r="V42" s="12">
        <v>-4183</v>
      </c>
      <c r="W42" s="12">
        <v>-3668</v>
      </c>
      <c r="X42" s="12">
        <v>-3312</v>
      </c>
      <c r="Y42" s="12">
        <v>-3334</v>
      </c>
      <c r="Z42" s="12">
        <v>-3318</v>
      </c>
    </row>
    <row r="43" spans="1:26">
      <c r="A43" s="11" t="s">
        <v>151</v>
      </c>
      <c r="C43" s="12">
        <v>811</v>
      </c>
      <c r="D43" s="12">
        <v>509</v>
      </c>
      <c r="E43" s="12">
        <v>-1867</v>
      </c>
      <c r="F43" s="12">
        <v>-7205</v>
      </c>
      <c r="G43" s="12">
        <v>12619</v>
      </c>
      <c r="H43" s="12">
        <v>-17099</v>
      </c>
      <c r="I43" s="12">
        <v>-2277</v>
      </c>
      <c r="J43" s="12">
        <v>-11005</v>
      </c>
      <c r="K43" s="12">
        <v>-35087</v>
      </c>
      <c r="L43" s="12">
        <v>-20997</v>
      </c>
      <c r="M43" s="9"/>
      <c r="N43" s="9"/>
      <c r="O43" s="9"/>
      <c r="P43" s="9"/>
      <c r="Q43" s="9"/>
      <c r="R43" s="12">
        <v>-13742</v>
      </c>
      <c r="S43" s="12">
        <v>10776</v>
      </c>
      <c r="T43" s="12">
        <v>-6535</v>
      </c>
      <c r="U43" s="12">
        <v>-4055</v>
      </c>
      <c r="V43" s="12">
        <v>-66289</v>
      </c>
      <c r="W43" s="12">
        <v>34074</v>
      </c>
      <c r="X43" s="12">
        <v>-5314</v>
      </c>
      <c r="Y43" s="12">
        <v>26958</v>
      </c>
      <c r="Z43" s="12">
        <v>-18854</v>
      </c>
    </row>
    <row r="44" spans="1:26">
      <c r="A44" s="5" t="s">
        <v>152</v>
      </c>
      <c r="C44" s="12">
        <v>28526</v>
      </c>
      <c r="D44" s="12">
        <v>-8276</v>
      </c>
      <c r="E44" s="12">
        <v>12452</v>
      </c>
      <c r="F44" s="12">
        <v>-24331</v>
      </c>
      <c r="G44" s="12">
        <v>-104281</v>
      </c>
      <c r="H44" s="12">
        <v>-229715</v>
      </c>
      <c r="I44" s="12">
        <v>-134094</v>
      </c>
      <c r="J44" s="12">
        <v>-26838</v>
      </c>
      <c r="K44" s="12">
        <v>49395</v>
      </c>
      <c r="L44" s="12">
        <v>164117</v>
      </c>
      <c r="M44" s="9"/>
      <c r="N44" s="9"/>
      <c r="O44" s="9"/>
      <c r="P44" s="9"/>
      <c r="Q44" s="9"/>
      <c r="R44" s="12">
        <v>-38593</v>
      </c>
      <c r="S44" s="12">
        <v>6964</v>
      </c>
      <c r="T44" s="12">
        <v>-14093</v>
      </c>
      <c r="U44" s="12">
        <v>2769</v>
      </c>
      <c r="V44" s="12">
        <v>-43027</v>
      </c>
      <c r="W44" s="12">
        <v>48668</v>
      </c>
      <c r="X44" s="12">
        <v>24502</v>
      </c>
      <c r="Y44" s="12">
        <v>74552</v>
      </c>
      <c r="Z44" s="12">
        <v>19760</v>
      </c>
    </row>
    <row r="45" spans="1:26">
      <c r="A45" s="11" t="s">
        <v>153</v>
      </c>
      <c r="C45" s="12">
        <v>10454</v>
      </c>
      <c r="D45" s="12">
        <v>18467</v>
      </c>
      <c r="E45" s="12">
        <v>-8280</v>
      </c>
      <c r="F45" s="12">
        <v>2867</v>
      </c>
      <c r="G45" s="12">
        <v>-37774</v>
      </c>
      <c r="H45" s="12">
        <v>-49284</v>
      </c>
      <c r="I45" s="12">
        <v>-22239</v>
      </c>
      <c r="J45" s="12">
        <v>-20735</v>
      </c>
      <c r="K45" s="12">
        <v>-20409</v>
      </c>
      <c r="L45" s="12">
        <v>24834</v>
      </c>
      <c r="M45" s="9"/>
      <c r="N45" s="9"/>
      <c r="O45" s="9"/>
      <c r="P45" s="9"/>
      <c r="Q45" s="9"/>
      <c r="R45" s="12">
        <v>-11522</v>
      </c>
      <c r="S45" s="12">
        <v>-2723</v>
      </c>
      <c r="T45" s="12">
        <v>-8615</v>
      </c>
      <c r="U45" s="12">
        <v>-6370</v>
      </c>
      <c r="V45" s="12">
        <v>-5750</v>
      </c>
      <c r="W45" s="12">
        <v>2677</v>
      </c>
      <c r="X45" s="12">
        <v>-6806</v>
      </c>
      <c r="Y45" s="12">
        <v>14442</v>
      </c>
      <c r="Z45" s="12">
        <v>3289</v>
      </c>
    </row>
    <row r="46" spans="1:26">
      <c r="A46" s="13" t="s">
        <v>23</v>
      </c>
      <c r="C46" s="14">
        <v>18072</v>
      </c>
      <c r="D46" s="14">
        <v>-26743</v>
      </c>
      <c r="E46" s="14">
        <v>20732</v>
      </c>
      <c r="F46" s="14">
        <v>-27198</v>
      </c>
      <c r="G46" s="14">
        <v>-66507</v>
      </c>
      <c r="H46" s="14">
        <v>-180431</v>
      </c>
      <c r="I46" s="14">
        <v>-111855</v>
      </c>
      <c r="J46" s="14">
        <v>-6103</v>
      </c>
      <c r="K46" s="14">
        <v>69804</v>
      </c>
      <c r="L46" s="14">
        <v>139283</v>
      </c>
      <c r="M46" s="9"/>
      <c r="N46" s="9"/>
      <c r="O46" s="9"/>
      <c r="P46" s="9"/>
      <c r="Q46" s="9"/>
      <c r="R46" s="14">
        <v>-27071</v>
      </c>
      <c r="S46" s="14">
        <v>9687</v>
      </c>
      <c r="T46" s="14">
        <v>-5478</v>
      </c>
      <c r="U46" s="14">
        <v>9139</v>
      </c>
      <c r="V46" s="14">
        <v>-37277</v>
      </c>
      <c r="W46" s="14">
        <v>45991</v>
      </c>
      <c r="X46" s="14">
        <v>31308</v>
      </c>
      <c r="Y46" s="14">
        <v>60110</v>
      </c>
      <c r="Z46" s="14">
        <v>16471</v>
      </c>
    </row>
    <row r="47" spans="1:26">
      <c r="A47" s="16" t="s">
        <v>154</v>
      </c>
      <c r="C47" s="17">
        <f t="shared" ref="C47:L47" si="14">C46/C13</f>
        <v>3.5467771469168824E-2</v>
      </c>
      <c r="D47" s="17">
        <f t="shared" si="14"/>
        <v>-4.0963530617340302E-2</v>
      </c>
      <c r="E47" s="17">
        <f t="shared" si="14"/>
        <v>2.8813893822774817E-2</v>
      </c>
      <c r="F47" s="17">
        <f t="shared" si="14"/>
        <v>-3.6639826917973288E-2</v>
      </c>
      <c r="G47" s="17">
        <f t="shared" si="14"/>
        <v>-8.9479285371205766E-2</v>
      </c>
      <c r="H47" s="17">
        <f t="shared" si="14"/>
        <v>-0.2220377694698836</v>
      </c>
      <c r="I47" s="17">
        <f t="shared" si="14"/>
        <v>-0.12355013193923615</v>
      </c>
      <c r="J47" s="17">
        <f t="shared" si="14"/>
        <v>-6.2243943632667919E-3</v>
      </c>
      <c r="K47" s="17">
        <f t="shared" si="14"/>
        <v>5.8051043736210547E-2</v>
      </c>
      <c r="L47" s="17">
        <f t="shared" si="14"/>
        <v>9.440591908567586E-2</v>
      </c>
      <c r="M47" s="9"/>
      <c r="N47" s="9"/>
      <c r="O47" s="9"/>
      <c r="P47" s="9"/>
      <c r="Q47" s="9"/>
      <c r="R47" s="17">
        <f t="shared" ref="R47:Z47" si="15">R46/R13</f>
        <v>-0.13052114923797173</v>
      </c>
      <c r="S47" s="17">
        <f t="shared" si="15"/>
        <v>4.0212206876797968E-2</v>
      </c>
      <c r="T47" s="17">
        <f t="shared" si="15"/>
        <v>-2.2760701019619575E-2</v>
      </c>
      <c r="U47" s="17">
        <f t="shared" si="15"/>
        <v>3.4762134795987845E-2</v>
      </c>
      <c r="V47" s="17">
        <f t="shared" si="15"/>
        <v>-0.12877228133204366</v>
      </c>
      <c r="W47" s="17">
        <f t="shared" si="15"/>
        <v>0.15669419572890689</v>
      </c>
      <c r="X47" s="17">
        <f t="shared" si="15"/>
        <v>9.4120052068458596E-2</v>
      </c>
      <c r="Y47" s="17">
        <f t="shared" si="15"/>
        <v>0.16739302969966166</v>
      </c>
      <c r="Z47" s="17">
        <f t="shared" si="15"/>
        <v>4.421258331297763E-2</v>
      </c>
    </row>
    <row r="48" spans="1:26">
      <c r="A48" s="5" t="s">
        <v>155</v>
      </c>
      <c r="D48" s="15">
        <f t="shared" ref="D48:L48" si="16">IF(N(C46)=0,"",D46/C46-1)</f>
        <v>-2.4798030101814961</v>
      </c>
      <c r="E48" s="15">
        <f t="shared" si="16"/>
        <v>-1.7752309015443295</v>
      </c>
      <c r="F48" s="15">
        <f t="shared" si="16"/>
        <v>-2.3118850086822302</v>
      </c>
      <c r="G48" s="15">
        <f t="shared" si="16"/>
        <v>1.4452900948599163</v>
      </c>
      <c r="H48" s="15">
        <f t="shared" si="16"/>
        <v>1.712962545295984</v>
      </c>
      <c r="I48" s="15">
        <f t="shared" si="16"/>
        <v>-0.38006772672101796</v>
      </c>
      <c r="J48" s="15">
        <f t="shared" si="16"/>
        <v>-0.94543829064413754</v>
      </c>
      <c r="K48" s="15">
        <f t="shared" si="16"/>
        <v>-12.437653612977224</v>
      </c>
      <c r="L48" s="15">
        <f t="shared" si="16"/>
        <v>0.99534410635493664</v>
      </c>
      <c r="M48" s="9"/>
      <c r="N48" s="9"/>
      <c r="O48" s="9"/>
      <c r="P48" s="9"/>
      <c r="Q48" s="9"/>
      <c r="V48" s="15">
        <f>IF(N(R46)=0,"",V46/R46-1)</f>
        <v>0.37700860699641692</v>
      </c>
      <c r="W48" s="15">
        <f>IF(N(S46)=0,"",W46/S46-1)</f>
        <v>3.7477031072571485</v>
      </c>
      <c r="X48" s="15">
        <f>IF(N(T46)=0,"",X46/T46-1)</f>
        <v>-6.715224534501643</v>
      </c>
      <c r="Y48" s="15">
        <f>IF(N(U46)=0,"",Y46/U46-1)</f>
        <v>5.5773060509902619</v>
      </c>
      <c r="Z48" s="15">
        <f>IF(N(V46)=0,"",Z46/V46-1)</f>
        <v>-1.441854226466722</v>
      </c>
    </row>
    <row r="49" spans="1:26" ht="8" customHeight="1">
      <c r="M49" s="9"/>
      <c r="N49" s="9"/>
      <c r="O49" s="9"/>
      <c r="P49" s="9"/>
      <c r="Q49" s="9"/>
    </row>
    <row r="50" spans="1:26" ht="20" customHeight="1">
      <c r="A50" s="10" t="s">
        <v>156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9"/>
      <c r="N50" s="9"/>
      <c r="O50" s="9"/>
      <c r="P50" s="9"/>
      <c r="Q50" s="9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13" t="s">
        <v>157</v>
      </c>
      <c r="C51" s="18">
        <v>0.24</v>
      </c>
      <c r="D51" s="18">
        <v>-0.34</v>
      </c>
      <c r="E51" s="18">
        <v>0.25</v>
      </c>
      <c r="F51" s="18">
        <v>-0.33</v>
      </c>
      <c r="G51" s="18">
        <v>-0.79</v>
      </c>
      <c r="H51" s="18">
        <v>-2.16</v>
      </c>
      <c r="I51" s="18">
        <v>-1.36</v>
      </c>
      <c r="J51" s="18">
        <v>-7.0000000000000007E-2</v>
      </c>
      <c r="K51" s="18">
        <v>0.83</v>
      </c>
      <c r="L51" s="18">
        <v>1.65</v>
      </c>
      <c r="M51" s="9"/>
      <c r="N51" s="9"/>
      <c r="O51" s="9"/>
      <c r="P51" s="9"/>
      <c r="Q51" s="9"/>
      <c r="R51" s="18">
        <v>-0.33</v>
      </c>
      <c r="S51" s="18">
        <v>0.12</v>
      </c>
      <c r="T51" s="18">
        <v>-7.0000000000000007E-2</v>
      </c>
      <c r="U51" s="18">
        <v>0.11</v>
      </c>
      <c r="V51" s="18">
        <v>-0.45</v>
      </c>
      <c r="W51" s="18">
        <v>0.55000000000000004</v>
      </c>
      <c r="X51" s="18">
        <v>0.37</v>
      </c>
      <c r="Y51" s="18">
        <v>0.71</v>
      </c>
      <c r="Z51" s="18">
        <v>0.2</v>
      </c>
    </row>
    <row r="52" spans="1:26">
      <c r="A52" s="13" t="s">
        <v>158</v>
      </c>
      <c r="C52" s="18">
        <v>0.24</v>
      </c>
      <c r="D52" s="18">
        <v>-0.34</v>
      </c>
      <c r="E52" s="18">
        <v>0.25</v>
      </c>
      <c r="F52" s="18">
        <v>-0.33</v>
      </c>
      <c r="G52" s="18">
        <v>-0.79</v>
      </c>
      <c r="H52" s="18">
        <v>-2.16</v>
      </c>
      <c r="I52" s="18">
        <v>-1.36</v>
      </c>
      <c r="J52" s="18">
        <v>-7.0000000000000007E-2</v>
      </c>
      <c r="K52" s="18">
        <v>0.81</v>
      </c>
      <c r="L52" s="18">
        <v>1.63</v>
      </c>
      <c r="M52" s="9"/>
      <c r="N52" s="9"/>
      <c r="O52" s="9"/>
      <c r="P52" s="9"/>
      <c r="Q52" s="9"/>
      <c r="R52" s="18">
        <v>-0.33</v>
      </c>
      <c r="S52" s="18">
        <v>0.12</v>
      </c>
      <c r="T52" s="18">
        <v>-7.0000000000000007E-2</v>
      </c>
      <c r="U52" s="18">
        <v>0.11</v>
      </c>
      <c r="V52" s="18">
        <v>-0.45</v>
      </c>
      <c r="W52" s="18">
        <v>0.54</v>
      </c>
      <c r="X52" s="18">
        <v>0.36</v>
      </c>
      <c r="Y52" s="18">
        <v>0.7</v>
      </c>
      <c r="Z52" s="18">
        <v>0.19</v>
      </c>
    </row>
    <row r="53" spans="1:26">
      <c r="A53" s="5" t="s">
        <v>159</v>
      </c>
      <c r="C53" s="12">
        <v>73994577</v>
      </c>
      <c r="D53" s="12">
        <v>77709592</v>
      </c>
      <c r="E53" s="12">
        <v>81447998</v>
      </c>
      <c r="F53" s="12">
        <v>82855392</v>
      </c>
      <c r="G53" s="12">
        <v>83577375</v>
      </c>
      <c r="H53" s="12">
        <v>83569517</v>
      </c>
      <c r="I53" s="12">
        <v>82176629</v>
      </c>
      <c r="J53" s="12">
        <v>82291483</v>
      </c>
      <c r="K53" s="12">
        <v>83846793</v>
      </c>
      <c r="L53" s="12">
        <v>84186951</v>
      </c>
      <c r="M53" s="9"/>
      <c r="N53" s="9"/>
      <c r="O53" s="9"/>
      <c r="P53" s="9"/>
      <c r="Q53" s="9"/>
      <c r="R53" s="12">
        <v>81690912</v>
      </c>
      <c r="S53" s="12">
        <v>82133632</v>
      </c>
      <c r="T53" s="12">
        <v>82500109</v>
      </c>
      <c r="U53" s="12">
        <v>83276236</v>
      </c>
      <c r="V53" s="12">
        <v>83705700</v>
      </c>
      <c r="W53" s="12">
        <v>84044661</v>
      </c>
      <c r="X53" s="12">
        <v>84780201</v>
      </c>
      <c r="Y53" s="12">
        <v>84858179</v>
      </c>
      <c r="Z53" s="12">
        <v>84241069</v>
      </c>
    </row>
    <row r="54" spans="1:26">
      <c r="A54" s="5" t="s">
        <v>160</v>
      </c>
      <c r="C54" s="12">
        <v>75328343</v>
      </c>
      <c r="D54" s="12">
        <v>77709592</v>
      </c>
      <c r="E54" s="12">
        <v>82681214</v>
      </c>
      <c r="F54" s="12">
        <v>82855392</v>
      </c>
      <c r="G54" s="12">
        <v>83577375</v>
      </c>
      <c r="H54" s="12">
        <v>83569517</v>
      </c>
      <c r="I54" s="12">
        <v>82176629</v>
      </c>
      <c r="J54" s="12">
        <v>82291483</v>
      </c>
      <c r="K54" s="12">
        <v>85911653</v>
      </c>
      <c r="L54" s="12">
        <v>85405177</v>
      </c>
      <c r="M54" s="9"/>
      <c r="N54" s="9"/>
      <c r="O54" s="9"/>
      <c r="P54" s="9"/>
      <c r="Q54" s="9"/>
      <c r="R54" s="12">
        <v>81690912</v>
      </c>
      <c r="S54" s="12">
        <v>83305080</v>
      </c>
      <c r="T54" s="12">
        <v>82500109</v>
      </c>
      <c r="U54" s="12">
        <v>85960868</v>
      </c>
      <c r="V54" s="12">
        <v>83705700</v>
      </c>
      <c r="W54" s="12">
        <v>85880643</v>
      </c>
      <c r="X54" s="12">
        <v>86451737</v>
      </c>
      <c r="Y54" s="12">
        <v>86116567</v>
      </c>
      <c r="Z54" s="12">
        <v>85065999</v>
      </c>
    </row>
    <row r="55" spans="1:26" ht="8" customHeight="1">
      <c r="M55" s="9"/>
      <c r="N55" s="9"/>
      <c r="O55" s="9"/>
      <c r="P55" s="9"/>
      <c r="Q55" s="9"/>
    </row>
    <row r="56" spans="1:26" ht="20" customHeight="1">
      <c r="A56" s="10" t="s">
        <v>161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9"/>
      <c r="N56" s="9"/>
      <c r="O56" s="9"/>
      <c r="P56" s="9"/>
      <c r="Q56" s="9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">
        <v>162</v>
      </c>
      <c r="C57" s="15">
        <f t="shared" ref="C57:L57" si="17">C7/C13</f>
        <v>0.13471747659131009</v>
      </c>
      <c r="D57" s="15">
        <f t="shared" si="17"/>
        <v>0.16962268457177693</v>
      </c>
      <c r="E57" s="15">
        <f t="shared" si="17"/>
        <v>0.20913283132781293</v>
      </c>
      <c r="F57" s="15">
        <f t="shared" si="17"/>
        <v>0.27410896030887488</v>
      </c>
      <c r="G57" s="15">
        <f t="shared" si="17"/>
        <v>0.33952536571649217</v>
      </c>
      <c r="H57" s="15">
        <f t="shared" si="17"/>
        <v>0.42296588540192515</v>
      </c>
      <c r="I57" s="15">
        <f t="shared" si="17"/>
        <v>0.47459134182589763</v>
      </c>
      <c r="J57" s="15">
        <f t="shared" si="17"/>
        <v>0.56000885265329725</v>
      </c>
      <c r="K57" s="15">
        <f t="shared" si="17"/>
        <v>0.60816709758919019</v>
      </c>
      <c r="L57" s="15">
        <f t="shared" si="17"/>
        <v>0.65806516769093437</v>
      </c>
      <c r="M57" s="9"/>
      <c r="N57" s="9"/>
      <c r="O57" s="9"/>
      <c r="P57" s="9"/>
      <c r="Q57" s="9"/>
      <c r="R57" s="15">
        <f t="shared" ref="R57:Z57" si="18">R7/R13</f>
        <v>0.61534567300042908</v>
      </c>
      <c r="S57" s="15">
        <f t="shared" si="18"/>
        <v>0.54646591696866298</v>
      </c>
      <c r="T57" s="15">
        <f t="shared" si="18"/>
        <v>0.57325555306259812</v>
      </c>
      <c r="U57" s="15">
        <f t="shared" si="18"/>
        <v>0.6456498834161909</v>
      </c>
      <c r="V57" s="15">
        <f t="shared" si="18"/>
        <v>0.61433605084979959</v>
      </c>
      <c r="W57" s="15">
        <f t="shared" si="18"/>
        <v>0.61948226283440311</v>
      </c>
      <c r="X57" s="15">
        <f t="shared" si="18"/>
        <v>0.66800044492678246</v>
      </c>
      <c r="Y57" s="15">
        <f t="shared" si="18"/>
        <v>0.6605744997841797</v>
      </c>
      <c r="Z57" s="15">
        <f t="shared" si="18"/>
        <v>0.65694245734026591</v>
      </c>
    </row>
    <row r="58" spans="1:26">
      <c r="A58" s="5" t="s">
        <v>163</v>
      </c>
      <c r="C58" s="15">
        <f t="shared" ref="C58:L58" si="19">C9/C13</f>
        <v>0.53276627814096433</v>
      </c>
      <c r="D58" s="15">
        <f t="shared" si="19"/>
        <v>0.42215887594221635</v>
      </c>
      <c r="E58" s="15">
        <f t="shared" si="19"/>
        <v>0.44512268003124333</v>
      </c>
      <c r="F58" s="15">
        <f t="shared" si="19"/>
        <v>0.44665347356282509</v>
      </c>
      <c r="G58" s="15">
        <f t="shared" si="19"/>
        <v>0.40872526292705041</v>
      </c>
      <c r="H58" s="15">
        <f t="shared" si="19"/>
        <v>0.31827042113475773</v>
      </c>
      <c r="I58" s="15">
        <f t="shared" si="19"/>
        <v>0.29336239052467522</v>
      </c>
      <c r="J58" s="15">
        <f t="shared" si="19"/>
        <v>0.2551522340200939</v>
      </c>
      <c r="K58" s="15">
        <f t="shared" si="19"/>
        <v>0.20951649910724607</v>
      </c>
      <c r="L58" s="15">
        <f t="shared" si="19"/>
        <v>0.15899680282072953</v>
      </c>
      <c r="M58" s="9"/>
      <c r="N58" s="9"/>
      <c r="O58" s="9"/>
      <c r="P58" s="9"/>
      <c r="Q58" s="9"/>
      <c r="R58" s="15">
        <f t="shared" ref="R58:Z58" si="20">R9/R13</f>
        <v>0.16404942938280773</v>
      </c>
      <c r="S58" s="15">
        <f t="shared" si="20"/>
        <v>0.29507631892468567</v>
      </c>
      <c r="T58" s="15">
        <f t="shared" si="20"/>
        <v>0.23354855865513258</v>
      </c>
      <c r="U58" s="15">
        <f t="shared" si="20"/>
        <v>0.14214476171638754</v>
      </c>
      <c r="V58" s="15">
        <f t="shared" si="20"/>
        <v>0.22002901754870802</v>
      </c>
      <c r="W58" s="15">
        <f t="shared" si="20"/>
        <v>0.19499638851411205</v>
      </c>
      <c r="X58" s="15">
        <f t="shared" si="20"/>
        <v>0.12616379919372053</v>
      </c>
      <c r="Y58" s="15">
        <f t="shared" si="20"/>
        <v>0.16577228867012908</v>
      </c>
      <c r="Z58" s="15">
        <f t="shared" si="20"/>
        <v>0.15030828821525685</v>
      </c>
    </row>
    <row r="59" spans="1:26">
      <c r="A59" s="5" t="s">
        <v>164</v>
      </c>
      <c r="C59" s="15">
        <f t="shared" ref="C59:L59" si="21">C11/C13</f>
        <v>0.34184046960648279</v>
      </c>
      <c r="D59" s="15">
        <f t="shared" si="21"/>
        <v>0.40821843948600672</v>
      </c>
      <c r="E59" s="15">
        <f t="shared" si="21"/>
        <v>0.34574448864094376</v>
      </c>
      <c r="F59" s="15">
        <f t="shared" si="21"/>
        <v>0.27923756612830003</v>
      </c>
      <c r="G59" s="15">
        <f t="shared" si="21"/>
        <v>0.25174937135645736</v>
      </c>
      <c r="H59" s="15">
        <f t="shared" si="21"/>
        <v>0.25876369346331712</v>
      </c>
      <c r="I59" s="15">
        <f t="shared" si="21"/>
        <v>0.23204626764942712</v>
      </c>
      <c r="J59" s="15">
        <f t="shared" si="21"/>
        <v>0.18483891332660884</v>
      </c>
      <c r="K59" s="15">
        <f t="shared" si="21"/>
        <v>0.18231640330356377</v>
      </c>
      <c r="L59" s="15">
        <f t="shared" si="21"/>
        <v>0.1829380294883361</v>
      </c>
      <c r="M59" s="9"/>
      <c r="N59" s="9"/>
      <c r="O59" s="9"/>
      <c r="P59" s="9"/>
      <c r="Q59" s="9"/>
      <c r="R59" s="15">
        <f t="shared" ref="R59:Z59" si="22">R11/R13</f>
        <v>0.22060489761676316</v>
      </c>
      <c r="S59" s="15">
        <f t="shared" si="22"/>
        <v>0.15845776410665138</v>
      </c>
      <c r="T59" s="15">
        <f t="shared" si="22"/>
        <v>0.19319588828226925</v>
      </c>
      <c r="U59" s="15">
        <f t="shared" si="22"/>
        <v>0.21220535486742156</v>
      </c>
      <c r="V59" s="15">
        <f t="shared" si="22"/>
        <v>0.16563493160149234</v>
      </c>
      <c r="W59" s="15">
        <f t="shared" si="22"/>
        <v>0.18552134865148479</v>
      </c>
      <c r="X59" s="15">
        <f t="shared" si="22"/>
        <v>0.20583575587949698</v>
      </c>
      <c r="Y59" s="15">
        <f t="shared" si="22"/>
        <v>0.17365321154569124</v>
      </c>
      <c r="Z59" s="15">
        <f t="shared" si="22"/>
        <v>0.19274925444447724</v>
      </c>
    </row>
    <row r="60" spans="1:26">
      <c r="A60" s="5" t="s">
        <v>165</v>
      </c>
      <c r="C60" s="15">
        <f t="shared" ref="C60:L60" si="23">C24/C7</f>
        <v>0.80483079119502354</v>
      </c>
      <c r="D60" s="15">
        <f t="shared" si="23"/>
        <v>0.59242536437356641</v>
      </c>
      <c r="E60" s="15">
        <f t="shared" si="23"/>
        <v>0.51089889283198431</v>
      </c>
      <c r="F60" s="15">
        <f t="shared" si="23"/>
        <v>0.4242086173595514</v>
      </c>
      <c r="G60" s="15">
        <f t="shared" si="23"/>
        <v>0.37593418873188089</v>
      </c>
      <c r="H60" s="15">
        <f t="shared" si="23"/>
        <v>0.40987116971382687</v>
      </c>
      <c r="I60" s="15">
        <f t="shared" si="23"/>
        <v>0.5100694258576991</v>
      </c>
      <c r="J60" s="15">
        <f t="shared" si="23"/>
        <v>0.62702813943874103</v>
      </c>
      <c r="K60" s="15">
        <f t="shared" si="23"/>
        <v>0.67850774515380918</v>
      </c>
      <c r="L60" s="15">
        <f t="shared" si="23"/>
        <v>0.72684406495104981</v>
      </c>
      <c r="M60" s="9"/>
      <c r="N60" s="9"/>
      <c r="O60" s="9"/>
      <c r="P60" s="9"/>
      <c r="Q60" s="9"/>
      <c r="R60" s="15">
        <f t="shared" ref="R60:Z60" si="24">R24/R7</f>
        <v>0.62348092488266593</v>
      </c>
      <c r="S60" s="15">
        <f t="shared" si="24"/>
        <v>0.62068336852980055</v>
      </c>
      <c r="T60" s="15">
        <f t="shared" si="24"/>
        <v>0.62901355367108791</v>
      </c>
      <c r="U60" s="15">
        <f t="shared" si="24"/>
        <v>0.6817287412661569</v>
      </c>
      <c r="V60" s="15">
        <f t="shared" si="24"/>
        <v>0.66769756744902664</v>
      </c>
      <c r="W60" s="15">
        <f t="shared" si="24"/>
        <v>0.68424786743151311</v>
      </c>
      <c r="X60" s="15">
        <f t="shared" si="24"/>
        <v>0.71230361426263367</v>
      </c>
      <c r="Y60" s="15">
        <f t="shared" si="24"/>
        <v>0.73049926436180757</v>
      </c>
      <c r="Z60" s="15">
        <f t="shared" si="24"/>
        <v>0.72263400044128823</v>
      </c>
    </row>
    <row r="61" spans="1:26">
      <c r="A61" s="5" t="s">
        <v>166</v>
      </c>
      <c r="C61" s="15">
        <f t="shared" ref="C61:L61" si="25">C26/C9</f>
        <v>0.93720668086140968</v>
      </c>
      <c r="D61" s="15">
        <f t="shared" si="25"/>
        <v>0.98149169466557329</v>
      </c>
      <c r="E61" s="15">
        <f t="shared" si="25"/>
        <v>0.97595793575460854</v>
      </c>
      <c r="F61" s="15">
        <f t="shared" si="25"/>
        <v>0.96511578807675369</v>
      </c>
      <c r="G61" s="15">
        <f t="shared" si="25"/>
        <v>0.96520974877547794</v>
      </c>
      <c r="H61" s="15">
        <f t="shared" si="25"/>
        <v>0.96615254938503115</v>
      </c>
      <c r="I61" s="15">
        <f t="shared" si="25"/>
        <v>0.97557164533703822</v>
      </c>
      <c r="J61" s="15">
        <f t="shared" si="25"/>
        <v>0.98186876438986959</v>
      </c>
      <c r="K61" s="15">
        <f t="shared" si="25"/>
        <v>0.98561533728938022</v>
      </c>
      <c r="L61" s="15">
        <f t="shared" si="25"/>
        <v>0.99155078481358017</v>
      </c>
      <c r="M61" s="9"/>
      <c r="N61" s="9"/>
      <c r="O61" s="9"/>
      <c r="P61" s="9"/>
      <c r="Q61" s="9"/>
      <c r="R61" s="15">
        <f t="shared" ref="R61:Z61" si="26">R26/R9</f>
        <v>0.96417340191036005</v>
      </c>
      <c r="S61" s="15">
        <f t="shared" si="26"/>
        <v>0.97913706512105569</v>
      </c>
      <c r="T61" s="15">
        <f t="shared" si="26"/>
        <v>0.98510941113680839</v>
      </c>
      <c r="U61" s="15">
        <f t="shared" si="26"/>
        <v>0.97642493979127643</v>
      </c>
      <c r="V61" s="15">
        <f t="shared" si="26"/>
        <v>0.98521053788425916</v>
      </c>
      <c r="W61" s="15">
        <f t="shared" si="26"/>
        <v>0.98441458599059983</v>
      </c>
      <c r="X61" s="15">
        <f t="shared" si="26"/>
        <v>0.98465460957418927</v>
      </c>
      <c r="Y61" s="15">
        <f t="shared" si="26"/>
        <v>0.99257492272544012</v>
      </c>
      <c r="Z61" s="15">
        <f t="shared" si="26"/>
        <v>0.99332095149653543</v>
      </c>
    </row>
    <row r="62" spans="1:26">
      <c r="A62" s="5" t="s">
        <v>167</v>
      </c>
      <c r="C62" s="15">
        <f t="shared" ref="C62:L62" si="27">C28/C11</f>
        <v>7.499755998139844E-2</v>
      </c>
      <c r="D62" s="15">
        <f t="shared" si="27"/>
        <v>7.4884148515037247E-2</v>
      </c>
      <c r="E62" s="15">
        <f t="shared" si="27"/>
        <v>2.2973211988680214E-2</v>
      </c>
      <c r="F62" s="15">
        <f t="shared" si="27"/>
        <v>-9.7018525665766107E-3</v>
      </c>
      <c r="G62" s="15">
        <f t="shared" si="27"/>
        <v>7.8400145363596036E-3</v>
      </c>
      <c r="H62" s="15">
        <f t="shared" si="27"/>
        <v>-6.4567827844489362E-2</v>
      </c>
      <c r="I62" s="15">
        <f t="shared" si="27"/>
        <v>-9.5458418419561972E-2</v>
      </c>
      <c r="J62" s="15">
        <f t="shared" si="27"/>
        <v>-3.6262511449286557E-2</v>
      </c>
      <c r="K62" s="15">
        <f t="shared" si="27"/>
        <v>3.4448154432827921E-2</v>
      </c>
      <c r="L62" s="15">
        <f t="shared" si="27"/>
        <v>3.3679140422378656E-2</v>
      </c>
      <c r="M62" s="9"/>
      <c r="N62" s="9"/>
      <c r="O62" s="9"/>
      <c r="P62" s="9"/>
      <c r="Q62" s="9"/>
      <c r="R62" s="15">
        <f t="shared" ref="R62:Z62" si="28">R28/R11</f>
        <v>-1.9014315375368812E-3</v>
      </c>
      <c r="S62" s="15">
        <f t="shared" si="28"/>
        <v>-0.23320758671277375</v>
      </c>
      <c r="T62" s="15">
        <f t="shared" si="28"/>
        <v>1.483934792894318E-3</v>
      </c>
      <c r="U62" s="15">
        <f t="shared" si="28"/>
        <v>0.11086414884654681</v>
      </c>
      <c r="V62" s="15">
        <f t="shared" si="28"/>
        <v>-4.8844581630099276E-2</v>
      </c>
      <c r="W62" s="15">
        <f t="shared" si="28"/>
        <v>3.5719532799529864E-2</v>
      </c>
      <c r="X62" s="15">
        <f t="shared" si="28"/>
        <v>0.14492690122537208</v>
      </c>
      <c r="Y62" s="15">
        <f t="shared" si="28"/>
        <v>-1.3582860258507329E-2</v>
      </c>
      <c r="Z62" s="15">
        <f t="shared" si="28"/>
        <v>5.8030554124249727E-2</v>
      </c>
    </row>
    <row r="63" spans="1:26">
      <c r="A63" s="5" t="s">
        <v>168</v>
      </c>
      <c r="C63" s="15">
        <f t="shared" ref="C63:L63" si="29">C33/C13</f>
        <v>0.25576949873707888</v>
      </c>
      <c r="D63" s="15">
        <f t="shared" si="29"/>
        <v>0.2629352269820433</v>
      </c>
      <c r="E63" s="15">
        <f t="shared" si="29"/>
        <v>0.26203937657919096</v>
      </c>
      <c r="F63" s="15">
        <f t="shared" si="29"/>
        <v>0.27020491521701939</v>
      </c>
      <c r="G63" s="15">
        <f t="shared" si="29"/>
        <v>0.27105333614972815</v>
      </c>
      <c r="H63" s="15">
        <f t="shared" si="29"/>
        <v>0.282089651421216</v>
      </c>
      <c r="I63" s="15">
        <f t="shared" si="29"/>
        <v>0.27585848867995594</v>
      </c>
      <c r="J63" s="15">
        <f t="shared" si="29"/>
        <v>0.27473923938574007</v>
      </c>
      <c r="K63" s="15">
        <f t="shared" si="29"/>
        <v>0.24629529988132651</v>
      </c>
      <c r="L63" s="15">
        <f t="shared" si="29"/>
        <v>0.23051750653906869</v>
      </c>
      <c r="M63" s="9"/>
      <c r="N63" s="9"/>
      <c r="O63" s="9"/>
      <c r="P63" s="9"/>
      <c r="Q63" s="9"/>
      <c r="R63" s="15">
        <f t="shared" ref="R63:Z63" si="30">R33/R13</f>
        <v>0.30119041305259708</v>
      </c>
      <c r="S63" s="15">
        <f t="shared" si="30"/>
        <v>0.27172609040378254</v>
      </c>
      <c r="T63" s="15">
        <f t="shared" si="30"/>
        <v>0.27478207397435578</v>
      </c>
      <c r="U63" s="15">
        <f t="shared" si="30"/>
        <v>0.26199976416978255</v>
      </c>
      <c r="V63" s="15">
        <f t="shared" si="30"/>
        <v>0.24273870388282437</v>
      </c>
      <c r="W63" s="15">
        <f t="shared" si="30"/>
        <v>0.2484259372827998</v>
      </c>
      <c r="X63" s="15">
        <f t="shared" si="30"/>
        <v>0.23544142448720684</v>
      </c>
      <c r="Y63" s="15">
        <f t="shared" si="30"/>
        <v>0.23203887550648158</v>
      </c>
      <c r="Z63" s="15">
        <f t="shared" si="30"/>
        <v>0.23586128775087842</v>
      </c>
    </row>
    <row r="64" spans="1:26">
      <c r="A64" s="5" t="s">
        <v>169</v>
      </c>
      <c r="C64" s="15">
        <f t="shared" ref="C64:L64" si="31">C34/C13</f>
        <v>0.21439043202304855</v>
      </c>
      <c r="D64" s="15">
        <f t="shared" si="31"/>
        <v>0.19011593798872328</v>
      </c>
      <c r="E64" s="15">
        <f t="shared" si="31"/>
        <v>0.18172127297036611</v>
      </c>
      <c r="F64" s="15">
        <f t="shared" si="31"/>
        <v>0.19186131883439062</v>
      </c>
      <c r="G64" s="15">
        <f t="shared" si="31"/>
        <v>0.20251269059436244</v>
      </c>
      <c r="H64" s="15">
        <f t="shared" si="31"/>
        <v>0.22473154535855891</v>
      </c>
      <c r="I64" s="15">
        <f t="shared" si="31"/>
        <v>0.2079039831400544</v>
      </c>
      <c r="J64" s="15">
        <f t="shared" si="31"/>
        <v>0.20299195204064877</v>
      </c>
      <c r="K64" s="15">
        <f t="shared" si="31"/>
        <v>0.19156245659935184</v>
      </c>
      <c r="L64" s="15">
        <f t="shared" si="31"/>
        <v>0.1755073158266813</v>
      </c>
      <c r="M64" s="9"/>
      <c r="N64" s="9"/>
      <c r="O64" s="9"/>
      <c r="P64" s="9"/>
      <c r="Q64" s="9"/>
      <c r="R64" s="15">
        <f t="shared" ref="R64:Z64" si="32">R34/R13</f>
        <v>0.21494452935532551</v>
      </c>
      <c r="S64" s="15">
        <f t="shared" si="32"/>
        <v>0.20415779357982872</v>
      </c>
      <c r="T64" s="15">
        <f t="shared" si="32"/>
        <v>0.20976990003240845</v>
      </c>
      <c r="U64" s="15">
        <f t="shared" si="32"/>
        <v>0.19580754732770131</v>
      </c>
      <c r="V64" s="15">
        <f t="shared" si="32"/>
        <v>0.1915572751139975</v>
      </c>
      <c r="W64" s="15">
        <f t="shared" si="32"/>
        <v>0.19681916676887853</v>
      </c>
      <c r="X64" s="15">
        <f t="shared" si="32"/>
        <v>0.19317638641289805</v>
      </c>
      <c r="Y64" s="15">
        <f t="shared" si="32"/>
        <v>0.1711942522173798</v>
      </c>
      <c r="Z64" s="15">
        <f t="shared" si="32"/>
        <v>0.18306978292322187</v>
      </c>
    </row>
    <row r="65" spans="1:26">
      <c r="A65" s="5" t="s">
        <v>170</v>
      </c>
      <c r="C65" s="15">
        <f t="shared" ref="C65:L65" si="33">C35/C13</f>
        <v>0.11098594202926994</v>
      </c>
      <c r="D65" s="15">
        <f t="shared" si="33"/>
        <v>0.11628416371932866</v>
      </c>
      <c r="E65" s="15">
        <f t="shared" si="33"/>
        <v>0.10340452027340677</v>
      </c>
      <c r="F65" s="15">
        <f t="shared" si="33"/>
        <v>0.11475440754297077</v>
      </c>
      <c r="G65" s="15">
        <f t="shared" si="33"/>
        <v>0.19260642541643852</v>
      </c>
      <c r="H65" s="15">
        <f t="shared" si="33"/>
        <v>0.20276908839867391</v>
      </c>
      <c r="I65" s="15">
        <f t="shared" si="33"/>
        <v>0.18747742563299352</v>
      </c>
      <c r="J65" s="15">
        <f t="shared" si="33"/>
        <v>0.1708521290733169</v>
      </c>
      <c r="K65" s="15">
        <f t="shared" si="33"/>
        <v>0.15341812070099686</v>
      </c>
      <c r="L65" s="15">
        <f t="shared" si="33"/>
        <v>0.1345160479149877</v>
      </c>
      <c r="M65" s="9"/>
      <c r="N65" s="9"/>
      <c r="O65" s="9"/>
      <c r="P65" s="9"/>
      <c r="Q65" s="9"/>
      <c r="R65" s="15">
        <f t="shared" ref="R65:Z65" si="34">R35/R13</f>
        <v>0.1881469767172757</v>
      </c>
      <c r="S65" s="15">
        <f t="shared" si="34"/>
        <v>0.16678082333943553</v>
      </c>
      <c r="T65" s="15">
        <f t="shared" si="34"/>
        <v>0.17576180623073151</v>
      </c>
      <c r="U65" s="15">
        <f t="shared" si="34"/>
        <v>0.16262395350341002</v>
      </c>
      <c r="V65" s="15">
        <f t="shared" si="34"/>
        <v>0.14408249274561283</v>
      </c>
      <c r="W65" s="15">
        <f t="shared" si="34"/>
        <v>0.16199558444744266</v>
      </c>
      <c r="X65" s="15">
        <f t="shared" si="34"/>
        <v>0.14571051500275073</v>
      </c>
      <c r="Y65" s="15">
        <f t="shared" si="34"/>
        <v>0.13445188599117225</v>
      </c>
      <c r="Z65" s="15">
        <f t="shared" si="34"/>
        <v>0.13404967506932122</v>
      </c>
    </row>
    <row r="66" spans="1:26">
      <c r="A66" s="5" t="s">
        <v>171</v>
      </c>
      <c r="C66" s="15">
        <f t="shared" ref="C66:L66" si="35">C36/C13</f>
        <v>0.58114587278939733</v>
      </c>
      <c r="D66" s="15">
        <f t="shared" si="35"/>
        <v>0.56933532869009529</v>
      </c>
      <c r="E66" s="15">
        <f t="shared" si="35"/>
        <v>0.54716516982296381</v>
      </c>
      <c r="F66" s="15">
        <f t="shared" si="35"/>
        <v>0.57682064159438073</v>
      </c>
      <c r="G66" s="15">
        <f t="shared" si="35"/>
        <v>0.66617245216052912</v>
      </c>
      <c r="H66" s="15">
        <f t="shared" si="35"/>
        <v>0.7095902851784488</v>
      </c>
      <c r="I66" s="15">
        <f t="shared" si="35"/>
        <v>0.67123989745300394</v>
      </c>
      <c r="J66" s="15">
        <f t="shared" si="35"/>
        <v>0.6485833204997058</v>
      </c>
      <c r="K66" s="15">
        <f t="shared" si="35"/>
        <v>0.59127587718167518</v>
      </c>
      <c r="L66" s="15">
        <f t="shared" si="35"/>
        <v>0.54054087028073772</v>
      </c>
      <c r="M66" s="9"/>
      <c r="N66" s="9"/>
      <c r="O66" s="9"/>
      <c r="P66" s="9"/>
      <c r="Q66" s="9"/>
      <c r="R66" s="15">
        <f t="shared" ref="R66:Z66" si="36">R36/R13</f>
        <v>0.70428191912519833</v>
      </c>
      <c r="S66" s="15">
        <f t="shared" si="36"/>
        <v>0.64266470732304681</v>
      </c>
      <c r="T66" s="15">
        <f t="shared" si="36"/>
        <v>0.66031378023749576</v>
      </c>
      <c r="U66" s="15">
        <f t="shared" si="36"/>
        <v>0.62043126500089385</v>
      </c>
      <c r="V66" s="15">
        <f t="shared" si="36"/>
        <v>0.57837847174243473</v>
      </c>
      <c r="W66" s="15">
        <f t="shared" si="36"/>
        <v>0.60724068849912094</v>
      </c>
      <c r="X66" s="15">
        <f t="shared" si="36"/>
        <v>0.57432832590285565</v>
      </c>
      <c r="Y66" s="15">
        <f t="shared" si="36"/>
        <v>0.53768501371503363</v>
      </c>
      <c r="Z66" s="15">
        <f t="shared" si="36"/>
        <v>0.55298074574342149</v>
      </c>
    </row>
    <row r="67" spans="1:26">
      <c r="A67" s="5" t="s">
        <v>172</v>
      </c>
      <c r="D67" s="15">
        <f t="shared" ref="D67:L67" si="37">IF(N(C7)=0,"",D7/C7-1)</f>
        <v>0.6132453418411199</v>
      </c>
      <c r="E67" s="15">
        <f t="shared" si="37"/>
        <v>0.3588289476060611</v>
      </c>
      <c r="F67" s="15">
        <f t="shared" si="37"/>
        <v>0.35221367146483784</v>
      </c>
      <c r="G67" s="15">
        <f t="shared" si="37"/>
        <v>0.24025300654140835</v>
      </c>
      <c r="H67" s="15">
        <f t="shared" si="37"/>
        <v>0.36198575040220637</v>
      </c>
      <c r="I67" s="15">
        <f t="shared" si="37"/>
        <v>0.25009310228449722</v>
      </c>
      <c r="J67" s="15">
        <f t="shared" si="37"/>
        <v>0.27793616917287101</v>
      </c>
      <c r="K67" s="15">
        <f t="shared" si="37"/>
        <v>0.33183994521815308</v>
      </c>
      <c r="L67" s="15">
        <f t="shared" si="37"/>
        <v>0.32762246750973611</v>
      </c>
      <c r="M67" s="9"/>
      <c r="N67" s="9"/>
      <c r="O67" s="9"/>
      <c r="P67" s="9"/>
      <c r="Q67" s="9"/>
      <c r="V67" s="15">
        <f>IF(N(R7)=0,"",V7/R7-1)</f>
        <v>0.39341988764132974</v>
      </c>
      <c r="W67" s="15">
        <f>IF(N(S7)=0,"",W7/S7-1)</f>
        <v>0.3811929323468195</v>
      </c>
      <c r="X67" s="15">
        <f>IF(N(T7)=0,"",X7/T7-1)</f>
        <v>0.61051677900992973</v>
      </c>
      <c r="Y67" s="15">
        <f>IF(N(U7)=0,"",Y7/U7-1)</f>
        <v>0.39746792190500879</v>
      </c>
      <c r="Z67" s="15">
        <f>IF(N(V7)=0,"",Z7/V7-1)</f>
        <v>0.37618506730844925</v>
      </c>
    </row>
    <row r="68" spans="1:26">
      <c r="A68" s="5" t="s">
        <v>173</v>
      </c>
      <c r="D68" s="15">
        <f t="shared" ref="D68:L68" si="38">IF(N(C9)=0,"",D9/C9-1)</f>
        <v>1.5265488355644674E-2</v>
      </c>
      <c r="E68" s="15">
        <f t="shared" si="38"/>
        <v>0.16206468654528572</v>
      </c>
      <c r="F68" s="15">
        <f t="shared" si="38"/>
        <v>3.5226307638507315E-2</v>
      </c>
      <c r="G68" s="15">
        <f t="shared" si="38"/>
        <v>-8.3732966575580492E-2</v>
      </c>
      <c r="H68" s="15">
        <f t="shared" si="38"/>
        <v>-0.1486576341707484</v>
      </c>
      <c r="I68" s="15">
        <f t="shared" si="38"/>
        <v>2.6918660176080911E-2</v>
      </c>
      <c r="J68" s="15">
        <f t="shared" si="38"/>
        <v>-5.8047463600320759E-2</v>
      </c>
      <c r="K68" s="15">
        <f t="shared" si="38"/>
        <v>7.031050140700934E-3</v>
      </c>
      <c r="L68" s="15">
        <f t="shared" si="38"/>
        <v>-6.8894754599400643E-2</v>
      </c>
      <c r="M68" s="9"/>
      <c r="N68" s="9"/>
      <c r="O68" s="9"/>
      <c r="P68" s="9"/>
      <c r="Q68" s="9"/>
      <c r="V68" s="15">
        <f>IF(N(R9)=0,"",V9/R9-1)</f>
        <v>0.87197648787656146</v>
      </c>
      <c r="W68" s="15">
        <f>IF(N(S9)=0,"",W9/S9-1)</f>
        <v>-0.19484264873457791</v>
      </c>
      <c r="X68" s="15">
        <f>IF(N(T9)=0,"",X9/T9-1)</f>
        <v>-0.25338907667674793</v>
      </c>
      <c r="Y68" s="15">
        <f>IF(N(U9)=0,"",Y9/U9-1)</f>
        <v>0.59293550976719289</v>
      </c>
      <c r="Z68" s="15">
        <f>IF(N(V9)=0,"",Z9/V9-1)</f>
        <v>-0.12085910760825191</v>
      </c>
    </row>
    <row r="69" spans="1:26">
      <c r="A69" s="5" t="s">
        <v>174</v>
      </c>
      <c r="D69" s="15">
        <f t="shared" ref="D69:L69" si="39">IF(N(C11)=0,"",D11/C11-1)</f>
        <v>0.53006389978125945</v>
      </c>
      <c r="E69" s="15">
        <f t="shared" si="39"/>
        <v>-6.6554098422168417E-2</v>
      </c>
      <c r="F69" s="15">
        <f t="shared" si="39"/>
        <v>-0.16677386158991514</v>
      </c>
      <c r="G69" s="15">
        <f t="shared" si="39"/>
        <v>-9.7274218448475502E-2</v>
      </c>
      <c r="H69" s="15">
        <f t="shared" si="39"/>
        <v>0.12376213812748182</v>
      </c>
      <c r="I69" s="15">
        <f t="shared" si="39"/>
        <v>-9.2260135536792465E-4</v>
      </c>
      <c r="J69" s="15">
        <f t="shared" si="39"/>
        <v>-0.13731370280986854</v>
      </c>
      <c r="K69" s="15">
        <f t="shared" si="39"/>
        <v>0.20964057516801482</v>
      </c>
      <c r="L69" s="15">
        <f t="shared" si="39"/>
        <v>0.23113835823891105</v>
      </c>
      <c r="M69" s="9"/>
      <c r="N69" s="9"/>
      <c r="O69" s="9"/>
      <c r="P69" s="9"/>
      <c r="Q69" s="9"/>
      <c r="V69" s="15">
        <f>IF(N(R11)=0,"",V11/R11-1)</f>
        <v>4.7929188066877959E-2</v>
      </c>
      <c r="W69" s="15">
        <f>IF(N(S11)=0,"",W11/S11-1)</f>
        <v>0.42649062139788319</v>
      </c>
      <c r="X69" s="15">
        <f>IF(N(T11)=0,"",X11/T11-1)</f>
        <v>0.47251494687943563</v>
      </c>
      <c r="Y69" s="15">
        <f>IF(N(U11)=0,"",Y11/U11-1)</f>
        <v>0.11774722615569377</v>
      </c>
      <c r="Z69" s="15">
        <f>IF(N(V11)=0,"",Z11/V11-1)</f>
        <v>0.49760156836572955</v>
      </c>
    </row>
    <row r="70" spans="1:26">
      <c r="A70" s="5" t="s">
        <v>175</v>
      </c>
      <c r="C70" s="15">
        <f t="shared" ref="C70:L70" si="40">C45/C44</f>
        <v>0.3664726915796116</v>
      </c>
      <c r="D70" s="15">
        <f t="shared" si="40"/>
        <v>-2.2313919768003867</v>
      </c>
      <c r="E70" s="15">
        <f t="shared" si="40"/>
        <v>-0.66495342113716671</v>
      </c>
      <c r="F70" s="15">
        <f t="shared" si="40"/>
        <v>-0.11783321688381078</v>
      </c>
      <c r="G70" s="15">
        <f t="shared" si="40"/>
        <v>0.36223281326416124</v>
      </c>
      <c r="H70" s="15">
        <f t="shared" si="40"/>
        <v>0.21454410900463619</v>
      </c>
      <c r="I70" s="15">
        <f t="shared" si="40"/>
        <v>0.16584634659268871</v>
      </c>
      <c r="J70" s="15">
        <f t="shared" si="40"/>
        <v>0.77259855428869517</v>
      </c>
      <c r="K70" s="15">
        <f t="shared" si="40"/>
        <v>-0.41317947160643792</v>
      </c>
      <c r="L70" s="15">
        <f t="shared" si="40"/>
        <v>0.15131887616761214</v>
      </c>
      <c r="M70" s="9"/>
      <c r="N70" s="9"/>
      <c r="O70" s="9"/>
      <c r="P70" s="9"/>
      <c r="Q70" s="9"/>
      <c r="R70" s="15">
        <f t="shared" ref="R70:Z70" si="41">R45/R44</f>
        <v>0.29855155079936774</v>
      </c>
      <c r="S70" s="15">
        <f t="shared" si="41"/>
        <v>-0.39101091326823667</v>
      </c>
      <c r="T70" s="15">
        <f t="shared" si="41"/>
        <v>0.61129638827786847</v>
      </c>
      <c r="U70" s="15">
        <f t="shared" si="41"/>
        <v>-2.300469483568075</v>
      </c>
      <c r="V70" s="15">
        <f t="shared" si="41"/>
        <v>0.13363701861621771</v>
      </c>
      <c r="W70" s="15">
        <f t="shared" si="41"/>
        <v>5.5005342319388507E-2</v>
      </c>
      <c r="X70" s="15">
        <f t="shared" si="41"/>
        <v>-0.27777324300057138</v>
      </c>
      <c r="Y70" s="15">
        <f t="shared" si="41"/>
        <v>0.19371713703187038</v>
      </c>
      <c r="Z70" s="15">
        <f t="shared" si="41"/>
        <v>0.16644736842105262</v>
      </c>
    </row>
    <row r="71" spans="1:26" ht="8" customHeight="1">
      <c r="M71" s="9"/>
      <c r="N71" s="9"/>
      <c r="O71" s="9"/>
      <c r="P71" s="9"/>
      <c r="Q71" s="9"/>
    </row>
    <row r="72" spans="1:26" ht="20" customHeight="1">
      <c r="A72" s="10" t="s">
        <v>176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9"/>
      <c r="N72" s="9"/>
      <c r="O72" s="9"/>
      <c r="P72" s="9"/>
      <c r="Q72" s="9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">
        <v>177</v>
      </c>
      <c r="C73" s="19">
        <f t="shared" ref="C73:L73" si="42">C13-C22-C36-C38</f>
        <v>0</v>
      </c>
      <c r="D73" s="19">
        <f t="shared" si="42"/>
        <v>0</v>
      </c>
      <c r="E73" s="19">
        <f t="shared" si="42"/>
        <v>0</v>
      </c>
      <c r="F73" s="19">
        <f t="shared" si="42"/>
        <v>0</v>
      </c>
      <c r="G73" s="19">
        <f t="shared" si="42"/>
        <v>0</v>
      </c>
      <c r="H73" s="19">
        <f t="shared" si="42"/>
        <v>0</v>
      </c>
      <c r="I73" s="19">
        <f t="shared" si="42"/>
        <v>0</v>
      </c>
      <c r="J73" s="19">
        <f t="shared" si="42"/>
        <v>0</v>
      </c>
      <c r="K73" s="19">
        <f t="shared" si="42"/>
        <v>0</v>
      </c>
      <c r="L73" s="19">
        <f t="shared" si="42"/>
        <v>0</v>
      </c>
      <c r="M73" s="9"/>
      <c r="N73" s="9"/>
      <c r="O73" s="9"/>
      <c r="P73" s="9"/>
      <c r="Q73" s="9"/>
      <c r="R73" s="19">
        <f t="shared" ref="R73:Z73" si="43">R13-R22-R36-R38</f>
        <v>0</v>
      </c>
      <c r="S73" s="19">
        <f t="shared" si="43"/>
        <v>0</v>
      </c>
      <c r="T73" s="19">
        <f t="shared" si="43"/>
        <v>0</v>
      </c>
      <c r="U73" s="19">
        <f t="shared" si="43"/>
        <v>0</v>
      </c>
      <c r="V73" s="19">
        <f t="shared" si="43"/>
        <v>0</v>
      </c>
      <c r="W73" s="19">
        <f t="shared" si="43"/>
        <v>0</v>
      </c>
      <c r="X73" s="19">
        <f t="shared" si="43"/>
        <v>0</v>
      </c>
      <c r="Y73" s="19">
        <f t="shared" si="43"/>
        <v>0</v>
      </c>
      <c r="Z73" s="19">
        <f t="shared" si="43"/>
        <v>0</v>
      </c>
    </row>
    <row r="74" spans="1:26">
      <c r="M74" s="9"/>
      <c r="N74" s="9"/>
      <c r="O74" s="9"/>
      <c r="P74" s="9"/>
      <c r="Q74" s="9"/>
    </row>
  </sheetData>
  <phoneticPr fontId="16" type="noConversion"/>
  <conditionalFormatting sqref="C73:Z73">
    <cfRule type="cellIs" dxfId="1" priority="1" operator="notBetween">
      <formula>-0.5</formula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Z44"/>
  <sheetViews>
    <sheetView showGridLines="0" zoomScaleNormal="100" workbookViewId="0">
      <pane xSplit="2" ySplit="5" topLeftCell="C6" activePane="bottomRight" state="frozen"/>
      <selection pane="topRight"/>
      <selection pane="bottomLeft"/>
      <selection pane="bottomRight" activeCell="A25" sqref="A25"/>
    </sheetView>
  </sheetViews>
  <sheetFormatPr baseColWidth="10" defaultColWidth="8.83203125" defaultRowHeight="14"/>
  <cols>
    <col min="1" max="1" width="46" customWidth="1"/>
    <col min="2" max="2" width="2" customWidth="1"/>
    <col min="3" max="12" width="12" customWidth="1"/>
    <col min="13" max="17" width="9" customWidth="1"/>
    <col min="18" max="26" width="12" customWidth="1"/>
  </cols>
  <sheetData>
    <row r="1" spans="1:26" ht="28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3" t="s">
        <v>1</v>
      </c>
    </row>
    <row r="3" spans="1:26"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</row>
    <row r="4" spans="1:26"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8"/>
      <c r="S4" s="8"/>
      <c r="T4" s="8"/>
      <c r="U4" s="8"/>
      <c r="V4" s="8"/>
      <c r="W4" s="8"/>
      <c r="X4" s="8"/>
      <c r="Y4" s="8"/>
      <c r="Z4" s="8"/>
    </row>
    <row r="5" spans="1:26" ht="8" customHeight="1">
      <c r="M5" s="9"/>
      <c r="N5" s="9"/>
      <c r="O5" s="9"/>
      <c r="P5" s="9"/>
      <c r="Q5" s="9"/>
    </row>
    <row r="6" spans="1:26" ht="20" customHeight="1">
      <c r="A6" s="10" t="s">
        <v>179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1" t="s">
        <v>180</v>
      </c>
      <c r="C7" s="12">
        <v>263176</v>
      </c>
      <c r="D7" s="12">
        <v>437140</v>
      </c>
      <c r="E7" s="12">
        <v>254101</v>
      </c>
      <c r="F7" s="12">
        <v>366969</v>
      </c>
      <c r="G7" s="12">
        <v>384910</v>
      </c>
      <c r="H7" s="12">
        <v>606303</v>
      </c>
      <c r="I7" s="12">
        <v>401813</v>
      </c>
      <c r="J7" s="12">
        <v>547992</v>
      </c>
      <c r="K7" s="12">
        <v>697902</v>
      </c>
      <c r="L7" s="12">
        <v>372887</v>
      </c>
      <c r="M7" s="9"/>
      <c r="N7" s="9"/>
      <c r="O7" s="9"/>
      <c r="P7" s="9"/>
      <c r="Q7" s="9"/>
      <c r="R7" s="12">
        <v>301419</v>
      </c>
      <c r="S7" s="12">
        <v>349989</v>
      </c>
      <c r="T7" s="12">
        <v>359600</v>
      </c>
      <c r="U7" s="12">
        <v>823562</v>
      </c>
      <c r="V7" s="12">
        <v>697488</v>
      </c>
      <c r="W7" s="12">
        <v>510321</v>
      </c>
      <c r="X7" s="12">
        <v>492038</v>
      </c>
      <c r="Y7" s="12">
        <v>407946</v>
      </c>
      <c r="Z7" s="12">
        <v>294634</v>
      </c>
    </row>
    <row r="8" spans="1:26">
      <c r="A8" s="11" t="s">
        <v>181</v>
      </c>
      <c r="C8" s="12">
        <v>310027</v>
      </c>
      <c r="D8" s="12">
        <v>630008</v>
      </c>
      <c r="E8" s="12">
        <v>870136</v>
      </c>
      <c r="F8" s="12">
        <v>766527</v>
      </c>
      <c r="G8" s="12">
        <v>734517</v>
      </c>
      <c r="H8" s="12">
        <v>369865</v>
      </c>
      <c r="I8" s="12">
        <v>396872</v>
      </c>
      <c r="J8" s="12">
        <v>455576</v>
      </c>
      <c r="K8" s="12">
        <v>451541</v>
      </c>
      <c r="L8" s="12">
        <v>380175</v>
      </c>
      <c r="M8" s="9"/>
      <c r="N8" s="9"/>
      <c r="O8" s="9"/>
      <c r="P8" s="9"/>
      <c r="Q8" s="9"/>
      <c r="R8" s="12">
        <v>411528</v>
      </c>
      <c r="S8" s="12">
        <v>427634</v>
      </c>
      <c r="T8" s="12">
        <v>422691</v>
      </c>
      <c r="U8" s="12">
        <v>514767</v>
      </c>
      <c r="V8" s="12">
        <v>471473</v>
      </c>
      <c r="W8" s="12">
        <v>410116</v>
      </c>
      <c r="X8" s="12">
        <v>519861</v>
      </c>
      <c r="Y8" s="12">
        <v>511221</v>
      </c>
      <c r="Z8" s="12">
        <v>454900</v>
      </c>
    </row>
    <row r="9" spans="1:26">
      <c r="A9" s="11" t="s">
        <v>182</v>
      </c>
      <c r="C9" s="12">
        <v>79433</v>
      </c>
      <c r="D9" s="12">
        <v>124849</v>
      </c>
      <c r="E9" s="12">
        <v>138443</v>
      </c>
      <c r="F9" s="12">
        <v>114242</v>
      </c>
      <c r="G9" s="12">
        <v>104068</v>
      </c>
      <c r="H9" s="12">
        <v>143797</v>
      </c>
      <c r="I9" s="12">
        <v>151034</v>
      </c>
      <c r="J9" s="12">
        <v>137339</v>
      </c>
      <c r="K9" s="12">
        <v>140639</v>
      </c>
      <c r="L9" s="12">
        <v>193720</v>
      </c>
      <c r="M9" s="9"/>
      <c r="N9" s="9"/>
      <c r="O9" s="9"/>
      <c r="P9" s="9"/>
      <c r="Q9" s="9"/>
      <c r="R9" s="12">
        <v>93083</v>
      </c>
      <c r="S9" s="12">
        <v>128242</v>
      </c>
      <c r="T9" s="12">
        <v>104344</v>
      </c>
      <c r="U9" s="12">
        <v>97475</v>
      </c>
      <c r="V9" s="12">
        <v>123001</v>
      </c>
      <c r="W9" s="12">
        <v>147296</v>
      </c>
      <c r="X9" s="12">
        <v>94600</v>
      </c>
      <c r="Y9" s="12">
        <v>162937</v>
      </c>
      <c r="Z9" s="12">
        <v>138853</v>
      </c>
    </row>
    <row r="10" spans="1:26">
      <c r="A10" s="11" t="s">
        <v>183</v>
      </c>
      <c r="C10">
        <v>0</v>
      </c>
      <c r="D10">
        <v>0</v>
      </c>
      <c r="E10" s="12">
        <v>36728</v>
      </c>
      <c r="F10" s="12">
        <v>49491</v>
      </c>
      <c r="G10" s="12">
        <v>79061</v>
      </c>
      <c r="H10" s="12">
        <v>71515</v>
      </c>
      <c r="I10" s="12">
        <v>87752</v>
      </c>
      <c r="J10" s="12">
        <v>87031</v>
      </c>
      <c r="K10" s="12">
        <v>130959</v>
      </c>
      <c r="L10" s="12">
        <v>140832</v>
      </c>
      <c r="M10" s="9"/>
      <c r="N10" s="9"/>
      <c r="O10" s="9"/>
      <c r="P10" s="9"/>
      <c r="Q10" s="9"/>
      <c r="R10" s="12">
        <v>6883</v>
      </c>
      <c r="S10" s="12">
        <v>6796</v>
      </c>
      <c r="T10" s="12">
        <v>7288</v>
      </c>
      <c r="U10" s="12">
        <v>648</v>
      </c>
      <c r="V10" s="12">
        <v>801</v>
      </c>
      <c r="W10" s="12">
        <v>791</v>
      </c>
      <c r="X10" s="12">
        <v>83</v>
      </c>
      <c r="Y10" s="12">
        <v>83</v>
      </c>
      <c r="Z10" s="12">
        <v>83</v>
      </c>
    </row>
    <row r="11" spans="1:26">
      <c r="A11" s="11" t="s">
        <v>184</v>
      </c>
      <c r="C11" s="12">
        <v>26604</v>
      </c>
      <c r="D11" s="12">
        <v>30464</v>
      </c>
      <c r="E11" s="12">
        <v>35566</v>
      </c>
      <c r="F11" s="12">
        <v>45989</v>
      </c>
      <c r="G11" s="12">
        <v>52729</v>
      </c>
      <c r="H11" s="12">
        <v>61223</v>
      </c>
      <c r="I11" s="12">
        <v>62132</v>
      </c>
      <c r="J11" s="12">
        <v>67596</v>
      </c>
      <c r="K11" s="12">
        <v>86374</v>
      </c>
      <c r="L11" s="12">
        <v>99363</v>
      </c>
      <c r="M11" s="9"/>
      <c r="N11" s="9"/>
      <c r="O11" s="9"/>
      <c r="P11" s="9"/>
      <c r="Q11" s="9"/>
      <c r="R11" s="12">
        <v>61537</v>
      </c>
      <c r="S11" s="12">
        <v>63799</v>
      </c>
      <c r="T11" s="12">
        <v>69345</v>
      </c>
      <c r="U11" s="12">
        <v>72059</v>
      </c>
      <c r="V11" s="12">
        <v>71683</v>
      </c>
      <c r="W11" s="12">
        <v>78311</v>
      </c>
      <c r="X11" s="12">
        <v>87509</v>
      </c>
      <c r="Y11" s="12">
        <v>89434</v>
      </c>
      <c r="Z11" s="12">
        <v>102255</v>
      </c>
    </row>
    <row r="12" spans="1:26">
      <c r="A12" s="13" t="s">
        <v>185</v>
      </c>
      <c r="C12" s="14">
        <v>679240</v>
      </c>
      <c r="D12" s="14">
        <v>1222461</v>
      </c>
      <c r="E12" s="14">
        <v>1334974</v>
      </c>
      <c r="F12" s="14">
        <v>1343218</v>
      </c>
      <c r="G12" s="14">
        <v>1355285</v>
      </c>
      <c r="H12" s="14">
        <v>1252703</v>
      </c>
      <c r="I12" s="14">
        <v>1099603</v>
      </c>
      <c r="J12" s="14">
        <v>1295534</v>
      </c>
      <c r="K12" s="14">
        <v>1507415</v>
      </c>
      <c r="L12" s="14">
        <v>1186977</v>
      </c>
      <c r="M12" s="9"/>
      <c r="N12" s="9"/>
      <c r="O12" s="9"/>
      <c r="P12" s="9"/>
      <c r="Q12" s="9"/>
      <c r="R12" s="14">
        <v>976798</v>
      </c>
      <c r="S12" s="14">
        <v>1060630</v>
      </c>
      <c r="T12" s="14">
        <v>1081511</v>
      </c>
      <c r="U12" s="14">
        <v>1637292</v>
      </c>
      <c r="V12" s="14">
        <v>1478126</v>
      </c>
      <c r="W12" s="14">
        <v>1312969</v>
      </c>
      <c r="X12" s="14">
        <v>1357024</v>
      </c>
      <c r="Y12" s="14">
        <v>1346188</v>
      </c>
      <c r="Z12" s="14">
        <v>1215410</v>
      </c>
    </row>
    <row r="13" spans="1:26">
      <c r="A13" s="11" t="s">
        <v>186</v>
      </c>
      <c r="C13">
        <v>0</v>
      </c>
      <c r="D13">
        <v>0</v>
      </c>
      <c r="E13" s="12">
        <v>9375</v>
      </c>
      <c r="F13" s="12">
        <v>34737</v>
      </c>
      <c r="G13" s="12">
        <v>24361</v>
      </c>
      <c r="H13" s="12">
        <v>13914</v>
      </c>
      <c r="I13" s="12">
        <v>11112</v>
      </c>
      <c r="J13" s="12">
        <v>4157</v>
      </c>
      <c r="K13" s="12">
        <v>670</v>
      </c>
      <c r="L13" s="12">
        <v>0</v>
      </c>
      <c r="M13" s="9"/>
      <c r="N13" s="9"/>
      <c r="O13" s="9"/>
      <c r="P13" s="9"/>
      <c r="Q13" s="9"/>
    </row>
    <row r="14" spans="1:26">
      <c r="A14" s="11" t="s">
        <v>187</v>
      </c>
      <c r="C14" s="12">
        <v>114585</v>
      </c>
      <c r="D14" s="12">
        <v>190952</v>
      </c>
      <c r="E14" s="12">
        <v>213524</v>
      </c>
      <c r="F14" s="12">
        <v>300771</v>
      </c>
      <c r="G14" s="12">
        <v>227164</v>
      </c>
      <c r="H14" s="12">
        <v>187507</v>
      </c>
      <c r="I14" s="12">
        <v>128782</v>
      </c>
      <c r="J14" s="12">
        <v>125885</v>
      </c>
      <c r="K14" s="12">
        <v>333754</v>
      </c>
      <c r="L14" s="12">
        <v>462223</v>
      </c>
      <c r="M14" s="9"/>
      <c r="N14" s="9"/>
      <c r="O14" s="9"/>
      <c r="P14" s="9"/>
      <c r="Q14" s="9"/>
      <c r="R14" s="12">
        <v>140644</v>
      </c>
      <c r="S14" s="12">
        <v>155061</v>
      </c>
      <c r="T14" s="12">
        <v>151891</v>
      </c>
      <c r="U14" s="12">
        <v>142119</v>
      </c>
      <c r="V14" s="12">
        <v>243473</v>
      </c>
      <c r="W14" s="12">
        <v>323305</v>
      </c>
      <c r="X14" s="12">
        <v>397365</v>
      </c>
      <c r="Y14" s="12">
        <v>432255</v>
      </c>
      <c r="Z14" s="12">
        <v>397267</v>
      </c>
    </row>
    <row r="15" spans="1:26">
      <c r="A15" s="11" t="s">
        <v>188</v>
      </c>
      <c r="C15" s="12">
        <v>14376</v>
      </c>
      <c r="D15" s="12">
        <v>18595</v>
      </c>
      <c r="E15" s="12">
        <v>65809</v>
      </c>
      <c r="F15" s="12">
        <v>65235</v>
      </c>
      <c r="G15" s="12">
        <v>80061</v>
      </c>
      <c r="H15" s="12">
        <v>80740</v>
      </c>
      <c r="I15" s="12">
        <v>54499</v>
      </c>
      <c r="J15" s="12">
        <v>55409</v>
      </c>
      <c r="K15" s="12">
        <v>60436</v>
      </c>
      <c r="L15" s="12">
        <v>67800</v>
      </c>
      <c r="M15" s="9"/>
      <c r="N15" s="9"/>
      <c r="O15" s="9"/>
      <c r="P15" s="9"/>
      <c r="Q15" s="9"/>
      <c r="R15" s="12">
        <v>55280</v>
      </c>
      <c r="S15" s="12">
        <v>55109</v>
      </c>
      <c r="T15" s="12">
        <v>55025</v>
      </c>
      <c r="U15" s="12">
        <v>55215</v>
      </c>
      <c r="V15" s="12">
        <v>54079</v>
      </c>
      <c r="W15" s="12">
        <v>55561</v>
      </c>
      <c r="X15" s="12">
        <v>65199</v>
      </c>
      <c r="Y15" s="12">
        <v>65315</v>
      </c>
      <c r="Z15" s="12">
        <v>66647</v>
      </c>
    </row>
    <row r="16" spans="1:26">
      <c r="A16" s="11" t="s">
        <v>189</v>
      </c>
      <c r="F16" s="12">
        <v>103797</v>
      </c>
      <c r="G16" s="12">
        <v>97447</v>
      </c>
      <c r="H16" s="12">
        <v>90287</v>
      </c>
      <c r="I16" s="12">
        <v>52373</v>
      </c>
      <c r="J16" s="12">
        <v>43750</v>
      </c>
      <c r="K16" s="12">
        <v>39309</v>
      </c>
      <c r="L16" s="12">
        <v>34404</v>
      </c>
      <c r="M16" s="9"/>
      <c r="N16" s="9"/>
      <c r="O16" s="9"/>
      <c r="P16" s="9"/>
      <c r="Q16" s="9"/>
      <c r="R16" s="12">
        <v>50402</v>
      </c>
      <c r="S16" s="12">
        <v>48327</v>
      </c>
      <c r="T16" s="12">
        <v>46267</v>
      </c>
      <c r="U16" s="12">
        <v>41993</v>
      </c>
      <c r="V16" s="12">
        <v>43142</v>
      </c>
      <c r="W16" s="12">
        <v>41767</v>
      </c>
      <c r="X16" s="12">
        <v>37636</v>
      </c>
      <c r="Y16" s="12">
        <v>37430</v>
      </c>
      <c r="Z16" s="12">
        <v>36443</v>
      </c>
    </row>
    <row r="17" spans="1:26">
      <c r="A17" s="11" t="s">
        <v>190</v>
      </c>
      <c r="C17" s="12">
        <v>71315</v>
      </c>
      <c r="D17" s="12">
        <v>95654</v>
      </c>
      <c r="E17" s="12">
        <v>66542</v>
      </c>
      <c r="F17" s="12">
        <v>39708</v>
      </c>
      <c r="G17" s="12">
        <v>19743</v>
      </c>
      <c r="H17" s="12">
        <v>21361</v>
      </c>
      <c r="I17" s="12">
        <v>14473</v>
      </c>
      <c r="J17" s="12">
        <v>9005</v>
      </c>
      <c r="K17" s="12">
        <v>12042</v>
      </c>
      <c r="L17" s="12">
        <v>16406</v>
      </c>
      <c r="M17" s="9"/>
      <c r="N17" s="9"/>
      <c r="O17" s="9"/>
      <c r="P17" s="9"/>
      <c r="Q17" s="9"/>
      <c r="R17" s="12">
        <v>13106</v>
      </c>
      <c r="S17" s="12">
        <v>11739</v>
      </c>
      <c r="T17" s="12">
        <v>10372</v>
      </c>
      <c r="U17" s="12">
        <v>7638</v>
      </c>
      <c r="V17" s="12">
        <v>6360</v>
      </c>
      <c r="W17" s="12">
        <v>13482</v>
      </c>
      <c r="X17" s="12">
        <v>10704</v>
      </c>
      <c r="Y17" s="12">
        <v>19833</v>
      </c>
      <c r="Z17" s="12">
        <v>17727</v>
      </c>
    </row>
    <row r="18" spans="1:26">
      <c r="A18" s="11" t="s">
        <v>191</v>
      </c>
      <c r="C18" s="12">
        <v>141851</v>
      </c>
      <c r="D18" s="12">
        <v>340877</v>
      </c>
      <c r="E18" s="12">
        <v>340877</v>
      </c>
      <c r="F18" s="12">
        <v>340877</v>
      </c>
      <c r="G18" s="12">
        <v>340877</v>
      </c>
      <c r="H18" s="12">
        <v>372192</v>
      </c>
      <c r="I18" s="12">
        <v>372214</v>
      </c>
      <c r="J18" s="12">
        <v>372214</v>
      </c>
      <c r="K18" s="12">
        <v>393978</v>
      </c>
      <c r="L18" s="12">
        <v>423267</v>
      </c>
      <c r="M18" s="9"/>
      <c r="N18" s="9"/>
      <c r="O18" s="9"/>
      <c r="P18" s="9"/>
      <c r="Q18" s="9"/>
      <c r="R18" s="12">
        <v>372214</v>
      </c>
      <c r="S18" s="12">
        <v>372214</v>
      </c>
      <c r="T18" s="12">
        <v>372214</v>
      </c>
      <c r="U18" s="12">
        <v>372214</v>
      </c>
      <c r="V18" s="12">
        <v>372214</v>
      </c>
      <c r="W18" s="12">
        <v>393592</v>
      </c>
      <c r="X18" s="12">
        <v>394300</v>
      </c>
      <c r="Y18" s="12">
        <v>422113</v>
      </c>
      <c r="Z18" s="12">
        <v>421111</v>
      </c>
    </row>
    <row r="19" spans="1:26">
      <c r="A19" s="11" t="s">
        <v>192</v>
      </c>
      <c r="C19" s="12">
        <v>37430</v>
      </c>
      <c r="D19" s="12">
        <v>90369</v>
      </c>
      <c r="E19" s="12">
        <v>90308</v>
      </c>
      <c r="F19" s="12">
        <v>101565</v>
      </c>
      <c r="G19" s="12">
        <v>138428</v>
      </c>
      <c r="H19" s="12">
        <v>191461</v>
      </c>
      <c r="I19" s="12">
        <v>226875</v>
      </c>
      <c r="J19" s="12">
        <v>253085</v>
      </c>
      <c r="K19" s="12">
        <v>297234</v>
      </c>
      <c r="L19" s="12">
        <v>286585</v>
      </c>
      <c r="M19" s="9"/>
      <c r="N19" s="9"/>
      <c r="O19" s="9"/>
      <c r="P19" s="9"/>
      <c r="Q19" s="9"/>
      <c r="R19" s="12">
        <v>239822</v>
      </c>
      <c r="S19" s="12">
        <v>243424</v>
      </c>
      <c r="T19" s="12">
        <v>255547</v>
      </c>
      <c r="U19" s="12">
        <v>274875</v>
      </c>
      <c r="V19" s="12">
        <v>281034</v>
      </c>
      <c r="W19" s="12">
        <v>281344</v>
      </c>
      <c r="X19" s="12">
        <v>305494</v>
      </c>
      <c r="Y19" s="12">
        <v>292842</v>
      </c>
      <c r="Z19" s="12">
        <v>293911</v>
      </c>
    </row>
    <row r="20" spans="1:26">
      <c r="A20" s="11" t="s">
        <v>193</v>
      </c>
      <c r="C20" s="12">
        <v>20104</v>
      </c>
      <c r="D20" s="12">
        <v>22525</v>
      </c>
      <c r="E20" s="12">
        <v>45554</v>
      </c>
      <c r="F20" s="12">
        <v>34944</v>
      </c>
      <c r="G20" s="12">
        <v>38479</v>
      </c>
      <c r="H20" s="12">
        <v>56732</v>
      </c>
      <c r="I20" s="12">
        <v>67957</v>
      </c>
      <c r="J20" s="12">
        <v>67255</v>
      </c>
      <c r="K20" s="12">
        <v>76261</v>
      </c>
      <c r="L20" s="12">
        <v>99283</v>
      </c>
      <c r="M20" s="9"/>
      <c r="N20" s="9"/>
      <c r="O20" s="9"/>
      <c r="P20" s="9"/>
      <c r="Q20" s="9"/>
      <c r="R20" s="12">
        <v>64448</v>
      </c>
      <c r="S20" s="12">
        <v>60220</v>
      </c>
      <c r="T20" s="12">
        <v>59910</v>
      </c>
      <c r="U20" s="12">
        <v>64703</v>
      </c>
      <c r="V20" s="12">
        <v>63560</v>
      </c>
      <c r="W20" s="12">
        <v>65260</v>
      </c>
      <c r="X20" s="12">
        <v>71526</v>
      </c>
      <c r="Y20" s="12">
        <v>75686</v>
      </c>
      <c r="Z20" s="12">
        <v>86533</v>
      </c>
    </row>
    <row r="21" spans="1:26">
      <c r="A21" s="13" t="s">
        <v>194</v>
      </c>
      <c r="C21" s="14">
        <v>1078901</v>
      </c>
      <c r="D21" s="14">
        <v>1981433</v>
      </c>
      <c r="E21" s="14">
        <v>2166963</v>
      </c>
      <c r="F21" s="14">
        <v>2364852</v>
      </c>
      <c r="G21" s="14">
        <v>2321845</v>
      </c>
      <c r="H21" s="14">
        <v>2266897</v>
      </c>
      <c r="I21" s="14">
        <v>2027888</v>
      </c>
      <c r="J21" s="14">
        <v>2226294</v>
      </c>
      <c r="K21" s="14">
        <v>2721099</v>
      </c>
      <c r="L21" s="14">
        <v>2576946</v>
      </c>
      <c r="M21" s="9"/>
      <c r="N21" s="9"/>
      <c r="O21" s="9"/>
      <c r="P21" s="9"/>
      <c r="Q21" s="9"/>
      <c r="R21" s="14">
        <v>1919597</v>
      </c>
      <c r="S21" s="14">
        <v>2013520</v>
      </c>
      <c r="T21" s="14">
        <v>2040025</v>
      </c>
      <c r="U21" s="14">
        <v>2596697</v>
      </c>
      <c r="V21" s="14">
        <v>2542789</v>
      </c>
      <c r="W21" s="14">
        <v>2488071</v>
      </c>
      <c r="X21" s="14">
        <v>2639331</v>
      </c>
      <c r="Y21" s="14">
        <v>2691745</v>
      </c>
      <c r="Z21" s="14">
        <v>2535132</v>
      </c>
    </row>
    <row r="22" spans="1:26">
      <c r="M22" s="9"/>
      <c r="N22" s="9"/>
      <c r="O22" s="9"/>
      <c r="P22" s="9"/>
      <c r="Q22" s="9"/>
    </row>
    <row r="23" spans="1:26">
      <c r="A23" s="11" t="s">
        <v>195</v>
      </c>
      <c r="C23" s="12">
        <v>13416</v>
      </c>
      <c r="D23" s="12">
        <v>30635</v>
      </c>
      <c r="E23" s="12">
        <v>34255</v>
      </c>
      <c r="F23" s="12">
        <v>22634</v>
      </c>
      <c r="G23" s="12">
        <v>27830</v>
      </c>
      <c r="H23" s="12">
        <v>40440</v>
      </c>
      <c r="I23" s="12">
        <v>34627</v>
      </c>
      <c r="J23" s="12">
        <v>15209</v>
      </c>
      <c r="K23" s="12">
        <v>28797</v>
      </c>
      <c r="L23" s="12">
        <v>38074</v>
      </c>
      <c r="M23" s="9"/>
      <c r="N23" s="9"/>
      <c r="O23" s="9"/>
      <c r="P23" s="9"/>
      <c r="Q23" s="9"/>
      <c r="R23" s="12">
        <v>19210</v>
      </c>
      <c r="S23" s="12">
        <v>21999</v>
      </c>
      <c r="T23" s="12">
        <v>23514</v>
      </c>
      <c r="U23" s="12">
        <v>31394</v>
      </c>
      <c r="V23" s="12">
        <v>24921</v>
      </c>
      <c r="W23" s="12">
        <v>28952</v>
      </c>
      <c r="X23" s="12">
        <v>33557</v>
      </c>
      <c r="Y23" s="12">
        <v>28946</v>
      </c>
      <c r="Z23" s="12">
        <v>34972</v>
      </c>
    </row>
    <row r="24" spans="1:26">
      <c r="A24" s="11" t="s">
        <v>196</v>
      </c>
      <c r="C24" s="12">
        <v>48882</v>
      </c>
      <c r="D24" s="12">
        <v>60135</v>
      </c>
      <c r="E24" s="12">
        <v>73365</v>
      </c>
      <c r="F24" s="12">
        <v>58547</v>
      </c>
      <c r="G24" s="12">
        <v>102137</v>
      </c>
      <c r="H24" s="12">
        <v>90962</v>
      </c>
      <c r="I24" s="12">
        <v>103980</v>
      </c>
      <c r="J24" s="12">
        <v>109084</v>
      </c>
      <c r="K24" s="12">
        <v>140613</v>
      </c>
      <c r="L24" s="12">
        <v>146331</v>
      </c>
      <c r="M24" s="9"/>
      <c r="N24" s="9"/>
      <c r="O24" s="9"/>
      <c r="P24" s="9"/>
      <c r="Q24" s="9"/>
      <c r="R24" s="12">
        <v>46686</v>
      </c>
      <c r="S24" s="12">
        <v>62669</v>
      </c>
      <c r="T24" s="12">
        <v>76538</v>
      </c>
      <c r="U24" s="12">
        <v>51860</v>
      </c>
      <c r="V24" s="12">
        <v>60601</v>
      </c>
      <c r="W24" s="12">
        <v>89230</v>
      </c>
      <c r="X24" s="12">
        <v>70300</v>
      </c>
      <c r="Y24" s="12">
        <v>84697</v>
      </c>
      <c r="Z24" s="12">
        <v>117531</v>
      </c>
    </row>
    <row r="25" spans="1:26">
      <c r="A25" s="11" t="s">
        <v>344</v>
      </c>
      <c r="C25" s="12">
        <v>91243</v>
      </c>
      <c r="D25" s="12">
        <v>127107</v>
      </c>
      <c r="E25" s="12">
        <v>108304</v>
      </c>
      <c r="F25" s="12">
        <v>118311</v>
      </c>
      <c r="G25" s="12">
        <v>138699</v>
      </c>
      <c r="H25" s="12">
        <v>170776</v>
      </c>
      <c r="I25" s="12">
        <v>206923</v>
      </c>
      <c r="J25" s="12">
        <v>281855</v>
      </c>
      <c r="K25" s="12">
        <v>340253</v>
      </c>
      <c r="L25" s="12">
        <v>437181</v>
      </c>
      <c r="M25" s="9"/>
      <c r="N25" s="9"/>
      <c r="O25" s="9"/>
      <c r="P25" s="9"/>
      <c r="Q25" s="9"/>
      <c r="R25" s="12">
        <v>3915</v>
      </c>
      <c r="S25" s="12">
        <v>4072</v>
      </c>
      <c r="T25" s="12">
        <v>3210</v>
      </c>
      <c r="U25" s="12">
        <v>3187</v>
      </c>
      <c r="V25" s="12">
        <v>3109</v>
      </c>
      <c r="W25" s="12">
        <v>4937</v>
      </c>
      <c r="X25" s="12">
        <v>2464</v>
      </c>
      <c r="Y25" s="12">
        <v>4977</v>
      </c>
      <c r="Z25" s="12">
        <v>3718</v>
      </c>
    </row>
    <row r="26" spans="1:26">
      <c r="A26" s="11" t="s">
        <v>197</v>
      </c>
      <c r="C26" s="12">
        <v>10075</v>
      </c>
      <c r="D26" s="12">
        <v>20280</v>
      </c>
      <c r="E26" s="12">
        <v>16348</v>
      </c>
      <c r="F26" s="12">
        <v>25706</v>
      </c>
      <c r="G26" s="12">
        <v>31648</v>
      </c>
      <c r="H26" s="12">
        <v>35340</v>
      </c>
      <c r="I26" s="12">
        <v>27731</v>
      </c>
      <c r="J26" s="12">
        <v>32584</v>
      </c>
      <c r="K26" s="12">
        <v>35139</v>
      </c>
      <c r="L26" s="12">
        <v>42911</v>
      </c>
      <c r="M26" s="9"/>
      <c r="N26" s="9"/>
      <c r="O26" s="9"/>
      <c r="P26" s="9"/>
      <c r="Q26" s="9"/>
      <c r="R26" s="12">
        <v>25376</v>
      </c>
      <c r="S26" s="12">
        <v>27325</v>
      </c>
      <c r="T26" s="12">
        <v>24599</v>
      </c>
      <c r="U26" s="12">
        <v>29199</v>
      </c>
      <c r="V26" s="12">
        <v>29341</v>
      </c>
      <c r="W26" s="12">
        <v>28946</v>
      </c>
      <c r="X26" s="12">
        <v>32464</v>
      </c>
      <c r="Y26" s="12">
        <v>37694</v>
      </c>
      <c r="Z26" s="12">
        <v>44032</v>
      </c>
    </row>
    <row r="27" spans="1:26">
      <c r="A27" s="13" t="s">
        <v>198</v>
      </c>
      <c r="C27" s="14">
        <v>163616</v>
      </c>
      <c r="D27" s="14">
        <v>238157</v>
      </c>
      <c r="E27" s="14">
        <v>232272</v>
      </c>
      <c r="F27" s="14">
        <v>225198</v>
      </c>
      <c r="G27" s="14">
        <v>300314</v>
      </c>
      <c r="H27" s="14">
        <v>337518</v>
      </c>
      <c r="I27" s="14">
        <v>373261</v>
      </c>
      <c r="J27" s="14">
        <v>837635</v>
      </c>
      <c r="K27" s="14">
        <v>544802</v>
      </c>
      <c r="L27" s="14">
        <v>664497</v>
      </c>
      <c r="M27" s="9"/>
      <c r="N27" s="9"/>
      <c r="O27" s="9"/>
      <c r="P27" s="9"/>
      <c r="Q27" s="9"/>
      <c r="R27" s="14">
        <v>262375</v>
      </c>
      <c r="S27" s="14">
        <v>307076</v>
      </c>
      <c r="T27" s="14">
        <v>704807</v>
      </c>
      <c r="U27" s="14">
        <v>615237</v>
      </c>
      <c r="V27" s="14">
        <v>558681</v>
      </c>
      <c r="W27" s="14">
        <v>405914</v>
      </c>
      <c r="X27" s="14">
        <v>389858</v>
      </c>
      <c r="Y27" s="14">
        <v>458983</v>
      </c>
      <c r="Z27" s="14">
        <v>497175</v>
      </c>
    </row>
    <row r="28" spans="1:26">
      <c r="A28" s="11" t="s">
        <v>199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398903</v>
      </c>
      <c r="K28" s="12">
        <v>0</v>
      </c>
      <c r="L28" s="12">
        <v>0</v>
      </c>
      <c r="M28" s="9"/>
      <c r="N28" s="9"/>
      <c r="O28" s="9"/>
      <c r="P28" s="9"/>
      <c r="Q28" s="9"/>
    </row>
    <row r="29" spans="1:26">
      <c r="A29" s="11" t="s">
        <v>200</v>
      </c>
      <c r="F29" s="12">
        <v>119408</v>
      </c>
      <c r="G29" s="12">
        <v>115374</v>
      </c>
      <c r="H29" s="12">
        <v>105123</v>
      </c>
      <c r="I29" s="12">
        <v>42972</v>
      </c>
      <c r="J29" s="12">
        <v>34721</v>
      </c>
      <c r="K29" s="12">
        <v>30687</v>
      </c>
      <c r="L29" s="12">
        <v>25206</v>
      </c>
      <c r="M29" s="9"/>
      <c r="N29" s="9"/>
      <c r="O29" s="9"/>
      <c r="P29" s="9"/>
      <c r="Q29" s="9"/>
      <c r="R29" s="12">
        <v>40872</v>
      </c>
      <c r="S29" s="12">
        <v>39074</v>
      </c>
      <c r="T29" s="12">
        <v>37120</v>
      </c>
      <c r="U29" s="12">
        <v>32934</v>
      </c>
      <c r="V29" s="12">
        <v>33983</v>
      </c>
      <c r="W29" s="12">
        <v>33013</v>
      </c>
      <c r="X29" s="12">
        <v>29057</v>
      </c>
      <c r="Y29" s="12">
        <v>28673</v>
      </c>
      <c r="Z29" s="12">
        <v>27031</v>
      </c>
    </row>
    <row r="30" spans="1:26">
      <c r="A30" s="11" t="s">
        <v>201</v>
      </c>
      <c r="D30" s="12">
        <v>305128</v>
      </c>
      <c r="E30" s="12">
        <v>317322</v>
      </c>
      <c r="F30" s="12">
        <v>330208</v>
      </c>
      <c r="G30" s="12">
        <v>343825</v>
      </c>
      <c r="H30" s="12">
        <v>358216</v>
      </c>
      <c r="I30" s="12">
        <v>397171</v>
      </c>
      <c r="J30" s="12">
        <v>0</v>
      </c>
      <c r="K30" s="12">
        <v>674568</v>
      </c>
      <c r="L30" s="12">
        <v>678094</v>
      </c>
      <c r="M30" s="9"/>
      <c r="N30" s="9"/>
      <c r="O30" s="9"/>
      <c r="P30" s="9"/>
      <c r="Q30" s="9"/>
      <c r="R30" s="12">
        <v>397601</v>
      </c>
      <c r="S30" s="12">
        <v>398033</v>
      </c>
      <c r="T30" s="12">
        <v>398467</v>
      </c>
      <c r="U30" s="12">
        <v>671820</v>
      </c>
      <c r="V30" s="12">
        <v>672828</v>
      </c>
      <c r="W30" s="12">
        <v>673696</v>
      </c>
      <c r="X30" s="12">
        <v>675443</v>
      </c>
      <c r="Y30" s="12">
        <v>676323</v>
      </c>
      <c r="Z30" s="12">
        <v>677206</v>
      </c>
    </row>
    <row r="31" spans="1:26">
      <c r="A31" s="11" t="s">
        <v>202</v>
      </c>
      <c r="C31">
        <v>19892</v>
      </c>
      <c r="D31">
        <v>23758</v>
      </c>
      <c r="E31">
        <v>23527</v>
      </c>
      <c r="F31">
        <v>14685</v>
      </c>
      <c r="G31">
        <v>7237</v>
      </c>
      <c r="H31">
        <v>7500</v>
      </c>
      <c r="I31">
        <v>5988</v>
      </c>
      <c r="J31">
        <v>3628</v>
      </c>
      <c r="K31">
        <v>4533</v>
      </c>
      <c r="L31">
        <v>1633</v>
      </c>
      <c r="M31" s="9"/>
      <c r="N31" s="9"/>
      <c r="O31" s="9"/>
      <c r="P31" s="9"/>
      <c r="Q31" s="9"/>
    </row>
    <row r="32" spans="1:26">
      <c r="A32" s="11" t="s">
        <v>203</v>
      </c>
      <c r="C32" s="12">
        <v>2112</v>
      </c>
      <c r="D32" s="12">
        <v>774</v>
      </c>
      <c r="E32" s="12">
        <v>19641</v>
      </c>
      <c r="F32" s="12">
        <v>18585</v>
      </c>
      <c r="G32" s="12">
        <v>10201</v>
      </c>
      <c r="H32" s="12">
        <v>6883</v>
      </c>
      <c r="I32" s="12">
        <v>9030</v>
      </c>
      <c r="J32" s="12">
        <v>7578</v>
      </c>
      <c r="K32" s="12">
        <v>9279</v>
      </c>
      <c r="L32" s="12">
        <v>13828</v>
      </c>
      <c r="M32" s="9"/>
      <c r="N32" s="9"/>
      <c r="O32" s="9"/>
      <c r="P32" s="9"/>
      <c r="Q32" s="9"/>
      <c r="R32" s="12">
        <v>9185</v>
      </c>
      <c r="S32" s="12">
        <v>9152</v>
      </c>
      <c r="T32" s="12">
        <v>9522</v>
      </c>
      <c r="U32" s="12">
        <v>5490</v>
      </c>
      <c r="V32" s="12">
        <v>5452</v>
      </c>
      <c r="W32" s="12">
        <v>7936</v>
      </c>
      <c r="X32" s="12">
        <v>9091</v>
      </c>
      <c r="Y32" s="12">
        <v>12171</v>
      </c>
      <c r="Z32" s="12">
        <v>12858</v>
      </c>
    </row>
    <row r="33" spans="1:26">
      <c r="A33" s="13" t="s">
        <v>204</v>
      </c>
      <c r="C33" s="14">
        <v>185620</v>
      </c>
      <c r="D33" s="14">
        <v>567817</v>
      </c>
      <c r="E33" s="14">
        <v>592762</v>
      </c>
      <c r="F33" s="14">
        <v>708084</v>
      </c>
      <c r="G33" s="14">
        <v>776951</v>
      </c>
      <c r="H33" s="14">
        <v>815240</v>
      </c>
      <c r="I33" s="14">
        <v>828422</v>
      </c>
      <c r="J33" s="14">
        <v>883562</v>
      </c>
      <c r="K33" s="14">
        <v>1263869</v>
      </c>
      <c r="L33" s="14">
        <v>1383258</v>
      </c>
      <c r="M33" s="9"/>
      <c r="N33" s="9"/>
      <c r="O33" s="9"/>
      <c r="P33" s="9"/>
      <c r="Q33" s="9"/>
      <c r="R33" s="14">
        <v>713948</v>
      </c>
      <c r="S33" s="14">
        <v>757407</v>
      </c>
      <c r="T33" s="14">
        <v>754659</v>
      </c>
      <c r="U33" s="14">
        <v>1328668</v>
      </c>
      <c r="V33" s="14">
        <v>1274053</v>
      </c>
      <c r="W33" s="14">
        <v>1125496</v>
      </c>
      <c r="X33" s="14">
        <v>1105913</v>
      </c>
      <c r="Y33" s="14">
        <v>1181127</v>
      </c>
      <c r="Z33" s="14">
        <v>1217987</v>
      </c>
    </row>
    <row r="34" spans="1:26">
      <c r="M34" s="9"/>
      <c r="N34" s="9"/>
      <c r="O34" s="9"/>
      <c r="P34" s="9"/>
      <c r="Q34" s="9"/>
    </row>
    <row r="35" spans="1:26">
      <c r="A35" s="11" t="s">
        <v>205</v>
      </c>
      <c r="C35" s="12">
        <v>8</v>
      </c>
      <c r="D35" s="12">
        <v>8</v>
      </c>
      <c r="E35" s="12">
        <v>8</v>
      </c>
      <c r="F35" s="12">
        <v>8</v>
      </c>
      <c r="G35" s="12">
        <v>8</v>
      </c>
      <c r="H35" s="12">
        <v>8</v>
      </c>
      <c r="I35" s="12">
        <v>8</v>
      </c>
      <c r="J35" s="12">
        <v>8</v>
      </c>
      <c r="K35" s="12">
        <v>8</v>
      </c>
      <c r="L35" s="12">
        <v>8</v>
      </c>
      <c r="M35" s="9"/>
      <c r="N35" s="9"/>
      <c r="O35" s="9"/>
      <c r="P35" s="9"/>
      <c r="Q35" s="9"/>
      <c r="R35" s="12">
        <v>8</v>
      </c>
      <c r="S35" s="12">
        <v>8</v>
      </c>
      <c r="T35" s="12">
        <v>8</v>
      </c>
      <c r="U35" s="12">
        <v>8</v>
      </c>
      <c r="V35" s="12">
        <v>8</v>
      </c>
      <c r="W35" s="12">
        <v>8</v>
      </c>
      <c r="X35" s="12">
        <v>9</v>
      </c>
      <c r="Y35" s="12">
        <v>8</v>
      </c>
      <c r="Z35" s="12">
        <v>8</v>
      </c>
    </row>
    <row r="36" spans="1:26">
      <c r="A36" s="11" t="s">
        <v>206</v>
      </c>
      <c r="C36" s="12">
        <v>830014</v>
      </c>
      <c r="D36" s="12">
        <v>1296380</v>
      </c>
      <c r="E36" s="12">
        <v>1391904</v>
      </c>
      <c r="F36" s="12">
        <v>1499050</v>
      </c>
      <c r="G36" s="12">
        <v>1617204</v>
      </c>
      <c r="H36" s="12">
        <v>1755476</v>
      </c>
      <c r="I36" s="12">
        <v>1831267</v>
      </c>
      <c r="J36" s="12">
        <v>1979021</v>
      </c>
      <c r="K36" s="12">
        <v>2020393</v>
      </c>
      <c r="L36" s="12">
        <v>2230308</v>
      </c>
      <c r="M36" s="9"/>
      <c r="N36" s="9"/>
      <c r="O36" s="9"/>
      <c r="P36" s="9"/>
      <c r="Q36" s="9"/>
      <c r="R36" s="12">
        <v>1867467</v>
      </c>
      <c r="S36" s="12">
        <v>1903873</v>
      </c>
      <c r="T36" s="12">
        <v>1940691</v>
      </c>
      <c r="U36" s="12">
        <v>1894904</v>
      </c>
      <c r="V36" s="12">
        <v>1936293</v>
      </c>
      <c r="W36" s="12">
        <v>1977364</v>
      </c>
      <c r="X36" s="12">
        <v>2064255</v>
      </c>
      <c r="Y36" s="12">
        <v>2124589</v>
      </c>
      <c r="Z36" s="12">
        <v>2169769</v>
      </c>
    </row>
    <row r="37" spans="1:26">
      <c r="A37" s="11" t="s">
        <v>207</v>
      </c>
      <c r="C37" s="12">
        <v>-5796</v>
      </c>
      <c r="D37" s="12">
        <v>-7748</v>
      </c>
      <c r="E37" s="12">
        <v>-7758</v>
      </c>
      <c r="F37" s="12">
        <v>-5246</v>
      </c>
      <c r="G37" s="12">
        <v>-6218</v>
      </c>
      <c r="H37" s="12">
        <v>-19845</v>
      </c>
      <c r="I37" s="12">
        <v>-13859</v>
      </c>
      <c r="J37" s="12">
        <v>-12244</v>
      </c>
      <c r="K37" s="12">
        <v>-8922</v>
      </c>
      <c r="L37" s="12">
        <v>-12233</v>
      </c>
      <c r="M37" s="9"/>
      <c r="N37" s="9"/>
      <c r="O37" s="9"/>
      <c r="P37" s="9"/>
      <c r="Q37" s="9"/>
      <c r="R37" s="12">
        <v>-16805</v>
      </c>
      <c r="S37" s="12">
        <v>-12434</v>
      </c>
      <c r="T37" s="12">
        <v>-14521</v>
      </c>
      <c r="U37" s="12">
        <v>-11969</v>
      </c>
      <c r="V37" s="12">
        <v>-15374</v>
      </c>
      <c r="W37" s="12">
        <v>-8597</v>
      </c>
      <c r="X37" s="12">
        <v>-7905</v>
      </c>
      <c r="Y37" s="12">
        <v>-2959</v>
      </c>
      <c r="Z37" s="12">
        <v>-7105</v>
      </c>
    </row>
    <row r="38" spans="1:26">
      <c r="A38" s="11" t="s">
        <v>208</v>
      </c>
      <c r="C38" s="12">
        <v>69055</v>
      </c>
      <c r="D38" s="12">
        <v>124976</v>
      </c>
      <c r="E38" s="12">
        <v>190047</v>
      </c>
      <c r="F38" s="12">
        <v>162956</v>
      </c>
      <c r="G38" s="12">
        <v>-66100</v>
      </c>
      <c r="H38" s="12">
        <v>-283982</v>
      </c>
      <c r="I38" s="12">
        <v>-617950</v>
      </c>
      <c r="J38" s="12">
        <v>-624053</v>
      </c>
      <c r="K38" s="12">
        <v>-554249</v>
      </c>
      <c r="L38" s="12">
        <v>-1024396</v>
      </c>
      <c r="M38" s="9"/>
      <c r="N38" s="9"/>
      <c r="O38" s="9"/>
      <c r="P38" s="9"/>
      <c r="Q38" s="9"/>
      <c r="R38" s="12">
        <v>-645021</v>
      </c>
      <c r="S38" s="12">
        <v>-635334</v>
      </c>
      <c r="T38" s="12">
        <v>-640812</v>
      </c>
      <c r="U38" s="12">
        <v>-614914</v>
      </c>
      <c r="V38" s="12">
        <v>-652191</v>
      </c>
      <c r="W38" s="12">
        <v>-606200</v>
      </c>
      <c r="X38" s="12">
        <v>-522941</v>
      </c>
      <c r="Y38" s="12">
        <v>-611021</v>
      </c>
      <c r="Z38" s="12">
        <v>-845527</v>
      </c>
    </row>
    <row r="39" spans="1:26">
      <c r="A39" s="13" t="s">
        <v>209</v>
      </c>
      <c r="C39" s="14">
        <v>893281</v>
      </c>
      <c r="D39" s="14">
        <v>1413616</v>
      </c>
      <c r="E39" s="14">
        <v>1574201</v>
      </c>
      <c r="F39" s="14">
        <v>1656768</v>
      </c>
      <c r="G39" s="14">
        <v>1544894</v>
      </c>
      <c r="H39" s="14">
        <v>1451657</v>
      </c>
      <c r="I39" s="14">
        <v>1199466</v>
      </c>
      <c r="J39" s="14">
        <v>1342732</v>
      </c>
      <c r="K39" s="14">
        <v>1457230</v>
      </c>
      <c r="L39" s="14">
        <v>1193687</v>
      </c>
      <c r="M39" s="9"/>
      <c r="N39" s="9"/>
      <c r="O39" s="9"/>
      <c r="P39" s="9"/>
      <c r="Q39" s="9"/>
      <c r="R39" s="14">
        <v>1205649</v>
      </c>
      <c r="S39" s="14">
        <v>1256113</v>
      </c>
      <c r="T39" s="14">
        <v>1285366</v>
      </c>
      <c r="U39" s="14">
        <v>1268029</v>
      </c>
      <c r="V39" s="14">
        <v>1268736</v>
      </c>
      <c r="W39" s="14">
        <v>1362575</v>
      </c>
      <c r="X39" s="14">
        <v>1533418</v>
      </c>
      <c r="Y39" s="14">
        <v>1510618</v>
      </c>
      <c r="Z39" s="14">
        <v>1317145</v>
      </c>
    </row>
    <row r="40" spans="1:26">
      <c r="A40" s="13" t="s">
        <v>210</v>
      </c>
      <c r="C40" s="14">
        <v>1078901</v>
      </c>
      <c r="D40" s="14">
        <v>1981433</v>
      </c>
      <c r="E40" s="14">
        <v>2166963</v>
      </c>
      <c r="F40" s="14">
        <v>2364852</v>
      </c>
      <c r="G40" s="14">
        <v>2321845</v>
      </c>
      <c r="H40" s="14">
        <v>2266897</v>
      </c>
      <c r="I40" s="14">
        <v>2027888</v>
      </c>
      <c r="J40" s="14">
        <v>2226294</v>
      </c>
      <c r="K40" s="14">
        <v>2721099</v>
      </c>
      <c r="L40" s="14">
        <v>2576946</v>
      </c>
      <c r="M40" s="9"/>
      <c r="N40" s="9"/>
      <c r="O40" s="9"/>
      <c r="P40" s="9"/>
      <c r="Q40" s="9"/>
    </row>
    <row r="41" spans="1:26" ht="8" customHeight="1">
      <c r="M41" s="9"/>
      <c r="N41" s="9"/>
      <c r="O41" s="9"/>
      <c r="P41" s="9"/>
      <c r="Q41" s="9"/>
    </row>
    <row r="42" spans="1:26" ht="20" customHeight="1">
      <c r="A42" s="10" t="s">
        <v>211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9"/>
      <c r="N42" s="9"/>
      <c r="O42" s="9"/>
      <c r="P42" s="9"/>
      <c r="Q42" s="9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16" t="s">
        <v>212</v>
      </c>
      <c r="C43" s="20">
        <f t="shared" ref="C43:L43" si="0">C21-C33-C39</f>
        <v>0</v>
      </c>
      <c r="D43" s="20">
        <f t="shared" si="0"/>
        <v>0</v>
      </c>
      <c r="E43" s="20">
        <f t="shared" si="0"/>
        <v>0</v>
      </c>
      <c r="F43" s="20">
        <f t="shared" si="0"/>
        <v>0</v>
      </c>
      <c r="G43" s="20">
        <f t="shared" si="0"/>
        <v>0</v>
      </c>
      <c r="H43" s="20">
        <f t="shared" si="0"/>
        <v>0</v>
      </c>
      <c r="I43" s="20">
        <f t="shared" si="0"/>
        <v>0</v>
      </c>
      <c r="J43" s="20">
        <f t="shared" si="0"/>
        <v>0</v>
      </c>
      <c r="K43" s="20">
        <f t="shared" si="0"/>
        <v>0</v>
      </c>
      <c r="L43" s="20">
        <f t="shared" si="0"/>
        <v>1</v>
      </c>
      <c r="M43" s="9"/>
      <c r="N43" s="9"/>
      <c r="O43" s="9"/>
      <c r="P43" s="9"/>
      <c r="Q43" s="9"/>
      <c r="R43" s="20">
        <f t="shared" ref="R43:Z43" si="1">R21-R33-R39</f>
        <v>0</v>
      </c>
      <c r="S43" s="20">
        <f t="shared" si="1"/>
        <v>0</v>
      </c>
      <c r="T43" s="20">
        <f t="shared" si="1"/>
        <v>0</v>
      </c>
      <c r="U43" s="20">
        <f t="shared" si="1"/>
        <v>0</v>
      </c>
      <c r="V43" s="20">
        <f t="shared" si="1"/>
        <v>0</v>
      </c>
      <c r="W43" s="20">
        <f t="shared" si="1"/>
        <v>0</v>
      </c>
      <c r="X43" s="20">
        <f t="shared" si="1"/>
        <v>0</v>
      </c>
      <c r="Y43" s="20">
        <f t="shared" si="1"/>
        <v>0</v>
      </c>
      <c r="Z43" s="20">
        <f t="shared" si="1"/>
        <v>0</v>
      </c>
    </row>
    <row r="44" spans="1:26">
      <c r="M44" s="9"/>
      <c r="N44" s="9"/>
      <c r="O44" s="9"/>
      <c r="P44" s="9"/>
      <c r="Q44" s="9"/>
    </row>
  </sheetData>
  <phoneticPr fontId="16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Z71"/>
  <sheetViews>
    <sheetView showGridLines="0" zoomScaleNormal="100" workbookViewId="0">
      <pane xSplit="2" ySplit="5" topLeftCell="G9" activePane="bottomRight" state="frozen"/>
      <selection pane="topRight"/>
      <selection pane="bottomLeft"/>
      <selection pane="bottomRight" activeCell="A52" sqref="A52:XFD52"/>
    </sheetView>
  </sheetViews>
  <sheetFormatPr baseColWidth="10" defaultColWidth="8.83203125" defaultRowHeight="14"/>
  <cols>
    <col min="1" max="1" width="46" customWidth="1"/>
    <col min="2" max="2" width="2" customWidth="1"/>
    <col min="3" max="12" width="12" customWidth="1"/>
    <col min="13" max="17" width="9" customWidth="1"/>
    <col min="18" max="26" width="12" customWidth="1"/>
  </cols>
  <sheetData>
    <row r="1" spans="1:26" ht="2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3" t="s">
        <v>1</v>
      </c>
    </row>
    <row r="3" spans="1:26"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</row>
    <row r="4" spans="1:26"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8"/>
      <c r="S4" s="8"/>
      <c r="T4" s="8"/>
      <c r="U4" s="8"/>
      <c r="V4" s="8"/>
      <c r="W4" s="8"/>
      <c r="X4" s="8"/>
      <c r="Y4" s="8"/>
      <c r="Z4" s="8"/>
    </row>
    <row r="5" spans="1:26" ht="8" customHeight="1">
      <c r="M5" s="9"/>
      <c r="N5" s="9"/>
      <c r="O5" s="9"/>
      <c r="P5" s="9"/>
      <c r="Q5" s="9"/>
    </row>
    <row r="6" spans="1:26" ht="20" customHeight="1">
      <c r="A6" s="10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 t="s">
        <v>23</v>
      </c>
      <c r="C7" s="12">
        <v>18072</v>
      </c>
      <c r="D7" s="12">
        <v>-26743</v>
      </c>
      <c r="E7" s="12">
        <v>20732</v>
      </c>
      <c r="F7" s="12">
        <v>-27198</v>
      </c>
      <c r="G7" s="12">
        <v>-66507</v>
      </c>
      <c r="H7" s="12">
        <v>-180431</v>
      </c>
      <c r="I7" s="12">
        <v>-111855</v>
      </c>
      <c r="J7" s="12">
        <v>-6103</v>
      </c>
      <c r="K7" s="12">
        <v>69804</v>
      </c>
      <c r="L7" s="12">
        <v>139283</v>
      </c>
      <c r="M7" s="9"/>
      <c r="N7" s="9"/>
      <c r="O7" s="9"/>
      <c r="P7" s="9"/>
      <c r="Q7" s="9"/>
      <c r="R7" s="12">
        <v>-27071</v>
      </c>
      <c r="S7" s="12">
        <v>-17384</v>
      </c>
      <c r="T7" s="12">
        <v>-22862</v>
      </c>
      <c r="U7" s="12">
        <v>9139</v>
      </c>
      <c r="V7" s="12">
        <v>-28138</v>
      </c>
      <c r="W7" s="12">
        <v>17853</v>
      </c>
      <c r="X7" s="12">
        <v>31308</v>
      </c>
      <c r="Y7" s="12">
        <v>91418</v>
      </c>
      <c r="Z7" s="12">
        <v>107888</v>
      </c>
    </row>
    <row r="8" spans="1:26">
      <c r="M8" s="9"/>
      <c r="N8" s="9"/>
      <c r="O8" s="9"/>
      <c r="P8" s="9"/>
      <c r="Q8" s="9"/>
    </row>
    <row r="9" spans="1:26">
      <c r="A9" s="11" t="s">
        <v>24</v>
      </c>
      <c r="C9" s="12">
        <v>18725</v>
      </c>
      <c r="D9" s="12">
        <v>35611</v>
      </c>
      <c r="E9" s="12">
        <v>39953</v>
      </c>
      <c r="F9" s="12">
        <v>42641</v>
      </c>
      <c r="G9" s="12">
        <v>36955</v>
      </c>
      <c r="H9" s="12">
        <v>33540</v>
      </c>
      <c r="I9" s="12">
        <v>24838</v>
      </c>
      <c r="J9" s="12">
        <v>22309</v>
      </c>
      <c r="K9" s="12">
        <v>23758</v>
      </c>
      <c r="L9" s="12">
        <v>27952</v>
      </c>
      <c r="M9" s="9"/>
      <c r="N9" s="9"/>
      <c r="O9" s="9"/>
      <c r="P9" s="9"/>
      <c r="Q9" s="9"/>
      <c r="R9" s="12">
        <v>5442</v>
      </c>
      <c r="S9" s="12">
        <v>10934</v>
      </c>
      <c r="T9" s="12">
        <v>16525</v>
      </c>
      <c r="U9" s="12">
        <v>5845</v>
      </c>
      <c r="V9" s="12">
        <v>11573</v>
      </c>
      <c r="W9" s="12">
        <v>17538</v>
      </c>
      <c r="X9" s="12">
        <v>6362</v>
      </c>
      <c r="Y9" s="12">
        <v>13402</v>
      </c>
      <c r="Z9" s="12">
        <v>20632</v>
      </c>
    </row>
    <row r="10" spans="1:26">
      <c r="A10" s="11" t="s">
        <v>25</v>
      </c>
      <c r="D10" s="12">
        <v>4512</v>
      </c>
      <c r="E10" s="12">
        <v>12194</v>
      </c>
      <c r="F10" s="12">
        <v>12886</v>
      </c>
      <c r="G10" s="12">
        <v>13617</v>
      </c>
      <c r="H10" s="12">
        <v>14391</v>
      </c>
      <c r="I10" s="12">
        <v>1703</v>
      </c>
      <c r="J10" s="12">
        <v>1732</v>
      </c>
      <c r="K10" s="12">
        <v>3758</v>
      </c>
      <c r="L10" s="12">
        <v>3939</v>
      </c>
      <c r="M10" s="9"/>
      <c r="N10" s="9"/>
      <c r="O10" s="9"/>
      <c r="P10" s="9"/>
      <c r="Q10" s="9"/>
      <c r="R10" s="12">
        <v>430</v>
      </c>
      <c r="S10" s="12">
        <v>862</v>
      </c>
      <c r="T10" s="12">
        <v>1296</v>
      </c>
      <c r="U10" s="12">
        <v>545</v>
      </c>
      <c r="V10" s="12">
        <v>1724</v>
      </c>
      <c r="W10" s="12">
        <v>2782</v>
      </c>
      <c r="X10" s="12">
        <v>980</v>
      </c>
      <c r="Y10" s="12">
        <v>1964</v>
      </c>
      <c r="Z10" s="12">
        <v>2947</v>
      </c>
    </row>
    <row r="11" spans="1:26">
      <c r="A11" s="11" t="s">
        <v>26</v>
      </c>
      <c r="E11" s="12">
        <v>5515</v>
      </c>
      <c r="F11" s="12">
        <v>9892</v>
      </c>
      <c r="G11" s="12">
        <v>11442</v>
      </c>
      <c r="H11" s="12">
        <v>14456</v>
      </c>
      <c r="I11" s="12">
        <v>17966</v>
      </c>
      <c r="J11" s="12">
        <v>28413</v>
      </c>
      <c r="K11" s="12">
        <v>30893</v>
      </c>
      <c r="L11" s="12">
        <v>35011</v>
      </c>
      <c r="M11" s="9"/>
      <c r="N11" s="9"/>
      <c r="O11" s="9"/>
      <c r="P11" s="9"/>
      <c r="Q11" s="9"/>
      <c r="R11" s="12">
        <v>4064</v>
      </c>
      <c r="S11" s="12">
        <v>8745</v>
      </c>
      <c r="T11" s="12">
        <v>12869</v>
      </c>
      <c r="U11" s="12">
        <v>7780</v>
      </c>
      <c r="V11" s="12">
        <v>15233</v>
      </c>
      <c r="W11" s="12">
        <v>22518</v>
      </c>
      <c r="X11" s="12">
        <v>8802</v>
      </c>
      <c r="Y11" s="12">
        <v>17304</v>
      </c>
      <c r="Z11" s="12">
        <v>25812</v>
      </c>
    </row>
    <row r="12" spans="1:26">
      <c r="A12" s="11" t="s">
        <v>27</v>
      </c>
      <c r="C12" s="12">
        <v>71794</v>
      </c>
      <c r="D12" s="12">
        <v>89614</v>
      </c>
      <c r="E12" s="12">
        <v>91516</v>
      </c>
      <c r="F12" s="12">
        <v>101817</v>
      </c>
      <c r="G12" s="12">
        <v>115009</v>
      </c>
      <c r="H12" s="12">
        <v>137011</v>
      </c>
      <c r="I12" s="12">
        <v>142842</v>
      </c>
      <c r="J12" s="12">
        <v>146460</v>
      </c>
      <c r="K12" s="12">
        <v>161556</v>
      </c>
      <c r="L12" s="12">
        <v>181799</v>
      </c>
      <c r="M12" s="9"/>
      <c r="N12" s="9"/>
      <c r="O12" s="9"/>
      <c r="P12" s="9"/>
      <c r="Q12" s="9"/>
      <c r="R12" s="12">
        <v>36097</v>
      </c>
      <c r="S12" s="12">
        <v>72524</v>
      </c>
      <c r="T12" s="12">
        <v>109174</v>
      </c>
      <c r="U12" s="12">
        <v>38060</v>
      </c>
      <c r="V12" s="12">
        <v>79008</v>
      </c>
      <c r="W12" s="12">
        <v>119365</v>
      </c>
      <c r="X12" s="12">
        <v>43316</v>
      </c>
      <c r="Y12" s="12">
        <v>90074</v>
      </c>
      <c r="Z12" s="12">
        <v>135015</v>
      </c>
    </row>
    <row r="13" spans="1:26">
      <c r="A13" s="11" t="s">
        <v>28</v>
      </c>
      <c r="D13" s="12">
        <v>1062</v>
      </c>
      <c r="E13" s="12">
        <v>670</v>
      </c>
      <c r="F13" s="12">
        <v>367</v>
      </c>
      <c r="G13" s="12">
        <v>226</v>
      </c>
      <c r="H13" s="12">
        <v>2597</v>
      </c>
      <c r="I13" s="12">
        <v>-131</v>
      </c>
      <c r="J13" s="12">
        <v>526</v>
      </c>
      <c r="K13" s="12">
        <v>526</v>
      </c>
      <c r="L13" s="12">
        <v>2516</v>
      </c>
      <c r="M13" s="9"/>
      <c r="N13" s="9"/>
      <c r="O13" s="9"/>
      <c r="P13" s="9"/>
      <c r="Q13" s="9"/>
      <c r="R13" s="12">
        <v>128</v>
      </c>
      <c r="S13" s="12">
        <v>-194</v>
      </c>
      <c r="T13" s="12">
        <v>-142</v>
      </c>
      <c r="U13" s="12">
        <v>1257</v>
      </c>
      <c r="V13" s="12">
        <v>1090</v>
      </c>
      <c r="W13" s="12">
        <v>1107</v>
      </c>
      <c r="X13" s="12">
        <v>2358</v>
      </c>
      <c r="Y13" s="12">
        <v>2337</v>
      </c>
      <c r="Z13" s="12">
        <v>2542</v>
      </c>
    </row>
    <row r="14" spans="1:26">
      <c r="A14" s="11" t="s">
        <v>29</v>
      </c>
      <c r="C14" s="12">
        <v>-1227</v>
      </c>
      <c r="D14" s="12">
        <v>14150</v>
      </c>
      <c r="E14" s="12">
        <v>-13998</v>
      </c>
      <c r="F14" s="12">
        <v>-11859</v>
      </c>
      <c r="G14" s="12">
        <v>-35789</v>
      </c>
      <c r="H14" s="12">
        <v>-54115</v>
      </c>
      <c r="I14" s="12">
        <v>-27516</v>
      </c>
      <c r="J14" s="12">
        <v>-26847</v>
      </c>
      <c r="K14" s="12">
        <v>-31780</v>
      </c>
      <c r="L14" s="12">
        <v>8981</v>
      </c>
      <c r="M14" s="9"/>
      <c r="N14" s="9"/>
      <c r="O14" s="9"/>
      <c r="P14" s="9"/>
      <c r="Q14" s="9"/>
      <c r="R14" s="12">
        <v>-13220</v>
      </c>
      <c r="S14" s="12">
        <v>-17390</v>
      </c>
      <c r="T14" s="12">
        <v>-29294</v>
      </c>
      <c r="U14" s="12">
        <v>-7955</v>
      </c>
      <c r="V14" s="12">
        <v>-14159</v>
      </c>
      <c r="W14" s="12">
        <v>-15851</v>
      </c>
      <c r="X14" s="12">
        <v>-8527</v>
      </c>
      <c r="Y14" s="12">
        <v>1466</v>
      </c>
      <c r="Z14" s="12">
        <v>922</v>
      </c>
    </row>
    <row r="15" spans="1:26">
      <c r="A15" s="11" t="s">
        <v>30</v>
      </c>
      <c r="C15" s="12">
        <v>1462</v>
      </c>
      <c r="D15" s="12">
        <v>-1418</v>
      </c>
      <c r="E15" s="12">
        <v>-7757</v>
      </c>
      <c r="F15" s="12">
        <v>-1882</v>
      </c>
      <c r="G15" s="12">
        <v>6567</v>
      </c>
      <c r="H15" s="12">
        <v>5498</v>
      </c>
      <c r="I15" s="12">
        <v>-4858</v>
      </c>
      <c r="J15" s="12">
        <v>-12894</v>
      </c>
      <c r="K15" s="12">
        <v>-10326</v>
      </c>
      <c r="L15" s="12">
        <v>-6254</v>
      </c>
      <c r="M15" s="9"/>
      <c r="N15" s="9"/>
      <c r="O15" s="9"/>
      <c r="P15" s="9"/>
      <c r="Q15" s="9"/>
      <c r="R15" s="12">
        <v>-2927</v>
      </c>
      <c r="S15" s="12">
        <v>-6223</v>
      </c>
      <c r="T15" s="12">
        <v>-9492</v>
      </c>
      <c r="U15" s="12">
        <v>-3228</v>
      </c>
      <c r="V15" s="12">
        <v>-6549</v>
      </c>
      <c r="W15" s="12">
        <v>-8613</v>
      </c>
      <c r="X15" s="12">
        <v>-1948</v>
      </c>
      <c r="Y15" s="12">
        <v>-4008</v>
      </c>
      <c r="Z15" s="12">
        <v>-5377</v>
      </c>
    </row>
    <row r="16" spans="1:26">
      <c r="A16" s="11" t="s">
        <v>31</v>
      </c>
      <c r="J16" s="12">
        <v>-1803</v>
      </c>
      <c r="K16" s="12">
        <v>-3671</v>
      </c>
      <c r="L16" s="12">
        <v>-632</v>
      </c>
      <c r="M16" s="9"/>
      <c r="N16" s="9"/>
      <c r="O16" s="9"/>
      <c r="P16" s="9"/>
      <c r="Q16" s="9"/>
      <c r="S16" s="12">
        <v>-1758</v>
      </c>
      <c r="T16" s="12">
        <v>-1758</v>
      </c>
      <c r="V16" s="12">
        <v>-3671</v>
      </c>
      <c r="W16" s="12">
        <v>-3671</v>
      </c>
      <c r="Z16" s="12">
        <v>-632</v>
      </c>
    </row>
    <row r="17" spans="1:26">
      <c r="A17" s="11" t="s">
        <v>32</v>
      </c>
      <c r="F17" s="12">
        <v>10672</v>
      </c>
      <c r="H17" s="12">
        <v>-1545</v>
      </c>
      <c r="I17" s="12">
        <v>802</v>
      </c>
      <c r="J17" s="12">
        <v>1957</v>
      </c>
      <c r="K17" s="12">
        <v>2130</v>
      </c>
      <c r="L17" s="12">
        <v>-489</v>
      </c>
      <c r="M17" s="9"/>
      <c r="N17" s="9"/>
      <c r="O17" s="9"/>
      <c r="P17" s="9"/>
      <c r="Q17" s="9"/>
      <c r="T17" s="12">
        <v>-298</v>
      </c>
      <c r="U17" s="12">
        <v>-53</v>
      </c>
      <c r="V17" s="12">
        <v>238</v>
      </c>
      <c r="W17" s="12">
        <v>341</v>
      </c>
      <c r="X17" s="12">
        <v>60</v>
      </c>
      <c r="Y17" s="12">
        <v>45</v>
      </c>
      <c r="Z17" s="12">
        <v>-554</v>
      </c>
    </row>
    <row r="18" spans="1:26">
      <c r="A18" s="11" t="s">
        <v>33</v>
      </c>
      <c r="K18" s="12">
        <v>53565</v>
      </c>
      <c r="M18" s="9"/>
      <c r="N18" s="9"/>
      <c r="O18" s="9"/>
      <c r="P18" s="9"/>
      <c r="Q18" s="9"/>
      <c r="V18" s="12">
        <v>53565</v>
      </c>
      <c r="W18" s="12">
        <v>53565</v>
      </c>
    </row>
    <row r="19" spans="1:26">
      <c r="A19" s="11" t="s">
        <v>34</v>
      </c>
      <c r="I19" s="12">
        <v>26921</v>
      </c>
      <c r="M19" s="9"/>
      <c r="N19" s="9"/>
      <c r="O19" s="9"/>
      <c r="P19" s="9"/>
      <c r="Q19" s="9"/>
    </row>
    <row r="20" spans="1:26">
      <c r="A20" s="11" t="s">
        <v>35</v>
      </c>
      <c r="I20" s="12">
        <v>-18419</v>
      </c>
      <c r="M20" s="9"/>
      <c r="N20" s="9"/>
      <c r="O20" s="9"/>
      <c r="P20" s="9"/>
      <c r="Q20" s="9"/>
    </row>
    <row r="21" spans="1:26">
      <c r="A21" s="11" t="s">
        <v>36</v>
      </c>
      <c r="C21" s="12">
        <v>-9067</v>
      </c>
      <c r="M21" s="9"/>
      <c r="N21" s="9"/>
      <c r="O21" s="9"/>
      <c r="P21" s="9"/>
      <c r="Q21" s="9"/>
    </row>
    <row r="22" spans="1:26">
      <c r="A22" s="11" t="s">
        <v>37</v>
      </c>
      <c r="C22" s="12">
        <v>49</v>
      </c>
      <c r="E22" s="12">
        <v>189</v>
      </c>
      <c r="F22" s="12">
        <v>739</v>
      </c>
      <c r="G22" s="12">
        <v>863</v>
      </c>
      <c r="H22" s="12">
        <v>63</v>
      </c>
      <c r="I22" s="12">
        <v>164</v>
      </c>
      <c r="J22" s="12">
        <v>-74</v>
      </c>
      <c r="K22" s="12">
        <v>186</v>
      </c>
      <c r="L22" s="12">
        <v>-88</v>
      </c>
      <c r="M22" s="9"/>
      <c r="N22" s="9"/>
      <c r="O22" s="9"/>
      <c r="P22" s="9"/>
      <c r="Q22" s="9"/>
      <c r="R22" s="12">
        <v>-29</v>
      </c>
      <c r="S22" s="12">
        <v>-46</v>
      </c>
      <c r="T22" s="12">
        <v>-74</v>
      </c>
      <c r="U22" s="12">
        <v>286</v>
      </c>
      <c r="V22" s="12">
        <v>3</v>
      </c>
      <c r="W22" s="12">
        <v>56</v>
      </c>
      <c r="X22" s="12">
        <v>17</v>
      </c>
      <c r="Y22" s="12">
        <v>7</v>
      </c>
      <c r="Z22" s="12">
        <v>18</v>
      </c>
    </row>
    <row r="23" spans="1:26">
      <c r="M23" s="9"/>
      <c r="N23" s="9"/>
      <c r="O23" s="9"/>
      <c r="P23" s="9"/>
      <c r="Q23" s="9"/>
    </row>
    <row r="24" spans="1:26">
      <c r="A24" s="11" t="s">
        <v>38</v>
      </c>
      <c r="C24" s="12">
        <v>-9750</v>
      </c>
      <c r="D24" s="12">
        <v>-40832</v>
      </c>
      <c r="E24" s="12">
        <v>-15057</v>
      </c>
      <c r="F24" s="12">
        <v>23878</v>
      </c>
      <c r="G24" s="12">
        <v>10820</v>
      </c>
      <c r="H24" s="12">
        <v>-42545</v>
      </c>
      <c r="I24" s="12">
        <v>-7301</v>
      </c>
      <c r="J24" s="12">
        <v>12631</v>
      </c>
      <c r="K24" s="12">
        <v>-3348</v>
      </c>
      <c r="L24" s="12">
        <v>-54868</v>
      </c>
      <c r="M24" s="9"/>
      <c r="N24" s="9"/>
      <c r="O24" s="9"/>
      <c r="P24" s="9"/>
      <c r="Q24" s="9"/>
      <c r="R24" s="12">
        <v>57193</v>
      </c>
      <c r="S24" s="12">
        <v>22547</v>
      </c>
      <c r="T24" s="12">
        <v>46276</v>
      </c>
      <c r="U24" s="12">
        <v>38609</v>
      </c>
      <c r="V24" s="12">
        <v>12817</v>
      </c>
      <c r="W24" s="12">
        <v>-10609</v>
      </c>
      <c r="X24" s="12">
        <v>43676</v>
      </c>
      <c r="Y24" s="12">
        <v>-23665</v>
      </c>
      <c r="Z24" s="12">
        <v>276</v>
      </c>
    </row>
    <row r="25" spans="1:26">
      <c r="A25" s="11" t="s">
        <v>39</v>
      </c>
      <c r="E25" s="12">
        <v>-17341</v>
      </c>
      <c r="F25" s="12">
        <v>-38125</v>
      </c>
      <c r="G25" s="12">
        <v>-19194</v>
      </c>
      <c r="H25" s="12">
        <v>18106</v>
      </c>
      <c r="I25" s="12">
        <v>-13435</v>
      </c>
      <c r="J25" s="12">
        <v>7676</v>
      </c>
      <c r="K25" s="12">
        <v>-38930</v>
      </c>
      <c r="L25" s="12">
        <v>-9193</v>
      </c>
      <c r="M25" s="9"/>
      <c r="N25" s="9"/>
      <c r="O25" s="9"/>
      <c r="P25" s="9"/>
      <c r="Q25" s="9"/>
      <c r="R25" s="12">
        <v>-17250</v>
      </c>
      <c r="S25" s="12">
        <v>1102</v>
      </c>
      <c r="T25" s="12">
        <v>-33955</v>
      </c>
      <c r="U25" s="12">
        <v>-38889</v>
      </c>
      <c r="V25" s="12">
        <v>-24094</v>
      </c>
      <c r="W25" s="12">
        <v>-74471</v>
      </c>
      <c r="X25" s="12">
        <v>-31470</v>
      </c>
      <c r="Y25" s="12">
        <v>-43095</v>
      </c>
      <c r="Z25" s="12">
        <v>-93214</v>
      </c>
    </row>
    <row r="26" spans="1:26">
      <c r="A26" s="11" t="s">
        <v>40</v>
      </c>
      <c r="C26" s="12">
        <v>-9463</v>
      </c>
      <c r="D26" s="12">
        <v>-2737</v>
      </c>
      <c r="E26" s="12">
        <v>-21766</v>
      </c>
      <c r="F26" s="12">
        <v>-18564</v>
      </c>
      <c r="G26" s="12">
        <v>-16764</v>
      </c>
      <c r="H26" s="12">
        <v>-23390</v>
      </c>
      <c r="I26" s="12">
        <v>-22613</v>
      </c>
      <c r="J26" s="12">
        <v>-44131</v>
      </c>
      <c r="K26" s="12">
        <v>-58054</v>
      </c>
      <c r="L26" s="12">
        <v>-55354</v>
      </c>
      <c r="M26" s="9"/>
      <c r="N26" s="9"/>
      <c r="O26" s="9"/>
      <c r="P26" s="9"/>
      <c r="Q26" s="9"/>
      <c r="R26" s="12">
        <v>-6560</v>
      </c>
      <c r="S26" s="12">
        <v>-12531</v>
      </c>
      <c r="T26" s="12">
        <v>-22082</v>
      </c>
      <c r="U26" s="12">
        <v>-8932</v>
      </c>
      <c r="V26" s="12">
        <v>-17207</v>
      </c>
      <c r="W26" s="12">
        <v>-29305</v>
      </c>
      <c r="X26" s="12">
        <v>-4710</v>
      </c>
      <c r="Y26" s="12">
        <v>-14281</v>
      </c>
      <c r="Z26" s="12">
        <v>-33815</v>
      </c>
    </row>
    <row r="27" spans="1:26">
      <c r="A27" s="11" t="s">
        <v>41</v>
      </c>
      <c r="F27" s="12">
        <v>-10784</v>
      </c>
      <c r="G27" s="12">
        <v>6350</v>
      </c>
      <c r="H27" s="12">
        <v>7160</v>
      </c>
      <c r="I27" s="12">
        <v>-19000</v>
      </c>
      <c r="J27" s="12">
        <v>8623</v>
      </c>
      <c r="K27" s="12">
        <v>4441</v>
      </c>
      <c r="L27" s="12">
        <v>4905</v>
      </c>
      <c r="M27" s="9"/>
      <c r="N27" s="9"/>
      <c r="O27" s="9"/>
      <c r="P27" s="9"/>
      <c r="Q27" s="9"/>
      <c r="R27" s="12">
        <v>1971</v>
      </c>
      <c r="S27" s="12">
        <v>4046</v>
      </c>
      <c r="T27" s="12">
        <v>6106</v>
      </c>
      <c r="U27" s="12">
        <v>1757</v>
      </c>
      <c r="V27" s="12">
        <v>608</v>
      </c>
      <c r="W27" s="12">
        <v>1983</v>
      </c>
      <c r="X27" s="12">
        <v>1673</v>
      </c>
      <c r="Y27" s="12">
        <v>1879</v>
      </c>
      <c r="Z27" s="12">
        <v>2866</v>
      </c>
    </row>
    <row r="28" spans="1:26">
      <c r="A28" s="11" t="s">
        <v>42</v>
      </c>
      <c r="C28" s="12">
        <v>1311</v>
      </c>
      <c r="D28" s="12">
        <v>16794</v>
      </c>
      <c r="E28" s="12">
        <v>-5521</v>
      </c>
      <c r="F28" s="12">
        <v>-1209</v>
      </c>
      <c r="G28" s="12">
        <v>3627</v>
      </c>
      <c r="H28" s="12">
        <v>13580</v>
      </c>
      <c r="I28" s="12">
        <v>-6080</v>
      </c>
      <c r="J28" s="12">
        <v>-18933</v>
      </c>
      <c r="K28" s="12">
        <v>11399</v>
      </c>
      <c r="L28" s="12">
        <v>11712</v>
      </c>
      <c r="M28" s="9"/>
      <c r="N28" s="9"/>
      <c r="O28" s="9"/>
      <c r="P28" s="9"/>
      <c r="Q28" s="9"/>
      <c r="R28" s="12">
        <v>-16982</v>
      </c>
      <c r="S28" s="12">
        <v>-12212</v>
      </c>
      <c r="T28" s="12">
        <v>-10538</v>
      </c>
      <c r="U28" s="12">
        <v>16206</v>
      </c>
      <c r="V28" s="12">
        <v>10150</v>
      </c>
      <c r="W28" s="12">
        <v>13589</v>
      </c>
      <c r="X28" s="12">
        <v>4264</v>
      </c>
      <c r="Y28" s="12">
        <v>1813</v>
      </c>
      <c r="Z28" s="12">
        <v>7910</v>
      </c>
    </row>
    <row r="29" spans="1:26">
      <c r="A29" s="11" t="s">
        <v>43</v>
      </c>
      <c r="C29" s="12">
        <v>7138</v>
      </c>
      <c r="D29" s="12">
        <v>9230</v>
      </c>
      <c r="E29" s="12">
        <v>13825</v>
      </c>
      <c r="F29" s="12">
        <v>-15624</v>
      </c>
      <c r="G29" s="12">
        <v>41526</v>
      </c>
      <c r="H29" s="12">
        <v>-8942</v>
      </c>
      <c r="I29" s="12">
        <v>12440</v>
      </c>
      <c r="J29" s="12">
        <v>6453</v>
      </c>
      <c r="K29" s="12">
        <v>30090</v>
      </c>
      <c r="L29" s="12">
        <v>6196</v>
      </c>
      <c r="M29" s="9"/>
      <c r="N29" s="9"/>
      <c r="O29" s="9"/>
      <c r="P29" s="9"/>
      <c r="Q29" s="9"/>
      <c r="R29" s="12">
        <v>-54576</v>
      </c>
      <c r="S29" s="12">
        <v>-39657</v>
      </c>
      <c r="T29" s="12">
        <v>-25604</v>
      </c>
      <c r="U29" s="12">
        <v>-56545</v>
      </c>
      <c r="V29" s="12">
        <v>-46878</v>
      </c>
      <c r="W29" s="12">
        <v>-20600</v>
      </c>
      <c r="X29" s="12">
        <v>-69630</v>
      </c>
      <c r="Y29" s="12">
        <v>-57657</v>
      </c>
      <c r="Z29" s="12">
        <v>-23578</v>
      </c>
    </row>
    <row r="30" spans="1:26">
      <c r="A30" s="11" t="s">
        <v>44</v>
      </c>
      <c r="C30" s="12">
        <v>41553</v>
      </c>
      <c r="D30" s="12">
        <v>32358</v>
      </c>
      <c r="E30" s="12">
        <v>-9628</v>
      </c>
      <c r="F30" s="12">
        <v>1165</v>
      </c>
      <c r="G30" s="12">
        <v>12940</v>
      </c>
      <c r="H30" s="12">
        <v>31564</v>
      </c>
      <c r="I30" s="12">
        <v>34635</v>
      </c>
      <c r="J30" s="12">
        <v>72572</v>
      </c>
      <c r="K30" s="12">
        <v>56617</v>
      </c>
      <c r="L30" s="12">
        <v>93675</v>
      </c>
      <c r="M30" s="9"/>
      <c r="N30" s="9"/>
      <c r="O30" s="9"/>
      <c r="P30" s="9"/>
      <c r="Q30" s="9"/>
      <c r="R30" s="12">
        <v>-37893</v>
      </c>
      <c r="S30" s="12">
        <v>-13756</v>
      </c>
      <c r="T30" s="12">
        <v>-28012</v>
      </c>
      <c r="U30" s="12">
        <v>-58107</v>
      </c>
      <c r="V30" s="12">
        <v>-17522</v>
      </c>
      <c r="W30" s="12">
        <v>-24876</v>
      </c>
      <c r="X30" s="12">
        <v>-88785</v>
      </c>
      <c r="Y30" s="12">
        <v>-32515</v>
      </c>
      <c r="Z30" s="12">
        <v>-40781</v>
      </c>
    </row>
    <row r="31" spans="1:26">
      <c r="A31" s="11" t="s">
        <v>45</v>
      </c>
      <c r="F31" s="12">
        <v>18678</v>
      </c>
      <c r="G31" s="12">
        <v>-3346</v>
      </c>
      <c r="H31" s="12">
        <v>-9637</v>
      </c>
      <c r="I31" s="12">
        <v>9548</v>
      </c>
      <c r="J31" s="12">
        <v>-7389</v>
      </c>
      <c r="K31" s="12">
        <v>-2891</v>
      </c>
      <c r="L31" s="12">
        <v>-4232</v>
      </c>
      <c r="M31" s="9"/>
      <c r="N31" s="9"/>
      <c r="O31" s="9"/>
      <c r="P31" s="9"/>
      <c r="Q31" s="9"/>
      <c r="R31" s="12">
        <v>-1601</v>
      </c>
      <c r="S31" s="12">
        <v>-3245</v>
      </c>
      <c r="T31" s="12">
        <v>-5136</v>
      </c>
      <c r="U31" s="12">
        <v>-1685</v>
      </c>
      <c r="V31" s="12">
        <v>-151</v>
      </c>
      <c r="W31" s="12">
        <v>-1121</v>
      </c>
      <c r="X31" s="12">
        <v>-1537</v>
      </c>
      <c r="Y31" s="12">
        <v>-1330</v>
      </c>
      <c r="Z31" s="12">
        <v>-3572</v>
      </c>
    </row>
    <row r="32" spans="1:26">
      <c r="A32" s="11" t="s">
        <v>46</v>
      </c>
      <c r="C32" s="12">
        <v>6612</v>
      </c>
      <c r="D32" s="12">
        <v>8858</v>
      </c>
      <c r="E32" s="12">
        <v>22600</v>
      </c>
      <c r="F32" s="12">
        <v>15576</v>
      </c>
      <c r="G32" s="12">
        <v>-6755</v>
      </c>
      <c r="H32" s="12">
        <v>4699</v>
      </c>
      <c r="I32" s="12">
        <v>-2256</v>
      </c>
      <c r="J32" s="12">
        <v>4570</v>
      </c>
      <c r="K32" s="12">
        <v>1144</v>
      </c>
      <c r="L32" s="12">
        <v>4857</v>
      </c>
      <c r="M32" s="9"/>
      <c r="N32" s="9"/>
      <c r="O32" s="9"/>
      <c r="P32" s="9"/>
      <c r="Q32" s="9"/>
      <c r="R32" s="12">
        <v>701</v>
      </c>
      <c r="S32" s="12">
        <v>804</v>
      </c>
      <c r="T32" s="12">
        <v>-1028</v>
      </c>
      <c r="U32" s="12">
        <v>-6395</v>
      </c>
      <c r="V32" s="12">
        <v>-3954</v>
      </c>
      <c r="W32" s="12">
        <v>-5544</v>
      </c>
      <c r="X32" s="12">
        <v>-3607</v>
      </c>
      <c r="Y32" s="12">
        <v>-510</v>
      </c>
      <c r="Z32" s="12">
        <v>525</v>
      </c>
    </row>
    <row r="33" spans="1:26">
      <c r="A33" s="13" t="s">
        <v>47</v>
      </c>
      <c r="C33" s="14">
        <v>138759</v>
      </c>
      <c r="D33" s="14">
        <v>140459</v>
      </c>
      <c r="E33" s="14">
        <v>116126</v>
      </c>
      <c r="F33" s="14">
        <v>113066</v>
      </c>
      <c r="G33" s="14">
        <v>111587</v>
      </c>
      <c r="H33" s="14">
        <v>-37940</v>
      </c>
      <c r="I33" s="14">
        <v>38395</v>
      </c>
      <c r="J33" s="14">
        <v>195748</v>
      </c>
      <c r="K33" s="14">
        <v>300867</v>
      </c>
      <c r="L33" s="14">
        <v>389716</v>
      </c>
      <c r="M33" s="9"/>
      <c r="N33" s="9"/>
      <c r="O33" s="9"/>
      <c r="P33" s="9"/>
      <c r="Q33" s="9"/>
      <c r="R33" s="14">
        <v>-72083</v>
      </c>
      <c r="S33" s="14">
        <v>-2832</v>
      </c>
      <c r="T33" s="14">
        <v>1971</v>
      </c>
      <c r="U33" s="14">
        <v>-62305</v>
      </c>
      <c r="V33" s="14">
        <v>23686</v>
      </c>
      <c r="W33" s="14">
        <v>56036</v>
      </c>
      <c r="X33" s="14">
        <v>-67398</v>
      </c>
      <c r="Y33" s="14">
        <v>44648</v>
      </c>
      <c r="Z33" s="14">
        <v>105830</v>
      </c>
    </row>
    <row r="34" spans="1:26">
      <c r="M34" s="9"/>
      <c r="N34" s="9"/>
      <c r="O34" s="9"/>
      <c r="P34" s="9"/>
      <c r="Q34" s="9"/>
    </row>
    <row r="35" spans="1:26">
      <c r="A35" s="11" t="s">
        <v>48</v>
      </c>
      <c r="C35" s="12">
        <v>-462035</v>
      </c>
      <c r="D35" s="12">
        <v>-859657</v>
      </c>
      <c r="E35" s="12">
        <v>-1209312</v>
      </c>
      <c r="F35" s="12">
        <v>-1280755</v>
      </c>
      <c r="G35" s="12">
        <v>-1033095</v>
      </c>
      <c r="H35" s="12">
        <v>-519536</v>
      </c>
      <c r="I35" s="12">
        <v>-506115</v>
      </c>
      <c r="J35" s="12">
        <v>-615935</v>
      </c>
      <c r="K35" s="12">
        <v>-858571</v>
      </c>
      <c r="L35" s="12">
        <v>-859150</v>
      </c>
      <c r="M35" s="9"/>
      <c r="N35" s="9"/>
      <c r="O35" s="9"/>
      <c r="P35" s="9"/>
      <c r="Q35" s="9"/>
      <c r="R35" s="12">
        <v>-160239</v>
      </c>
      <c r="S35" s="12">
        <v>-314846</v>
      </c>
      <c r="T35" s="12">
        <v>-453441</v>
      </c>
      <c r="U35" s="12">
        <v>-211649</v>
      </c>
      <c r="V35" s="12">
        <v>-429742</v>
      </c>
      <c r="W35" s="12">
        <v>-672330</v>
      </c>
      <c r="X35" s="12">
        <v>-318525</v>
      </c>
      <c r="Y35" s="12">
        <v>-535549</v>
      </c>
      <c r="Z35" s="12">
        <v>-644915</v>
      </c>
    </row>
    <row r="36" spans="1:26">
      <c r="A36" s="11" t="s">
        <v>49</v>
      </c>
      <c r="C36" s="12">
        <v>547630</v>
      </c>
      <c r="D36" s="12">
        <v>390025</v>
      </c>
      <c r="E36" s="12">
        <v>879532</v>
      </c>
      <c r="F36" s="12">
        <v>1168720</v>
      </c>
      <c r="G36" s="12">
        <v>1128524</v>
      </c>
      <c r="H36" s="12">
        <v>908914</v>
      </c>
      <c r="I36" s="12">
        <v>547094</v>
      </c>
      <c r="J36" s="12">
        <v>576886</v>
      </c>
      <c r="K36" s="12">
        <v>665012</v>
      </c>
      <c r="L36" s="12">
        <v>806049</v>
      </c>
      <c r="M36" s="9"/>
      <c r="N36" s="9"/>
      <c r="O36" s="9"/>
      <c r="P36" s="9"/>
      <c r="Q36" s="9"/>
      <c r="R36" s="12">
        <v>137386</v>
      </c>
      <c r="S36" s="12">
        <v>267416</v>
      </c>
      <c r="T36" s="12">
        <v>416299</v>
      </c>
      <c r="U36" s="12">
        <v>139896</v>
      </c>
      <c r="V36" s="12">
        <v>303111</v>
      </c>
      <c r="W36" s="12">
        <v>529887</v>
      </c>
      <c r="X36" s="12">
        <v>189726</v>
      </c>
      <c r="Y36" s="12">
        <v>382943</v>
      </c>
      <c r="Z36" s="12">
        <v>582638</v>
      </c>
    </row>
    <row r="37" spans="1:26">
      <c r="A37" s="11" t="s">
        <v>50</v>
      </c>
      <c r="C37" s="12">
        <v>-5886</v>
      </c>
      <c r="D37" s="12">
        <v>-9398</v>
      </c>
      <c r="E37" s="12">
        <v>-44921</v>
      </c>
      <c r="F37" s="12">
        <v>-21377</v>
      </c>
      <c r="G37" s="12">
        <v>-19008</v>
      </c>
      <c r="H37" s="12">
        <v>-9510</v>
      </c>
      <c r="I37" s="12">
        <v>-5821</v>
      </c>
      <c r="J37" s="12">
        <v>-6362</v>
      </c>
      <c r="K37" s="12">
        <v>-5741</v>
      </c>
      <c r="L37" s="12">
        <v>-12056</v>
      </c>
      <c r="M37" s="9"/>
      <c r="N37" s="9"/>
      <c r="O37" s="9"/>
      <c r="P37" s="9"/>
      <c r="Q37" s="9"/>
      <c r="R37" s="12">
        <v>-998</v>
      </c>
      <c r="S37" s="12">
        <v>-3990</v>
      </c>
      <c r="T37" s="12">
        <v>-4668</v>
      </c>
      <c r="U37" s="12">
        <v>-843</v>
      </c>
      <c r="V37" s="12">
        <v>-1633</v>
      </c>
      <c r="W37" s="12">
        <v>-2336</v>
      </c>
      <c r="X37" s="12">
        <v>-4878</v>
      </c>
      <c r="Y37" s="12">
        <v>-8162</v>
      </c>
      <c r="Z37" s="12">
        <v>-9934</v>
      </c>
    </row>
    <row r="38" spans="1:26">
      <c r="A38" s="11" t="s">
        <v>51</v>
      </c>
      <c r="C38" s="12">
        <v>-784</v>
      </c>
      <c r="D38" s="12">
        <v>-2613</v>
      </c>
      <c r="E38" s="12">
        <v>-3936</v>
      </c>
      <c r="F38" s="12">
        <v>-4283</v>
      </c>
      <c r="G38" s="12">
        <v>-9846</v>
      </c>
      <c r="H38" s="12">
        <v>-12266</v>
      </c>
      <c r="I38" s="12">
        <v>-11606</v>
      </c>
      <c r="J38" s="12">
        <v>-12165</v>
      </c>
      <c r="K38" s="12">
        <v>-14714</v>
      </c>
      <c r="L38" s="12">
        <v>-19003</v>
      </c>
      <c r="M38" s="9"/>
      <c r="N38" s="9"/>
      <c r="O38" s="9"/>
      <c r="P38" s="9"/>
      <c r="Q38" s="9"/>
      <c r="R38" s="12">
        <v>-3692</v>
      </c>
      <c r="S38" s="12">
        <v>-6058</v>
      </c>
      <c r="T38" s="12">
        <v>-9429</v>
      </c>
      <c r="U38" s="12">
        <v>-4233</v>
      </c>
      <c r="V38" s="12">
        <v>-7156</v>
      </c>
      <c r="W38" s="12">
        <v>-10972</v>
      </c>
      <c r="X38" s="12">
        <v>-5088</v>
      </c>
      <c r="Y38" s="12">
        <v>-8192</v>
      </c>
      <c r="Z38" s="12">
        <v>-13939</v>
      </c>
    </row>
    <row r="39" spans="1:26">
      <c r="A39" s="11" t="s">
        <v>52</v>
      </c>
      <c r="C39" s="12">
        <v>-4677</v>
      </c>
      <c r="F39" s="12">
        <v>-2156</v>
      </c>
      <c r="G39" s="12">
        <v>-2384</v>
      </c>
      <c r="H39" s="12">
        <v>-11560</v>
      </c>
      <c r="I39" s="12">
        <v>-10840</v>
      </c>
      <c r="J39" s="12">
        <v>-1336</v>
      </c>
      <c r="K39" s="12">
        <v>-1772</v>
      </c>
      <c r="L39" s="12">
        <v>-14646</v>
      </c>
      <c r="M39" s="9"/>
      <c r="N39" s="9"/>
      <c r="O39" s="9"/>
      <c r="P39" s="9"/>
      <c r="Q39" s="9"/>
      <c r="R39" s="12">
        <v>-250</v>
      </c>
      <c r="S39" s="12">
        <v>-250</v>
      </c>
      <c r="T39" s="12">
        <v>-336</v>
      </c>
      <c r="U39" s="12">
        <v>-772</v>
      </c>
      <c r="V39" s="12">
        <v>-772</v>
      </c>
      <c r="W39" s="12">
        <v>-1772</v>
      </c>
      <c r="Y39" s="12">
        <v>-2348</v>
      </c>
      <c r="Z39" s="12">
        <v>-14590</v>
      </c>
    </row>
    <row r="40" spans="1:26">
      <c r="A40" s="11" t="s">
        <v>53</v>
      </c>
      <c r="M40" s="9"/>
      <c r="N40" s="9"/>
      <c r="O40" s="9"/>
      <c r="P40" s="9"/>
      <c r="Q40" s="9"/>
      <c r="S40" s="12">
        <v>6508</v>
      </c>
      <c r="T40" s="12">
        <v>6508</v>
      </c>
      <c r="V40" s="12">
        <v>5671</v>
      </c>
      <c r="W40" s="12">
        <v>5671</v>
      </c>
      <c r="Z40" s="12">
        <v>781</v>
      </c>
    </row>
    <row r="41" spans="1:26">
      <c r="A41" s="11" t="s">
        <v>54</v>
      </c>
      <c r="C41" s="12">
        <v>-187590</v>
      </c>
      <c r="D41" s="12">
        <v>-130059</v>
      </c>
      <c r="H41" s="12">
        <v>-43830</v>
      </c>
      <c r="K41" s="12">
        <v>-26850</v>
      </c>
      <c r="L41" s="12">
        <v>-37953</v>
      </c>
      <c r="M41" s="9"/>
      <c r="N41" s="9"/>
      <c r="O41" s="9"/>
      <c r="P41" s="9"/>
      <c r="Q41" s="9"/>
      <c r="W41" s="12">
        <v>-26724</v>
      </c>
      <c r="Y41" s="12">
        <v>-33252</v>
      </c>
      <c r="Z41" s="12">
        <v>-33453</v>
      </c>
    </row>
    <row r="42" spans="1:26">
      <c r="A42" s="13" t="s">
        <v>55</v>
      </c>
      <c r="C42" s="14">
        <v>-113342</v>
      </c>
      <c r="D42" s="14">
        <v>-537584</v>
      </c>
      <c r="E42" s="14">
        <v>-301433</v>
      </c>
      <c r="F42" s="14">
        <v>-5801</v>
      </c>
      <c r="G42" s="14">
        <v>64191</v>
      </c>
      <c r="H42" s="14">
        <v>312212</v>
      </c>
      <c r="I42" s="14">
        <v>12712</v>
      </c>
      <c r="J42" s="14">
        <v>-52359</v>
      </c>
      <c r="K42" s="14">
        <v>-236965</v>
      </c>
      <c r="L42" s="14">
        <v>-135977</v>
      </c>
      <c r="M42" s="9"/>
      <c r="N42" s="9"/>
      <c r="O42" s="9"/>
      <c r="P42" s="9"/>
      <c r="Q42" s="9"/>
      <c r="R42" s="14">
        <v>-27793</v>
      </c>
      <c r="S42" s="14">
        <v>-51220</v>
      </c>
      <c r="T42" s="14">
        <v>-45067</v>
      </c>
      <c r="U42" s="14">
        <v>-77601</v>
      </c>
      <c r="V42" s="14">
        <v>-130521</v>
      </c>
      <c r="W42" s="14">
        <v>-178576</v>
      </c>
      <c r="X42" s="14">
        <v>-138765</v>
      </c>
      <c r="Y42" s="14">
        <v>-204560</v>
      </c>
      <c r="Z42" s="14">
        <v>-133412</v>
      </c>
    </row>
    <row r="43" spans="1:26">
      <c r="M43" s="9"/>
      <c r="N43" s="9"/>
      <c r="O43" s="9"/>
      <c r="P43" s="9"/>
      <c r="Q43" s="9"/>
    </row>
    <row r="44" spans="1:26">
      <c r="A44" s="11" t="s">
        <v>56</v>
      </c>
      <c r="D44" s="12">
        <v>387239</v>
      </c>
      <c r="K44" s="12">
        <v>671840</v>
      </c>
      <c r="M44" s="9"/>
      <c r="N44" s="9"/>
      <c r="O44" s="9"/>
      <c r="P44" s="9"/>
      <c r="Q44" s="9"/>
      <c r="U44" s="12">
        <v>672750</v>
      </c>
      <c r="V44" s="12">
        <v>671840</v>
      </c>
      <c r="W44" s="12">
        <v>671840</v>
      </c>
    </row>
    <row r="45" spans="1:26">
      <c r="A45" s="11" t="s">
        <v>57</v>
      </c>
      <c r="K45" s="12">
        <v>-353535</v>
      </c>
      <c r="M45" s="9"/>
      <c r="N45" s="9"/>
      <c r="O45" s="9"/>
      <c r="P45" s="9"/>
      <c r="Q45" s="9"/>
      <c r="U45" s="12">
        <v>-200394</v>
      </c>
      <c r="V45" s="12">
        <v>-353535</v>
      </c>
      <c r="W45" s="12">
        <v>-353535</v>
      </c>
    </row>
    <row r="46" spans="1:26">
      <c r="A46" s="11" t="s">
        <v>58</v>
      </c>
      <c r="K46" s="12">
        <v>-179061</v>
      </c>
      <c r="M46" s="9"/>
      <c r="N46" s="9"/>
      <c r="O46" s="9"/>
      <c r="P46" s="9"/>
      <c r="Q46" s="9"/>
      <c r="W46" s="12">
        <v>-179061</v>
      </c>
    </row>
    <row r="47" spans="1:26">
      <c r="A47" s="11" t="s">
        <v>59</v>
      </c>
      <c r="D47" s="12">
        <v>-37200</v>
      </c>
      <c r="K47" s="12">
        <v>-58788</v>
      </c>
      <c r="M47" s="9"/>
      <c r="N47" s="9"/>
      <c r="O47" s="9"/>
      <c r="P47" s="9"/>
      <c r="Q47" s="9"/>
      <c r="U47" s="12">
        <v>-58788</v>
      </c>
      <c r="V47" s="12">
        <v>-58788</v>
      </c>
      <c r="W47" s="12">
        <v>-58788</v>
      </c>
    </row>
    <row r="48" spans="1:26">
      <c r="A48" s="11" t="s">
        <v>60</v>
      </c>
      <c r="K48" s="12">
        <v>-2065</v>
      </c>
      <c r="M48" s="9"/>
      <c r="N48" s="9"/>
      <c r="O48" s="9"/>
      <c r="P48" s="9"/>
      <c r="Q48" s="9"/>
      <c r="V48" s="12">
        <v>-2065</v>
      </c>
      <c r="W48" s="12">
        <v>-2065</v>
      </c>
    </row>
    <row r="49" spans="1:26">
      <c r="A49" s="11" t="s">
        <v>61</v>
      </c>
      <c r="D49" s="12">
        <v>220948</v>
      </c>
      <c r="M49" s="9"/>
      <c r="N49" s="9"/>
      <c r="O49" s="9"/>
      <c r="P49" s="9"/>
      <c r="Q49" s="9"/>
    </row>
    <row r="50" spans="1:26">
      <c r="A50" s="11" t="s">
        <v>62</v>
      </c>
      <c r="L50" s="12">
        <v>26603</v>
      </c>
      <c r="M50" s="9"/>
      <c r="N50" s="9"/>
      <c r="O50" s="9"/>
      <c r="P50" s="9"/>
      <c r="Q50" s="9"/>
      <c r="Y50" s="12">
        <v>13364</v>
      </c>
      <c r="Z50" s="12">
        <v>13364</v>
      </c>
    </row>
    <row r="51" spans="1:26">
      <c r="A51" s="11" t="s">
        <v>63</v>
      </c>
      <c r="C51" s="12">
        <v>5563</v>
      </c>
      <c r="D51" s="12">
        <v>2013</v>
      </c>
      <c r="E51" s="12">
        <v>3954</v>
      </c>
      <c r="F51" s="12">
        <v>4955</v>
      </c>
      <c r="G51" s="12">
        <v>1932</v>
      </c>
      <c r="H51" s="12">
        <v>116</v>
      </c>
      <c r="I51" s="12">
        <v>228</v>
      </c>
      <c r="J51" s="12">
        <v>1055</v>
      </c>
      <c r="K51" s="12">
        <v>3902</v>
      </c>
      <c r="L51" s="12">
        <v>729</v>
      </c>
      <c r="M51" s="9"/>
      <c r="N51" s="9"/>
      <c r="O51" s="9"/>
      <c r="P51" s="9"/>
      <c r="Q51" s="9"/>
      <c r="S51" s="12">
        <v>4</v>
      </c>
      <c r="T51" s="12">
        <v>14</v>
      </c>
      <c r="U51" s="12">
        <v>1939</v>
      </c>
      <c r="V51" s="12">
        <v>2464</v>
      </c>
      <c r="W51" s="12">
        <v>3174</v>
      </c>
      <c r="X51" s="12">
        <v>413</v>
      </c>
      <c r="Y51" s="12">
        <v>531</v>
      </c>
      <c r="Z51" s="12">
        <v>539</v>
      </c>
    </row>
    <row r="52" spans="1:26">
      <c r="A52" s="11" t="s">
        <v>64</v>
      </c>
      <c r="G52" s="12">
        <v>-161319</v>
      </c>
      <c r="H52" s="12">
        <v>-37451</v>
      </c>
      <c r="I52" s="12">
        <v>-261807</v>
      </c>
      <c r="L52" s="12">
        <v>-606309</v>
      </c>
      <c r="M52" s="9"/>
      <c r="N52" s="9"/>
      <c r="O52" s="9"/>
      <c r="P52" s="9"/>
      <c r="Q52" s="9"/>
      <c r="Y52" s="12">
        <v>-148192</v>
      </c>
      <c r="Z52" s="12">
        <v>-392447</v>
      </c>
    </row>
    <row r="53" spans="1:26">
      <c r="A53" s="11" t="s">
        <v>65</v>
      </c>
      <c r="C53" s="12">
        <v>7468</v>
      </c>
      <c r="M53" s="9"/>
      <c r="N53" s="9"/>
      <c r="O53" s="9"/>
      <c r="P53" s="9"/>
      <c r="Q53" s="9"/>
    </row>
    <row r="54" spans="1:26">
      <c r="A54" s="13" t="s">
        <v>66</v>
      </c>
      <c r="C54" s="14">
        <v>13031</v>
      </c>
      <c r="D54" s="14">
        <v>573000</v>
      </c>
      <c r="E54" s="14">
        <v>3954</v>
      </c>
      <c r="F54" s="14">
        <v>4955</v>
      </c>
      <c r="G54" s="14">
        <v>-159387</v>
      </c>
      <c r="H54" s="14">
        <v>-37335</v>
      </c>
      <c r="I54" s="14">
        <v>-261579</v>
      </c>
      <c r="J54" s="14">
        <v>1055</v>
      </c>
      <c r="K54" s="14">
        <v>82293</v>
      </c>
      <c r="L54" s="14">
        <v>-578977</v>
      </c>
      <c r="M54" s="9"/>
      <c r="N54" s="9"/>
      <c r="O54" s="9"/>
      <c r="P54" s="9"/>
      <c r="Q54" s="9"/>
      <c r="S54" s="14">
        <v>4</v>
      </c>
      <c r="T54" s="14">
        <v>14</v>
      </c>
      <c r="U54" s="14">
        <v>415507</v>
      </c>
      <c r="V54" s="14">
        <v>259916</v>
      </c>
      <c r="W54" s="14">
        <v>81565</v>
      </c>
      <c r="X54" s="14">
        <v>413</v>
      </c>
      <c r="Y54" s="14">
        <v>-134297</v>
      </c>
      <c r="Z54" s="14">
        <v>-378544</v>
      </c>
    </row>
    <row r="55" spans="1:26">
      <c r="M55" s="9"/>
      <c r="N55" s="9"/>
      <c r="O55" s="9"/>
      <c r="P55" s="9"/>
      <c r="Q55" s="9"/>
    </row>
    <row r="56" spans="1:26">
      <c r="A56" s="5" t="s">
        <v>67</v>
      </c>
      <c r="C56" s="12">
        <v>1146</v>
      </c>
      <c r="D56" s="12">
        <v>-1911</v>
      </c>
      <c r="E56" s="12">
        <v>-1686</v>
      </c>
      <c r="F56" s="12">
        <v>648</v>
      </c>
      <c r="G56" s="12">
        <v>1550</v>
      </c>
      <c r="H56" s="12">
        <v>-7161</v>
      </c>
      <c r="I56" s="12">
        <v>2576</v>
      </c>
      <c r="J56" s="12">
        <v>-2050</v>
      </c>
      <c r="K56" s="12">
        <v>3715</v>
      </c>
      <c r="L56" s="12">
        <v>-969</v>
      </c>
      <c r="M56" s="9"/>
      <c r="N56" s="9"/>
      <c r="O56" s="9"/>
      <c r="P56" s="9"/>
      <c r="Q56" s="9"/>
      <c r="R56" s="12">
        <v>-4303</v>
      </c>
      <c r="S56" s="12">
        <v>-1561</v>
      </c>
      <c r="T56" s="12">
        <v>-2915</v>
      </c>
      <c r="U56" s="12">
        <v>-31</v>
      </c>
      <c r="V56" s="12">
        <v>-3585</v>
      </c>
      <c r="W56" s="12">
        <v>3303</v>
      </c>
      <c r="X56" s="12">
        <v>-114</v>
      </c>
      <c r="Y56" s="12">
        <v>3061</v>
      </c>
    </row>
    <row r="57" spans="1:26">
      <c r="A57" s="13" t="s">
        <v>68</v>
      </c>
      <c r="C57" s="14">
        <v>39594</v>
      </c>
      <c r="D57" s="14">
        <v>173964</v>
      </c>
      <c r="E57" s="14">
        <v>-183039</v>
      </c>
      <c r="F57" s="14">
        <v>112868</v>
      </c>
      <c r="G57" s="14">
        <v>17941</v>
      </c>
      <c r="H57" s="14">
        <v>229776</v>
      </c>
      <c r="I57" s="14">
        <v>-207896</v>
      </c>
      <c r="J57" s="14">
        <v>142394</v>
      </c>
      <c r="K57" s="14">
        <v>149910</v>
      </c>
      <c r="L57" s="14">
        <v>-326207</v>
      </c>
      <c r="M57" s="9"/>
      <c r="N57" s="9"/>
      <c r="O57" s="9"/>
      <c r="P57" s="9"/>
      <c r="Q57" s="9"/>
      <c r="R57" s="14">
        <v>-104179</v>
      </c>
      <c r="S57" s="14">
        <v>-55609</v>
      </c>
      <c r="T57" s="14">
        <v>-45997</v>
      </c>
      <c r="U57" s="14">
        <v>275570</v>
      </c>
      <c r="V57" s="14">
        <v>149496</v>
      </c>
      <c r="X57" s="14">
        <v>-205864</v>
      </c>
    </row>
    <row r="58" spans="1:26">
      <c r="A58" s="5" t="s">
        <v>69</v>
      </c>
      <c r="C58" s="12">
        <v>223582</v>
      </c>
      <c r="D58" s="12">
        <v>263176</v>
      </c>
      <c r="E58" s="12">
        <v>437140</v>
      </c>
      <c r="F58" s="12">
        <v>254101</v>
      </c>
      <c r="G58" s="12">
        <v>366969</v>
      </c>
      <c r="H58" s="12">
        <v>384910</v>
      </c>
      <c r="I58" s="12">
        <v>614686</v>
      </c>
      <c r="J58" s="12">
        <v>406790</v>
      </c>
      <c r="K58" s="12">
        <v>549184</v>
      </c>
      <c r="L58" s="12">
        <v>699094</v>
      </c>
      <c r="M58" s="9"/>
      <c r="N58" s="9"/>
      <c r="O58" s="9"/>
      <c r="P58" s="9"/>
      <c r="Q58" s="9"/>
      <c r="R58" s="12">
        <v>406790</v>
      </c>
      <c r="S58" s="12">
        <v>406790</v>
      </c>
      <c r="T58" s="12">
        <v>406790</v>
      </c>
      <c r="U58" s="12">
        <v>549184</v>
      </c>
      <c r="V58" s="12">
        <v>549184</v>
      </c>
      <c r="X58" s="12">
        <v>699094</v>
      </c>
    </row>
    <row r="59" spans="1:26">
      <c r="A59" s="13" t="s">
        <v>70</v>
      </c>
      <c r="C59" s="14">
        <v>263176</v>
      </c>
      <c r="D59" s="14">
        <v>437140</v>
      </c>
      <c r="E59" s="14">
        <v>254101</v>
      </c>
      <c r="F59" s="14">
        <v>366969</v>
      </c>
      <c r="G59" s="14">
        <v>384910</v>
      </c>
      <c r="H59" s="14">
        <v>614686</v>
      </c>
      <c r="I59" s="14">
        <v>406790</v>
      </c>
      <c r="J59" s="14">
        <v>549184</v>
      </c>
      <c r="K59" s="14">
        <v>699094</v>
      </c>
      <c r="L59" s="14">
        <v>372887</v>
      </c>
      <c r="M59" s="9"/>
      <c r="N59" s="9"/>
      <c r="O59" s="9"/>
      <c r="P59" s="9"/>
      <c r="Q59" s="9"/>
      <c r="R59" s="14">
        <v>302611</v>
      </c>
      <c r="S59" s="14">
        <v>351181</v>
      </c>
      <c r="T59" s="14">
        <v>360793</v>
      </c>
      <c r="U59" s="14">
        <v>824754</v>
      </c>
      <c r="V59" s="14">
        <v>698680</v>
      </c>
      <c r="X59" s="14">
        <v>493230</v>
      </c>
    </row>
    <row r="60" spans="1:26" ht="8" customHeight="1">
      <c r="M60" s="9"/>
      <c r="N60" s="9"/>
      <c r="O60" s="9"/>
      <c r="P60" s="9"/>
      <c r="Q60" s="9"/>
    </row>
    <row r="61" spans="1:26" ht="20" customHeight="1">
      <c r="A61" s="10" t="s">
        <v>71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9"/>
      <c r="N61" s="9"/>
      <c r="O61" s="9"/>
      <c r="P61" s="9"/>
      <c r="Q61" s="9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3" t="s">
        <v>72</v>
      </c>
      <c r="C62" s="21">
        <f t="shared" ref="C62:L62" si="0">C33+C37+C38</f>
        <v>132089</v>
      </c>
      <c r="D62" s="21">
        <f t="shared" si="0"/>
        <v>128448</v>
      </c>
      <c r="E62" s="21">
        <f t="shared" si="0"/>
        <v>67269</v>
      </c>
      <c r="F62" s="21">
        <f t="shared" si="0"/>
        <v>87406</v>
      </c>
      <c r="G62" s="21">
        <f t="shared" si="0"/>
        <v>82733</v>
      </c>
      <c r="H62" s="21">
        <f t="shared" si="0"/>
        <v>-59716</v>
      </c>
      <c r="I62" s="21">
        <f t="shared" si="0"/>
        <v>20968</v>
      </c>
      <c r="J62" s="21">
        <f t="shared" si="0"/>
        <v>177221</v>
      </c>
      <c r="K62" s="21">
        <f t="shared" si="0"/>
        <v>280412</v>
      </c>
      <c r="L62" s="21">
        <f t="shared" si="0"/>
        <v>358657</v>
      </c>
      <c r="M62" s="9"/>
      <c r="N62" s="9"/>
      <c r="O62" s="9"/>
      <c r="P62" s="9"/>
      <c r="Q62" s="9"/>
      <c r="R62" s="21">
        <f t="shared" ref="R62:Z62" si="1">R33+R37+R38</f>
        <v>-76773</v>
      </c>
      <c r="S62" s="21">
        <f t="shared" si="1"/>
        <v>-12880</v>
      </c>
      <c r="T62" s="21">
        <f t="shared" si="1"/>
        <v>-12126</v>
      </c>
      <c r="U62" s="21">
        <f t="shared" si="1"/>
        <v>-67381</v>
      </c>
      <c r="V62" s="21">
        <f t="shared" si="1"/>
        <v>14897</v>
      </c>
      <c r="W62" s="21">
        <f t="shared" si="1"/>
        <v>42728</v>
      </c>
      <c r="X62" s="21">
        <f t="shared" si="1"/>
        <v>-77364</v>
      </c>
      <c r="Y62" s="21">
        <f t="shared" si="1"/>
        <v>28294</v>
      </c>
      <c r="Z62" s="21">
        <f t="shared" si="1"/>
        <v>81957</v>
      </c>
    </row>
    <row r="63" spans="1:26">
      <c r="A63" s="5" t="s">
        <v>73</v>
      </c>
      <c r="D63" s="15">
        <f t="shared" ref="D63:L63" si="2">IF(N(C62)=0,"",D62/C62-1)</f>
        <v>-2.756474801081088E-2</v>
      </c>
      <c r="E63" s="15">
        <f t="shared" si="2"/>
        <v>-0.47629390881913303</v>
      </c>
      <c r="F63" s="15">
        <f t="shared" si="2"/>
        <v>0.29935036941235937</v>
      </c>
      <c r="G63" s="15">
        <f t="shared" si="2"/>
        <v>-5.3463148982907382E-2</v>
      </c>
      <c r="H63" s="15">
        <f t="shared" si="2"/>
        <v>-1.7217917880410476</v>
      </c>
      <c r="I63" s="15">
        <f t="shared" si="2"/>
        <v>-1.3511286757317973</v>
      </c>
      <c r="J63" s="15">
        <f t="shared" si="2"/>
        <v>7.4519744372376948</v>
      </c>
      <c r="K63" s="15">
        <f t="shared" si="2"/>
        <v>0.58227298119297366</v>
      </c>
      <c r="L63" s="15">
        <f t="shared" si="2"/>
        <v>0.2790358472533272</v>
      </c>
      <c r="M63" s="9"/>
      <c r="N63" s="9"/>
      <c r="O63" s="9"/>
      <c r="P63" s="9"/>
      <c r="Q63" s="9"/>
      <c r="V63" s="15">
        <f>IF(N(R62)=0,"",V62/R62-1)</f>
        <v>-1.194039571203418</v>
      </c>
      <c r="W63" s="15">
        <f>IF(N(S62)=0,"",W62/S62-1)</f>
        <v>-4.3173913043478258</v>
      </c>
      <c r="X63" s="15">
        <f>IF(N(T62)=0,"",X62/T62-1)</f>
        <v>5.3800098960910443</v>
      </c>
      <c r="Y63" s="15">
        <f>IF(N(U62)=0,"",Y62/U62-1)</f>
        <v>-1.419910657306956</v>
      </c>
      <c r="Z63" s="15">
        <f>IF(N(V62)=0,"",Z62/V62-1)</f>
        <v>4.5015774988252666</v>
      </c>
    </row>
    <row r="64" spans="1:26">
      <c r="A64" s="5" t="s">
        <v>74</v>
      </c>
      <c r="C64" s="19">
        <f t="shared" ref="C64:L64" si="3">C37+C38</f>
        <v>-6670</v>
      </c>
      <c r="D64" s="19">
        <f t="shared" si="3"/>
        <v>-12011</v>
      </c>
      <c r="E64" s="19">
        <f t="shared" si="3"/>
        <v>-48857</v>
      </c>
      <c r="F64" s="19">
        <f t="shared" si="3"/>
        <v>-25660</v>
      </c>
      <c r="G64" s="19">
        <f t="shared" si="3"/>
        <v>-28854</v>
      </c>
      <c r="H64" s="19">
        <f t="shared" si="3"/>
        <v>-21776</v>
      </c>
      <c r="I64" s="19">
        <f t="shared" si="3"/>
        <v>-17427</v>
      </c>
      <c r="J64" s="19">
        <f t="shared" si="3"/>
        <v>-18527</v>
      </c>
      <c r="K64" s="19">
        <f t="shared" si="3"/>
        <v>-20455</v>
      </c>
      <c r="L64" s="19">
        <f t="shared" si="3"/>
        <v>-31059</v>
      </c>
      <c r="M64" s="9"/>
      <c r="N64" s="9"/>
      <c r="O64" s="9"/>
      <c r="P64" s="9"/>
      <c r="Q64" s="9"/>
      <c r="R64" s="19">
        <f t="shared" ref="R64:Z64" si="4">R37+R38</f>
        <v>-4690</v>
      </c>
      <c r="S64" s="19">
        <f t="shared" si="4"/>
        <v>-10048</v>
      </c>
      <c r="T64" s="19">
        <f t="shared" si="4"/>
        <v>-14097</v>
      </c>
      <c r="U64" s="19">
        <f t="shared" si="4"/>
        <v>-5076</v>
      </c>
      <c r="V64" s="19">
        <f t="shared" si="4"/>
        <v>-8789</v>
      </c>
      <c r="W64" s="19">
        <f t="shared" si="4"/>
        <v>-13308</v>
      </c>
      <c r="X64" s="19">
        <f t="shared" si="4"/>
        <v>-9966</v>
      </c>
      <c r="Y64" s="19">
        <f t="shared" si="4"/>
        <v>-16354</v>
      </c>
      <c r="Z64" s="19">
        <f t="shared" si="4"/>
        <v>-23873</v>
      </c>
    </row>
    <row r="65" spans="1:26">
      <c r="A65" s="5" t="s">
        <v>75</v>
      </c>
      <c r="C65" s="15">
        <f>(C37+C38)/'Income Statement'!C13*-1</f>
        <v>1.3090418088720456E-2</v>
      </c>
      <c r="D65" s="15">
        <f>(D37+D38)/'Income Statement'!D13*-1</f>
        <v>1.8397822467369943E-2</v>
      </c>
      <c r="E65" s="15">
        <f>(E37+E38)/'Income Statement'!E13*-1</f>
        <v>6.7902778820148044E-2</v>
      </c>
      <c r="F65" s="15">
        <f>(F37+F38)/'Income Statement'!F13*-1</f>
        <v>3.456790788716798E-2</v>
      </c>
      <c r="G65" s="15">
        <f>(G37+G38)/'Income Statement'!G13*-1</f>
        <v>3.8820504610052646E-2</v>
      </c>
      <c r="H65" s="15">
        <f>(H37+H38)/'Income Statement'!H13*-1</f>
        <v>2.6797470877932203E-2</v>
      </c>
      <c r="I65" s="15">
        <f>(I37+I38)/'Income Statement'!I13*-1</f>
        <v>1.924910061512734E-2</v>
      </c>
      <c r="J65" s="15">
        <f>(J37+J38)/'Income Statement'!J13*-1</f>
        <v>1.889551931316465E-2</v>
      </c>
      <c r="K65" s="15">
        <f>(K37+K38)/'Income Statement'!K13*-1</f>
        <v>1.7010975010374574E-2</v>
      </c>
      <c r="L65" s="15">
        <f>(L37+L38)/'Income Statement'!L13*-1</f>
        <v>2.1051768276688518E-2</v>
      </c>
      <c r="M65" s="9"/>
      <c r="N65" s="9"/>
      <c r="O65" s="9"/>
      <c r="P65" s="9"/>
      <c r="Q65" s="9"/>
      <c r="R65" s="15">
        <f>(R37+R38)/'Income Statement'!R13*-1</f>
        <v>2.2612544417497962E-2</v>
      </c>
      <c r="S65" s="15">
        <f>(S37+S38)/'Income Statement'!S13*-1</f>
        <v>4.1710772653872817E-2</v>
      </c>
      <c r="T65" s="15">
        <f>(T37+T38)/'Income Statement'!T13*-1</f>
        <v>5.8572034003938872E-2</v>
      </c>
      <c r="U65" s="15">
        <f>(U37+U38)/'Income Statement'!U13*-1</f>
        <v>1.9307648126100699E-2</v>
      </c>
      <c r="V65" s="15">
        <f>(V37+V38)/'Income Statement'!V13*-1</f>
        <v>3.0361337570816636E-2</v>
      </c>
      <c r="W65" s="15">
        <f>(W37+W38)/'Income Statement'!W13*-1</f>
        <v>4.5341183204546387E-2</v>
      </c>
      <c r="X65" s="15">
        <f>(X37+X38)/'Income Statement'!X13*-1</f>
        <v>2.9960407528882661E-2</v>
      </c>
      <c r="Y65" s="15">
        <f>(Y37+Y38)/'Income Statement'!Y13*-1</f>
        <v>4.5542265974185106E-2</v>
      </c>
      <c r="Z65" s="15">
        <f>(Z37+Z38)/'Income Statement'!Z13*-1</f>
        <v>6.4081537334145774E-2</v>
      </c>
    </row>
    <row r="66" spans="1:26">
      <c r="A66" s="5" t="s">
        <v>76</v>
      </c>
      <c r="C66" s="15">
        <f>(C33+C37+C38)/'Income Statement'!C13</f>
        <v>0.25923541752938473</v>
      </c>
      <c r="D66" s="15">
        <f>(D33+D37+D38)/'Income Statement'!D13</f>
        <v>0.19674993758127837</v>
      </c>
      <c r="E66" s="15">
        <f>(E33+E37+E38)/'Income Statement'!E13</f>
        <v>9.3492273951583979E-2</v>
      </c>
      <c r="F66" s="15">
        <f>(F33+F37+F38)/'Income Statement'!F13</f>
        <v>0.11774912536187858</v>
      </c>
      <c r="G66" s="15">
        <f>(G33+G37+G38)/'Income Statement'!G13</f>
        <v>0.11130993303886759</v>
      </c>
      <c r="H66" s="15">
        <f>(H33+H37+H38)/'Income Statement'!H13</f>
        <v>-7.3486304690787999E-2</v>
      </c>
      <c r="I66" s="15">
        <f>(I33+I37+I38)/'Income Statement'!I13</f>
        <v>2.3160334061972231E-2</v>
      </c>
      <c r="J66" s="15">
        <f>(J33+J37+J38)/'Income Statement'!J13</f>
        <v>0.18074609101302708</v>
      </c>
      <c r="K66" s="15">
        <f>(K33+K37+K38)/'Income Statement'!K13</f>
        <v>0.23319880345192642</v>
      </c>
      <c r="L66" s="15">
        <f>(L33+L37+L38)/'Income Statement'!L13</f>
        <v>0.24309746143830366</v>
      </c>
      <c r="M66" s="9"/>
      <c r="N66" s="9"/>
      <c r="O66" s="9"/>
      <c r="P66" s="9"/>
      <c r="Q66" s="9"/>
      <c r="R66" s="15">
        <f>(R33+R37+R38)/'Income Statement'!R13</f>
        <v>-0.3701562628069448</v>
      </c>
      <c r="S66" s="15">
        <f>(S33+S37+S38)/'Income Statement'!S13</f>
        <v>-5.3466834373196846E-2</v>
      </c>
      <c r="T66" s="15">
        <f>(T33+T37+T38)/'Income Statement'!T13</f>
        <v>-5.038266896018747E-2</v>
      </c>
      <c r="U66" s="15">
        <f>(U33+U37+U38)/'Income Statement'!U13</f>
        <v>-0.25629799810575082</v>
      </c>
      <c r="V66" s="15">
        <f>(V33+V37+V38)/'Income Statement'!V13</f>
        <v>5.1461240845654274E-2</v>
      </c>
      <c r="W66" s="15">
        <f>(W33+W37+W38)/'Income Statement'!W13</f>
        <v>0.14557695190591058</v>
      </c>
      <c r="X66" s="15">
        <f>(X33+X37+X38)/'Income Statement'!X13</f>
        <v>-0.23257645675942989</v>
      </c>
      <c r="Y66" s="15">
        <f>(Y33+Y37+Y38)/'Income Statement'!Y13</f>
        <v>7.8792520085214215E-2</v>
      </c>
      <c r="Z66" s="15">
        <f>(Z33+Z37+Z38)/'Income Statement'!Z13</f>
        <v>0.21999457777801637</v>
      </c>
    </row>
    <row r="67" spans="1:26">
      <c r="A67" s="5" t="s">
        <v>77</v>
      </c>
      <c r="C67" s="15">
        <f>(C33+C37+C38)/'Income Statement'!C46</f>
        <v>7.3090416113324483</v>
      </c>
      <c r="D67" s="15">
        <f>(D33+D37+D38)/'Income Statement'!D46</f>
        <v>-4.8030512657517859</v>
      </c>
      <c r="E67" s="15">
        <f>(E33+E37+E38)/'Income Statement'!E46</f>
        <v>3.2446941925525756</v>
      </c>
      <c r="F67" s="15">
        <f>(F33+F37+F38)/'Income Statement'!F46</f>
        <v>-3.2136921832487682</v>
      </c>
      <c r="G67" s="15">
        <f>(G33+G37+G38)/'Income Statement'!G46</f>
        <v>-1.2439743184927903</v>
      </c>
      <c r="H67" s="15">
        <f>(H33+H37+H38)/'Income Statement'!H46</f>
        <v>0.33096308284053183</v>
      </c>
      <c r="I67" s="15">
        <f>(I33+I37+I38)/'Income Statement'!I46</f>
        <v>-0.18745697554870144</v>
      </c>
      <c r="J67" s="15">
        <f>(J33+J37+J38)/'Income Statement'!J46</f>
        <v>-29.038341799115191</v>
      </c>
      <c r="K67" s="15">
        <f>(K33+K37+K38)/'Income Statement'!K46</f>
        <v>4.0171336886138329</v>
      </c>
      <c r="L67" s="15">
        <f>(L33+L37+L38)/'Income Statement'!L46</f>
        <v>2.5750235132787203</v>
      </c>
      <c r="M67" s="9"/>
      <c r="N67" s="9"/>
      <c r="O67" s="9"/>
      <c r="P67" s="9"/>
      <c r="Q67" s="9"/>
      <c r="R67" s="15">
        <f>(R33+R37+R38)/'Income Statement'!R46</f>
        <v>2.8359868493960327</v>
      </c>
      <c r="S67" s="15">
        <f>(S33+S37+S38)/'Income Statement'!S46</f>
        <v>-1.3296170124909672</v>
      </c>
      <c r="T67" s="15">
        <f>(T33+T37+T38)/'Income Statement'!T46</f>
        <v>2.213581599123768</v>
      </c>
      <c r="U67" s="15">
        <f>(U33+U37+U38)/'Income Statement'!U46</f>
        <v>-7.3729073202757416</v>
      </c>
      <c r="V67" s="15">
        <f>(V33+V37+V38)/'Income Statement'!V46</f>
        <v>-0.39962979853528985</v>
      </c>
      <c r="W67" s="15">
        <f>(W33+W37+W38)/'Income Statement'!W46</f>
        <v>0.92905133613098212</v>
      </c>
      <c r="X67" s="15">
        <f>(X33+X37+X38)/'Income Statement'!X46</f>
        <v>-2.4710617094672287</v>
      </c>
      <c r="Y67" s="15">
        <f>(Y33+Y37+Y38)/'Income Statement'!Y46</f>
        <v>0.47070370986524707</v>
      </c>
      <c r="Z67" s="15">
        <f>(Z33+Z37+Z38)/'Income Statement'!Z46</f>
        <v>4.9758363183777545</v>
      </c>
    </row>
    <row r="68" spans="1:26" ht="8" customHeight="1">
      <c r="M68" s="9"/>
      <c r="N68" s="9"/>
      <c r="O68" s="9"/>
      <c r="P68" s="9"/>
      <c r="Q68" s="9"/>
    </row>
    <row r="69" spans="1:26" ht="20" customHeight="1">
      <c r="A69" s="10" t="s">
        <v>78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9"/>
      <c r="N69" s="9"/>
      <c r="O69" s="9"/>
      <c r="P69" s="9"/>
      <c r="Q69" s="9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">
        <v>79</v>
      </c>
      <c r="C70" s="19">
        <f t="shared" ref="C70:L70" si="5">C33+C42+C54+C56-C57</f>
        <v>0</v>
      </c>
      <c r="D70" s="19">
        <f t="shared" si="5"/>
        <v>0</v>
      </c>
      <c r="E70" s="19">
        <f t="shared" si="5"/>
        <v>0</v>
      </c>
      <c r="F70" s="19">
        <f t="shared" si="5"/>
        <v>0</v>
      </c>
      <c r="G70" s="19">
        <f t="shared" si="5"/>
        <v>0</v>
      </c>
      <c r="H70" s="19">
        <f t="shared" si="5"/>
        <v>0</v>
      </c>
      <c r="I70" s="19">
        <f t="shared" si="5"/>
        <v>0</v>
      </c>
      <c r="J70" s="19">
        <f t="shared" si="5"/>
        <v>0</v>
      </c>
      <c r="K70" s="19">
        <f t="shared" si="5"/>
        <v>0</v>
      </c>
      <c r="L70" s="19">
        <f t="shared" si="5"/>
        <v>0</v>
      </c>
      <c r="M70" s="9"/>
      <c r="N70" s="9"/>
      <c r="O70" s="9"/>
      <c r="P70" s="9"/>
      <c r="Q70" s="9"/>
    </row>
    <row r="71" spans="1:26">
      <c r="M71" s="9"/>
      <c r="N71" s="9"/>
      <c r="O71" s="9"/>
      <c r="P71" s="9"/>
      <c r="Q71" s="9"/>
    </row>
  </sheetData>
  <phoneticPr fontId="16" type="noConversion"/>
  <conditionalFormatting sqref="C70:Z70">
    <cfRule type="cellIs" dxfId="0" priority="1" operator="notBetween">
      <formula>-0.5</formula>
      <formula>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Z62"/>
  <sheetViews>
    <sheetView showGridLines="0" zoomScale="90" zoomScaleNormal="90" workbookViewId="0">
      <pane xSplit="2" ySplit="5" topLeftCell="C6" activePane="bottomRight" state="frozen"/>
      <selection pane="topRight"/>
      <selection pane="bottomLeft"/>
      <selection pane="bottomRight" activeCell="C38" sqref="C38"/>
    </sheetView>
  </sheetViews>
  <sheetFormatPr baseColWidth="10" defaultColWidth="8.83203125" defaultRowHeight="14"/>
  <cols>
    <col min="1" max="1" width="46" customWidth="1"/>
    <col min="2" max="2" width="2" customWidth="1"/>
    <col min="3" max="12" width="12" customWidth="1"/>
    <col min="13" max="17" width="9" customWidth="1"/>
    <col min="18" max="26" width="12" customWidth="1"/>
  </cols>
  <sheetData>
    <row r="1" spans="1:26" ht="28" customHeight="1">
      <c r="A1" s="1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3" t="s">
        <v>1</v>
      </c>
    </row>
    <row r="3" spans="1:26"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</row>
    <row r="4" spans="1:26"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8"/>
      <c r="S4" s="8"/>
      <c r="T4" s="8"/>
      <c r="U4" s="8"/>
      <c r="V4" s="8"/>
      <c r="W4" s="8"/>
      <c r="X4" s="8"/>
      <c r="Y4" s="8"/>
      <c r="Z4" s="8"/>
    </row>
    <row r="5" spans="1:26" ht="8" customHeight="1">
      <c r="M5" s="9"/>
      <c r="N5" s="9"/>
      <c r="O5" s="9"/>
      <c r="P5" s="9"/>
      <c r="Q5" s="9"/>
    </row>
    <row r="6" spans="1:26" ht="20" customHeight="1">
      <c r="A6" s="10" t="s">
        <v>214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 t="s">
        <v>142</v>
      </c>
      <c r="C7" s="15">
        <f>'Income Statement'!C30/'Income Statement'!C13</f>
        <v>0.62404986526878536</v>
      </c>
      <c r="D7" s="15">
        <f>'Income Statement'!D30/'Income Statement'!D13</f>
        <v>0.54540330152914385</v>
      </c>
      <c r="E7" s="15">
        <f>'Income Statement'!E30/'Income Statement'!E13</f>
        <v>0.54920960537251529</v>
      </c>
      <c r="F7" s="15">
        <f>'Income Statement'!F30/'Income Statement'!F13</f>
        <v>0.54464258049567094</v>
      </c>
      <c r="G7" s="15">
        <f>'Income Statement'!G30/'Income Statement'!G13</f>
        <v>0.52411851999348824</v>
      </c>
      <c r="H7" s="15">
        <f>'Income Statement'!H30/'Income Statement'!H13</f>
        <v>0.46415149135998152</v>
      </c>
      <c r="I7" s="15">
        <f>'Income Statement'!I30/'Income Statement'!I13</f>
        <v>0.50611979353635816</v>
      </c>
      <c r="J7" s="15">
        <f>'Income Statement'!J30/'Income Statement'!J13</f>
        <v>0.5949645944862656</v>
      </c>
      <c r="K7" s="15">
        <f>'Income Statement'!K30/'Income Statement'!K13</f>
        <v>0.62542922461389538</v>
      </c>
      <c r="L7" s="15">
        <f>'Income Statement'!L30/'Income Statement'!L13</f>
        <v>0.64212536169064838</v>
      </c>
      <c r="M7" s="9"/>
      <c r="N7" s="9"/>
      <c r="O7" s="9"/>
      <c r="P7" s="9"/>
      <c r="Q7" s="9"/>
      <c r="R7" s="15">
        <f>'Income Statement'!R30/'Income Statement'!R13</f>
        <v>0.5414089206246655</v>
      </c>
      <c r="S7" s="15">
        <f>'Income Statement'!S30/'Income Statement'!S13</f>
        <v>0.59114891426626315</v>
      </c>
      <c r="T7" s="15">
        <f>'Income Statement'!T30/'Income Statement'!T13</f>
        <v>0.59094308578266397</v>
      </c>
      <c r="U7" s="15">
        <f>'Income Statement'!U30/'Income Statement'!U13</f>
        <v>0.6024777387685859</v>
      </c>
      <c r="V7" s="15">
        <f>'Income Statement'!V30/'Income Statement'!V13</f>
        <v>0.61887522454055544</v>
      </c>
      <c r="W7" s="15">
        <f>'Income Statement'!W30/'Income Statement'!W13</f>
        <v>0.62246344222303995</v>
      </c>
      <c r="X7" s="15">
        <f>'Income Statement'!X30/'Income Statement'!X13</f>
        <v>0.62987803594888148</v>
      </c>
      <c r="Y7" s="15">
        <f>'Income Statement'!Y30/'Income Statement'!Y13</f>
        <v>0.6447346802378201</v>
      </c>
      <c r="Z7" s="15">
        <f>'Income Statement'!Z30/'Income Statement'!Z13</f>
        <v>0.63521867391777009</v>
      </c>
    </row>
    <row r="8" spans="1:26">
      <c r="A8" s="5" t="s">
        <v>148</v>
      </c>
      <c r="C8" s="15">
        <f>'Income Statement'!C38/'Income Statement'!C13</f>
        <v>4.290399247938799E-2</v>
      </c>
      <c r="D8" s="15">
        <f>'Income Statement'!D38/'Income Statement'!D13</f>
        <v>-2.3932027160951462E-2</v>
      </c>
      <c r="E8" s="15">
        <f>'Income Statement'!E38/'Income Statement'!E13</f>
        <v>2.0444355495515027E-3</v>
      </c>
      <c r="F8" s="15">
        <f>'Income Statement'!F38/'Income Statement'!F13</f>
        <v>-3.2178061098709833E-2</v>
      </c>
      <c r="G8" s="15">
        <f>'Income Statement'!G38/'Income Statement'!G13</f>
        <v>-0.1420539321670409</v>
      </c>
      <c r="H8" s="15">
        <f>'Income Statement'!H38/'Income Statement'!H13</f>
        <v>-0.24543879381846731</v>
      </c>
      <c r="I8" s="15">
        <f>'Income Statement'!I38/'Income Statement'!I13</f>
        <v>-0.16512010391664578</v>
      </c>
      <c r="J8" s="15">
        <f>'Income Statement'!J38/'Income Statement'!J13</f>
        <v>-5.3618726013440123E-2</v>
      </c>
      <c r="K8" s="15">
        <f>'Income Statement'!K38/'Income Statement'!K13</f>
        <v>3.4153347432220142E-2</v>
      </c>
      <c r="L8" s="15">
        <f>'Income Statement'!L38/'Income Statement'!L13</f>
        <v>0.10158449140991065</v>
      </c>
      <c r="M8" s="9"/>
      <c r="N8" s="9"/>
      <c r="O8" s="9"/>
      <c r="P8" s="9"/>
      <c r="Q8" s="9"/>
      <c r="R8" s="15">
        <f>'Income Statement'!R38/'Income Statement'!R13</f>
        <v>-0.16287299850053277</v>
      </c>
      <c r="S8" s="15">
        <f>'Income Statement'!S38/'Income Statement'!S13</f>
        <v>-5.1515793056783603E-2</v>
      </c>
      <c r="T8" s="15">
        <f>'Income Statement'!T38/'Income Statement'!T13</f>
        <v>-6.9370694454831766E-2</v>
      </c>
      <c r="U8" s="15">
        <f>'Income Statement'!U38/'Income Statement'!U13</f>
        <v>-1.7953526232307979E-2</v>
      </c>
      <c r="V8" s="15">
        <f>'Income Statement'!V38/'Income Statement'!V13</f>
        <v>4.0496752798120768E-2</v>
      </c>
      <c r="W8" s="15">
        <f>'Income Statement'!W38/'Income Statement'!W13</f>
        <v>1.5222753723918939E-2</v>
      </c>
      <c r="X8" s="15">
        <f>'Income Statement'!X38/'Income Statement'!X13</f>
        <v>5.5549710046025873E-2</v>
      </c>
      <c r="Y8" s="15">
        <f>'Income Statement'!Y38/'Income Statement'!Y13</f>
        <v>0.10704966652278645</v>
      </c>
      <c r="Z8" s="15">
        <f>'Income Statement'!Z38/'Income Statement'!Z13</f>
        <v>8.2237928174348593E-2</v>
      </c>
    </row>
    <row r="9" spans="1:26">
      <c r="A9" s="5" t="s">
        <v>154</v>
      </c>
      <c r="C9" s="15">
        <f>'Income Statement'!C46/'Income Statement'!C13</f>
        <v>3.5467771469168824E-2</v>
      </c>
      <c r="D9" s="15">
        <f>'Income Statement'!D46/'Income Statement'!D13</f>
        <v>-4.0963530617340302E-2</v>
      </c>
      <c r="E9" s="15">
        <f>'Income Statement'!E46/'Income Statement'!E13</f>
        <v>2.8813893822774817E-2</v>
      </c>
      <c r="F9" s="15">
        <f>'Income Statement'!F46/'Income Statement'!F13</f>
        <v>-3.6639826917973288E-2</v>
      </c>
      <c r="G9" s="15">
        <f>'Income Statement'!G46/'Income Statement'!G13</f>
        <v>-8.9479285371205766E-2</v>
      </c>
      <c r="H9" s="15">
        <f>'Income Statement'!H46/'Income Statement'!H13</f>
        <v>-0.2220377694698836</v>
      </c>
      <c r="I9" s="15">
        <f>'Income Statement'!I46/'Income Statement'!I13</f>
        <v>-0.12355013193923615</v>
      </c>
      <c r="J9" s="15">
        <f>'Income Statement'!J46/'Income Statement'!J13</f>
        <v>-6.2243943632667919E-3</v>
      </c>
      <c r="K9" s="15">
        <f>'Income Statement'!K46/'Income Statement'!K13</f>
        <v>5.8051043736210547E-2</v>
      </c>
      <c r="L9" s="15">
        <f>'Income Statement'!L46/'Income Statement'!L13</f>
        <v>9.440591908567586E-2</v>
      </c>
      <c r="M9" s="9"/>
      <c r="N9" s="9"/>
      <c r="O9" s="9"/>
      <c r="P9" s="9"/>
      <c r="Q9" s="9"/>
      <c r="R9" s="15">
        <f>'Income Statement'!R46/'Income Statement'!R13</f>
        <v>-0.13052114923797173</v>
      </c>
      <c r="S9" s="15">
        <f>'Income Statement'!S46/'Income Statement'!S13</f>
        <v>4.0212206876797968E-2</v>
      </c>
      <c r="T9" s="15">
        <f>'Income Statement'!T46/'Income Statement'!T13</f>
        <v>-2.2760701019619575E-2</v>
      </c>
      <c r="U9" s="15">
        <f>'Income Statement'!U46/'Income Statement'!U13</f>
        <v>3.4762134795987845E-2</v>
      </c>
      <c r="V9" s="15">
        <f>'Income Statement'!V46/'Income Statement'!V13</f>
        <v>-0.12877228133204366</v>
      </c>
      <c r="W9" s="15">
        <f>'Income Statement'!W46/'Income Statement'!W13</f>
        <v>0.15669419572890689</v>
      </c>
      <c r="X9" s="15">
        <f>'Income Statement'!X46/'Income Statement'!X13</f>
        <v>9.4120052068458596E-2</v>
      </c>
      <c r="Y9" s="15">
        <f>'Income Statement'!Y46/'Income Statement'!Y13</f>
        <v>0.16739302969966166</v>
      </c>
      <c r="Z9" s="15">
        <f>'Income Statement'!Z46/'Income Statement'!Z13</f>
        <v>4.421258331297763E-2</v>
      </c>
    </row>
    <row r="10" spans="1:26">
      <c r="A10" s="5" t="s">
        <v>175</v>
      </c>
      <c r="C10" s="15">
        <f>'Income Statement'!C45/'Income Statement'!C44</f>
        <v>0.3664726915796116</v>
      </c>
      <c r="D10" s="15">
        <f>'Income Statement'!D45/'Income Statement'!D44</f>
        <v>-2.2313919768003867</v>
      </c>
      <c r="E10" s="15">
        <f>'Income Statement'!E45/'Income Statement'!E44</f>
        <v>-0.66495342113716671</v>
      </c>
      <c r="F10" s="15">
        <f>'Income Statement'!F45/'Income Statement'!F44</f>
        <v>-0.11783321688381078</v>
      </c>
      <c r="G10" s="15">
        <f>'Income Statement'!G45/'Income Statement'!G44</f>
        <v>0.36223281326416124</v>
      </c>
      <c r="H10" s="15">
        <f>'Income Statement'!H45/'Income Statement'!H44</f>
        <v>0.21454410900463619</v>
      </c>
      <c r="I10" s="15">
        <f>'Income Statement'!I45/'Income Statement'!I44</f>
        <v>0.16584634659268871</v>
      </c>
      <c r="J10" s="15">
        <f>'Income Statement'!J45/'Income Statement'!J44</f>
        <v>0.77259855428869517</v>
      </c>
      <c r="K10" s="15">
        <f>'Income Statement'!K45/'Income Statement'!K44</f>
        <v>-0.41317947160643792</v>
      </c>
      <c r="L10" s="15">
        <f>'Income Statement'!L45/'Income Statement'!L44</f>
        <v>0.15131887616761214</v>
      </c>
      <c r="M10" s="9"/>
      <c r="N10" s="9"/>
      <c r="O10" s="9"/>
      <c r="P10" s="9"/>
      <c r="Q10" s="9"/>
      <c r="R10" s="15">
        <f>'Income Statement'!R45/'Income Statement'!R44</f>
        <v>0.29855155079936774</v>
      </c>
      <c r="S10" s="15">
        <f>'Income Statement'!S45/'Income Statement'!S44</f>
        <v>-0.39101091326823667</v>
      </c>
      <c r="T10" s="15">
        <f>'Income Statement'!T45/'Income Statement'!T44</f>
        <v>0.61129638827786847</v>
      </c>
      <c r="U10" s="15">
        <f>'Income Statement'!U45/'Income Statement'!U44</f>
        <v>-2.300469483568075</v>
      </c>
      <c r="V10" s="15">
        <f>'Income Statement'!V45/'Income Statement'!V44</f>
        <v>0.13363701861621771</v>
      </c>
      <c r="W10" s="15">
        <f>'Income Statement'!W45/'Income Statement'!W44</f>
        <v>5.5005342319388507E-2</v>
      </c>
      <c r="X10" s="15">
        <f>'Income Statement'!X45/'Income Statement'!X44</f>
        <v>-0.27777324300057138</v>
      </c>
      <c r="Y10" s="15">
        <f>'Income Statement'!Y45/'Income Statement'!Y44</f>
        <v>0.19371713703187038</v>
      </c>
      <c r="Z10" s="15">
        <f>'Income Statement'!Z45/'Income Statement'!Z44</f>
        <v>0.16644736842105262</v>
      </c>
    </row>
    <row r="11" spans="1:26">
      <c r="A11" s="5" t="s">
        <v>165</v>
      </c>
      <c r="C11" s="15">
        <f>'Income Statement'!C24/'Income Statement'!C7</f>
        <v>0.80483079119502354</v>
      </c>
      <c r="D11" s="15">
        <f>'Income Statement'!D24/'Income Statement'!D7</f>
        <v>0.59242536437356641</v>
      </c>
      <c r="E11" s="15">
        <f>'Income Statement'!E24/'Income Statement'!E7</f>
        <v>0.51089889283198431</v>
      </c>
      <c r="F11" s="15">
        <f>'Income Statement'!F24/'Income Statement'!F7</f>
        <v>0.4242086173595514</v>
      </c>
      <c r="G11" s="15">
        <f>'Income Statement'!G24/'Income Statement'!G7</f>
        <v>0.37593418873188089</v>
      </c>
      <c r="H11" s="15">
        <f>'Income Statement'!H24/'Income Statement'!H7</f>
        <v>0.40987116971382687</v>
      </c>
      <c r="I11" s="15">
        <f>'Income Statement'!I24/'Income Statement'!I7</f>
        <v>0.5100694258576991</v>
      </c>
      <c r="J11" s="15">
        <f>'Income Statement'!J24/'Income Statement'!J7</f>
        <v>0.62702813943874103</v>
      </c>
      <c r="K11" s="15">
        <f>'Income Statement'!K24/'Income Statement'!K7</f>
        <v>0.67850774515380918</v>
      </c>
      <c r="L11" s="15">
        <f>'Income Statement'!L24/'Income Statement'!L7</f>
        <v>0.72684406495104981</v>
      </c>
      <c r="M11" s="9"/>
      <c r="N11" s="9"/>
      <c r="O11" s="9"/>
      <c r="P11" s="9"/>
      <c r="Q11" s="9"/>
      <c r="R11" s="15">
        <f>'Income Statement'!R24/'Income Statement'!R7</f>
        <v>0.62348092488266593</v>
      </c>
      <c r="S11" s="15">
        <f>'Income Statement'!S24/'Income Statement'!S7</f>
        <v>0.62068336852980055</v>
      </c>
      <c r="T11" s="15">
        <f>'Income Statement'!T24/'Income Statement'!T7</f>
        <v>0.62901355367108791</v>
      </c>
      <c r="U11" s="15">
        <f>'Income Statement'!U24/'Income Statement'!U7</f>
        <v>0.6817287412661569</v>
      </c>
      <c r="V11" s="15">
        <f>'Income Statement'!V24/'Income Statement'!V7</f>
        <v>0.66769756744902664</v>
      </c>
      <c r="W11" s="15">
        <f>'Income Statement'!W24/'Income Statement'!W7</f>
        <v>0.68424786743151311</v>
      </c>
      <c r="X11" s="15">
        <f>'Income Statement'!X24/'Income Statement'!X7</f>
        <v>0.71230361426263367</v>
      </c>
      <c r="Y11" s="15">
        <f>'Income Statement'!Y24/'Income Statement'!Y7</f>
        <v>0.73049926436180757</v>
      </c>
      <c r="Z11" s="15">
        <f>'Income Statement'!Z24/'Income Statement'!Z7</f>
        <v>0.72263400044128823</v>
      </c>
    </row>
    <row r="12" spans="1:26" ht="8" customHeight="1">
      <c r="M12" s="9"/>
      <c r="N12" s="9"/>
      <c r="O12" s="9"/>
      <c r="P12" s="9"/>
      <c r="Q12" s="9"/>
    </row>
    <row r="13" spans="1:26" ht="20" customHeight="1">
      <c r="A13" s="10" t="s">
        <v>215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9"/>
      <c r="N13" s="9"/>
      <c r="O13" s="9"/>
      <c r="P13" s="9"/>
      <c r="Q13" s="9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 t="s">
        <v>216</v>
      </c>
      <c r="C14" s="15">
        <f>'Income Statement'!C46/'Balance Sheet'!C21</f>
        <v>1.6750378394310508E-2</v>
      </c>
      <c r="D14" s="15">
        <f>'Income Statement'!D46/'Balance Sheet'!D21</f>
        <v>-1.349679751977483E-2</v>
      </c>
      <c r="E14" s="15">
        <f>'Income Statement'!E46/'Balance Sheet'!E21</f>
        <v>9.5673068714140479E-3</v>
      </c>
      <c r="F14" s="15">
        <f>'Income Statement'!F46/'Balance Sheet'!F21</f>
        <v>-1.1500931136493954E-2</v>
      </c>
      <c r="G14" s="15">
        <f>'Income Statement'!G46/'Balance Sheet'!G21</f>
        <v>-2.8644030932297376E-2</v>
      </c>
      <c r="H14" s="15">
        <f>'Income Statement'!H46/'Balance Sheet'!H21</f>
        <v>-7.9593823627628429E-2</v>
      </c>
      <c r="I14" s="15">
        <f>'Income Statement'!I46/'Balance Sheet'!I21</f>
        <v>-5.5158371665496322E-2</v>
      </c>
      <c r="J14" s="15">
        <f>'Income Statement'!J46/'Balance Sheet'!J21</f>
        <v>-2.7413270664162054E-3</v>
      </c>
      <c r="K14" s="15">
        <f>'Income Statement'!K46/'Balance Sheet'!K21</f>
        <v>2.5652870402730663E-2</v>
      </c>
      <c r="L14" s="15">
        <f>'Income Statement'!L46/'Balance Sheet'!L21</f>
        <v>5.4049638603214815E-2</v>
      </c>
      <c r="M14" s="9"/>
      <c r="N14" s="9"/>
      <c r="O14" s="9"/>
      <c r="P14" s="9"/>
      <c r="Q14" s="9"/>
      <c r="R14" s="15">
        <f>'Income Statement'!R46/'Balance Sheet'!R21</f>
        <v>-1.410243920989666E-2</v>
      </c>
      <c r="S14" s="15">
        <f>'Income Statement'!S46/'Balance Sheet'!S21</f>
        <v>4.810977790138663E-3</v>
      </c>
      <c r="T14" s="15">
        <f>'Income Statement'!T46/'Balance Sheet'!T21</f>
        <v>-2.6852612100341905E-3</v>
      </c>
      <c r="U14" s="15">
        <f>'Income Statement'!U46/'Balance Sheet'!U21</f>
        <v>3.5194710819167582E-3</v>
      </c>
      <c r="V14" s="15">
        <f>'Income Statement'!V46/'Balance Sheet'!V21</f>
        <v>-1.4659887234056777E-2</v>
      </c>
      <c r="W14" s="15">
        <f>'Income Statement'!W46/'Balance Sheet'!W21</f>
        <v>1.8484601122717156E-2</v>
      </c>
      <c r="X14" s="15">
        <f>'Income Statement'!X46/'Balance Sheet'!X21</f>
        <v>1.1862096872275588E-2</v>
      </c>
      <c r="Y14" s="15">
        <f>'Income Statement'!Y46/'Balance Sheet'!Y21</f>
        <v>2.2331238657450837E-2</v>
      </c>
      <c r="Z14" s="15">
        <f>'Income Statement'!Z46/'Balance Sheet'!Z21</f>
        <v>6.4970975870289986E-3</v>
      </c>
    </row>
    <row r="15" spans="1:26">
      <c r="A15" s="5" t="s">
        <v>217</v>
      </c>
      <c r="C15" s="15">
        <f>'Income Statement'!C46/'Balance Sheet'!C39</f>
        <v>2.023103592262681E-2</v>
      </c>
      <c r="D15" s="15">
        <f>'Income Statement'!D46/'Balance Sheet'!D39</f>
        <v>-1.8918150332197712E-2</v>
      </c>
      <c r="E15" s="15">
        <f>'Income Statement'!E46/'Balance Sheet'!E39</f>
        <v>1.3169855691871622E-2</v>
      </c>
      <c r="F15" s="15">
        <f>'Income Statement'!F46/'Balance Sheet'!F39</f>
        <v>-1.6416299687101635E-2</v>
      </c>
      <c r="G15" s="15">
        <f>'Income Statement'!G46/'Balance Sheet'!G39</f>
        <v>-4.3049555503484382E-2</v>
      </c>
      <c r="H15" s="15">
        <f>'Income Statement'!H46/'Balance Sheet'!H39</f>
        <v>-0.12429313536186579</v>
      </c>
      <c r="I15" s="15">
        <f>'Income Statement'!I46/'Balance Sheet'!I39</f>
        <v>-9.3253998029122959E-2</v>
      </c>
      <c r="J15" s="15">
        <f>'Income Statement'!J46/'Balance Sheet'!J39</f>
        <v>-4.5452108090073074E-3</v>
      </c>
      <c r="K15" s="15">
        <f>'Income Statement'!K46/'Balance Sheet'!K39</f>
        <v>4.7901841164400952E-2</v>
      </c>
      <c r="L15" s="15">
        <f>'Income Statement'!L46/'Balance Sheet'!L39</f>
        <v>0.11668301656967027</v>
      </c>
      <c r="M15" s="9"/>
      <c r="N15" s="9"/>
      <c r="O15" s="9"/>
      <c r="P15" s="9"/>
      <c r="Q15" s="9"/>
      <c r="R15" s="15">
        <f>'Income Statement'!R46/'Balance Sheet'!R39</f>
        <v>-2.2453466970901149E-2</v>
      </c>
      <c r="S15" s="15">
        <f>'Income Statement'!S46/'Balance Sheet'!S39</f>
        <v>7.7118857937144188E-3</v>
      </c>
      <c r="T15" s="15">
        <f>'Income Statement'!T46/'Balance Sheet'!T39</f>
        <v>-4.2618211466617286E-3</v>
      </c>
      <c r="U15" s="15">
        <f>'Income Statement'!U46/'Balance Sheet'!U39</f>
        <v>7.2072484146655956E-3</v>
      </c>
      <c r="V15" s="15">
        <f>'Income Statement'!V46/'Balance Sheet'!V39</f>
        <v>-2.9381210905972559E-2</v>
      </c>
      <c r="W15" s="15">
        <f>'Income Statement'!W46/'Balance Sheet'!W39</f>
        <v>3.3753004421774951E-2</v>
      </c>
      <c r="X15" s="15">
        <f>'Income Statement'!X46/'Balance Sheet'!X39</f>
        <v>2.0417133488716058E-2</v>
      </c>
      <c r="Y15" s="15">
        <f>'Income Statement'!Y46/'Balance Sheet'!Y39</f>
        <v>3.9791661425985919E-2</v>
      </c>
      <c r="Z15" s="15">
        <f>'Income Statement'!Z46/'Balance Sheet'!Z39</f>
        <v>1.2505077269397067E-2</v>
      </c>
    </row>
    <row r="16" spans="1:26">
      <c r="A16" s="5" t="s">
        <v>218</v>
      </c>
      <c r="C16" s="22">
        <f>'Income Statement'!C13/'Balance Sheet'!C21</f>
        <v>0.47227039366911328</v>
      </c>
      <c r="D16" s="22">
        <f>'Income Statement'!D13/'Balance Sheet'!D21</f>
        <v>0.32948325782400917</v>
      </c>
      <c r="E16" s="22">
        <f>'Income Statement'!E13/'Balance Sheet'!E21</f>
        <v>0.33203797203736291</v>
      </c>
      <c r="F16" s="22">
        <f>'Income Statement'!F13/'Balance Sheet'!F21</f>
        <v>0.31389152471275156</v>
      </c>
      <c r="G16" s="22">
        <f>'Income Statement'!G13/'Balance Sheet'!G21</f>
        <v>0.3201191293992493</v>
      </c>
      <c r="H16" s="22">
        <f>'Income Statement'!H13/'Balance Sheet'!H21</f>
        <v>0.35846974961809031</v>
      </c>
      <c r="I16" s="22">
        <f>'Income Statement'!I13/'Balance Sheet'!I21</f>
        <v>0.44644526719424349</v>
      </c>
      <c r="J16" s="22">
        <f>'Income Statement'!J13/'Balance Sheet'!J21</f>
        <v>0.44041667452726369</v>
      </c>
      <c r="K16" s="22">
        <f>'Income Statement'!K13/'Balance Sheet'!K21</f>
        <v>0.44190196681561383</v>
      </c>
      <c r="L16" s="22">
        <f>'Income Statement'!L13/'Balance Sheet'!L21</f>
        <v>0.57252383247456484</v>
      </c>
      <c r="M16" s="9"/>
      <c r="N16" s="9"/>
      <c r="O16" s="9"/>
      <c r="P16" s="9"/>
      <c r="Q16" s="9"/>
      <c r="R16" s="22">
        <f>'Income Statement'!R13/'Balance Sheet'!R21</f>
        <v>0.10804715781489552</v>
      </c>
      <c r="S16" s="22">
        <f>'Income Statement'!S13/'Balance Sheet'!S21</f>
        <v>0.1196397353887719</v>
      </c>
      <c r="T16" s="22">
        <f>'Income Statement'!T13/'Balance Sheet'!T21</f>
        <v>0.11797796595629956</v>
      </c>
      <c r="U16" s="22">
        <f>'Income Statement'!U13/'Balance Sheet'!U21</f>
        <v>0.10124438854437003</v>
      </c>
      <c r="V16" s="22">
        <f>'Income Statement'!V13/'Balance Sheet'!V21</f>
        <v>0.11384350018817919</v>
      </c>
      <c r="W16" s="22">
        <f>'Income Statement'!W13/'Balance Sheet'!W21</f>
        <v>0.11796608698063681</v>
      </c>
      <c r="X16" s="22">
        <f>'Income Statement'!X13/'Balance Sheet'!X21</f>
        <v>0.12603155875485114</v>
      </c>
      <c r="Y16" s="22">
        <f>'Income Statement'!Y13/'Balance Sheet'!Y21</f>
        <v>0.13340602471630855</v>
      </c>
      <c r="Z16" s="22">
        <f>'Income Statement'!Z13/'Balance Sheet'!Z21</f>
        <v>0.14695132245579323</v>
      </c>
    </row>
    <row r="17" spans="1:26" ht="8" customHeight="1">
      <c r="M17" s="9"/>
      <c r="N17" s="9"/>
      <c r="O17" s="9"/>
      <c r="P17" s="9"/>
      <c r="Q17" s="9"/>
    </row>
    <row r="18" spans="1:26" ht="20" customHeight="1">
      <c r="A18" s="10" t="s">
        <v>219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9"/>
      <c r="N18" s="9"/>
      <c r="O18" s="9"/>
      <c r="P18" s="9"/>
      <c r="Q18" s="9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 t="s">
        <v>220</v>
      </c>
      <c r="C19" s="15">
        <f>'Balance Sheet'!C39/'Balance Sheet'!C21</f>
        <v>0.82795455746171331</v>
      </c>
      <c r="D19" s="15">
        <f>'Balance Sheet'!D39/'Balance Sheet'!D21</f>
        <v>0.71343113796933832</v>
      </c>
      <c r="E19" s="15">
        <f>'Balance Sheet'!E39/'Balance Sheet'!E21</f>
        <v>0.72645495100746993</v>
      </c>
      <c r="F19" s="15">
        <f>'Balance Sheet'!F39/'Balance Sheet'!F21</f>
        <v>0.7005799940123103</v>
      </c>
      <c r="G19" s="15">
        <f>'Balance Sheet'!G39/'Balance Sheet'!G21</f>
        <v>0.6653734422409765</v>
      </c>
      <c r="H19" s="15">
        <f>'Balance Sheet'!H39/'Balance Sheet'!H21</f>
        <v>0.64037183868521597</v>
      </c>
      <c r="I19" s="15">
        <f>'Balance Sheet'!I39/'Balance Sheet'!I21</f>
        <v>0.59148532857830416</v>
      </c>
      <c r="J19" s="15">
        <f>'Balance Sheet'!J39/'Balance Sheet'!J21</f>
        <v>0.60312429535362355</v>
      </c>
      <c r="K19" s="15">
        <f>'Balance Sheet'!K39/'Balance Sheet'!K21</f>
        <v>0.53552994580498536</v>
      </c>
      <c r="L19" s="15">
        <f>'Balance Sheet'!L39/'Balance Sheet'!L21</f>
        <v>0.46321770033209853</v>
      </c>
      <c r="M19" s="9"/>
      <c r="N19" s="9"/>
      <c r="O19" s="9"/>
      <c r="P19" s="9"/>
      <c r="Q19" s="9"/>
      <c r="R19" s="15">
        <f>'Balance Sheet'!R39/'Balance Sheet'!R21</f>
        <v>0.62807401761932324</v>
      </c>
      <c r="S19" s="15">
        <f>'Balance Sheet'!S39/'Balance Sheet'!S21</f>
        <v>0.62383934602089874</v>
      </c>
      <c r="T19" s="15">
        <f>'Balance Sheet'!T39/'Balance Sheet'!T21</f>
        <v>0.63007365105819779</v>
      </c>
      <c r="U19" s="15">
        <f>'Balance Sheet'!U39/'Balance Sheet'!U21</f>
        <v>0.48832382060748714</v>
      </c>
      <c r="V19" s="15">
        <f>'Balance Sheet'!V39/'Balance Sheet'!V21</f>
        <v>0.49895449445471096</v>
      </c>
      <c r="W19" s="15">
        <f>'Balance Sheet'!W39/'Balance Sheet'!W21</f>
        <v>0.54764313397808984</v>
      </c>
      <c r="X19" s="15">
        <f>'Balance Sheet'!X39/'Balance Sheet'!X21</f>
        <v>0.58098737899869324</v>
      </c>
      <c r="Y19" s="15">
        <f>'Balance Sheet'!Y39/'Balance Sheet'!Y21</f>
        <v>0.56120397734555094</v>
      </c>
      <c r="Z19" s="15">
        <f>'Balance Sheet'!Z39/'Balance Sheet'!Z21</f>
        <v>0.51955677258620059</v>
      </c>
    </row>
    <row r="20" spans="1:26">
      <c r="A20" s="5" t="s">
        <v>221</v>
      </c>
      <c r="C20" s="15">
        <f>'Balance Sheet'!C30/'Balance Sheet'!C21</f>
        <v>0</v>
      </c>
      <c r="D20" s="15">
        <f>'Balance Sheet'!D30/'Balance Sheet'!D21</f>
        <v>0.15399359958171688</v>
      </c>
      <c r="E20" s="15">
        <f>'Balance Sheet'!E30/'Balance Sheet'!E21</f>
        <v>0.14643627971497436</v>
      </c>
      <c r="F20" s="15">
        <f>'Balance Sheet'!F30/'Balance Sheet'!F21</f>
        <v>0.13963157102431781</v>
      </c>
      <c r="G20" s="15">
        <f>'Balance Sheet'!G30/'Balance Sheet'!G21</f>
        <v>0.14808266701696279</v>
      </c>
      <c r="H20" s="15">
        <f>'Balance Sheet'!H30/'Balance Sheet'!H21</f>
        <v>0.15802041292568653</v>
      </c>
      <c r="I20" s="15">
        <f>'Balance Sheet'!I30/'Balance Sheet'!I21</f>
        <v>0.19585450478527414</v>
      </c>
      <c r="J20" s="15">
        <f>'Balance Sheet'!J30/'Balance Sheet'!J21</f>
        <v>0</v>
      </c>
      <c r="K20" s="15">
        <f>'Balance Sheet'!K30/'Balance Sheet'!K21</f>
        <v>0.24790277751746628</v>
      </c>
      <c r="L20" s="15">
        <f>'Balance Sheet'!L30/'Balance Sheet'!L21</f>
        <v>0.26313861446844444</v>
      </c>
      <c r="M20" s="9"/>
      <c r="N20" s="9"/>
      <c r="O20" s="9"/>
      <c r="P20" s="9"/>
      <c r="Q20" s="9"/>
      <c r="R20" s="15">
        <f>'Balance Sheet'!R30/'Balance Sheet'!R21</f>
        <v>0.2071273293300625</v>
      </c>
      <c r="S20" s="15">
        <f>'Balance Sheet'!S30/'Balance Sheet'!S21</f>
        <v>0.1976801819698836</v>
      </c>
      <c r="T20" s="15">
        <f>'Balance Sheet'!T30/'Balance Sheet'!T21</f>
        <v>0.19532456710089338</v>
      </c>
      <c r="U20" s="15">
        <f>'Balance Sheet'!U30/'Balance Sheet'!U21</f>
        <v>0.25872098284859574</v>
      </c>
      <c r="V20" s="15">
        <f>'Balance Sheet'!V30/'Balance Sheet'!V21</f>
        <v>0.26460237164782452</v>
      </c>
      <c r="W20" s="15">
        <f>'Balance Sheet'!W30/'Balance Sheet'!W21</f>
        <v>0.27077040807919067</v>
      </c>
      <c r="X20" s="15">
        <f>'Balance Sheet'!X30/'Balance Sheet'!X21</f>
        <v>0.25591447226588859</v>
      </c>
      <c r="Y20" s="15">
        <f>'Balance Sheet'!Y30/'Balance Sheet'!Y21</f>
        <v>0.25125819867780935</v>
      </c>
      <c r="Z20" s="15">
        <f>'Balance Sheet'!Z30/'Balance Sheet'!Z21</f>
        <v>0.26712849666210675</v>
      </c>
    </row>
    <row r="21" spans="1:26" ht="8" customHeight="1">
      <c r="M21" s="9"/>
      <c r="N21" s="9"/>
      <c r="O21" s="9"/>
      <c r="P21" s="9"/>
      <c r="Q21" s="9"/>
    </row>
    <row r="22" spans="1:26" ht="20" customHeight="1">
      <c r="A22" s="10" t="s">
        <v>222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9"/>
      <c r="N22" s="9"/>
      <c r="O22" s="9"/>
      <c r="P22" s="9"/>
      <c r="Q22" s="9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 t="s">
        <v>223</v>
      </c>
      <c r="C23" s="22">
        <f>'Balance Sheet'!C12/'Balance Sheet'!C27</f>
        <v>4.1514277332290241</v>
      </c>
      <c r="D23" s="22">
        <f>'Balance Sheet'!D12/'Balance Sheet'!D27</f>
        <v>5.1330046985811881</v>
      </c>
      <c r="E23" s="22">
        <f>'Balance Sheet'!E12/'Balance Sheet'!E27</f>
        <v>5.7474598746297447</v>
      </c>
      <c r="F23" s="22">
        <f>'Balance Sheet'!F12/'Balance Sheet'!F27</f>
        <v>5.9646089219264828</v>
      </c>
      <c r="G23" s="22">
        <f>'Balance Sheet'!G12/'Balance Sheet'!G27</f>
        <v>4.5128931718135021</v>
      </c>
      <c r="H23" s="22">
        <f>'Balance Sheet'!H12/'Balance Sheet'!H27</f>
        <v>3.7115146451448515</v>
      </c>
      <c r="I23" s="22">
        <f>'Balance Sheet'!I12/'Balance Sheet'!I27</f>
        <v>2.9459359536624508</v>
      </c>
      <c r="J23" s="22">
        <f>'Balance Sheet'!J12/'Balance Sheet'!J27</f>
        <v>1.5466569567890549</v>
      </c>
      <c r="K23" s="22">
        <f>'Balance Sheet'!K12/'Balance Sheet'!K27</f>
        <v>2.7669043065186987</v>
      </c>
      <c r="L23" s="22">
        <f>'Balance Sheet'!L12/'Balance Sheet'!L27</f>
        <v>1.786278944825936</v>
      </c>
      <c r="M23" s="9"/>
      <c r="N23" s="9"/>
      <c r="O23" s="9"/>
      <c r="P23" s="9"/>
      <c r="Q23" s="9"/>
      <c r="R23" s="22">
        <f>'Balance Sheet'!R12/'Balance Sheet'!R27</f>
        <v>3.7229080514530728</v>
      </c>
      <c r="S23" s="22">
        <f>'Balance Sheet'!S12/'Balance Sheet'!S27</f>
        <v>3.4539657934843491</v>
      </c>
      <c r="T23" s="22">
        <f>'Balance Sheet'!T12/'Balance Sheet'!T27</f>
        <v>1.5344782330481961</v>
      </c>
      <c r="U23" s="22">
        <f>'Balance Sheet'!U12/'Balance Sheet'!U27</f>
        <v>2.6612378644327306</v>
      </c>
      <c r="V23" s="22">
        <f>'Balance Sheet'!V12/'Balance Sheet'!V27</f>
        <v>2.6457423825045061</v>
      </c>
      <c r="W23" s="22">
        <f>'Balance Sheet'!W12/'Balance Sheet'!W27</f>
        <v>3.2345989544583333</v>
      </c>
      <c r="X23" s="22">
        <f>'Balance Sheet'!X12/'Balance Sheet'!X27</f>
        <v>3.4808160920129891</v>
      </c>
      <c r="Y23" s="22">
        <f>'Balance Sheet'!Y12/'Balance Sheet'!Y27</f>
        <v>2.9329800885871591</v>
      </c>
      <c r="Z23" s="22">
        <f>'Balance Sheet'!Z12/'Balance Sheet'!Z27</f>
        <v>2.4446321717705035</v>
      </c>
    </row>
    <row r="24" spans="1:26">
      <c r="A24" s="5" t="s">
        <v>224</v>
      </c>
      <c r="C24" s="22">
        <f>('Balance Sheet'!C7+'Balance Sheet'!C8)/'Balance Sheet'!C27</f>
        <v>3.5033431938196755</v>
      </c>
      <c r="D24" s="22">
        <f>('Balance Sheet'!D7+'Balance Sheet'!D8)/'Balance Sheet'!D27</f>
        <v>4.4808592651066315</v>
      </c>
      <c r="E24" s="22">
        <f>('Balance Sheet'!E7+'Balance Sheet'!E8)/'Balance Sheet'!E27</f>
        <v>4.8401744506440725</v>
      </c>
      <c r="F24" s="22">
        <f>('Balance Sheet'!F7+'Balance Sheet'!F8)/'Balance Sheet'!F27</f>
        <v>5.0333306690112698</v>
      </c>
      <c r="G24" s="22">
        <f>('Balance Sheet'!G7+'Balance Sheet'!G8)/'Balance Sheet'!G27</f>
        <v>3.7275218604527263</v>
      </c>
      <c r="H24" s="22">
        <f>('Balance Sheet'!H7+'Balance Sheet'!H8)/'Balance Sheet'!H27</f>
        <v>2.8921953792094053</v>
      </c>
      <c r="I24" s="22">
        <f>('Balance Sheet'!I7+'Balance Sheet'!I8)/'Balance Sheet'!I27</f>
        <v>2.1397493978744095</v>
      </c>
      <c r="J24" s="22">
        <f>('Balance Sheet'!J7+'Balance Sheet'!J8)/'Balance Sheet'!J27</f>
        <v>1.198097023166415</v>
      </c>
      <c r="K24" s="22">
        <f>('Balance Sheet'!K7+'Balance Sheet'!K8)/'Balance Sheet'!K27</f>
        <v>2.1098362340813726</v>
      </c>
      <c r="L24" s="22">
        <f>('Balance Sheet'!L7+'Balance Sheet'!L8)/'Balance Sheet'!L27</f>
        <v>1.1332812638732757</v>
      </c>
      <c r="M24" s="9"/>
      <c r="N24" s="9"/>
      <c r="O24" s="9"/>
      <c r="P24" s="9"/>
      <c r="Q24" s="9"/>
      <c r="R24" s="22">
        <f>('Balance Sheet'!R7+'Balance Sheet'!R8)/'Balance Sheet'!R27</f>
        <v>2.7172825154835638</v>
      </c>
      <c r="S24" s="22">
        <f>('Balance Sheet'!S7+'Balance Sheet'!S8)/'Balance Sheet'!S27</f>
        <v>2.5323470411233702</v>
      </c>
      <c r="T24" s="22">
        <f>('Balance Sheet'!T7+'Balance Sheet'!T8)/'Balance Sheet'!T27</f>
        <v>1.1099364790644815</v>
      </c>
      <c r="U24" s="22">
        <f>('Balance Sheet'!U7+'Balance Sheet'!U8)/'Balance Sheet'!U27</f>
        <v>2.1753064266290876</v>
      </c>
      <c r="V24" s="22">
        <f>('Balance Sheet'!V7+'Balance Sheet'!V8)/'Balance Sheet'!V27</f>
        <v>2.0923586089378374</v>
      </c>
      <c r="W24" s="22">
        <f>('Balance Sheet'!W7+'Balance Sheet'!W8)/'Balance Sheet'!W27</f>
        <v>2.2675665288706477</v>
      </c>
      <c r="X24" s="22">
        <f>('Balance Sheet'!X7+'Balance Sheet'!X8)/'Balance Sheet'!X27</f>
        <v>2.5955578697884869</v>
      </c>
      <c r="Y24" s="22">
        <f>('Balance Sheet'!Y7+'Balance Sheet'!Y8)/'Balance Sheet'!Y27</f>
        <v>2.0026166546473401</v>
      </c>
      <c r="Z24" s="22">
        <f>('Balance Sheet'!Z7+'Balance Sheet'!Z8)/'Balance Sheet'!Z27</f>
        <v>1.5075858601096193</v>
      </c>
    </row>
    <row r="25" spans="1:26" ht="8" customHeight="1">
      <c r="M25" s="9"/>
      <c r="N25" s="9"/>
      <c r="O25" s="9"/>
      <c r="P25" s="9"/>
      <c r="Q25" s="9"/>
    </row>
    <row r="26" spans="1:26" ht="20" customHeight="1">
      <c r="A26" s="10" t="s">
        <v>225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9"/>
      <c r="N26" s="9"/>
      <c r="O26" s="9"/>
      <c r="P26" s="9"/>
      <c r="Q26" s="9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 t="s">
        <v>226</v>
      </c>
      <c r="C27" s="22">
        <f>'Income Statement'!C38/'Income Statement'!C42*-1</f>
        <v>1681.6153846153845</v>
      </c>
      <c r="D27" s="22">
        <f>'Income Statement'!D38/'Income Statement'!D42*-1</f>
        <v>-2.4253337472834522</v>
      </c>
      <c r="E27" s="22">
        <f>'Income Statement'!E38/'Income Statement'!E42*-1</f>
        <v>8.4862120687665854E-2</v>
      </c>
      <c r="F27" s="22">
        <f>'Income Statement'!F38/'Income Statement'!F42*-1</f>
        <v>-1.3310671496238506</v>
      </c>
      <c r="G27" s="22">
        <f>'Income Statement'!G38/'Income Statement'!G42*-1</f>
        <v>-5.6428838651060875</v>
      </c>
      <c r="H27" s="22">
        <f>'Income Statement'!H38/'Income Statement'!H42*-1</f>
        <v>-10.256453769412733</v>
      </c>
      <c r="I27" s="22">
        <f>'Income Statement'!I38/'Income Statement'!I42*-1</f>
        <v>-22.258784991066111</v>
      </c>
      <c r="J27" s="22">
        <f>'Income Statement'!J38/'Income Statement'!J42*-1</f>
        <v>-7.8024636390620365</v>
      </c>
      <c r="K27" s="22">
        <f>'Income Statement'!K38/'Income Statement'!K42*-1</f>
        <v>3.1086216032094467</v>
      </c>
      <c r="L27" s="22">
        <f>'Income Statement'!L38/'Income Statement'!L42*-1</f>
        <v>11.24842389672771</v>
      </c>
      <c r="M27" s="9"/>
      <c r="N27" s="9"/>
      <c r="O27" s="9"/>
      <c r="P27" s="9"/>
      <c r="Q27" s="9"/>
      <c r="R27" s="22">
        <f>'Income Statement'!R38/'Income Statement'!R42*-1</f>
        <v>-20.071895424836601</v>
      </c>
      <c r="S27" s="22">
        <f>'Income Statement'!S38/'Income Statement'!S42*-1</f>
        <v>-7.33451536643026</v>
      </c>
      <c r="T27" s="22">
        <f>'Income Statement'!T38/'Income Statement'!T42*-1</f>
        <v>-9.9027283511269282</v>
      </c>
      <c r="U27" s="22">
        <f>'Income Statement'!U38/'Income Statement'!U42*-1</f>
        <v>-2.2890397672162948</v>
      </c>
      <c r="V27" s="22">
        <f>'Income Statement'!V38/'Income Statement'!V42*-1</f>
        <v>2.8025340664594789</v>
      </c>
      <c r="W27" s="22">
        <f>'Income Statement'!W38/'Income Statement'!W42*-1</f>
        <v>1.2181025081788441</v>
      </c>
      <c r="X27" s="22">
        <f>'Income Statement'!X38/'Income Statement'!X42*-1</f>
        <v>5.579106280193237</v>
      </c>
      <c r="Y27" s="22">
        <f>'Income Statement'!Y38/'Income Statement'!Y42*-1</f>
        <v>11.529994001199761</v>
      </c>
      <c r="Z27" s="22">
        <f>'Income Statement'!Z38/'Income Statement'!Z42*-1</f>
        <v>9.2335744424352022</v>
      </c>
    </row>
    <row r="28" spans="1:26" ht="8" customHeight="1">
      <c r="M28" s="9"/>
      <c r="N28" s="9"/>
      <c r="O28" s="9"/>
      <c r="P28" s="9"/>
      <c r="Q28" s="9"/>
    </row>
    <row r="29" spans="1:26" ht="20" customHeight="1">
      <c r="A29" s="10" t="s">
        <v>227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9"/>
      <c r="N29" s="9"/>
      <c r="O29" s="9"/>
      <c r="P29" s="9"/>
      <c r="Q29" s="9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">
        <v>228</v>
      </c>
      <c r="C30" s="15">
        <f>'Cash Flow Statement'!C33/'Income Statement'!C13</f>
        <v>0.27232583561810519</v>
      </c>
      <c r="D30" s="15">
        <f>'Cash Flow Statement'!D33/'Income Statement'!D13</f>
        <v>0.2151477600486483</v>
      </c>
      <c r="E30" s="15">
        <f>'Cash Flow Statement'!E33/'Income Statement'!E13</f>
        <v>0.16139505277173202</v>
      </c>
      <c r="F30" s="15">
        <f>'Cash Flow Statement'!F33/'Income Statement'!F13</f>
        <v>0.15231703324904655</v>
      </c>
      <c r="G30" s="15">
        <f>'Cash Flow Statement'!G33/'Income Statement'!G13</f>
        <v>0.15013043764892023</v>
      </c>
      <c r="H30" s="15">
        <f>'Cash Flow Statement'!H33/'Income Statement'!H13</f>
        <v>-4.6688833812855796E-2</v>
      </c>
      <c r="I30" s="15">
        <f>'Cash Flow Statement'!I33/'Income Statement'!I13</f>
        <v>4.2409434677099567E-2</v>
      </c>
      <c r="J30" s="15">
        <f>'Cash Flow Statement'!J33/'Income Statement'!J13</f>
        <v>0.19964161032619171</v>
      </c>
      <c r="K30" s="15">
        <f>'Cash Flow Statement'!K33/'Income Statement'!K13</f>
        <v>0.25020977846230102</v>
      </c>
      <c r="L30" s="15">
        <f>'Cash Flow Statement'!L33/'Income Statement'!L13</f>
        <v>0.26414922971499216</v>
      </c>
      <c r="M30" s="9"/>
      <c r="N30" s="9"/>
      <c r="O30" s="9"/>
      <c r="P30" s="9"/>
      <c r="Q30" s="9"/>
      <c r="R30" s="15">
        <f>'Cash Flow Statement'!R33/'Income Statement'!R13</f>
        <v>-0.34754371838944681</v>
      </c>
      <c r="S30" s="15">
        <f>'Cash Flow Statement'!S33/'Income Statement'!S13</f>
        <v>-1.1756061719324026E-2</v>
      </c>
      <c r="T30" s="15">
        <f>'Cash Flow Statement'!T33/'Income Statement'!T13</f>
        <v>8.1893650437514023E-3</v>
      </c>
      <c r="U30" s="15">
        <f>'Cash Flow Statement'!U33/'Income Statement'!U13</f>
        <v>-0.23699034997965013</v>
      </c>
      <c r="V30" s="15">
        <f>'Cash Flow Statement'!V33/'Income Statement'!V13</f>
        <v>8.182257841647092E-2</v>
      </c>
      <c r="W30" s="15">
        <f>'Cash Flow Statement'!W33/'Income Statement'!W13</f>
        <v>0.19091813511045697</v>
      </c>
      <c r="X30" s="15">
        <f>'Cash Flow Statement'!X33/'Income Statement'!X13</f>
        <v>-0.20261604923054724</v>
      </c>
      <c r="Y30" s="15">
        <f>'Cash Flow Statement'!Y33/'Income Statement'!Y13</f>
        <v>0.12433478605939932</v>
      </c>
      <c r="Z30" s="15">
        <f>'Cash Flow Statement'!Z33/'Income Statement'!Z13</f>
        <v>0.28407611511216213</v>
      </c>
    </row>
    <row r="31" spans="1:26">
      <c r="A31" s="5" t="s">
        <v>229</v>
      </c>
      <c r="C31" s="15">
        <f>('Cash Flow Statement'!C37+'Cash Flow Statement'!C38)/'Income Statement'!C13*-1</f>
        <v>1.3090418088720456E-2</v>
      </c>
      <c r="D31" s="15">
        <f>('Cash Flow Statement'!D37+'Cash Flow Statement'!D38)/'Income Statement'!D13*-1</f>
        <v>1.8397822467369943E-2</v>
      </c>
      <c r="E31" s="15">
        <f>('Cash Flow Statement'!E37+'Cash Flow Statement'!E38)/'Income Statement'!E13*-1</f>
        <v>6.7902778820148044E-2</v>
      </c>
      <c r="F31" s="15">
        <f>('Cash Flow Statement'!F37+'Cash Flow Statement'!F38)/'Income Statement'!F13*-1</f>
        <v>3.456790788716798E-2</v>
      </c>
      <c r="G31" s="15">
        <f>('Cash Flow Statement'!G37+'Cash Flow Statement'!G38)/'Income Statement'!G13*-1</f>
        <v>3.8820504610052646E-2</v>
      </c>
      <c r="H31" s="15">
        <f>('Cash Flow Statement'!H37+'Cash Flow Statement'!H38)/'Income Statement'!H13*-1</f>
        <v>2.6797470877932203E-2</v>
      </c>
      <c r="I31" s="15">
        <f>('Cash Flow Statement'!I37+'Cash Flow Statement'!I38)/'Income Statement'!I13*-1</f>
        <v>1.924910061512734E-2</v>
      </c>
      <c r="J31" s="15">
        <f>('Cash Flow Statement'!J37+'Cash Flow Statement'!J38)/'Income Statement'!J13*-1</f>
        <v>1.889551931316465E-2</v>
      </c>
      <c r="K31" s="15">
        <f>('Cash Flow Statement'!K37+'Cash Flow Statement'!K38)/'Income Statement'!K13*-1</f>
        <v>1.7010975010374574E-2</v>
      </c>
      <c r="L31" s="15">
        <f>('Cash Flow Statement'!L37+'Cash Flow Statement'!L38)/'Income Statement'!L13*-1</f>
        <v>2.1051768276688518E-2</v>
      </c>
      <c r="M31" s="9"/>
      <c r="N31" s="9"/>
      <c r="O31" s="9"/>
      <c r="P31" s="9"/>
      <c r="Q31" s="9"/>
      <c r="R31" s="15">
        <f>('Cash Flow Statement'!R37+'Cash Flow Statement'!R38)/'Income Statement'!R13*-1</f>
        <v>2.2612544417497962E-2</v>
      </c>
      <c r="S31" s="15">
        <f>('Cash Flow Statement'!S37+'Cash Flow Statement'!S38)/'Income Statement'!S13*-1</f>
        <v>4.1710772653872817E-2</v>
      </c>
      <c r="T31" s="15">
        <f>('Cash Flow Statement'!T37+'Cash Flow Statement'!T38)/'Income Statement'!T13*-1</f>
        <v>5.8572034003938872E-2</v>
      </c>
      <c r="U31" s="15">
        <f>('Cash Flow Statement'!U37+'Cash Flow Statement'!U38)/'Income Statement'!U13*-1</f>
        <v>1.9307648126100699E-2</v>
      </c>
      <c r="V31" s="15">
        <f>('Cash Flow Statement'!V37+'Cash Flow Statement'!V38)/'Income Statement'!V13*-1</f>
        <v>3.0361337570816636E-2</v>
      </c>
      <c r="W31" s="15">
        <f>('Cash Flow Statement'!W37+'Cash Flow Statement'!W38)/'Income Statement'!W13*-1</f>
        <v>4.5341183204546387E-2</v>
      </c>
      <c r="X31" s="15">
        <f>('Cash Flow Statement'!X37+'Cash Flow Statement'!X38)/'Income Statement'!X13*-1</f>
        <v>2.9960407528882661E-2</v>
      </c>
      <c r="Y31" s="15">
        <f>('Cash Flow Statement'!Y37+'Cash Flow Statement'!Y38)/'Income Statement'!Y13*-1</f>
        <v>4.5542265974185106E-2</v>
      </c>
      <c r="Z31" s="15">
        <f>('Cash Flow Statement'!Z37+'Cash Flow Statement'!Z38)/'Income Statement'!Z13*-1</f>
        <v>6.4081537334145774E-2</v>
      </c>
    </row>
    <row r="32" spans="1:26">
      <c r="A32" s="5" t="s">
        <v>76</v>
      </c>
      <c r="C32" s="15">
        <f>('Cash Flow Statement'!C33+'Cash Flow Statement'!C37+'Cash Flow Statement'!C38)/'Income Statement'!C13</f>
        <v>0.25923541752938473</v>
      </c>
      <c r="D32" s="15">
        <f>('Cash Flow Statement'!D33+'Cash Flow Statement'!D37+'Cash Flow Statement'!D38)/'Income Statement'!D13</f>
        <v>0.19674993758127837</v>
      </c>
      <c r="E32" s="15">
        <f>('Cash Flow Statement'!E33+'Cash Flow Statement'!E37+'Cash Flow Statement'!E38)/'Income Statement'!E13</f>
        <v>9.3492273951583979E-2</v>
      </c>
      <c r="F32" s="15">
        <f>('Cash Flow Statement'!F33+'Cash Flow Statement'!F37+'Cash Flow Statement'!F38)/'Income Statement'!F13</f>
        <v>0.11774912536187858</v>
      </c>
      <c r="G32" s="15">
        <f>('Cash Flow Statement'!G33+'Cash Flow Statement'!G37+'Cash Flow Statement'!G38)/'Income Statement'!G13</f>
        <v>0.11130993303886759</v>
      </c>
      <c r="H32" s="15">
        <f>('Cash Flow Statement'!H33+'Cash Flow Statement'!H37+'Cash Flow Statement'!H38)/'Income Statement'!H13</f>
        <v>-7.3486304690787999E-2</v>
      </c>
      <c r="I32" s="15">
        <f>('Cash Flow Statement'!I33+'Cash Flow Statement'!I37+'Cash Flow Statement'!I38)/'Income Statement'!I13</f>
        <v>2.3160334061972231E-2</v>
      </c>
      <c r="J32" s="15">
        <f>('Cash Flow Statement'!J33+'Cash Flow Statement'!J37+'Cash Flow Statement'!J38)/'Income Statement'!J13</f>
        <v>0.18074609101302708</v>
      </c>
      <c r="K32" s="15">
        <f>('Cash Flow Statement'!K33+'Cash Flow Statement'!K37+'Cash Flow Statement'!K38)/'Income Statement'!K13</f>
        <v>0.23319880345192642</v>
      </c>
      <c r="L32" s="15">
        <f>('Cash Flow Statement'!L33+'Cash Flow Statement'!L37+'Cash Flow Statement'!L38)/'Income Statement'!L13</f>
        <v>0.24309746143830366</v>
      </c>
      <c r="M32" s="9"/>
      <c r="N32" s="9"/>
      <c r="O32" s="9"/>
      <c r="P32" s="9"/>
      <c r="Q32" s="9"/>
      <c r="R32" s="15">
        <f>('Cash Flow Statement'!R33+'Cash Flow Statement'!R37+'Cash Flow Statement'!R38)/'Income Statement'!R13</f>
        <v>-0.3701562628069448</v>
      </c>
      <c r="S32" s="15">
        <f>('Cash Flow Statement'!S33+'Cash Flow Statement'!S37+'Cash Flow Statement'!S38)/'Income Statement'!S13</f>
        <v>-5.3466834373196846E-2</v>
      </c>
      <c r="T32" s="15">
        <f>('Cash Flow Statement'!T33+'Cash Flow Statement'!T37+'Cash Flow Statement'!T38)/'Income Statement'!T13</f>
        <v>-5.038266896018747E-2</v>
      </c>
      <c r="U32" s="15">
        <f>('Cash Flow Statement'!U33+'Cash Flow Statement'!U37+'Cash Flow Statement'!U38)/'Income Statement'!U13</f>
        <v>-0.25629799810575082</v>
      </c>
      <c r="V32" s="15">
        <f>('Cash Flow Statement'!V33+'Cash Flow Statement'!V37+'Cash Flow Statement'!V38)/'Income Statement'!V13</f>
        <v>5.1461240845654274E-2</v>
      </c>
      <c r="W32" s="15">
        <f>('Cash Flow Statement'!W33+'Cash Flow Statement'!W37+'Cash Flow Statement'!W38)/'Income Statement'!W13</f>
        <v>0.14557695190591058</v>
      </c>
      <c r="X32" s="15">
        <f>('Cash Flow Statement'!X33+'Cash Flow Statement'!X37+'Cash Flow Statement'!X38)/'Income Statement'!X13</f>
        <v>-0.23257645675942989</v>
      </c>
      <c r="Y32" s="15">
        <f>('Cash Flow Statement'!Y33+'Cash Flow Statement'!Y37+'Cash Flow Statement'!Y38)/'Income Statement'!Y13</f>
        <v>7.8792520085214215E-2</v>
      </c>
      <c r="Z32" s="15">
        <f>('Cash Flow Statement'!Z33+'Cash Flow Statement'!Z37+'Cash Flow Statement'!Z38)/'Income Statement'!Z13</f>
        <v>0.21999457777801637</v>
      </c>
    </row>
    <row r="33" spans="1:26">
      <c r="A33" s="5" t="s">
        <v>77</v>
      </c>
      <c r="C33" s="15">
        <f>('Cash Flow Statement'!C33+'Cash Flow Statement'!C37+'Cash Flow Statement'!C38)/'Income Statement'!C46</f>
        <v>7.3090416113324483</v>
      </c>
      <c r="D33" s="15">
        <f>('Cash Flow Statement'!D33+'Cash Flow Statement'!D37+'Cash Flow Statement'!D38)/'Income Statement'!D46</f>
        <v>-4.8030512657517859</v>
      </c>
      <c r="E33" s="15">
        <f>('Cash Flow Statement'!E33+'Cash Flow Statement'!E37+'Cash Flow Statement'!E38)/'Income Statement'!E46</f>
        <v>3.2446941925525756</v>
      </c>
      <c r="F33" s="15">
        <f>('Cash Flow Statement'!F33+'Cash Flow Statement'!F37+'Cash Flow Statement'!F38)/'Income Statement'!F46</f>
        <v>-3.2136921832487682</v>
      </c>
      <c r="G33" s="15">
        <f>('Cash Flow Statement'!G33+'Cash Flow Statement'!G37+'Cash Flow Statement'!G38)/'Income Statement'!G46</f>
        <v>-1.2439743184927903</v>
      </c>
      <c r="H33" s="15">
        <f>('Cash Flow Statement'!H33+'Cash Flow Statement'!H37+'Cash Flow Statement'!H38)/'Income Statement'!H46</f>
        <v>0.33096308284053183</v>
      </c>
      <c r="I33" s="15">
        <f>('Cash Flow Statement'!I33+'Cash Flow Statement'!I37+'Cash Flow Statement'!I38)/'Income Statement'!I46</f>
        <v>-0.18745697554870144</v>
      </c>
      <c r="J33" s="15">
        <f>('Cash Flow Statement'!J33+'Cash Flow Statement'!J37+'Cash Flow Statement'!J38)/'Income Statement'!J46</f>
        <v>-29.038341799115191</v>
      </c>
      <c r="K33" s="15">
        <f>('Cash Flow Statement'!K33+'Cash Flow Statement'!K37+'Cash Flow Statement'!K38)/'Income Statement'!K46</f>
        <v>4.0171336886138329</v>
      </c>
      <c r="L33" s="15">
        <f>('Cash Flow Statement'!L33+'Cash Flow Statement'!L37+'Cash Flow Statement'!L38)/'Income Statement'!L46</f>
        <v>2.5750235132787203</v>
      </c>
      <c r="M33" s="9"/>
      <c r="N33" s="9"/>
      <c r="O33" s="9"/>
      <c r="P33" s="9"/>
      <c r="Q33" s="9"/>
      <c r="R33" s="15">
        <f>('Cash Flow Statement'!R33+'Cash Flow Statement'!R37+'Cash Flow Statement'!R38)/'Income Statement'!R46</f>
        <v>2.8359868493960327</v>
      </c>
      <c r="S33" s="15">
        <f>('Cash Flow Statement'!S33+'Cash Flow Statement'!S37+'Cash Flow Statement'!S38)/'Income Statement'!S46</f>
        <v>-1.3296170124909672</v>
      </c>
      <c r="T33" s="15">
        <f>('Cash Flow Statement'!T33+'Cash Flow Statement'!T37+'Cash Flow Statement'!T38)/'Income Statement'!T46</f>
        <v>2.213581599123768</v>
      </c>
      <c r="U33" s="15">
        <f>('Cash Flow Statement'!U33+'Cash Flow Statement'!U37+'Cash Flow Statement'!U38)/'Income Statement'!U46</f>
        <v>-7.3729073202757416</v>
      </c>
      <c r="V33" s="15">
        <f>('Cash Flow Statement'!V33+'Cash Flow Statement'!V37+'Cash Flow Statement'!V38)/'Income Statement'!V46</f>
        <v>-0.39962979853528985</v>
      </c>
      <c r="W33" s="15">
        <f>('Cash Flow Statement'!W33+'Cash Flow Statement'!W37+'Cash Flow Statement'!W38)/'Income Statement'!W46</f>
        <v>0.92905133613098212</v>
      </c>
      <c r="X33" s="15">
        <f>('Cash Flow Statement'!X33+'Cash Flow Statement'!X37+'Cash Flow Statement'!X38)/'Income Statement'!X46</f>
        <v>-2.4710617094672287</v>
      </c>
      <c r="Y33" s="15">
        <f>('Cash Flow Statement'!Y33+'Cash Flow Statement'!Y37+'Cash Flow Statement'!Y38)/'Income Statement'!Y46</f>
        <v>0.47070370986524707</v>
      </c>
      <c r="Z33" s="15">
        <f>('Cash Flow Statement'!Z33+'Cash Flow Statement'!Z37+'Cash Flow Statement'!Z38)/'Income Statement'!Z46</f>
        <v>4.9758363183777545</v>
      </c>
    </row>
    <row r="34" spans="1:26">
      <c r="A34" s="5" t="s">
        <v>230</v>
      </c>
      <c r="C34" s="22">
        <f>'Cash Flow Statement'!C9/('Cash Flow Statement'!C37+'Cash Flow Statement'!C38)*-1</f>
        <v>2.8073463268365817</v>
      </c>
      <c r="D34" s="22">
        <f>'Cash Flow Statement'!D9/('Cash Flow Statement'!D37+'Cash Flow Statement'!D38)*-1</f>
        <v>2.9648655399217385</v>
      </c>
      <c r="E34" s="22">
        <f>'Cash Flow Statement'!E9/('Cash Flow Statement'!E37+'Cash Flow Statement'!E38)*-1</f>
        <v>0.81775385308144177</v>
      </c>
      <c r="F34" s="22">
        <f>'Cash Flow Statement'!F9/('Cash Flow Statement'!F37+'Cash Flow Statement'!F38)*-1</f>
        <v>1.6617692907248636</v>
      </c>
      <c r="G34" s="22">
        <f>'Cash Flow Statement'!G9/('Cash Flow Statement'!G37+'Cash Flow Statement'!G38)*-1</f>
        <v>1.2807583004089553</v>
      </c>
      <c r="H34" s="22">
        <f>'Cash Flow Statement'!H9/('Cash Flow Statement'!H37+'Cash Flow Statement'!H38)*-1</f>
        <v>1.5402277736958119</v>
      </c>
      <c r="I34" s="22">
        <f>'Cash Flow Statement'!I9/('Cash Flow Statement'!I37+'Cash Flow Statement'!I38)*-1</f>
        <v>1.4252596545590177</v>
      </c>
      <c r="J34" s="22">
        <f>'Cash Flow Statement'!J9/('Cash Flow Statement'!J37+'Cash Flow Statement'!J38)*-1</f>
        <v>1.2041345063960707</v>
      </c>
      <c r="K34" s="22">
        <f>'Cash Flow Statement'!K9/('Cash Flow Statement'!K37+'Cash Flow Statement'!K38)*-1</f>
        <v>1.1614764116352969</v>
      </c>
      <c r="L34" s="22">
        <f>'Cash Flow Statement'!L9/('Cash Flow Statement'!L37+'Cash Flow Statement'!L38)*-1</f>
        <v>0.89996458353456321</v>
      </c>
      <c r="M34" s="9"/>
      <c r="N34" s="9"/>
      <c r="O34" s="9"/>
      <c r="P34" s="9"/>
      <c r="Q34" s="9"/>
      <c r="R34" s="22">
        <f>'Cash Flow Statement'!R9/('Cash Flow Statement'!R37+'Cash Flow Statement'!R38)*-1</f>
        <v>1.1603411513859274</v>
      </c>
      <c r="S34" s="22">
        <f>'Cash Flow Statement'!S9/('Cash Flow Statement'!S37+'Cash Flow Statement'!S38)*-1</f>
        <v>1.0881767515923566</v>
      </c>
      <c r="T34" s="22">
        <f>'Cash Flow Statement'!T9/('Cash Flow Statement'!T37+'Cash Flow Statement'!T38)*-1</f>
        <v>1.1722352273533376</v>
      </c>
      <c r="U34" s="22">
        <f>'Cash Flow Statement'!U9/('Cash Flow Statement'!U37+'Cash Flow Statement'!U38)*-1</f>
        <v>1.1514972419227738</v>
      </c>
      <c r="V34" s="22">
        <f>'Cash Flow Statement'!V9/('Cash Flow Statement'!V37+'Cash Flow Statement'!V38)*-1</f>
        <v>1.3167595858459438</v>
      </c>
      <c r="W34" s="22">
        <f>'Cash Flow Statement'!W9/('Cash Flow Statement'!W37+'Cash Flow Statement'!W38)*-1</f>
        <v>1.31785392245266</v>
      </c>
      <c r="X34" s="22">
        <f>'Cash Flow Statement'!X9/('Cash Flow Statement'!X37+'Cash Flow Statement'!X38)*-1</f>
        <v>0.63837045956251259</v>
      </c>
      <c r="Y34" s="22">
        <f>'Cash Flow Statement'!Y9/('Cash Flow Statement'!Y37+'Cash Flow Statement'!Y38)*-1</f>
        <v>0.81949370184664305</v>
      </c>
      <c r="Z34" s="22">
        <f>'Cash Flow Statement'!Z9/('Cash Flow Statement'!Z37+'Cash Flow Statement'!Z38)*-1</f>
        <v>0.86423993632974494</v>
      </c>
    </row>
    <row r="35" spans="1:26" ht="8" customHeight="1">
      <c r="M35" s="9"/>
      <c r="N35" s="9"/>
      <c r="O35" s="9"/>
      <c r="P35" s="9"/>
      <c r="Q35" s="9"/>
    </row>
    <row r="36" spans="1:26" ht="20" customHeight="1">
      <c r="A36" s="10" t="s">
        <v>231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9"/>
      <c r="N36" s="9"/>
      <c r="O36" s="9"/>
      <c r="P36" s="9"/>
      <c r="Q36" s="9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">
        <v>232</v>
      </c>
      <c r="C37" s="22">
        <f>'Cash Flow Statement'!C33/'Income Statement'!C46</f>
        <v>7.6781208499335989</v>
      </c>
      <c r="D37" s="22">
        <f>'Cash Flow Statement'!D33/'Income Statement'!D46</f>
        <v>-5.2521781400740384</v>
      </c>
      <c r="E37" s="22">
        <f>'Cash Flow Statement'!E33/'Income Statement'!E46</f>
        <v>5.601292687632645</v>
      </c>
      <c r="F37" s="22">
        <f>'Cash Flow Statement'!F33/'Income Statement'!F46</f>
        <v>-4.1571439076402674</v>
      </c>
      <c r="G37" s="22">
        <f>'Cash Flow Statement'!G33/'Income Statement'!G46</f>
        <v>-1.6778233870118935</v>
      </c>
      <c r="H37" s="22">
        <f>'Cash Flow Statement'!H33/'Income Statement'!H46</f>
        <v>0.21027428767783807</v>
      </c>
      <c r="I37" s="22">
        <f>'Cash Flow Statement'!I33/'Income Statement'!I46</f>
        <v>-0.34325689508738993</v>
      </c>
      <c r="J37" s="22">
        <f>'Cash Flow Statement'!J33/'Income Statement'!J46</f>
        <v>-32.074061936752415</v>
      </c>
      <c r="K37" s="22">
        <f>'Cash Flow Statement'!K33/'Income Statement'!K46</f>
        <v>4.310168471720818</v>
      </c>
      <c r="L37" s="22">
        <f>'Cash Flow Statement'!L33/'Income Statement'!L46</f>
        <v>2.7980155510722775</v>
      </c>
      <c r="M37" s="9"/>
      <c r="N37" s="9"/>
      <c r="O37" s="9"/>
      <c r="P37" s="9"/>
      <c r="Q37" s="9"/>
      <c r="R37" s="22">
        <f>'Cash Flow Statement'!R33/'Income Statement'!R46</f>
        <v>2.6627387240958962</v>
      </c>
      <c r="S37" s="22">
        <f>'Cash Flow Statement'!S33/'Income Statement'!S46</f>
        <v>-0.29235057293279654</v>
      </c>
      <c r="T37" s="22">
        <f>'Cash Flow Statement'!T33/'Income Statement'!T46</f>
        <v>-0.35980284775465499</v>
      </c>
      <c r="U37" s="22">
        <f>'Cash Flow Statement'!U33/'Income Statement'!U46</f>
        <v>-6.8174855016960283</v>
      </c>
      <c r="V37" s="22">
        <f>'Cash Flow Statement'!V33/'Income Statement'!V46</f>
        <v>-0.635405209646699</v>
      </c>
      <c r="W37" s="22">
        <f>'Cash Flow Statement'!W33/'Income Statement'!W46</f>
        <v>1.2184122980583159</v>
      </c>
      <c r="X37" s="22">
        <f>'Cash Flow Statement'!X33/'Income Statement'!X46</f>
        <v>-2.1527405136067457</v>
      </c>
      <c r="Y37" s="22">
        <f>'Cash Flow Statement'!Y33/'Income Statement'!Y46</f>
        <v>0.74277158542671773</v>
      </c>
      <c r="Z37" s="22">
        <f>'Cash Flow Statement'!Z33/'Income Statement'!Z46</f>
        <v>6.425232226337199</v>
      </c>
    </row>
    <row r="38" spans="1:26">
      <c r="A38" s="5" t="s">
        <v>233</v>
      </c>
      <c r="C38" s="15">
        <f>('Income Statement'!C46-'Cash Flow Statement'!C33)/'Balance Sheet'!C21</f>
        <v>-0.11186105119932227</v>
      </c>
      <c r="D38" s="15">
        <f>('Income Statement'!D46-'Cash Flow Statement'!D33)/'Balance Sheet'!D21</f>
        <v>-8.4384382414141687E-2</v>
      </c>
      <c r="E38" s="15">
        <f>('Income Statement'!E46-'Cash Flow Statement'!E33)/'Balance Sheet'!E21</f>
        <v>-4.4021979147775017E-2</v>
      </c>
      <c r="F38" s="15">
        <f>('Income Statement'!F46-'Cash Flow Statement'!F33)/'Balance Sheet'!F21</f>
        <v>-5.9311956942760057E-2</v>
      </c>
      <c r="G38" s="15">
        <f>('Income Statement'!G46-'Cash Flow Statement'!G33)/'Balance Sheet'!G21</f>
        <v>-7.6703655928798006E-2</v>
      </c>
      <c r="H38" s="15">
        <f>('Income Statement'!H46-'Cash Flow Statement'!H33)/'Balance Sheet'!H21</f>
        <v>-6.2857289060773383E-2</v>
      </c>
      <c r="I38" s="15">
        <f>('Income Statement'!I46-'Cash Flow Statement'!I33)/'Balance Sheet'!I21</f>
        <v>-7.409186306147085E-2</v>
      </c>
      <c r="J38" s="15">
        <f>('Income Statement'!J46-'Cash Flow Statement'!J33)/'Balance Sheet'!J21</f>
        <v>-9.0666821183545396E-2</v>
      </c>
      <c r="K38" s="15">
        <f>('Income Statement'!K46-'Cash Flow Statement'!K33)/'Balance Sheet'!K21</f>
        <v>-8.4915322816259173E-2</v>
      </c>
      <c r="L38" s="15">
        <f>('Income Statement'!L46-'Cash Flow Statement'!L33)/'Balance Sheet'!L21</f>
        <v>-9.7182090738416715E-2</v>
      </c>
      <c r="M38" s="9"/>
      <c r="N38" s="9"/>
      <c r="O38" s="9"/>
      <c r="P38" s="9"/>
      <c r="Q38" s="9"/>
      <c r="R38" s="15">
        <f>('Income Statement'!R46-'Cash Flow Statement'!R33)/'Balance Sheet'!R21</f>
        <v>2.3448671778503509E-2</v>
      </c>
      <c r="S38" s="15">
        <f>('Income Statement'!S46-'Cash Flow Statement'!S33)/'Balance Sheet'!S21</f>
        <v>6.2174699034526597E-3</v>
      </c>
      <c r="T38" s="15">
        <f>('Income Statement'!T46-'Cash Flow Statement'!T33)/'Balance Sheet'!T21</f>
        <v>-3.6514258403696031E-3</v>
      </c>
      <c r="U38" s="15">
        <f>('Income Statement'!U46-'Cash Flow Statement'!U33)/'Balance Sheet'!U21</f>
        <v>2.7513414156522691E-2</v>
      </c>
      <c r="V38" s="15">
        <f>('Income Statement'!V46-'Cash Flow Statement'!V33)/'Balance Sheet'!V21</f>
        <v>-2.3974855955409591E-2</v>
      </c>
      <c r="W38" s="15">
        <f>('Income Statement'!W46-'Cash Flow Statement'!W33)/'Balance Sheet'!W21</f>
        <v>-4.0372642099039775E-3</v>
      </c>
      <c r="X38" s="15">
        <f>('Income Statement'!X46-'Cash Flow Statement'!X33)/'Balance Sheet'!X21</f>
        <v>3.7398113385551109E-2</v>
      </c>
      <c r="Y38" s="15">
        <f>('Income Statement'!Y46-'Cash Flow Statement'!Y33)/'Balance Sheet'!Y21</f>
        <v>5.7442291153136718E-3</v>
      </c>
      <c r="Z38" s="15">
        <f>('Income Statement'!Z46-'Cash Flow Statement'!Z33)/'Balance Sheet'!Z21</f>
        <v>-3.5248263206807379E-2</v>
      </c>
    </row>
    <row r="39" spans="1:26" ht="8" customHeight="1">
      <c r="M39" s="9"/>
      <c r="N39" s="9"/>
      <c r="O39" s="9"/>
      <c r="P39" s="9"/>
      <c r="Q39" s="9"/>
    </row>
    <row r="40" spans="1:26" ht="20" customHeight="1">
      <c r="A40" s="10" t="s">
        <v>234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9"/>
      <c r="N40" s="9"/>
      <c r="O40" s="9"/>
      <c r="P40" s="9"/>
      <c r="Q40" s="9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">
        <v>133</v>
      </c>
      <c r="C41" s="15" t="e">
        <f>'Income Statement'!C13/'Income Statement'!B13-1</f>
        <v>#DIV/0!</v>
      </c>
      <c r="D41" s="15">
        <f>'Income Statement'!D13/'Income Statement'!C13-1</f>
        <v>0.28126931916087861</v>
      </c>
      <c r="E41" s="15">
        <f>'Income Statement'!E13/'Income Statement'!D13-1</f>
        <v>0.10211396509759529</v>
      </c>
      <c r="F41" s="15">
        <f>'Income Statement'!F13/'Income Statement'!E13-1</f>
        <v>3.1678327315382226E-2</v>
      </c>
      <c r="G41" s="15">
        <f>'Income Statement'!G13/'Income Statement'!F13-1</f>
        <v>1.2932654548589717E-3</v>
      </c>
      <c r="H41" s="15">
        <f>'Income Statement'!H13/'Income Statement'!G13-1</f>
        <v>9.3300254148240169E-2</v>
      </c>
      <c r="I41" s="15">
        <f>'Income Statement'!I13/'Income Statement'!H13-1</f>
        <v>0.11410952801699215</v>
      </c>
      <c r="J41" s="15">
        <f>'Income Statement'!J13/'Income Statement'!I13-1</f>
        <v>8.3014024549865839E-2</v>
      </c>
      <c r="K41" s="15">
        <f>'Income Statement'!K13/'Income Statement'!J13-1</f>
        <v>0.22637703124027908</v>
      </c>
      <c r="L41" s="15">
        <f>'Income Statement'!L13/'Income Statement'!K13-1</f>
        <v>0.22695493151949453</v>
      </c>
      <c r="M41" s="9"/>
      <c r="N41" s="9"/>
      <c r="O41" s="9"/>
      <c r="P41" s="9"/>
      <c r="Q41" s="9"/>
      <c r="R41" s="15" t="e">
        <f>'Income Statement'!R13/'Income Statement'!Q13-1</f>
        <v>#DIV/0!</v>
      </c>
      <c r="S41" s="15">
        <f>'Income Statement'!S13/'Income Statement'!R13-1</f>
        <v>0.16146996003027869</v>
      </c>
      <c r="T41" s="15">
        <f>'Income Statement'!T13/'Income Statement'!S13-1</f>
        <v>-9.0910223041384963E-4</v>
      </c>
      <c r="U41" s="15">
        <f>'Income Statement'!U13/'Income Statement'!T13-1</f>
        <v>9.2334986995072255E-2</v>
      </c>
      <c r="V41" s="15">
        <f>'Income Statement'!V13/'Income Statement'!U13-1</f>
        <v>0.10109889273909189</v>
      </c>
      <c r="W41" s="15">
        <f>'Income Statement'!W13/'Income Statement'!V13-1</f>
        <v>1.3914605499516286E-2</v>
      </c>
      <c r="X41" s="15">
        <f>'Income Statement'!X13/'Income Statement'!W13-1</f>
        <v>0.1333217493219947</v>
      </c>
      <c r="Y41" s="15">
        <f>'Income Statement'!Y13/'Income Statement'!X13-1</f>
        <v>7.9533668631760035E-2</v>
      </c>
      <c r="Z41" s="15">
        <f>'Income Statement'!Z13/'Income Statement'!Y13-1</f>
        <v>3.7444130383324836E-2</v>
      </c>
    </row>
    <row r="42" spans="1:26">
      <c r="A42" s="5" t="s">
        <v>155</v>
      </c>
      <c r="C42" s="15" t="e">
        <f>'Income Statement'!C46/'Income Statement'!B46-1</f>
        <v>#DIV/0!</v>
      </c>
      <c r="D42" s="15">
        <f>'Income Statement'!D46/'Income Statement'!C46-1</f>
        <v>-2.4798030101814961</v>
      </c>
      <c r="E42" s="15">
        <f>'Income Statement'!E46/'Income Statement'!D46-1</f>
        <v>-1.7752309015443295</v>
      </c>
      <c r="F42" s="15">
        <f>'Income Statement'!F46/'Income Statement'!E46-1</f>
        <v>-2.3118850086822302</v>
      </c>
      <c r="G42" s="15">
        <f>'Income Statement'!G46/'Income Statement'!F46-1</f>
        <v>1.4452900948599163</v>
      </c>
      <c r="H42" s="15">
        <f>'Income Statement'!H46/'Income Statement'!G46-1</f>
        <v>1.712962545295984</v>
      </c>
      <c r="I42" s="15">
        <f>'Income Statement'!I46/'Income Statement'!H46-1</f>
        <v>-0.38006772672101796</v>
      </c>
      <c r="J42" s="15">
        <f>'Income Statement'!J46/'Income Statement'!I46-1</f>
        <v>-0.94543829064413754</v>
      </c>
      <c r="K42" s="15">
        <f>'Income Statement'!K46/'Income Statement'!J46-1</f>
        <v>-12.437653612977224</v>
      </c>
      <c r="L42" s="15">
        <f>'Income Statement'!L46/'Income Statement'!K46-1</f>
        <v>0.99534410635493664</v>
      </c>
      <c r="M42" s="9"/>
      <c r="N42" s="9"/>
      <c r="O42" s="9"/>
      <c r="P42" s="9"/>
      <c r="Q42" s="9"/>
      <c r="R42" s="15" t="e">
        <f>'Income Statement'!R46/'Income Statement'!Q46-1</f>
        <v>#DIV/0!</v>
      </c>
      <c r="S42" s="15">
        <f>'Income Statement'!S46/'Income Statement'!R46-1</f>
        <v>-1.3578367995271692</v>
      </c>
      <c r="T42" s="15">
        <f>'Income Statement'!T46/'Income Statement'!S46-1</f>
        <v>-1.5655001548467018</v>
      </c>
      <c r="U42" s="15">
        <f>'Income Statement'!U46/'Income Statement'!T46-1</f>
        <v>-2.668309602044542</v>
      </c>
      <c r="V42" s="15">
        <f>'Income Statement'!V46/'Income Statement'!U46-1</f>
        <v>-5.0788926578400266</v>
      </c>
      <c r="W42" s="15">
        <f>'Income Statement'!W46/'Income Statement'!V46-1</f>
        <v>-2.2337634466292888</v>
      </c>
      <c r="X42" s="15">
        <f>'Income Statement'!X46/'Income Statement'!W46-1</f>
        <v>-0.31925811571829266</v>
      </c>
      <c r="Y42" s="15">
        <f>'Income Statement'!Y46/'Income Statement'!X46-1</f>
        <v>0.91995656062348274</v>
      </c>
      <c r="Z42" s="15">
        <f>'Income Statement'!Z46/'Income Statement'!Y46-1</f>
        <v>-0.72598569289635662</v>
      </c>
    </row>
    <row r="43" spans="1:26">
      <c r="A43" s="5" t="s">
        <v>235</v>
      </c>
      <c r="C43" s="15" t="e">
        <f>'Cash Flow Statement'!C33/'Cash Flow Statement'!B33-1</f>
        <v>#DIV/0!</v>
      </c>
      <c r="D43" s="15">
        <f>'Cash Flow Statement'!D33/'Cash Flow Statement'!C33-1</f>
        <v>1.2251457563112966E-2</v>
      </c>
      <c r="E43" s="15">
        <f>'Cash Flow Statement'!E33/'Cash Flow Statement'!D33-1</f>
        <v>-0.17323916587758703</v>
      </c>
      <c r="F43" s="15">
        <f>'Cash Flow Statement'!F33/'Cash Flow Statement'!E33-1</f>
        <v>-2.6350688045743365E-2</v>
      </c>
      <c r="G43" s="15">
        <f>'Cash Flow Statement'!G33/'Cash Flow Statement'!F33-1</f>
        <v>-1.3080855429572158E-2</v>
      </c>
      <c r="H43" s="15">
        <f>'Cash Flow Statement'!H33/'Cash Flow Statement'!G33-1</f>
        <v>-1.340003763879305</v>
      </c>
      <c r="I43" s="15">
        <f>'Cash Flow Statement'!I33/'Cash Flow Statement'!H33-1</f>
        <v>-2.0119926199261995</v>
      </c>
      <c r="J43" s="15">
        <f>'Cash Flow Statement'!J33/'Cash Flow Statement'!I33-1</f>
        <v>4.0982680036463082</v>
      </c>
      <c r="K43" s="15">
        <f>'Cash Flow Statement'!K33/'Cash Flow Statement'!J33-1</f>
        <v>0.53701187240738091</v>
      </c>
      <c r="L43" s="15">
        <f>'Cash Flow Statement'!L33/'Cash Flow Statement'!K33-1</f>
        <v>0.29530988775771361</v>
      </c>
      <c r="M43" s="9"/>
      <c r="N43" s="9"/>
      <c r="O43" s="9"/>
      <c r="P43" s="9"/>
      <c r="Q43" s="9"/>
      <c r="R43" s="15" t="e">
        <f>'Cash Flow Statement'!R33/'Cash Flow Statement'!Q33-1</f>
        <v>#DIV/0!</v>
      </c>
      <c r="S43" s="15">
        <f>'Cash Flow Statement'!S33/'Cash Flow Statement'!R33-1</f>
        <v>-0.9607119570495124</v>
      </c>
      <c r="T43" s="15">
        <f>'Cash Flow Statement'!T33/'Cash Flow Statement'!S33-1</f>
        <v>-1.6959745762711864</v>
      </c>
      <c r="U43" s="15">
        <f>'Cash Flow Statement'!U33/'Cash Flow Statement'!T33-1</f>
        <v>-32.610857432775241</v>
      </c>
      <c r="V43" s="15">
        <f>'Cash Flow Statement'!V33/'Cash Flow Statement'!U33-1</f>
        <v>-1.3801621057700024</v>
      </c>
      <c r="W43" s="15">
        <f>'Cash Flow Statement'!W33/'Cash Flow Statement'!V33-1</f>
        <v>1.3657856961918431</v>
      </c>
      <c r="X43" s="15">
        <f>'Cash Flow Statement'!X33/'Cash Flow Statement'!W33-1</f>
        <v>-2.2027625098151189</v>
      </c>
      <c r="Y43" s="15">
        <f>'Cash Flow Statement'!Y33/'Cash Flow Statement'!X33-1</f>
        <v>-1.6624528917772041</v>
      </c>
      <c r="Z43" s="15">
        <f>'Cash Flow Statement'!Z33/'Cash Flow Statement'!Y33-1</f>
        <v>1.3703189392581976</v>
      </c>
    </row>
    <row r="44" spans="1:26" ht="8" customHeight="1">
      <c r="M44" s="9"/>
      <c r="N44" s="9"/>
      <c r="O44" s="9"/>
      <c r="P44" s="9"/>
      <c r="Q44" s="9"/>
    </row>
    <row r="45" spans="1:26" ht="20" customHeight="1">
      <c r="A45" s="10" t="s">
        <v>236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9"/>
      <c r="N45" s="9"/>
      <c r="O45" s="9"/>
      <c r="P45" s="9"/>
      <c r="Q45" s="9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">
        <v>237</v>
      </c>
      <c r="C46" s="19">
        <f>'Balance Sheet'!C9/'Income Statement'!C13*365</f>
        <v>56.901211501512165</v>
      </c>
      <c r="D46" s="19">
        <f>'Balance Sheet'!D9/'Income Statement'!D13*365</f>
        <v>69.801569735114867</v>
      </c>
      <c r="E46" s="19">
        <f>'Balance Sheet'!E9/'Income Statement'!E13*365</f>
        <v>70.230315184972085</v>
      </c>
      <c r="F46" s="19">
        <f>'Balance Sheet'!F9/'Income Statement'!F13*365</f>
        <v>56.173968452405809</v>
      </c>
      <c r="G46" s="19">
        <f>'Balance Sheet'!G9/'Income Statement'!G13*365</f>
        <v>51.105215218757188</v>
      </c>
      <c r="H46" s="19">
        <f>'Balance Sheet'!H9/'Income Statement'!H13*365</f>
        <v>64.588974593103245</v>
      </c>
      <c r="I46" s="19">
        <f>'Balance Sheet'!I9/'Income Statement'!I13*365</f>
        <v>60.891321612519484</v>
      </c>
      <c r="J46" s="19">
        <f>'Balance Sheet'!J9/'Income Statement'!J13*365</f>
        <v>51.125842302424175</v>
      </c>
      <c r="K46" s="19">
        <f>'Balance Sheet'!K9/'Income Statement'!K13*365</f>
        <v>42.690216464760965</v>
      </c>
      <c r="L46" s="19">
        <f>'Balance Sheet'!L9/'Income Statement'!L13*365</f>
        <v>47.925696930179221</v>
      </c>
      <c r="M46" s="9"/>
      <c r="N46" s="9"/>
      <c r="O46" s="9"/>
      <c r="P46" s="9"/>
      <c r="Q46" s="9"/>
      <c r="R46" s="19">
        <f>'Balance Sheet'!R9/'Income Statement'!R13*365</f>
        <v>163.8097798049246</v>
      </c>
      <c r="S46" s="19">
        <f>'Balance Sheet'!S9/'Income Statement'!S13*365</f>
        <v>194.30848038788363</v>
      </c>
      <c r="T46" s="19">
        <f>'Balance Sheet'!T9/'Income Statement'!T13*365</f>
        <v>158.24279743059191</v>
      </c>
      <c r="U46" s="19">
        <f>'Balance Sheet'!U9/'Income Statement'!U13*365</f>
        <v>135.32993408165049</v>
      </c>
      <c r="V46" s="19">
        <f>'Balance Sheet'!V9/'Income Statement'!V13*365</f>
        <v>155.08969531573857</v>
      </c>
      <c r="W46" s="19">
        <f>'Balance Sheet'!W9/'Income Statement'!W13*365</f>
        <v>183.17401910680456</v>
      </c>
      <c r="X46" s="19">
        <f>'Balance Sheet'!X9/'Income Statement'!X13*365</f>
        <v>103.80322211165858</v>
      </c>
      <c r="Y46" s="19">
        <f>'Balance Sheet'!Y9/'Income Statement'!Y13*365</f>
        <v>165.61635500355058</v>
      </c>
      <c r="Z46" s="19">
        <f>'Balance Sheet'!Z9/'Income Statement'!Z13*365</f>
        <v>136.04232822696025</v>
      </c>
    </row>
    <row r="47" spans="1:26">
      <c r="M47" s="9"/>
      <c r="N47" s="9"/>
      <c r="O47" s="9"/>
      <c r="P47" s="9"/>
      <c r="Q47" s="9"/>
    </row>
    <row r="49" spans="1:26">
      <c r="A49" s="10" t="s">
        <v>238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9"/>
      <c r="N49" s="9"/>
      <c r="O49" s="9"/>
      <c r="P49" s="9"/>
      <c r="Q49" s="9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">
        <v>239</v>
      </c>
      <c r="C50" s="19">
        <f>'Cash Flow Statement'!C33</f>
        <v>138759</v>
      </c>
      <c r="D50" s="19">
        <f>'Cash Flow Statement'!D33</f>
        <v>140459</v>
      </c>
      <c r="E50" s="19">
        <f>'Cash Flow Statement'!E33</f>
        <v>116126</v>
      </c>
      <c r="F50" s="19">
        <f>'Cash Flow Statement'!F33</f>
        <v>113066</v>
      </c>
      <c r="G50" s="19">
        <f>'Cash Flow Statement'!G33</f>
        <v>111587</v>
      </c>
      <c r="H50" s="19">
        <f>'Cash Flow Statement'!H33</f>
        <v>-37940</v>
      </c>
      <c r="I50" s="19">
        <f>'Cash Flow Statement'!I33</f>
        <v>38395</v>
      </c>
      <c r="J50" s="19">
        <f>'Cash Flow Statement'!J33</f>
        <v>195748</v>
      </c>
      <c r="K50" s="19">
        <f>'Cash Flow Statement'!K33</f>
        <v>300867</v>
      </c>
      <c r="L50" s="19">
        <f>'Cash Flow Statement'!L33</f>
        <v>389716</v>
      </c>
      <c r="M50" s="9"/>
      <c r="N50" s="9"/>
      <c r="O50" s="9"/>
      <c r="P50" s="9"/>
      <c r="Q50" s="9"/>
      <c r="R50" s="19">
        <f>'Cash Flow Statement'!R33</f>
        <v>-72083</v>
      </c>
      <c r="S50" s="19">
        <f>'Cash Flow Statement'!S33</f>
        <v>-2832</v>
      </c>
      <c r="T50" s="19">
        <f>'Cash Flow Statement'!T33</f>
        <v>1971</v>
      </c>
      <c r="U50" s="19">
        <f>'Cash Flow Statement'!U33</f>
        <v>-62305</v>
      </c>
      <c r="V50" s="19">
        <f>'Cash Flow Statement'!V33</f>
        <v>23686</v>
      </c>
      <c r="W50" s="19">
        <f>'Cash Flow Statement'!W33</f>
        <v>56036</v>
      </c>
      <c r="X50" s="19">
        <f>'Cash Flow Statement'!X33</f>
        <v>-67398</v>
      </c>
      <c r="Y50" s="19">
        <f>'Cash Flow Statement'!Y33</f>
        <v>44648</v>
      </c>
      <c r="Z50" s="19">
        <f>'Cash Flow Statement'!Z33</f>
        <v>105830</v>
      </c>
    </row>
    <row r="51" spans="1:26">
      <c r="A51" s="5" t="s">
        <v>240</v>
      </c>
      <c r="C51" s="19">
        <f>'Cash Flow Statement'!C37+'Cash Flow Statement'!C38</f>
        <v>-6670</v>
      </c>
      <c r="D51" s="19">
        <f>'Cash Flow Statement'!D37+'Cash Flow Statement'!D38</f>
        <v>-12011</v>
      </c>
      <c r="E51" s="19">
        <f>'Cash Flow Statement'!E37+'Cash Flow Statement'!E38</f>
        <v>-48857</v>
      </c>
      <c r="F51" s="19">
        <f>'Cash Flow Statement'!F37+'Cash Flow Statement'!F38</f>
        <v>-25660</v>
      </c>
      <c r="G51" s="19">
        <f>'Cash Flow Statement'!G37+'Cash Flow Statement'!G38</f>
        <v>-28854</v>
      </c>
      <c r="H51" s="19">
        <f>'Cash Flow Statement'!H37+'Cash Flow Statement'!H38</f>
        <v>-21776</v>
      </c>
      <c r="I51" s="19">
        <f>'Cash Flow Statement'!I37+'Cash Flow Statement'!I38</f>
        <v>-17427</v>
      </c>
      <c r="J51" s="19">
        <f>'Cash Flow Statement'!J37+'Cash Flow Statement'!J38</f>
        <v>-18527</v>
      </c>
      <c r="K51" s="19">
        <f>'Cash Flow Statement'!K37+'Cash Flow Statement'!K38</f>
        <v>-20455</v>
      </c>
      <c r="L51" s="19">
        <f>'Cash Flow Statement'!L37+'Cash Flow Statement'!L38</f>
        <v>-31059</v>
      </c>
      <c r="M51" s="9"/>
      <c r="N51" s="9"/>
      <c r="O51" s="9"/>
      <c r="P51" s="9"/>
      <c r="Q51" s="9"/>
      <c r="R51" s="19">
        <f>'Cash Flow Statement'!R37+'Cash Flow Statement'!R38</f>
        <v>-4690</v>
      </c>
      <c r="S51" s="19">
        <f>'Cash Flow Statement'!S37+'Cash Flow Statement'!S38</f>
        <v>-10048</v>
      </c>
      <c r="T51" s="19">
        <f>'Cash Flow Statement'!T37+'Cash Flow Statement'!T38</f>
        <v>-14097</v>
      </c>
      <c r="U51" s="19">
        <f>'Cash Flow Statement'!U37+'Cash Flow Statement'!U38</f>
        <v>-5076</v>
      </c>
      <c r="V51" s="19">
        <f>'Cash Flow Statement'!V37+'Cash Flow Statement'!V38</f>
        <v>-8789</v>
      </c>
      <c r="W51" s="19">
        <f>'Cash Flow Statement'!W37+'Cash Flow Statement'!W38</f>
        <v>-13308</v>
      </c>
      <c r="X51" s="19">
        <f>'Cash Flow Statement'!X37+'Cash Flow Statement'!X38</f>
        <v>-9966</v>
      </c>
      <c r="Y51" s="19">
        <f>'Cash Flow Statement'!Y37+'Cash Flow Statement'!Y38</f>
        <v>-16354</v>
      </c>
      <c r="Z51" s="19">
        <f>'Cash Flow Statement'!Z37+'Cash Flow Statement'!Z38</f>
        <v>-23873</v>
      </c>
    </row>
    <row r="52" spans="1:26">
      <c r="A52" s="5" t="s">
        <v>241</v>
      </c>
      <c r="C52" s="19">
        <f>'Cash Flow Statement'!C41</f>
        <v>-187590</v>
      </c>
      <c r="D52" s="19">
        <f>'Cash Flow Statement'!D41</f>
        <v>-130059</v>
      </c>
      <c r="E52" s="19">
        <f>'Cash Flow Statement'!E41</f>
        <v>0</v>
      </c>
      <c r="F52" s="19">
        <f>'Cash Flow Statement'!F41</f>
        <v>0</v>
      </c>
      <c r="G52" s="19">
        <f>'Cash Flow Statement'!G41</f>
        <v>0</v>
      </c>
      <c r="H52" s="19">
        <f>'Cash Flow Statement'!H41</f>
        <v>-43830</v>
      </c>
      <c r="I52" s="19">
        <f>'Cash Flow Statement'!I41</f>
        <v>0</v>
      </c>
      <c r="J52" s="19">
        <f>'Cash Flow Statement'!J41</f>
        <v>0</v>
      </c>
      <c r="K52" s="19">
        <f>'Cash Flow Statement'!K41</f>
        <v>-26850</v>
      </c>
      <c r="L52" s="19">
        <f>'Cash Flow Statement'!L41</f>
        <v>-37953</v>
      </c>
      <c r="M52" s="9"/>
      <c r="N52" s="9"/>
      <c r="O52" s="9"/>
      <c r="P52" s="9"/>
      <c r="Q52" s="9"/>
      <c r="R52" s="19">
        <f>'Cash Flow Statement'!R41</f>
        <v>0</v>
      </c>
      <c r="S52" s="19">
        <f>'Cash Flow Statement'!S41</f>
        <v>0</v>
      </c>
      <c r="T52" s="19">
        <f>'Cash Flow Statement'!T41</f>
        <v>0</v>
      </c>
      <c r="U52" s="19">
        <f>'Cash Flow Statement'!U41</f>
        <v>0</v>
      </c>
      <c r="V52" s="19">
        <f>'Cash Flow Statement'!V41</f>
        <v>0</v>
      </c>
      <c r="W52" s="19">
        <f>'Cash Flow Statement'!W41</f>
        <v>-26724</v>
      </c>
      <c r="X52" s="19">
        <f>'Cash Flow Statement'!X41</f>
        <v>0</v>
      </c>
      <c r="Y52" s="19">
        <f>'Cash Flow Statement'!Y41</f>
        <v>-33252</v>
      </c>
      <c r="Z52" s="19">
        <f>'Cash Flow Statement'!Z41</f>
        <v>-33453</v>
      </c>
    </row>
    <row r="53" spans="1:26">
      <c r="A53" s="5" t="s">
        <v>242</v>
      </c>
      <c r="C53" s="19">
        <f>'Cash Flow Statement'!C44+'Cash Flow Statement'!C45+'Cash Flow Statement'!C46</f>
        <v>0</v>
      </c>
      <c r="D53" s="19">
        <f>'Cash Flow Statement'!D44+'Cash Flow Statement'!D45+'Cash Flow Statement'!D46</f>
        <v>387239</v>
      </c>
      <c r="E53" s="19">
        <f>'Cash Flow Statement'!E44+'Cash Flow Statement'!E45+'Cash Flow Statement'!E46</f>
        <v>0</v>
      </c>
      <c r="F53" s="19">
        <f>'Cash Flow Statement'!F44+'Cash Flow Statement'!F45+'Cash Flow Statement'!F46</f>
        <v>0</v>
      </c>
      <c r="G53" s="19">
        <f>'Cash Flow Statement'!G44+'Cash Flow Statement'!G45+'Cash Flow Statement'!G46</f>
        <v>0</v>
      </c>
      <c r="H53" s="19">
        <f>'Cash Flow Statement'!H44+'Cash Flow Statement'!H45+'Cash Flow Statement'!H46</f>
        <v>0</v>
      </c>
      <c r="I53" s="19">
        <f>'Cash Flow Statement'!I44+'Cash Flow Statement'!I45+'Cash Flow Statement'!I46</f>
        <v>0</v>
      </c>
      <c r="J53" s="19">
        <f>'Cash Flow Statement'!J44+'Cash Flow Statement'!J45+'Cash Flow Statement'!J46</f>
        <v>0</v>
      </c>
      <c r="K53" s="19">
        <f>'Cash Flow Statement'!K44+'Cash Flow Statement'!K45+'Cash Flow Statement'!K46</f>
        <v>139244</v>
      </c>
      <c r="L53" s="19">
        <f>'Cash Flow Statement'!L44+'Cash Flow Statement'!L45+'Cash Flow Statement'!L46</f>
        <v>0</v>
      </c>
      <c r="M53" s="9"/>
      <c r="N53" s="9"/>
      <c r="O53" s="9"/>
      <c r="P53" s="9"/>
      <c r="Q53" s="9"/>
      <c r="R53" s="19">
        <f>'Cash Flow Statement'!R44+'Cash Flow Statement'!R45+'Cash Flow Statement'!R46</f>
        <v>0</v>
      </c>
      <c r="S53" s="19">
        <f>'Cash Flow Statement'!S44+'Cash Flow Statement'!S45+'Cash Flow Statement'!S46</f>
        <v>0</v>
      </c>
      <c r="T53" s="19">
        <f>'Cash Flow Statement'!T44+'Cash Flow Statement'!T45+'Cash Flow Statement'!T46</f>
        <v>0</v>
      </c>
      <c r="U53" s="19">
        <f>'Cash Flow Statement'!U44+'Cash Flow Statement'!U45+'Cash Flow Statement'!U46</f>
        <v>472356</v>
      </c>
      <c r="V53" s="19">
        <f>'Cash Flow Statement'!V44+'Cash Flow Statement'!V45+'Cash Flow Statement'!V46</f>
        <v>318305</v>
      </c>
      <c r="W53" s="19">
        <f>'Cash Flow Statement'!W44+'Cash Flow Statement'!W45+'Cash Flow Statement'!W46</f>
        <v>139244</v>
      </c>
      <c r="X53" s="19">
        <f>'Cash Flow Statement'!X44+'Cash Flow Statement'!X45+'Cash Flow Statement'!X46</f>
        <v>0</v>
      </c>
      <c r="Y53" s="19">
        <f>'Cash Flow Statement'!Y44+'Cash Flow Statement'!Y45+'Cash Flow Statement'!Y46</f>
        <v>0</v>
      </c>
      <c r="Z53" s="19">
        <f>'Cash Flow Statement'!Z44+'Cash Flow Statement'!Z45+'Cash Flow Statement'!Z46</f>
        <v>0</v>
      </c>
    </row>
    <row r="54" spans="1:26">
      <c r="A54" s="5" t="s">
        <v>243</v>
      </c>
      <c r="C54" s="19">
        <f>'Cash Flow Statement'!C52</f>
        <v>0</v>
      </c>
      <c r="D54" s="19">
        <f>'Cash Flow Statement'!D52</f>
        <v>0</v>
      </c>
      <c r="E54" s="19">
        <f>'Cash Flow Statement'!E52</f>
        <v>0</v>
      </c>
      <c r="F54" s="19">
        <f>'Cash Flow Statement'!F52</f>
        <v>0</v>
      </c>
      <c r="G54" s="19">
        <f>'Cash Flow Statement'!G52</f>
        <v>-161319</v>
      </c>
      <c r="H54" s="19">
        <f>'Cash Flow Statement'!H52</f>
        <v>-37451</v>
      </c>
      <c r="I54" s="19">
        <f>'Cash Flow Statement'!I52</f>
        <v>-261807</v>
      </c>
      <c r="J54" s="19">
        <f>'Cash Flow Statement'!J52</f>
        <v>0</v>
      </c>
      <c r="K54" s="19">
        <f>'Cash Flow Statement'!K52</f>
        <v>0</v>
      </c>
      <c r="L54" s="19">
        <f>'Cash Flow Statement'!L52</f>
        <v>-606309</v>
      </c>
      <c r="M54" s="9"/>
      <c r="N54" s="9"/>
      <c r="O54" s="9"/>
      <c r="P54" s="9"/>
      <c r="Q54" s="9"/>
      <c r="R54" s="19">
        <f>'Cash Flow Statement'!R52</f>
        <v>0</v>
      </c>
      <c r="S54" s="19">
        <f>'Cash Flow Statement'!S52</f>
        <v>0</v>
      </c>
      <c r="T54" s="19">
        <f>'Cash Flow Statement'!T52</f>
        <v>0</v>
      </c>
      <c r="U54" s="19">
        <f>'Cash Flow Statement'!U52</f>
        <v>0</v>
      </c>
      <c r="V54" s="19">
        <f>'Cash Flow Statement'!V52</f>
        <v>0</v>
      </c>
      <c r="W54" s="19">
        <f>'Cash Flow Statement'!W52</f>
        <v>0</v>
      </c>
      <c r="X54" s="19">
        <f>'Cash Flow Statement'!X52</f>
        <v>0</v>
      </c>
      <c r="Y54" s="19">
        <f>'Cash Flow Statement'!Y52</f>
        <v>-148192</v>
      </c>
      <c r="Z54" s="19">
        <f>'Cash Flow Statement'!Z52</f>
        <v>-392447</v>
      </c>
    </row>
    <row r="55" spans="1:26">
      <c r="A55" s="5" t="s">
        <v>244</v>
      </c>
      <c r="C55" s="15">
        <f t="shared" ref="C55:L55" si="0">-C51/C50</f>
        <v>4.80689540858611E-2</v>
      </c>
      <c r="D55" s="15">
        <f t="shared" si="0"/>
        <v>8.5512498309115115E-2</v>
      </c>
      <c r="E55" s="15">
        <f t="shared" si="0"/>
        <v>0.42072404112774053</v>
      </c>
      <c r="F55" s="15">
        <f t="shared" si="0"/>
        <v>0.22694709284842482</v>
      </c>
      <c r="G55" s="15">
        <f t="shared" si="0"/>
        <v>0.25857850824916884</v>
      </c>
      <c r="H55" s="15">
        <f t="shared" si="0"/>
        <v>-0.57395888244596727</v>
      </c>
      <c r="I55" s="15">
        <f t="shared" si="0"/>
        <v>0.4538872248990754</v>
      </c>
      <c r="J55" s="15">
        <f t="shared" si="0"/>
        <v>9.4647199460530893E-2</v>
      </c>
      <c r="K55" s="15">
        <f t="shared" si="0"/>
        <v>6.7986851332981019E-2</v>
      </c>
      <c r="L55" s="15">
        <f t="shared" si="0"/>
        <v>7.9696496936230488E-2</v>
      </c>
      <c r="M55" s="9"/>
      <c r="N55" s="9"/>
      <c r="O55" s="9"/>
      <c r="P55" s="9"/>
      <c r="Q55" s="9"/>
      <c r="R55" s="15">
        <f t="shared" ref="R55:Z55" si="1">-R51/R50</f>
        <v>-6.5063884688484105E-2</v>
      </c>
      <c r="S55" s="15">
        <f t="shared" si="1"/>
        <v>-3.5480225988700567</v>
      </c>
      <c r="T55" s="15">
        <f t="shared" si="1"/>
        <v>7.1522070015220702</v>
      </c>
      <c r="U55" s="15">
        <f t="shared" si="1"/>
        <v>-8.1470186983388176E-2</v>
      </c>
      <c r="V55" s="15">
        <f t="shared" si="1"/>
        <v>0.37106307523431564</v>
      </c>
      <c r="W55" s="15">
        <f t="shared" si="1"/>
        <v>0.23749018488114784</v>
      </c>
      <c r="X55" s="15">
        <f t="shared" si="1"/>
        <v>-0.14786788925487404</v>
      </c>
      <c r="Y55" s="15">
        <f t="shared" si="1"/>
        <v>0.3662874036910948</v>
      </c>
      <c r="Z55" s="15">
        <f t="shared" si="1"/>
        <v>0.2255787583860909</v>
      </c>
    </row>
    <row r="56" spans="1:26">
      <c r="A56" s="5" t="s">
        <v>245</v>
      </c>
      <c r="C56" s="15">
        <f t="shared" ref="C56:L56" si="2">-C52/C50</f>
        <v>1.3519123083908071</v>
      </c>
      <c r="D56" s="15">
        <f t="shared" si="2"/>
        <v>0.92595704084465924</v>
      </c>
      <c r="E56" s="15">
        <f t="shared" si="2"/>
        <v>0</v>
      </c>
      <c r="F56" s="15">
        <f t="shared" si="2"/>
        <v>0</v>
      </c>
      <c r="G56" s="15">
        <f t="shared" si="2"/>
        <v>0</v>
      </c>
      <c r="H56" s="15">
        <f t="shared" si="2"/>
        <v>-1.1552451238798103</v>
      </c>
      <c r="I56" s="15">
        <f t="shared" si="2"/>
        <v>0</v>
      </c>
      <c r="J56" s="15">
        <f t="shared" si="2"/>
        <v>0</v>
      </c>
      <c r="K56" s="15">
        <f t="shared" si="2"/>
        <v>8.924209035886288E-2</v>
      </c>
      <c r="L56" s="15">
        <f t="shared" si="2"/>
        <v>9.7386301819786719E-2</v>
      </c>
      <c r="M56" s="9"/>
      <c r="N56" s="9"/>
      <c r="O56" s="9"/>
      <c r="P56" s="9"/>
      <c r="Q56" s="9"/>
      <c r="R56" s="15">
        <f t="shared" ref="R56:Z56" si="3">-R52/R50</f>
        <v>0</v>
      </c>
      <c r="S56" s="15">
        <f t="shared" si="3"/>
        <v>0</v>
      </c>
      <c r="T56" s="15">
        <f t="shared" si="3"/>
        <v>0</v>
      </c>
      <c r="U56" s="15">
        <f t="shared" si="3"/>
        <v>0</v>
      </c>
      <c r="V56" s="15">
        <f t="shared" si="3"/>
        <v>0</v>
      </c>
      <c r="W56" s="15">
        <f t="shared" si="3"/>
        <v>0.47690770219144835</v>
      </c>
      <c r="X56" s="15">
        <f t="shared" si="3"/>
        <v>0</v>
      </c>
      <c r="Y56" s="15">
        <f t="shared" si="3"/>
        <v>0.74475900376276649</v>
      </c>
      <c r="Z56" s="15">
        <f t="shared" si="3"/>
        <v>0.31610129452896152</v>
      </c>
    </row>
    <row r="57" spans="1:26">
      <c r="A57" s="5" t="s">
        <v>246</v>
      </c>
      <c r="C57" s="15">
        <f t="shared" ref="C57:L57" si="4">-C54/C50</f>
        <v>0</v>
      </c>
      <c r="D57" s="15">
        <f t="shared" si="4"/>
        <v>0</v>
      </c>
      <c r="E57" s="15">
        <f t="shared" si="4"/>
        <v>0</v>
      </c>
      <c r="F57" s="15">
        <f t="shared" si="4"/>
        <v>0</v>
      </c>
      <c r="G57" s="15">
        <f t="shared" si="4"/>
        <v>1.4456791561741063</v>
      </c>
      <c r="H57" s="15">
        <f t="shared" si="4"/>
        <v>-0.98711122825513964</v>
      </c>
      <c r="I57" s="15">
        <f t="shared" si="4"/>
        <v>6.8187784867821328</v>
      </c>
      <c r="J57" s="15">
        <f t="shared" si="4"/>
        <v>0</v>
      </c>
      <c r="K57" s="15">
        <f t="shared" si="4"/>
        <v>0</v>
      </c>
      <c r="L57" s="15">
        <f t="shared" si="4"/>
        <v>1.5557713822373216</v>
      </c>
      <c r="M57" s="9"/>
      <c r="N57" s="9"/>
      <c r="O57" s="9"/>
      <c r="P57" s="9"/>
      <c r="Q57" s="9"/>
      <c r="R57" s="15">
        <f t="shared" ref="R57:Z57" si="5">-R54/R50</f>
        <v>0</v>
      </c>
      <c r="S57" s="15">
        <f t="shared" si="5"/>
        <v>0</v>
      </c>
      <c r="T57" s="15">
        <f t="shared" si="5"/>
        <v>0</v>
      </c>
      <c r="U57" s="15">
        <f t="shared" si="5"/>
        <v>0</v>
      </c>
      <c r="V57" s="15">
        <f t="shared" si="5"/>
        <v>0</v>
      </c>
      <c r="W57" s="15">
        <f t="shared" si="5"/>
        <v>0</v>
      </c>
      <c r="X57" s="15">
        <f t="shared" si="5"/>
        <v>0</v>
      </c>
      <c r="Y57" s="15">
        <f t="shared" si="5"/>
        <v>3.3191184375559937</v>
      </c>
      <c r="Z57" s="15">
        <f t="shared" si="5"/>
        <v>3.7082774260606635</v>
      </c>
    </row>
    <row r="58" spans="1:26">
      <c r="A58" s="5" t="s">
        <v>247</v>
      </c>
      <c r="C58" s="19">
        <f t="shared" ref="C58:L58" si="6">C50+C51+C52+C53+C54</f>
        <v>-55501</v>
      </c>
      <c r="D58" s="19">
        <f t="shared" si="6"/>
        <v>385628</v>
      </c>
      <c r="E58" s="19">
        <f t="shared" si="6"/>
        <v>67269</v>
      </c>
      <c r="F58" s="19">
        <f t="shared" si="6"/>
        <v>87406</v>
      </c>
      <c r="G58" s="19">
        <f t="shared" si="6"/>
        <v>-78586</v>
      </c>
      <c r="H58" s="19">
        <f t="shared" si="6"/>
        <v>-140997</v>
      </c>
      <c r="I58" s="19">
        <f t="shared" si="6"/>
        <v>-240839</v>
      </c>
      <c r="J58" s="19">
        <f t="shared" si="6"/>
        <v>177221</v>
      </c>
      <c r="K58" s="19">
        <f t="shared" si="6"/>
        <v>392806</v>
      </c>
      <c r="L58" s="19">
        <f t="shared" si="6"/>
        <v>-285605</v>
      </c>
      <c r="M58" s="9"/>
      <c r="N58" s="9"/>
      <c r="O58" s="9"/>
      <c r="P58" s="9"/>
      <c r="Q58" s="9"/>
      <c r="R58" s="19">
        <f t="shared" ref="R58:Z58" si="7">R50+R51+R52+R53+R54</f>
        <v>-76773</v>
      </c>
      <c r="S58" s="19">
        <f t="shared" si="7"/>
        <v>-12880</v>
      </c>
      <c r="T58" s="19">
        <f t="shared" si="7"/>
        <v>-12126</v>
      </c>
      <c r="U58" s="19">
        <f t="shared" si="7"/>
        <v>404975</v>
      </c>
      <c r="V58" s="19">
        <f t="shared" si="7"/>
        <v>333202</v>
      </c>
      <c r="W58" s="19">
        <f t="shared" si="7"/>
        <v>155248</v>
      </c>
      <c r="X58" s="19">
        <f t="shared" si="7"/>
        <v>-77364</v>
      </c>
      <c r="Y58" s="19">
        <f t="shared" si="7"/>
        <v>-153150</v>
      </c>
      <c r="Z58" s="19">
        <f t="shared" si="7"/>
        <v>-343943</v>
      </c>
    </row>
    <row r="59" spans="1:26">
      <c r="A59" s="5" t="s">
        <v>248</v>
      </c>
      <c r="C59" s="15">
        <f>'Cash Flow Statement'!C12/'Cash Flow Statement'!C33</f>
        <v>0.517400673109492</v>
      </c>
      <c r="D59" s="15">
        <f>'Cash Flow Statement'!D12/'Cash Flow Statement'!D33</f>
        <v>0.63800824439872128</v>
      </c>
      <c r="E59" s="15">
        <f>'Cash Flow Statement'!E12/'Cash Flow Statement'!E33</f>
        <v>0.78807502195890666</v>
      </c>
      <c r="F59" s="15">
        <f>'Cash Flow Statement'!F12/'Cash Flow Statement'!F33</f>
        <v>0.90050943696601982</v>
      </c>
      <c r="G59" s="15">
        <f>'Cash Flow Statement'!G12/'Cash Flow Statement'!G33</f>
        <v>1.0306666547178436</v>
      </c>
      <c r="H59" s="15">
        <f>'Cash Flow Statement'!H12/'Cash Flow Statement'!H33</f>
        <v>-3.6112546125461256</v>
      </c>
      <c r="I59" s="15">
        <f>'Cash Flow Statement'!I12/'Cash Flow Statement'!I33</f>
        <v>3.7203281677301732</v>
      </c>
      <c r="J59" s="15">
        <f>'Cash Flow Statement'!J12/'Cash Flow Statement'!J33</f>
        <v>0.74820687823119525</v>
      </c>
      <c r="K59" s="15">
        <f>'Cash Flow Statement'!K12/'Cash Flow Statement'!K33</f>
        <v>0.53696816201178599</v>
      </c>
      <c r="L59" s="15">
        <f>'Cash Flow Statement'!L12/'Cash Flow Statement'!L33</f>
        <v>0.46649098317749338</v>
      </c>
      <c r="M59" s="9"/>
      <c r="N59" s="9"/>
      <c r="O59" s="9"/>
      <c r="P59" s="9"/>
      <c r="Q59" s="9"/>
      <c r="R59" s="15">
        <f>'Cash Flow Statement'!R12/'Cash Flow Statement'!R33</f>
        <v>-0.50076994575697464</v>
      </c>
      <c r="S59" s="15">
        <f>'Cash Flow Statement'!S12/'Cash Flow Statement'!S33</f>
        <v>-25.608757062146893</v>
      </c>
      <c r="T59" s="15">
        <f>'Cash Flow Statement'!T12/'Cash Flow Statement'!T33</f>
        <v>55.390157280568239</v>
      </c>
      <c r="U59" s="15">
        <f>'Cash Flow Statement'!U12/'Cash Flow Statement'!U33</f>
        <v>-0.61086590161303267</v>
      </c>
      <c r="V59" s="15">
        <f>'Cash Flow Statement'!V12/'Cash Flow Statement'!V33</f>
        <v>3.3356413071012412</v>
      </c>
      <c r="W59" s="15">
        <f>'Cash Flow Statement'!W12/'Cash Flow Statement'!W33</f>
        <v>2.1301484759797273</v>
      </c>
      <c r="X59" s="15">
        <f>'Cash Flow Statement'!X12/'Cash Flow Statement'!X33</f>
        <v>-0.64268969405620346</v>
      </c>
      <c r="Y59" s="15">
        <f>'Cash Flow Statement'!Y12/'Cash Flow Statement'!Y33</f>
        <v>2.0174251926178104</v>
      </c>
      <c r="Z59" s="15">
        <f>'Cash Flow Statement'!Z12/'Cash Flow Statement'!Z33</f>
        <v>1.2757724652744968</v>
      </c>
    </row>
    <row r="60" spans="1:26">
      <c r="A60" s="5" t="s">
        <v>249</v>
      </c>
      <c r="C60" s="19">
        <f>'Income Statement'!C54/1000</f>
        <v>75328.342999999993</v>
      </c>
      <c r="D60" s="19">
        <f>'Income Statement'!D54/1000</f>
        <v>77709.592000000004</v>
      </c>
      <c r="E60" s="19">
        <f>'Income Statement'!E54/1000</f>
        <v>82681.214000000007</v>
      </c>
      <c r="F60" s="19">
        <f>'Income Statement'!F54/1000</f>
        <v>82855.392000000007</v>
      </c>
      <c r="G60" s="19">
        <f>'Income Statement'!G54/1000</f>
        <v>83577.375</v>
      </c>
      <c r="H60" s="19">
        <f>'Income Statement'!H54/1000</f>
        <v>83569.517000000007</v>
      </c>
      <c r="I60" s="19">
        <f>'Income Statement'!I54/1000</f>
        <v>82176.629000000001</v>
      </c>
      <c r="J60" s="19">
        <f>'Income Statement'!J54/1000</f>
        <v>82291.482999999993</v>
      </c>
      <c r="K60" s="19">
        <f>'Income Statement'!K54/1000</f>
        <v>85911.653000000006</v>
      </c>
      <c r="L60" s="19">
        <f>'Income Statement'!L54/1000</f>
        <v>85405.176999999996</v>
      </c>
      <c r="M60" s="9"/>
      <c r="N60" s="9"/>
      <c r="O60" s="9"/>
      <c r="P60" s="9"/>
      <c r="Q60" s="9"/>
      <c r="R60" s="19">
        <f>'Income Statement'!R54/1000</f>
        <v>81690.911999999997</v>
      </c>
      <c r="S60" s="19">
        <f>'Income Statement'!S54/1000</f>
        <v>83305.08</v>
      </c>
      <c r="T60" s="19">
        <f>'Income Statement'!T54/1000</f>
        <v>82500.108999999997</v>
      </c>
      <c r="U60" s="19">
        <f>'Income Statement'!U54/1000</f>
        <v>85960.868000000002</v>
      </c>
      <c r="V60" s="19">
        <f>'Income Statement'!V54/1000</f>
        <v>83705.7</v>
      </c>
      <c r="W60" s="19">
        <f>'Income Statement'!W54/1000</f>
        <v>85880.642999999996</v>
      </c>
      <c r="X60" s="19">
        <f>'Income Statement'!X54/1000</f>
        <v>86451.736999999994</v>
      </c>
      <c r="Y60" s="19">
        <f>'Income Statement'!Y54/1000</f>
        <v>86116.566999999995</v>
      </c>
      <c r="Z60" s="19">
        <f>'Income Statement'!Z54/1000</f>
        <v>85065.998999999996</v>
      </c>
    </row>
    <row r="61" spans="1:26">
      <c r="A61" s="5" t="s">
        <v>250</v>
      </c>
      <c r="C61" s="15"/>
      <c r="D61" s="15">
        <f>'Income Statement'!D54/'Income Statement'!C54-1</f>
        <v>3.1611594058294834E-2</v>
      </c>
      <c r="E61" s="15">
        <f>'Income Statement'!E54/'Income Statement'!D54-1</f>
        <v>6.3976941224964889E-2</v>
      </c>
      <c r="F61" s="15">
        <f>'Income Statement'!F54/'Income Statement'!E54-1</f>
        <v>2.106621221115601E-3</v>
      </c>
      <c r="G61" s="15">
        <f>'Income Statement'!G54/'Income Statement'!F54-1</f>
        <v>8.7137720620524828E-3</v>
      </c>
      <c r="H61" s="15">
        <f>'Income Statement'!H54/'Income Statement'!G54-1</f>
        <v>-9.4020660495686137E-5</v>
      </c>
      <c r="I61" s="15">
        <f>'Income Statement'!I54/'Income Statement'!H54-1</f>
        <v>-1.6667417139673124E-2</v>
      </c>
      <c r="J61" s="15">
        <f>'Income Statement'!J54/'Income Statement'!I54-1</f>
        <v>1.3976479857795709E-3</v>
      </c>
      <c r="K61" s="15">
        <f>'Income Statement'!K54/'Income Statement'!J54-1</f>
        <v>4.3992037426278996E-2</v>
      </c>
      <c r="L61" s="15">
        <f>'Income Statement'!L54/'Income Statement'!K54-1</f>
        <v>-5.8953120131445269E-3</v>
      </c>
      <c r="M61" s="9"/>
      <c r="N61" s="9"/>
      <c r="O61" s="9"/>
      <c r="P61" s="9"/>
      <c r="Q61" s="9"/>
      <c r="R61" s="15"/>
      <c r="S61" s="15">
        <f>'Income Statement'!S54/'Income Statement'!R54-1</f>
        <v>1.9759456229353933E-2</v>
      </c>
      <c r="T61" s="15">
        <f>'Income Statement'!T54/'Income Statement'!S54-1</f>
        <v>-9.6629281191494831E-3</v>
      </c>
      <c r="U61" s="15">
        <f>'Income Statement'!U54/'Income Statement'!T54-1</f>
        <v>4.1948538516476397E-2</v>
      </c>
      <c r="V61" s="15">
        <f>'Income Statement'!V54/'Income Statement'!U54-1</f>
        <v>-2.6234821174676792E-2</v>
      </c>
      <c r="W61" s="15">
        <f>'Income Statement'!W54/'Income Statement'!V54-1</f>
        <v>2.5983212612761042E-2</v>
      </c>
      <c r="X61" s="15">
        <f>'Income Statement'!X54/'Income Statement'!W54-1</f>
        <v>6.6498570580102445E-3</v>
      </c>
      <c r="Y61" s="15">
        <f>'Income Statement'!Y54/'Income Statement'!X54-1</f>
        <v>-3.8769608527357002E-3</v>
      </c>
      <c r="Z61" s="15">
        <f>'Income Statement'!Z54/'Income Statement'!Y54-1</f>
        <v>-1.2199371579686868E-2</v>
      </c>
    </row>
    <row r="62" spans="1:26">
      <c r="A62" s="5" t="s">
        <v>251</v>
      </c>
      <c r="C62" s="19"/>
      <c r="D62" s="19">
        <f>('Income Statement'!D54-'Income Statement'!C54)/1000</f>
        <v>2381.2489999999998</v>
      </c>
      <c r="E62" s="19">
        <f>('Income Statement'!E54-'Income Statement'!D54)/1000</f>
        <v>4971.6220000000003</v>
      </c>
      <c r="F62" s="19">
        <f>('Income Statement'!F54-'Income Statement'!E54)/1000</f>
        <v>174.178</v>
      </c>
      <c r="G62" s="19">
        <f>('Income Statement'!G54-'Income Statement'!F54)/1000</f>
        <v>721.98299999999995</v>
      </c>
      <c r="H62" s="19">
        <f>('Income Statement'!H54-'Income Statement'!G54)/1000</f>
        <v>-7.8579999999999997</v>
      </c>
      <c r="I62" s="19">
        <f>('Income Statement'!I54-'Income Statement'!H54)/1000</f>
        <v>-1392.8879999999999</v>
      </c>
      <c r="J62" s="19">
        <f>('Income Statement'!J54-'Income Statement'!I54)/1000</f>
        <v>114.854</v>
      </c>
      <c r="K62" s="19">
        <f>('Income Statement'!K54-'Income Statement'!J54)/1000</f>
        <v>3620.17</v>
      </c>
      <c r="L62" s="19">
        <f>('Income Statement'!L54-'Income Statement'!K54)/1000</f>
        <v>-506.476</v>
      </c>
      <c r="M62" s="9"/>
      <c r="N62" s="9"/>
      <c r="O62" s="9"/>
      <c r="P62" s="9"/>
      <c r="Q62" s="9"/>
      <c r="R62" s="19"/>
      <c r="S62" s="19">
        <f>('Income Statement'!S54-'Income Statement'!R54)/1000</f>
        <v>1614.1679999999999</v>
      </c>
      <c r="T62" s="19">
        <f>('Income Statement'!T54-'Income Statement'!S54)/1000</f>
        <v>-804.971</v>
      </c>
      <c r="U62" s="19">
        <f>('Income Statement'!U54-'Income Statement'!T54)/1000</f>
        <v>3460.759</v>
      </c>
      <c r="V62" s="19">
        <f>('Income Statement'!V54-'Income Statement'!U54)/1000</f>
        <v>-2255.1680000000001</v>
      </c>
      <c r="W62" s="19">
        <f>('Income Statement'!W54-'Income Statement'!V54)/1000</f>
        <v>2174.9430000000002</v>
      </c>
      <c r="X62" s="19">
        <f>('Income Statement'!X54-'Income Statement'!W54)/1000</f>
        <v>571.09400000000005</v>
      </c>
      <c r="Y62" s="19">
        <f>('Income Statement'!Y54-'Income Statement'!X54)/1000</f>
        <v>-335.17</v>
      </c>
      <c r="Z62" s="19">
        <f>('Income Statement'!Z54-'Income Statement'!Y54)/1000</f>
        <v>-1050.568</v>
      </c>
    </row>
  </sheetData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Z46"/>
  <sheetViews>
    <sheetView showGridLines="0" zoomScaleNormal="100" workbookViewId="0">
      <pane xSplit="2" ySplit="5" topLeftCell="C13" activePane="bottomRight" state="frozen"/>
      <selection pane="topRight"/>
      <selection pane="bottomLeft"/>
      <selection pane="bottomRight" activeCell="K53" sqref="K53"/>
    </sheetView>
  </sheetViews>
  <sheetFormatPr baseColWidth="10" defaultColWidth="8.83203125" defaultRowHeight="14" outlineLevelCol="1"/>
  <cols>
    <col min="1" max="1" width="46" customWidth="1"/>
    <col min="2" max="2" width="34" hidden="1" customWidth="1" outlineLevel="1"/>
    <col min="3" max="3" width="12" customWidth="1" collapsed="1"/>
    <col min="4" max="12" width="12" customWidth="1"/>
    <col min="13" max="17" width="9" customWidth="1"/>
    <col min="18" max="26" width="12" customWidth="1"/>
  </cols>
  <sheetData>
    <row r="1" spans="1:26" ht="28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3" t="s">
        <v>1</v>
      </c>
    </row>
    <row r="3" spans="1:26"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</row>
    <row r="4" spans="1:26" hidden="1"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8"/>
      <c r="S4" s="8"/>
      <c r="T4" s="8"/>
      <c r="U4" s="8"/>
      <c r="V4" s="8"/>
      <c r="W4" s="8"/>
      <c r="X4" s="8"/>
      <c r="Y4" s="8"/>
      <c r="Z4" s="8"/>
    </row>
    <row r="5" spans="1:26" hidden="1">
      <c r="M5" s="9"/>
      <c r="N5" s="9"/>
      <c r="O5" s="9"/>
      <c r="P5" s="9"/>
      <c r="Q5" s="9"/>
    </row>
    <row r="6" spans="1:26" hidden="1">
      <c r="A6" s="13" t="s">
        <v>253</v>
      </c>
      <c r="M6" s="9"/>
      <c r="N6" s="9"/>
      <c r="O6" s="9"/>
      <c r="P6" s="9"/>
      <c r="Q6" s="9"/>
    </row>
    <row r="7" spans="1:26" hidden="1">
      <c r="A7" s="23" t="str">
        <f>HYPERLINK("#'Operating Metrics'!A13","1. ANNUAL RECURRING REVENUE (ARR)")</f>
        <v>1. ANNUAL RECURRING REVENUE (ARR)</v>
      </c>
      <c r="M7" s="9"/>
      <c r="N7" s="9"/>
      <c r="O7" s="9"/>
      <c r="P7" s="9"/>
      <c r="Q7" s="9"/>
    </row>
    <row r="8" spans="1:26" hidden="1">
      <c r="A8" s="23" t="str">
        <f>HYPERLINK("#'Operating Metrics'!A21","2. CUSTOMERS &amp; EMPLOYEES")</f>
        <v>2. CUSTOMERS &amp; EMPLOYEES</v>
      </c>
      <c r="M8" s="9"/>
      <c r="N8" s="9"/>
      <c r="O8" s="9"/>
      <c r="P8" s="9"/>
      <c r="Q8" s="9"/>
    </row>
    <row r="9" spans="1:26" hidden="1">
      <c r="A9" s="23" t="str">
        <f>HYPERLINK("#'Operating Metrics'!A30","3. BUSINESS MIX &amp; CONCENTRATION")</f>
        <v>3. BUSINESS MIX &amp; CONCENTRATION</v>
      </c>
      <c r="M9" s="9"/>
      <c r="N9" s="9"/>
      <c r="O9" s="9"/>
      <c r="P9" s="9"/>
      <c r="Q9" s="9"/>
    </row>
    <row r="10" spans="1:26" hidden="1">
      <c r="A10" s="23" t="str">
        <f>HYPERLINK("#'Operating Metrics'!A34","4. SBC &amp; EFFICIENCY")</f>
        <v>4. SBC &amp; EFFICIENCY</v>
      </c>
      <c r="M10" s="9"/>
      <c r="N10" s="9"/>
      <c r="O10" s="9"/>
      <c r="P10" s="9"/>
      <c r="Q10" s="9"/>
    </row>
    <row r="11" spans="1:26" hidden="1">
      <c r="A11" s="23"/>
      <c r="M11" s="9"/>
      <c r="N11" s="9"/>
      <c r="O11" s="9"/>
      <c r="P11" s="9"/>
      <c r="Q11" s="9"/>
    </row>
    <row r="12" spans="1:26" ht="8" hidden="1" customHeight="1">
      <c r="M12" s="9"/>
      <c r="N12" s="9"/>
      <c r="O12" s="9"/>
      <c r="P12" s="9"/>
      <c r="Q12" s="9"/>
    </row>
    <row r="13" spans="1:26" ht="20" customHeight="1">
      <c r="A13" s="10" t="s">
        <v>254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9"/>
      <c r="N13" s="9"/>
      <c r="O13" s="9"/>
      <c r="P13" s="9"/>
      <c r="Q13" s="9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1" t="s">
        <v>255</v>
      </c>
      <c r="B14" s="24" t="s">
        <v>256</v>
      </c>
      <c r="D14" s="14">
        <v>412000</v>
      </c>
      <c r="E14" s="14">
        <v>460000</v>
      </c>
      <c r="F14" s="14">
        <v>514000</v>
      </c>
      <c r="G14" s="14">
        <v>582000</v>
      </c>
      <c r="H14" s="14">
        <v>664000</v>
      </c>
      <c r="I14" s="14">
        <v>763000</v>
      </c>
      <c r="J14" s="14">
        <v>864000</v>
      </c>
      <c r="K14" s="14">
        <v>1041000</v>
      </c>
      <c r="L14" s="14">
        <v>1237000</v>
      </c>
      <c r="M14" s="9"/>
      <c r="N14" s="9"/>
      <c r="O14" s="9"/>
      <c r="P14" s="9"/>
      <c r="Q14" s="9"/>
      <c r="R14" s="14">
        <v>770000</v>
      </c>
      <c r="S14" s="14">
        <v>800000</v>
      </c>
      <c r="T14" s="14">
        <v>828000</v>
      </c>
      <c r="U14" s="14">
        <v>874000</v>
      </c>
      <c r="V14" s="14">
        <v>918000</v>
      </c>
      <c r="W14" s="14">
        <v>960000</v>
      </c>
      <c r="X14" s="14">
        <v>1063000</v>
      </c>
      <c r="Y14" s="14">
        <v>1121000</v>
      </c>
      <c r="Z14" s="14">
        <v>1147000</v>
      </c>
    </row>
    <row r="15" spans="1:26">
      <c r="A15" s="16" t="s">
        <v>257</v>
      </c>
      <c r="D15" s="17" t="str">
        <f t="shared" ref="D15:L15" si="0">IF(N(C14)=0,"",D14/C14-1)</f>
        <v/>
      </c>
      <c r="E15" s="17">
        <f t="shared" si="0"/>
        <v>0.11650485436893199</v>
      </c>
      <c r="F15" s="17">
        <f t="shared" si="0"/>
        <v>0.11739130434782608</v>
      </c>
      <c r="G15" s="17">
        <f t="shared" si="0"/>
        <v>0.13229571984435795</v>
      </c>
      <c r="H15" s="17">
        <f t="shared" si="0"/>
        <v>0.14089347079037795</v>
      </c>
      <c r="I15" s="17">
        <f t="shared" si="0"/>
        <v>0.14909638554216875</v>
      </c>
      <c r="J15" s="17">
        <f t="shared" si="0"/>
        <v>0.13237221494102225</v>
      </c>
      <c r="K15" s="17">
        <f t="shared" si="0"/>
        <v>0.20486111111111116</v>
      </c>
      <c r="L15" s="17">
        <f t="shared" si="0"/>
        <v>0.1882804995196925</v>
      </c>
      <c r="M15" s="9"/>
      <c r="N15" s="9"/>
      <c r="O15" s="9"/>
      <c r="P15" s="9"/>
      <c r="Q15" s="9"/>
      <c r="V15" s="17">
        <f>IF(N(S14)=0,"",V14/S14-1)</f>
        <v>0.14749999999999996</v>
      </c>
      <c r="W15" s="17">
        <f>IF(N(T14)=0,"",W14/T14-1)</f>
        <v>0.15942028985507251</v>
      </c>
      <c r="X15" s="17">
        <f>IF(N(U14)=0,"",X14/U14-1)</f>
        <v>0.21624713958810071</v>
      </c>
      <c r="Y15" s="17">
        <f>IF(N(V14)=0,"",Y14/V14-1)</f>
        <v>0.22113289760348587</v>
      </c>
      <c r="Z15" s="17">
        <f>IF(N(W14)=0,"",Z14/W14-1)</f>
        <v>0.1947916666666667</v>
      </c>
    </row>
    <row r="16" spans="1:26">
      <c r="A16" s="16" t="s">
        <v>258</v>
      </c>
      <c r="D16" s="17">
        <f>D14/'Income Statement'!D13</f>
        <v>0.63108008130517168</v>
      </c>
      <c r="E16" s="17">
        <f>E14/'Income Statement'!E13</f>
        <v>0.63932043017925988</v>
      </c>
      <c r="F16" s="17">
        <f>F14/'Income Statement'!F13</f>
        <v>0.69243587895574199</v>
      </c>
      <c r="G16" s="17">
        <f>G14/'Income Statement'!G13</f>
        <v>0.78302951698380263</v>
      </c>
      <c r="H16" s="17">
        <f>H14/'Income Statement'!H13</f>
        <v>0.81711612155340663</v>
      </c>
      <c r="I16" s="17">
        <f>I14/'Income Statement'!I13</f>
        <v>0.84277636824135882</v>
      </c>
      <c r="J16" s="17">
        <f>J14/'Income Statement'!J13</f>
        <v>0.88118576599418463</v>
      </c>
      <c r="K16" s="17">
        <f>K14/'Income Statement'!K13</f>
        <v>0.86572598317281502</v>
      </c>
      <c r="L16" s="17">
        <f>L14/'Income Statement'!L13</f>
        <v>0.8384377268509513</v>
      </c>
      <c r="M16" s="9"/>
      <c r="N16" s="9"/>
      <c r="O16" s="9"/>
      <c r="P16" s="9"/>
      <c r="Q16" s="9"/>
      <c r="R16" s="17">
        <f>R14/'Income Statement'!R13</f>
        <v>3.7125072924250389</v>
      </c>
      <c r="S16" s="17">
        <f>S14/'Income Statement'!S13</f>
        <v>3.3209213896395555</v>
      </c>
      <c r="T16" s="17">
        <f>T14/'Income Statement'!T13</f>
        <v>3.4402812055941965</v>
      </c>
      <c r="U16" s="17">
        <f>U14/'Income Statement'!U13</f>
        <v>3.324445323524825</v>
      </c>
      <c r="V16" s="17">
        <f>V14/'Income Statement'!V13</f>
        <v>3.1712035373773664</v>
      </c>
      <c r="W16" s="17">
        <f>W14/'Income Statement'!W13</f>
        <v>3.2707796721043381</v>
      </c>
      <c r="X16" s="17">
        <f>X14/'Income Statement'!X13</f>
        <v>3.1956565525990639</v>
      </c>
      <c r="Y16" s="17">
        <f>Y14/'Income Statement'!Y13</f>
        <v>3.121736587811025</v>
      </c>
      <c r="Z16" s="17">
        <f>Z14/'Income Statement'!Z13</f>
        <v>3.0788557501053577</v>
      </c>
    </row>
    <row r="17" spans="1:26">
      <c r="M17" s="9"/>
      <c r="N17" s="9"/>
      <c r="O17" s="9"/>
      <c r="P17" s="9"/>
      <c r="Q17" s="9"/>
    </row>
    <row r="18" spans="1:26">
      <c r="A18" s="5" t="s">
        <v>259</v>
      </c>
      <c r="F18" s="19">
        <f t="shared" ref="F18:L18" si="1">F14-E14</f>
        <v>54000</v>
      </c>
      <c r="G18" s="19">
        <f t="shared" si="1"/>
        <v>68000</v>
      </c>
      <c r="H18" s="19">
        <f t="shared" si="1"/>
        <v>82000</v>
      </c>
      <c r="I18" s="19">
        <f t="shared" si="1"/>
        <v>99000</v>
      </c>
      <c r="J18" s="19">
        <f t="shared" si="1"/>
        <v>101000</v>
      </c>
      <c r="K18" s="19">
        <f t="shared" si="1"/>
        <v>177000</v>
      </c>
      <c r="L18" s="19">
        <f t="shared" si="1"/>
        <v>196000</v>
      </c>
      <c r="M18" s="9"/>
      <c r="N18" s="9"/>
      <c r="O18" s="9"/>
      <c r="P18" s="9"/>
      <c r="Q18" s="9"/>
      <c r="R18" s="19">
        <f t="shared" ref="R18:Z18" si="2">R14-Q14</f>
        <v>770000</v>
      </c>
      <c r="S18" s="19">
        <f t="shared" si="2"/>
        <v>30000</v>
      </c>
      <c r="T18" s="19">
        <f t="shared" si="2"/>
        <v>28000</v>
      </c>
      <c r="U18" s="19">
        <f t="shared" si="2"/>
        <v>46000</v>
      </c>
      <c r="V18" s="19">
        <f t="shared" si="2"/>
        <v>44000</v>
      </c>
      <c r="W18" s="19">
        <f t="shared" si="2"/>
        <v>42000</v>
      </c>
      <c r="X18" s="19">
        <f t="shared" si="2"/>
        <v>103000</v>
      </c>
      <c r="Y18" s="19">
        <f t="shared" si="2"/>
        <v>58000</v>
      </c>
      <c r="Z18" s="19">
        <f t="shared" si="2"/>
        <v>26000</v>
      </c>
    </row>
    <row r="19" spans="1:26">
      <c r="A19" s="16" t="s">
        <v>260</v>
      </c>
      <c r="F19" s="17" t="str">
        <f t="shared" ref="F19:L19" si="3">IF(N(E18)=0,"",F18/E18-1)</f>
        <v/>
      </c>
      <c r="G19" s="17">
        <f t="shared" si="3"/>
        <v>0.2592592592592593</v>
      </c>
      <c r="H19" s="17">
        <f t="shared" si="3"/>
        <v>0.20588235294117641</v>
      </c>
      <c r="I19" s="17">
        <f t="shared" si="3"/>
        <v>0.20731707317073167</v>
      </c>
      <c r="J19" s="17">
        <f t="shared" si="3"/>
        <v>2.020202020202011E-2</v>
      </c>
      <c r="K19" s="17">
        <f t="shared" si="3"/>
        <v>0.75247524752475248</v>
      </c>
      <c r="L19" s="17">
        <f t="shared" si="3"/>
        <v>0.10734463276836159</v>
      </c>
      <c r="M19" s="9"/>
      <c r="N19" s="9"/>
      <c r="O19" s="9"/>
      <c r="P19" s="9"/>
      <c r="Q19" s="9"/>
      <c r="V19" s="17">
        <f>IF(N(R18)=0,"",V18/R18-1)</f>
        <v>-0.94285714285714284</v>
      </c>
      <c r="W19" s="17">
        <f>IF(N(S18)=0,"",W18/S18-1)</f>
        <v>0.39999999999999991</v>
      </c>
      <c r="X19" s="17">
        <f>IF(N(T18)=0,"",X18/T18-1)</f>
        <v>2.6785714285714284</v>
      </c>
      <c r="Y19" s="17">
        <f>IF(N(U18)=0,"",Y18/U18-1)</f>
        <v>0.26086956521739135</v>
      </c>
      <c r="Z19" s="17">
        <f>IF(N(V18)=0,"",Z18/V18-1)</f>
        <v>-0.40909090909090906</v>
      </c>
    </row>
    <row r="20" spans="1:26" ht="8" customHeight="1">
      <c r="M20" s="9"/>
      <c r="N20" s="9"/>
      <c r="O20" s="9"/>
      <c r="P20" s="9"/>
      <c r="Q20" s="9"/>
    </row>
    <row r="21" spans="1:26" ht="20" customHeight="1">
      <c r="A21" s="10" t="s">
        <v>261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9"/>
      <c r="N21" s="9"/>
      <c r="O21" s="9"/>
      <c r="P21" s="9"/>
      <c r="Q21" s="9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3" t="s">
        <v>262</v>
      </c>
      <c r="B22" s="24" t="s">
        <v>263</v>
      </c>
      <c r="D22" s="14">
        <v>380</v>
      </c>
      <c r="E22" s="14">
        <v>380</v>
      </c>
      <c r="F22" s="14">
        <v>340</v>
      </c>
      <c r="G22" s="14">
        <v>350</v>
      </c>
      <c r="H22" s="14">
        <v>520</v>
      </c>
      <c r="I22" s="14">
        <v>580</v>
      </c>
      <c r="J22" s="14">
        <v>470</v>
      </c>
      <c r="K22" s="14">
        <v>500</v>
      </c>
      <c r="L22" s="14">
        <v>550</v>
      </c>
      <c r="M22" s="9"/>
      <c r="N22" s="9"/>
      <c r="O22" s="9"/>
      <c r="P22" s="9"/>
      <c r="Q22" s="9"/>
    </row>
    <row r="23" spans="1:26">
      <c r="A23" s="16" t="s">
        <v>264</v>
      </c>
      <c r="D23" t="str">
        <f t="shared" ref="D23:L23" si="4">IF(N(C22)=0,"",D22/C22-1)</f>
        <v/>
      </c>
      <c r="E23" s="17">
        <f t="shared" si="4"/>
        <v>0</v>
      </c>
      <c r="F23" s="17">
        <f t="shared" si="4"/>
        <v>-0.10526315789473684</v>
      </c>
      <c r="G23" s="17">
        <f t="shared" si="4"/>
        <v>2.9411764705882248E-2</v>
      </c>
      <c r="H23" s="17">
        <f t="shared" si="4"/>
        <v>0.48571428571428577</v>
      </c>
      <c r="I23" s="17">
        <f t="shared" si="4"/>
        <v>0.11538461538461542</v>
      </c>
      <c r="J23" s="17">
        <f t="shared" si="4"/>
        <v>-0.18965517241379315</v>
      </c>
      <c r="K23" s="17">
        <f t="shared" si="4"/>
        <v>6.3829787234042534E-2</v>
      </c>
      <c r="L23" s="17">
        <f t="shared" si="4"/>
        <v>0.10000000000000009</v>
      </c>
      <c r="M23" s="9"/>
      <c r="N23" s="9"/>
      <c r="O23" s="9"/>
      <c r="P23" s="9"/>
      <c r="Q23" s="9"/>
    </row>
    <row r="24" spans="1:26">
      <c r="A24" s="13" t="s">
        <v>265</v>
      </c>
      <c r="B24" s="24" t="s">
        <v>266</v>
      </c>
      <c r="E24" s="14">
        <v>2355</v>
      </c>
      <c r="F24" s="14">
        <v>2690</v>
      </c>
      <c r="G24" s="14">
        <v>2942</v>
      </c>
      <c r="H24" s="14">
        <v>3376</v>
      </c>
      <c r="I24" s="14">
        <v>3415</v>
      </c>
      <c r="J24" s="14">
        <v>3469</v>
      </c>
      <c r="K24" s="14">
        <v>3772</v>
      </c>
      <c r="L24" s="14">
        <v>4174</v>
      </c>
      <c r="M24" s="9"/>
      <c r="N24" s="9"/>
      <c r="O24" s="9"/>
      <c r="P24" s="9"/>
      <c r="Q24" s="9"/>
    </row>
    <row r="25" spans="1:26">
      <c r="A25" s="16" t="s">
        <v>267</v>
      </c>
      <c r="E25" s="17" t="str">
        <f t="shared" ref="E25:L25" si="5">IF(N(D24)=0,"",E24/D24-1)</f>
        <v/>
      </c>
      <c r="F25" s="17">
        <f t="shared" si="5"/>
        <v>0.1422505307855626</v>
      </c>
      <c r="G25" s="17">
        <f t="shared" si="5"/>
        <v>9.3680297397769507E-2</v>
      </c>
      <c r="H25" s="17">
        <f t="shared" si="5"/>
        <v>0.14751869476546564</v>
      </c>
      <c r="I25" s="17">
        <f t="shared" si="5"/>
        <v>1.1552132701421858E-2</v>
      </c>
      <c r="J25" s="17">
        <f t="shared" si="5"/>
        <v>1.5812591508052698E-2</v>
      </c>
      <c r="K25" s="17">
        <f t="shared" si="5"/>
        <v>8.7345056212164929E-2</v>
      </c>
      <c r="L25" s="17">
        <f t="shared" si="5"/>
        <v>0.10657476139978783</v>
      </c>
      <c r="M25" s="9"/>
      <c r="N25" s="9"/>
      <c r="O25" s="9"/>
      <c r="P25" s="9"/>
      <c r="Q25" s="9"/>
    </row>
    <row r="26" spans="1:26">
      <c r="M26" s="9"/>
      <c r="N26" s="9"/>
      <c r="O26" s="9"/>
      <c r="P26" s="9"/>
      <c r="Q26" s="9"/>
    </row>
    <row r="27" spans="1:26">
      <c r="A27" s="16" t="s">
        <v>268</v>
      </c>
      <c r="B27" s="24" t="s">
        <v>269</v>
      </c>
      <c r="E27" s="25">
        <f t="shared" ref="E27:L27" si="6">E14/E24</f>
        <v>195.32908704883226</v>
      </c>
      <c r="F27" s="25">
        <f t="shared" si="6"/>
        <v>191.07806691449815</v>
      </c>
      <c r="G27" s="25">
        <f t="shared" si="6"/>
        <v>197.82460910944934</v>
      </c>
      <c r="H27" s="25">
        <f t="shared" si="6"/>
        <v>196.6824644549763</v>
      </c>
      <c r="I27" s="25">
        <f t="shared" si="6"/>
        <v>223.42606149341142</v>
      </c>
      <c r="J27" s="25">
        <f t="shared" si="6"/>
        <v>249.06313058518305</v>
      </c>
      <c r="K27" s="25">
        <f t="shared" si="6"/>
        <v>275.98091198303285</v>
      </c>
      <c r="L27" s="25">
        <f t="shared" si="6"/>
        <v>296.35840919980836</v>
      </c>
      <c r="M27" s="9"/>
      <c r="N27" s="9"/>
      <c r="O27" s="9"/>
      <c r="P27" s="9"/>
      <c r="Q27" s="9"/>
    </row>
    <row r="28" spans="1:26">
      <c r="A28" s="16" t="s">
        <v>270</v>
      </c>
      <c r="B28" s="24" t="s">
        <v>269</v>
      </c>
      <c r="E28" s="25">
        <f>'Income Statement'!E13/E24</f>
        <v>305.52611464968152</v>
      </c>
      <c r="F28" s="25">
        <f>'Income Statement'!F13/F24</f>
        <v>275.95055762081785</v>
      </c>
      <c r="G28" s="25">
        <f>'Income Statement'!G13/G24</f>
        <v>252.6400407885792</v>
      </c>
      <c r="H28" s="25">
        <f>'Income Statement'!H13/H24</f>
        <v>240.7031990521327</v>
      </c>
      <c r="I28" s="25">
        <f>'Income Statement'!I13/I24</f>
        <v>265.10717423133235</v>
      </c>
      <c r="J28" s="25">
        <f>'Income Statement'!J13/J24</f>
        <v>282.64543095993082</v>
      </c>
      <c r="K28" s="25">
        <f>'Income Statement'!K13/K24</f>
        <v>318.78552492046657</v>
      </c>
      <c r="L28" s="25">
        <f>'Income Statement'!L13/L24</f>
        <v>353.46502156205077</v>
      </c>
      <c r="M28" s="9"/>
      <c r="N28" s="9"/>
      <c r="O28" s="9"/>
      <c r="P28" s="9"/>
      <c r="Q28" s="9"/>
    </row>
    <row r="29" spans="1:26" ht="8" customHeight="1">
      <c r="M29" s="9"/>
      <c r="N29" s="9"/>
      <c r="O29" s="9"/>
      <c r="P29" s="9"/>
      <c r="Q29" s="9"/>
    </row>
    <row r="30" spans="1:26" ht="20" customHeight="1">
      <c r="A30" s="10" t="s">
        <v>271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9"/>
      <c r="N30" s="9"/>
      <c r="O30" s="9"/>
      <c r="P30" s="9"/>
      <c r="Q30" s="9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">
        <v>162</v>
      </c>
      <c r="C31" s="26">
        <f>'Income Statement'!C57</f>
        <v>0.13471747659131009</v>
      </c>
      <c r="D31" s="26">
        <f>'Income Statement'!D57</f>
        <v>0.16962268457177693</v>
      </c>
      <c r="E31" s="26">
        <f>'Income Statement'!E57</f>
        <v>0.20913283132781293</v>
      </c>
      <c r="F31" s="26">
        <f>'Income Statement'!F57</f>
        <v>0.27410896030887488</v>
      </c>
      <c r="G31" s="26">
        <f>'Income Statement'!G57</f>
        <v>0.33952536571649217</v>
      </c>
      <c r="H31" s="26">
        <f>'Income Statement'!H57</f>
        <v>0.42296588540192515</v>
      </c>
      <c r="I31" s="26">
        <f>'Income Statement'!I57</f>
        <v>0.47459134182589763</v>
      </c>
      <c r="J31" s="26">
        <f>'Income Statement'!J57</f>
        <v>0.56000885265329725</v>
      </c>
      <c r="K31" s="26">
        <f>'Income Statement'!K57</f>
        <v>0.60816709758919019</v>
      </c>
      <c r="L31" s="26">
        <f>'Income Statement'!L57</f>
        <v>0.65806516769093437</v>
      </c>
      <c r="M31" s="9"/>
      <c r="N31" s="9"/>
      <c r="O31" s="9"/>
      <c r="P31" s="9"/>
      <c r="Q31" s="9"/>
      <c r="R31" s="26">
        <f>'Income Statement'!R57</f>
        <v>0.61534567300042908</v>
      </c>
      <c r="S31" s="26">
        <f>'Income Statement'!S57</f>
        <v>0.54646591696866298</v>
      </c>
      <c r="T31" s="26">
        <f>'Income Statement'!T57</f>
        <v>0.57325555306259812</v>
      </c>
      <c r="U31" s="26">
        <f>'Income Statement'!U57</f>
        <v>0.6456498834161909</v>
      </c>
      <c r="V31" s="26">
        <f>'Income Statement'!V57</f>
        <v>0.61433605084979959</v>
      </c>
      <c r="W31" s="26">
        <f>'Income Statement'!W57</f>
        <v>0.61948226283440311</v>
      </c>
      <c r="X31" s="26">
        <f>'Income Statement'!X57</f>
        <v>0.66800044492678246</v>
      </c>
      <c r="Y31" s="26">
        <f>'Income Statement'!Y57</f>
        <v>0.6605744997841797</v>
      </c>
      <c r="Z31" s="26">
        <f>'Income Statement'!Z57</f>
        <v>0.65694245734026591</v>
      </c>
    </row>
    <row r="32" spans="1:26">
      <c r="A32" s="5" t="s">
        <v>272</v>
      </c>
      <c r="B32" s="24" t="s">
        <v>273</v>
      </c>
      <c r="C32" s="27">
        <v>0.27</v>
      </c>
      <c r="D32" s="27">
        <v>0.31</v>
      </c>
      <c r="E32" s="27">
        <v>0.31</v>
      </c>
      <c r="F32" s="27">
        <v>0.31</v>
      </c>
      <c r="G32" s="27">
        <v>0.31</v>
      </c>
      <c r="H32" s="27">
        <v>0.27</v>
      </c>
      <c r="I32" s="27">
        <v>0.23</v>
      </c>
      <c r="J32" s="27">
        <v>0.23</v>
      </c>
      <c r="K32" s="27">
        <v>0.2</v>
      </c>
      <c r="L32" s="27">
        <v>0.21</v>
      </c>
      <c r="M32" s="9"/>
      <c r="N32" s="9"/>
      <c r="O32" s="9"/>
      <c r="P32" s="9"/>
      <c r="Q32" s="9"/>
    </row>
    <row r="33" spans="1:26" ht="8" customHeight="1">
      <c r="M33" s="9"/>
      <c r="N33" s="9"/>
      <c r="O33" s="9"/>
      <c r="P33" s="9"/>
      <c r="Q33" s="9"/>
    </row>
    <row r="34" spans="1:26" ht="20" customHeight="1">
      <c r="A34" s="10" t="s">
        <v>274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9"/>
      <c r="N34" s="9"/>
      <c r="O34" s="9"/>
      <c r="P34" s="9"/>
      <c r="Q34" s="9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3" t="s">
        <v>275</v>
      </c>
      <c r="C35" s="28">
        <f>'Cash Flow Statement'!C12</f>
        <v>71794</v>
      </c>
      <c r="D35" s="28">
        <f>'Cash Flow Statement'!D12</f>
        <v>89614</v>
      </c>
      <c r="E35" s="28">
        <f>'Cash Flow Statement'!E12</f>
        <v>91516</v>
      </c>
      <c r="F35" s="28">
        <f>'Cash Flow Statement'!F12</f>
        <v>101817</v>
      </c>
      <c r="G35" s="28">
        <f>'Cash Flow Statement'!G12</f>
        <v>115009</v>
      </c>
      <c r="H35" s="28">
        <f>'Cash Flow Statement'!H12</f>
        <v>137011</v>
      </c>
      <c r="I35" s="28">
        <f>'Cash Flow Statement'!I12</f>
        <v>142842</v>
      </c>
      <c r="J35" s="28">
        <f>'Cash Flow Statement'!J12</f>
        <v>146460</v>
      </c>
      <c r="K35" s="28">
        <f>'Cash Flow Statement'!K12</f>
        <v>161556</v>
      </c>
      <c r="L35" s="28">
        <f>'Cash Flow Statement'!L12</f>
        <v>181799</v>
      </c>
      <c r="M35" s="9"/>
      <c r="N35" s="9"/>
      <c r="O35" s="9"/>
      <c r="P35" s="9"/>
      <c r="Q35" s="9"/>
      <c r="R35" s="28">
        <f>'Cash Flow Statement'!R12</f>
        <v>36097</v>
      </c>
      <c r="S35" s="28">
        <f>'Cash Flow Statement'!S12</f>
        <v>72524</v>
      </c>
      <c r="T35" s="28">
        <f>'Cash Flow Statement'!T12</f>
        <v>109174</v>
      </c>
      <c r="U35" s="28">
        <f>'Cash Flow Statement'!U12</f>
        <v>38060</v>
      </c>
      <c r="V35" s="28">
        <f>'Cash Flow Statement'!V12</f>
        <v>79008</v>
      </c>
      <c r="W35" s="28">
        <f>'Cash Flow Statement'!W12</f>
        <v>119365</v>
      </c>
      <c r="X35" s="28">
        <f>'Cash Flow Statement'!X12</f>
        <v>43316</v>
      </c>
      <c r="Y35" s="28">
        <f>'Cash Flow Statement'!Y12</f>
        <v>90074</v>
      </c>
      <c r="Z35" s="28">
        <f>'Cash Flow Statement'!Z12</f>
        <v>135015</v>
      </c>
    </row>
    <row r="36" spans="1:26">
      <c r="A36" s="16" t="s">
        <v>276</v>
      </c>
      <c r="C36" s="17">
        <f>'Cash Flow Statement'!C12/'Income Statement'!C13</f>
        <v>0.14090157065391251</v>
      </c>
      <c r="D36" s="17">
        <f>'Cash Flow Statement'!D12/'Income Statement'!D13</f>
        <v>0.13726604467495546</v>
      </c>
      <c r="E36" s="17">
        <f>'Cash Flow Statement'!E12/'Income Statement'!E13</f>
        <v>0.12719140975714163</v>
      </c>
      <c r="F36" s="17">
        <f>'Cash Flow Statement'!F12/'Income Statement'!F13</f>
        <v>0.13716292585143344</v>
      </c>
      <c r="G36" s="17">
        <f>'Cash Flow Statement'!G12/'Income Statement'!G13</f>
        <v>0.1547344359429384</v>
      </c>
      <c r="H36" s="17">
        <f>'Cash Flow Statement'!H12/'Income Statement'!H13</f>
        <v>0.16860526646107499</v>
      </c>
      <c r="I36" s="17">
        <f>'Cash Flow Statement'!I12/'Income Statement'!I13</f>
        <v>0.15777701440672631</v>
      </c>
      <c r="J36" s="17">
        <f>'Cash Flow Statement'!J12/'Income Statement'!J13</f>
        <v>0.14937322602720865</v>
      </c>
      <c r="K36" s="17">
        <f>'Cash Flow Statement'!K12/'Income Statement'!K13</f>
        <v>0.13435468485827792</v>
      </c>
      <c r="L36" s="17">
        <f>'Cash Flow Statement'!L12/'Income Statement'!L13</f>
        <v>0.12322323387532425</v>
      </c>
      <c r="M36" s="9"/>
      <c r="N36" s="9"/>
      <c r="O36" s="9"/>
      <c r="P36" s="9"/>
      <c r="Q36" s="9"/>
      <c r="R36" s="17">
        <f>'Cash Flow Statement'!R12/'Income Statement'!R13</f>
        <v>0.17403944900606055</v>
      </c>
      <c r="S36" s="17">
        <f>'Cash Flow Statement'!S12/'Income Statement'!S13</f>
        <v>0.30105812857777392</v>
      </c>
      <c r="T36" s="17">
        <f>'Cash Flow Statement'!T12/'Income Statement'!T13</f>
        <v>0.45361021780137778</v>
      </c>
      <c r="U36" s="17">
        <f>'Cash Flow Statement'!U12/'Income Statement'!U13</f>
        <v>0.14476932381390714</v>
      </c>
      <c r="V36" s="17">
        <f>'Cash Flow Statement'!V12/'Income Statement'!V13</f>
        <v>0.27293077241951086</v>
      </c>
      <c r="W36" s="17">
        <f>'Cash Flow Statement'!W12/'Income Statement'!W13</f>
        <v>0.40668397454243155</v>
      </c>
      <c r="X36" s="17">
        <f>'Cash Flow Statement'!X12/'Income Statement'!X13</f>
        <v>0.13021924669085705</v>
      </c>
      <c r="Y36" s="17">
        <f>'Cash Flow Statement'!Y12/'Income Statement'!Y13</f>
        <v>0.25083612971497793</v>
      </c>
      <c r="Z36" s="17">
        <f>'Cash Flow Statement'!Z12/'Income Statement'!Z13</f>
        <v>0.36241648570224483</v>
      </c>
    </row>
    <row r="37" spans="1:26">
      <c r="A37" s="16" t="s">
        <v>277</v>
      </c>
      <c r="B37" s="24" t="s">
        <v>269</v>
      </c>
      <c r="E37" s="25">
        <f>'Cash Flow Statement'!E12/E24</f>
        <v>38.860297239915077</v>
      </c>
      <c r="F37" s="25">
        <f>'Cash Flow Statement'!F12/F24</f>
        <v>37.850185873605945</v>
      </c>
      <c r="G37" s="25">
        <f>'Cash Flow Statement'!G12/G24</f>
        <v>39.092114208021755</v>
      </c>
      <c r="H37" s="25">
        <f>'Cash Flow Statement'!H12/H24</f>
        <v>40.583827014218009</v>
      </c>
      <c r="I37" s="25">
        <f>'Cash Flow Statement'!I12/I24</f>
        <v>41.827818448023429</v>
      </c>
      <c r="J37" s="25">
        <f>'Cash Flow Statement'!J12/J24</f>
        <v>42.219659844335546</v>
      </c>
      <c r="K37" s="25">
        <f>'Cash Flow Statement'!K12/K24</f>
        <v>42.830328738069987</v>
      </c>
      <c r="L37" s="25">
        <f>'Cash Flow Statement'!L12/L24</f>
        <v>43.555103018687113</v>
      </c>
      <c r="M37" s="9"/>
      <c r="N37" s="9"/>
      <c r="O37" s="9"/>
      <c r="P37" s="9"/>
      <c r="Q37" s="9"/>
    </row>
    <row r="38" spans="1:26">
      <c r="M38" s="9"/>
      <c r="N38" s="9"/>
      <c r="O38" s="9"/>
      <c r="P38" s="9"/>
      <c r="Q38" s="9"/>
    </row>
    <row r="39" spans="1:26">
      <c r="A39" s="13"/>
      <c r="B39" s="24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9"/>
      <c r="N39" s="9"/>
      <c r="O39" s="9"/>
      <c r="P39" s="9"/>
      <c r="Q39" s="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8" customHeight="1">
      <c r="M40" s="9"/>
      <c r="N40" s="9"/>
      <c r="O40" s="9"/>
      <c r="P40" s="9"/>
      <c r="Q40" s="9"/>
    </row>
    <row r="41" spans="1:26" ht="20" customHeight="1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9"/>
      <c r="N41" s="9"/>
      <c r="O41" s="9"/>
      <c r="P41" s="9"/>
      <c r="Q41" s="9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13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9"/>
      <c r="N42" s="9"/>
      <c r="O42" s="9"/>
      <c r="P42" s="9"/>
      <c r="Q42" s="9"/>
      <c r="R42" s="28"/>
      <c r="S42" s="28"/>
      <c r="T42" s="28"/>
      <c r="U42" s="28"/>
      <c r="V42" s="28"/>
      <c r="W42" s="28"/>
      <c r="X42" s="28"/>
      <c r="Y42" s="28"/>
      <c r="Z42" s="28"/>
    </row>
    <row r="43" spans="1:26">
      <c r="A43" s="11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9"/>
      <c r="N43" s="9"/>
      <c r="O43" s="9"/>
      <c r="P43" s="9"/>
      <c r="Q43" s="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3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9"/>
      <c r="N44" s="9"/>
      <c r="O44" s="9"/>
      <c r="P44" s="9"/>
      <c r="Q44" s="9"/>
      <c r="R44" s="21"/>
      <c r="S44" s="21"/>
      <c r="T44" s="21"/>
      <c r="U44" s="21"/>
      <c r="V44" s="21"/>
      <c r="W44" s="21"/>
      <c r="X44" s="21"/>
      <c r="Y44" s="21"/>
      <c r="Z44" s="21"/>
    </row>
    <row r="45" spans="1:26">
      <c r="A45" s="16"/>
      <c r="D45" s="17"/>
      <c r="E45" s="17"/>
      <c r="F45" s="17"/>
      <c r="G45" s="17"/>
      <c r="H45" s="17"/>
      <c r="I45" s="17"/>
      <c r="J45" s="17"/>
      <c r="K45" s="17"/>
      <c r="L45" s="17"/>
      <c r="M45" s="9"/>
      <c r="N45" s="9"/>
      <c r="O45" s="9"/>
      <c r="P45" s="9"/>
      <c r="Q45" s="9"/>
      <c r="V45" s="17"/>
      <c r="W45" s="17"/>
      <c r="X45" s="17"/>
      <c r="Y45" s="17"/>
      <c r="Z45" s="17"/>
    </row>
    <row r="46" spans="1:26">
      <c r="M46" s="9"/>
      <c r="N46" s="9"/>
      <c r="O46" s="9"/>
      <c r="P46" s="9"/>
      <c r="Q46" s="9"/>
    </row>
  </sheetData>
  <phoneticPr fontId="16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Z19"/>
  <sheetViews>
    <sheetView showGridLines="0" zoomScale="85" workbookViewId="0">
      <pane xSplit="2" ySplit="5" topLeftCell="J6" activePane="bottomRight" state="frozen"/>
      <selection pane="topRight"/>
      <selection pane="bottomLeft"/>
      <selection pane="bottomRight" activeCell="Q50" sqref="Q50"/>
    </sheetView>
  </sheetViews>
  <sheetFormatPr baseColWidth="10" defaultColWidth="8.83203125" defaultRowHeight="14"/>
  <cols>
    <col min="1" max="1" width="46" customWidth="1"/>
    <col min="2" max="2" width="2" customWidth="1"/>
    <col min="3" max="9" width="12" hidden="1" customWidth="1"/>
    <col min="10" max="12" width="12" customWidth="1"/>
    <col min="13" max="17" width="9" customWidth="1"/>
    <col min="18" max="26" width="12" customWidth="1"/>
  </cols>
  <sheetData>
    <row r="1" spans="1:26" ht="28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3" t="s">
        <v>1</v>
      </c>
    </row>
    <row r="3" spans="1:26"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</row>
    <row r="4" spans="1:26" hidden="1"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8"/>
      <c r="S4" s="8"/>
      <c r="T4" s="8"/>
      <c r="U4" s="8"/>
      <c r="V4" s="8"/>
      <c r="W4" s="8"/>
      <c r="X4" s="8"/>
      <c r="Y4" s="8"/>
      <c r="Z4" s="8"/>
    </row>
    <row r="5" spans="1:26" ht="8" hidden="1" customHeight="1">
      <c r="M5" s="9"/>
      <c r="N5" s="9"/>
      <c r="O5" s="9"/>
      <c r="P5" s="9"/>
      <c r="Q5" s="9"/>
    </row>
    <row r="6" spans="1:26" ht="20" customHeight="1">
      <c r="A6" s="10" t="s">
        <v>279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 t="s">
        <v>280</v>
      </c>
      <c r="J7" s="12">
        <v>632568</v>
      </c>
      <c r="K7" s="12">
        <v>770859</v>
      </c>
      <c r="L7" s="12">
        <v>937854</v>
      </c>
      <c r="M7" s="9"/>
      <c r="N7" s="9"/>
      <c r="O7" s="9"/>
      <c r="P7" s="9"/>
      <c r="Q7" s="9"/>
    </row>
    <row r="8" spans="1:26">
      <c r="A8" s="5" t="s">
        <v>281</v>
      </c>
      <c r="J8" s="12">
        <v>105761</v>
      </c>
      <c r="K8" s="12">
        <v>141381</v>
      </c>
      <c r="L8" s="12">
        <v>175040</v>
      </c>
      <c r="M8" s="9"/>
      <c r="N8" s="9"/>
      <c r="O8" s="9"/>
      <c r="P8" s="9"/>
      <c r="Q8" s="9"/>
    </row>
    <row r="9" spans="1:26">
      <c r="A9" s="5" t="s">
        <v>282</v>
      </c>
      <c r="J9" s="12">
        <v>11493</v>
      </c>
      <c r="K9" s="12">
        <v>11660</v>
      </c>
      <c r="L9" s="12">
        <v>20874</v>
      </c>
      <c r="M9" s="9"/>
      <c r="N9" s="9"/>
      <c r="O9" s="9"/>
      <c r="P9" s="9"/>
      <c r="Q9" s="9"/>
    </row>
    <row r="10" spans="1:26">
      <c r="A10" s="5" t="s">
        <v>283</v>
      </c>
      <c r="J10" s="12">
        <v>749822</v>
      </c>
      <c r="K10" s="12">
        <v>923900</v>
      </c>
      <c r="L10" s="12">
        <v>1133768</v>
      </c>
      <c r="M10" s="9"/>
      <c r="N10" s="9"/>
      <c r="O10" s="9"/>
      <c r="P10" s="9"/>
      <c r="Q10" s="9"/>
    </row>
    <row r="11" spans="1:26">
      <c r="A11" s="5" t="s">
        <v>284</v>
      </c>
      <c r="J11" s="12">
        <v>154434</v>
      </c>
      <c r="K11" s="12">
        <v>183584</v>
      </c>
      <c r="L11" s="12">
        <v>226885</v>
      </c>
      <c r="M11" s="9"/>
      <c r="N11" s="9"/>
      <c r="O11" s="9"/>
      <c r="P11" s="9"/>
      <c r="Q11" s="9"/>
    </row>
    <row r="12" spans="1:26">
      <c r="A12" s="5" t="s">
        <v>285</v>
      </c>
      <c r="J12" s="12">
        <v>76241</v>
      </c>
      <c r="K12" s="12">
        <v>94975</v>
      </c>
      <c r="L12" s="12">
        <v>114710</v>
      </c>
      <c r="M12" s="9"/>
      <c r="N12" s="9"/>
      <c r="O12" s="9"/>
      <c r="P12" s="9"/>
      <c r="Q12" s="9"/>
    </row>
    <row r="13" spans="1:26">
      <c r="A13" s="5" t="s">
        <v>286</v>
      </c>
      <c r="J13" s="12">
        <v>980497</v>
      </c>
      <c r="K13" s="12">
        <v>1202459</v>
      </c>
      <c r="L13" s="12">
        <v>1475363</v>
      </c>
      <c r="M13" s="9"/>
      <c r="N13" s="9"/>
      <c r="O13" s="9"/>
      <c r="P13" s="9"/>
      <c r="Q13" s="9"/>
    </row>
    <row r="14" spans="1:26" ht="8" customHeight="1">
      <c r="M14" s="9"/>
      <c r="N14" s="9"/>
      <c r="O14" s="9"/>
      <c r="P14" s="9"/>
      <c r="Q14" s="9"/>
    </row>
    <row r="15" spans="1:26" ht="20" customHeight="1">
      <c r="A15" s="10" t="s">
        <v>287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9"/>
      <c r="N15" s="9"/>
      <c r="O15" s="9"/>
      <c r="P15" s="9"/>
      <c r="Q15" s="9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 t="s">
        <v>288</v>
      </c>
      <c r="C16" s="15" t="e">
        <f t="shared" ref="C16:L16" si="0">C10/C13</f>
        <v>#DIV/0!</v>
      </c>
      <c r="D16" s="15" t="e">
        <f t="shared" si="0"/>
        <v>#DIV/0!</v>
      </c>
      <c r="E16" s="15" t="e">
        <f t="shared" si="0"/>
        <v>#DIV/0!</v>
      </c>
      <c r="F16" s="15" t="e">
        <f t="shared" si="0"/>
        <v>#DIV/0!</v>
      </c>
      <c r="G16" s="15" t="e">
        <f t="shared" si="0"/>
        <v>#DIV/0!</v>
      </c>
      <c r="H16" s="15" t="e">
        <f t="shared" si="0"/>
        <v>#DIV/0!</v>
      </c>
      <c r="I16" s="15" t="e">
        <f t="shared" si="0"/>
        <v>#DIV/0!</v>
      </c>
      <c r="J16" s="15">
        <f t="shared" si="0"/>
        <v>0.76473665906167998</v>
      </c>
      <c r="K16" s="15">
        <f t="shared" si="0"/>
        <v>0.76834220543070486</v>
      </c>
      <c r="L16" s="15">
        <f t="shared" si="0"/>
        <v>0.76846715011830991</v>
      </c>
      <c r="M16" s="9"/>
      <c r="N16" s="9"/>
      <c r="O16" s="9"/>
      <c r="P16" s="9"/>
      <c r="Q16" s="9"/>
      <c r="R16" s="15" t="e">
        <f t="shared" ref="R16:Z16" si="1">R10/R13</f>
        <v>#DIV/0!</v>
      </c>
      <c r="S16" s="15" t="e">
        <f t="shared" si="1"/>
        <v>#DIV/0!</v>
      </c>
      <c r="T16" s="15" t="e">
        <f t="shared" si="1"/>
        <v>#DIV/0!</v>
      </c>
      <c r="U16" s="15" t="e">
        <f t="shared" si="1"/>
        <v>#DIV/0!</v>
      </c>
      <c r="V16" s="15" t="e">
        <f t="shared" si="1"/>
        <v>#DIV/0!</v>
      </c>
      <c r="W16" s="15" t="e">
        <f t="shared" si="1"/>
        <v>#DIV/0!</v>
      </c>
      <c r="X16" s="15" t="e">
        <f t="shared" si="1"/>
        <v>#DIV/0!</v>
      </c>
      <c r="Y16" s="15" t="e">
        <f t="shared" si="1"/>
        <v>#DIV/0!</v>
      </c>
      <c r="Z16" s="15" t="e">
        <f t="shared" si="1"/>
        <v>#DIV/0!</v>
      </c>
    </row>
    <row r="17" spans="1:26">
      <c r="A17" s="5" t="s">
        <v>289</v>
      </c>
      <c r="C17" s="15" t="e">
        <f t="shared" ref="C17:L17" si="2">C11/C13</f>
        <v>#DIV/0!</v>
      </c>
      <c r="D17" s="15" t="e">
        <f t="shared" si="2"/>
        <v>#DIV/0!</v>
      </c>
      <c r="E17" s="15" t="e">
        <f t="shared" si="2"/>
        <v>#DIV/0!</v>
      </c>
      <c r="F17" s="15" t="e">
        <f t="shared" si="2"/>
        <v>#DIV/0!</v>
      </c>
      <c r="G17" s="15" t="e">
        <f t="shared" si="2"/>
        <v>#DIV/0!</v>
      </c>
      <c r="H17" s="15" t="e">
        <f t="shared" si="2"/>
        <v>#DIV/0!</v>
      </c>
      <c r="I17" s="15" t="e">
        <f t="shared" si="2"/>
        <v>#DIV/0!</v>
      </c>
      <c r="J17" s="15">
        <f t="shared" si="2"/>
        <v>0.15750583632586332</v>
      </c>
      <c r="K17" s="15">
        <f t="shared" si="2"/>
        <v>0.15267381257905674</v>
      </c>
      <c r="L17" s="15">
        <f t="shared" si="2"/>
        <v>0.15378249285091194</v>
      </c>
      <c r="M17" s="9"/>
      <c r="N17" s="9"/>
      <c r="O17" s="9"/>
      <c r="P17" s="9"/>
      <c r="Q17" s="9"/>
      <c r="R17" s="15" t="e">
        <f t="shared" ref="R17:Z17" si="3">R11/R13</f>
        <v>#DIV/0!</v>
      </c>
      <c r="S17" s="15" t="e">
        <f t="shared" si="3"/>
        <v>#DIV/0!</v>
      </c>
      <c r="T17" s="15" t="e">
        <f t="shared" si="3"/>
        <v>#DIV/0!</v>
      </c>
      <c r="U17" s="15" t="e">
        <f t="shared" si="3"/>
        <v>#DIV/0!</v>
      </c>
      <c r="V17" s="15" t="e">
        <f t="shared" si="3"/>
        <v>#DIV/0!</v>
      </c>
      <c r="W17" s="15" t="e">
        <f t="shared" si="3"/>
        <v>#DIV/0!</v>
      </c>
      <c r="X17" s="15" t="e">
        <f t="shared" si="3"/>
        <v>#DIV/0!</v>
      </c>
      <c r="Y17" s="15" t="e">
        <f t="shared" si="3"/>
        <v>#DIV/0!</v>
      </c>
      <c r="Z17" s="15" t="e">
        <f t="shared" si="3"/>
        <v>#DIV/0!</v>
      </c>
    </row>
    <row r="18" spans="1:26">
      <c r="A18" s="5" t="s">
        <v>290</v>
      </c>
      <c r="C18" s="15" t="e">
        <f t="shared" ref="C18:L18" si="4">C12/C13</f>
        <v>#DIV/0!</v>
      </c>
      <c r="D18" s="15" t="e">
        <f t="shared" si="4"/>
        <v>#DIV/0!</v>
      </c>
      <c r="E18" s="15" t="e">
        <f t="shared" si="4"/>
        <v>#DIV/0!</v>
      </c>
      <c r="F18" s="15" t="e">
        <f t="shared" si="4"/>
        <v>#DIV/0!</v>
      </c>
      <c r="G18" s="15" t="e">
        <f t="shared" si="4"/>
        <v>#DIV/0!</v>
      </c>
      <c r="H18" s="15" t="e">
        <f t="shared" si="4"/>
        <v>#DIV/0!</v>
      </c>
      <c r="I18" s="15" t="e">
        <f t="shared" si="4"/>
        <v>#DIV/0!</v>
      </c>
      <c r="J18" s="15">
        <f t="shared" si="4"/>
        <v>7.7757504612456743E-2</v>
      </c>
      <c r="K18" s="15">
        <f t="shared" si="4"/>
        <v>7.8983981990238331E-2</v>
      </c>
      <c r="L18" s="15">
        <f t="shared" si="4"/>
        <v>7.7750357030778192E-2</v>
      </c>
      <c r="M18" s="9"/>
      <c r="N18" s="9"/>
      <c r="O18" s="9"/>
      <c r="P18" s="9"/>
      <c r="Q18" s="9"/>
      <c r="R18" s="15" t="e">
        <f t="shared" ref="R18:Z18" si="5">R12/R13</f>
        <v>#DIV/0!</v>
      </c>
      <c r="S18" s="15" t="e">
        <f t="shared" si="5"/>
        <v>#DIV/0!</v>
      </c>
      <c r="T18" s="15" t="e">
        <f t="shared" si="5"/>
        <v>#DIV/0!</v>
      </c>
      <c r="U18" s="15" t="e">
        <f t="shared" si="5"/>
        <v>#DIV/0!</v>
      </c>
      <c r="V18" s="15" t="e">
        <f t="shared" si="5"/>
        <v>#DIV/0!</v>
      </c>
      <c r="W18" s="15" t="e">
        <f t="shared" si="5"/>
        <v>#DIV/0!</v>
      </c>
      <c r="X18" s="15" t="e">
        <f t="shared" si="5"/>
        <v>#DIV/0!</v>
      </c>
      <c r="Y18" s="15" t="e">
        <f t="shared" si="5"/>
        <v>#DIV/0!</v>
      </c>
      <c r="Z18" s="15" t="e">
        <f t="shared" si="5"/>
        <v>#DIV/0!</v>
      </c>
    </row>
    <row r="19" spans="1:26">
      <c r="M19" s="9"/>
      <c r="N19" s="9"/>
      <c r="O19" s="9"/>
      <c r="P19" s="9"/>
      <c r="Q19" s="9"/>
    </row>
  </sheetData>
  <phoneticPr fontId="1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Z31"/>
  <sheetViews>
    <sheetView showGridLines="0" zoomScaleNormal="100" workbookViewId="0">
      <pane xSplit="2" ySplit="5" topLeftCell="C9" activePane="bottomRight" state="frozen"/>
      <selection pane="topRight"/>
      <selection pane="bottomLeft"/>
      <selection pane="bottomRight" activeCell="D49" sqref="D49"/>
    </sheetView>
  </sheetViews>
  <sheetFormatPr baseColWidth="10" defaultColWidth="8.83203125" defaultRowHeight="14"/>
  <cols>
    <col min="1" max="1" width="46" customWidth="1"/>
    <col min="2" max="2" width="2" customWidth="1"/>
    <col min="3" max="12" width="12" customWidth="1"/>
    <col min="13" max="17" width="9" customWidth="1"/>
    <col min="18" max="26" width="12" customWidth="1"/>
  </cols>
  <sheetData>
    <row r="1" spans="1:26" ht="28" customHeight="1">
      <c r="A1" s="1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3" t="s">
        <v>1</v>
      </c>
    </row>
    <row r="3" spans="1:26"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</row>
    <row r="4" spans="1:26"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8"/>
      <c r="S4" s="8"/>
      <c r="T4" s="8"/>
      <c r="U4" s="8"/>
      <c r="V4" s="8"/>
      <c r="W4" s="8"/>
      <c r="X4" s="8"/>
      <c r="Y4" s="8"/>
      <c r="Z4" s="8"/>
    </row>
    <row r="5" spans="1:26" ht="8" customHeight="1">
      <c r="M5" s="9"/>
      <c r="N5" s="9"/>
      <c r="O5" s="9"/>
      <c r="P5" s="9"/>
      <c r="Q5" s="9"/>
    </row>
    <row r="6" spans="1:26" ht="20" customHeight="1">
      <c r="A6" s="10" t="s">
        <v>292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 t="s">
        <v>293</v>
      </c>
      <c r="K7" s="12">
        <v>690000</v>
      </c>
      <c r="L7" s="12">
        <v>690000</v>
      </c>
      <c r="M7" s="9"/>
      <c r="N7" s="9"/>
      <c r="O7" s="9"/>
      <c r="P7" s="9"/>
      <c r="Q7" s="9"/>
    </row>
    <row r="8" spans="1:26">
      <c r="A8" s="5" t="s">
        <v>294</v>
      </c>
      <c r="K8" s="12">
        <v>-15432</v>
      </c>
      <c r="L8" s="12">
        <v>-11906</v>
      </c>
      <c r="M8" s="9"/>
      <c r="N8" s="9"/>
      <c r="O8" s="9"/>
      <c r="P8" s="9"/>
      <c r="Q8" s="9"/>
    </row>
    <row r="9" spans="1:26">
      <c r="A9" s="13" t="s">
        <v>295</v>
      </c>
      <c r="K9" s="14">
        <v>674568</v>
      </c>
      <c r="L9" s="14">
        <v>678094</v>
      </c>
      <c r="M9" s="9"/>
      <c r="N9" s="9"/>
      <c r="O9" s="9"/>
      <c r="P9" s="9"/>
      <c r="Q9" s="9"/>
    </row>
    <row r="10" spans="1:26" ht="8" customHeight="1">
      <c r="M10" s="9"/>
      <c r="N10" s="9"/>
      <c r="O10" s="9"/>
      <c r="P10" s="9"/>
      <c r="Q10" s="9"/>
    </row>
    <row r="11" spans="1:26" ht="20" customHeight="1">
      <c r="A11" s="10" t="s">
        <v>296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9"/>
      <c r="N11" s="9"/>
      <c r="O11" s="9"/>
      <c r="P11" s="9"/>
      <c r="Q11" s="9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 t="s">
        <v>297</v>
      </c>
      <c r="K12" s="12">
        <v>8117</v>
      </c>
      <c r="L12" s="12">
        <v>11942</v>
      </c>
      <c r="M12" s="9"/>
      <c r="N12" s="9"/>
      <c r="O12" s="9"/>
      <c r="P12" s="9"/>
      <c r="Q12" s="9"/>
    </row>
    <row r="13" spans="1:26">
      <c r="A13" s="5" t="s">
        <v>298</v>
      </c>
      <c r="K13" s="12">
        <v>3533</v>
      </c>
      <c r="L13" s="12">
        <v>4201</v>
      </c>
      <c r="M13" s="9"/>
      <c r="N13" s="9"/>
      <c r="O13" s="9"/>
      <c r="P13" s="9"/>
      <c r="Q13" s="9"/>
    </row>
    <row r="14" spans="1:26">
      <c r="A14" s="5" t="s">
        <v>299</v>
      </c>
      <c r="K14" s="12">
        <v>392</v>
      </c>
      <c r="L14" s="12">
        <v>263</v>
      </c>
      <c r="M14" s="9"/>
      <c r="N14" s="9"/>
      <c r="O14" s="9"/>
      <c r="P14" s="9"/>
      <c r="Q14" s="9"/>
    </row>
    <row r="15" spans="1:26">
      <c r="A15" s="13" t="s">
        <v>300</v>
      </c>
      <c r="K15" s="14">
        <v>12042</v>
      </c>
      <c r="L15" s="14">
        <v>16406</v>
      </c>
      <c r="M15" s="9"/>
      <c r="N15" s="9"/>
      <c r="O15" s="9"/>
      <c r="P15" s="9"/>
      <c r="Q15" s="9"/>
    </row>
    <row r="16" spans="1:26" ht="8" customHeight="1">
      <c r="M16" s="9"/>
      <c r="N16" s="9"/>
      <c r="O16" s="9"/>
      <c r="P16" s="9"/>
      <c r="Q16" s="9"/>
    </row>
    <row r="17" spans="1:26" ht="20" customHeight="1">
      <c r="A17" s="10" t="s">
        <v>301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9"/>
      <c r="N17" s="9"/>
      <c r="O17" s="9"/>
      <c r="P17" s="9"/>
      <c r="Q17" s="9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 t="s">
        <v>302</v>
      </c>
      <c r="J18" s="12">
        <v>12537</v>
      </c>
      <c r="K18" s="12">
        <v>13167</v>
      </c>
      <c r="L18" s="12">
        <v>14042</v>
      </c>
      <c r="M18" s="9"/>
      <c r="N18" s="9"/>
      <c r="O18" s="9"/>
      <c r="P18" s="9"/>
      <c r="Q18" s="9"/>
    </row>
    <row r="19" spans="1:26">
      <c r="A19" s="5" t="s">
        <v>303</v>
      </c>
      <c r="J19" s="12">
        <v>2344</v>
      </c>
      <c r="K19" s="12">
        <v>2428</v>
      </c>
      <c r="L19" s="12">
        <v>3777</v>
      </c>
      <c r="M19" s="9"/>
      <c r="N19" s="9"/>
      <c r="O19" s="9"/>
      <c r="P19" s="9"/>
      <c r="Q19" s="9"/>
    </row>
    <row r="20" spans="1:26">
      <c r="A20" s="5" t="s">
        <v>304</v>
      </c>
      <c r="J20" s="12">
        <v>14881</v>
      </c>
      <c r="K20" s="12">
        <v>15595</v>
      </c>
      <c r="L20" s="12">
        <v>17819</v>
      </c>
      <c r="M20" s="9"/>
      <c r="N20" s="9"/>
      <c r="O20" s="9"/>
      <c r="P20" s="9"/>
      <c r="Q20" s="9"/>
    </row>
    <row r="21" spans="1:26">
      <c r="A21" s="5" t="s">
        <v>189</v>
      </c>
      <c r="K21" s="12">
        <v>39309</v>
      </c>
      <c r="L21" s="12">
        <v>34404</v>
      </c>
      <c r="M21" s="9"/>
      <c r="N21" s="9"/>
      <c r="O21" s="9"/>
      <c r="P21" s="9"/>
      <c r="Q21" s="9"/>
    </row>
    <row r="22" spans="1:26">
      <c r="A22" s="5" t="s">
        <v>305</v>
      </c>
      <c r="K22" s="12">
        <v>10438</v>
      </c>
      <c r="L22" s="12">
        <v>11687</v>
      </c>
      <c r="M22" s="9"/>
      <c r="N22" s="9"/>
      <c r="O22" s="9"/>
      <c r="P22" s="9"/>
      <c r="Q22" s="9"/>
    </row>
    <row r="23" spans="1:26">
      <c r="A23" s="5" t="s">
        <v>306</v>
      </c>
      <c r="K23" s="12">
        <v>30687</v>
      </c>
      <c r="L23" s="12">
        <v>25206</v>
      </c>
      <c r="M23" s="9"/>
      <c r="N23" s="9"/>
      <c r="O23" s="9"/>
      <c r="P23" s="9"/>
      <c r="Q23" s="9"/>
    </row>
    <row r="24" spans="1:26">
      <c r="A24" s="13" t="s">
        <v>307</v>
      </c>
      <c r="K24" s="14">
        <v>41125</v>
      </c>
      <c r="L24" s="14">
        <v>36893</v>
      </c>
      <c r="M24" s="9"/>
      <c r="N24" s="9"/>
      <c r="O24" s="9"/>
      <c r="P24" s="9"/>
      <c r="Q24" s="9"/>
    </row>
    <row r="25" spans="1:26" ht="8" customHeight="1">
      <c r="M25" s="9"/>
      <c r="N25" s="9"/>
      <c r="O25" s="9"/>
      <c r="P25" s="9"/>
      <c r="Q25" s="9"/>
    </row>
    <row r="26" spans="1:26" ht="20" customHeight="1">
      <c r="A26" s="10" t="s">
        <v>308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9"/>
      <c r="N26" s="9"/>
      <c r="O26" s="9"/>
      <c r="P26" s="9"/>
      <c r="Q26" s="9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 t="s">
        <v>309</v>
      </c>
      <c r="K27" s="12">
        <v>131629</v>
      </c>
      <c r="L27" s="12">
        <v>140832</v>
      </c>
      <c r="M27" s="9"/>
      <c r="N27" s="9"/>
      <c r="O27" s="9"/>
      <c r="P27" s="9"/>
      <c r="Q27" s="9"/>
    </row>
    <row r="28" spans="1:26">
      <c r="A28" s="5" t="s">
        <v>310</v>
      </c>
      <c r="K28" s="12">
        <v>67922</v>
      </c>
      <c r="L28" s="12">
        <v>79376</v>
      </c>
      <c r="M28" s="9"/>
      <c r="N28" s="9"/>
      <c r="O28" s="9"/>
      <c r="P28" s="9"/>
      <c r="Q28" s="9"/>
    </row>
    <row r="29" spans="1:26">
      <c r="A29" s="5" t="s">
        <v>311</v>
      </c>
      <c r="K29" s="12">
        <v>9415</v>
      </c>
      <c r="L29" s="12">
        <v>12318</v>
      </c>
      <c r="M29" s="9"/>
      <c r="N29" s="9"/>
      <c r="O29" s="9"/>
      <c r="P29" s="9"/>
      <c r="Q29" s="9"/>
    </row>
    <row r="30" spans="1:26">
      <c r="A30" s="5" t="s">
        <v>312</v>
      </c>
      <c r="K30" s="12">
        <v>344786</v>
      </c>
      <c r="L30" s="12">
        <v>438814</v>
      </c>
      <c r="M30" s="9"/>
      <c r="N30" s="9"/>
      <c r="O30" s="9"/>
      <c r="P30" s="9"/>
      <c r="Q30" s="9"/>
    </row>
    <row r="31" spans="1:26">
      <c r="M31" s="9"/>
      <c r="N31" s="9"/>
      <c r="O31" s="9"/>
      <c r="P31" s="9"/>
      <c r="Q31" s="9"/>
    </row>
  </sheetData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9"/>
  </sheetPr>
  <dimension ref="A1:H28"/>
  <sheetViews>
    <sheetView showGridLines="0" zoomScale="85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80" customWidth="1"/>
  </cols>
  <sheetData>
    <row r="1" spans="1:8" ht="28" customHeight="1">
      <c r="A1" s="1" t="s">
        <v>313</v>
      </c>
      <c r="B1" s="2"/>
      <c r="C1" s="2"/>
      <c r="D1" s="2"/>
      <c r="E1" s="2"/>
      <c r="F1" s="2"/>
      <c r="G1" s="2"/>
      <c r="H1" s="2"/>
    </row>
    <row r="2" spans="1:8" ht="16" customHeight="1">
      <c r="A2" s="3" t="s">
        <v>1</v>
      </c>
    </row>
    <row r="4" spans="1:8">
      <c r="A4" s="4" t="s">
        <v>314</v>
      </c>
    </row>
    <row r="6" spans="1:8">
      <c r="A6" s="5" t="s">
        <v>315</v>
      </c>
      <c r="B6" s="5" t="s">
        <v>316</v>
      </c>
    </row>
    <row r="7" spans="1:8">
      <c r="A7" s="5" t="s">
        <v>317</v>
      </c>
      <c r="B7" s="5" t="s">
        <v>318</v>
      </c>
    </row>
    <row r="8" spans="1:8">
      <c r="A8" s="5" t="s">
        <v>319</v>
      </c>
      <c r="B8" s="5" t="s">
        <v>320</v>
      </c>
    </row>
    <row r="9" spans="1:8">
      <c r="A9" s="5" t="s">
        <v>321</v>
      </c>
      <c r="B9" s="5" t="s">
        <v>322</v>
      </c>
    </row>
    <row r="11" spans="1:8">
      <c r="A11" s="4" t="s">
        <v>323</v>
      </c>
    </row>
    <row r="12" spans="1:8">
      <c r="A12" s="5" t="s">
        <v>2</v>
      </c>
      <c r="B12" s="5" t="s">
        <v>324</v>
      </c>
    </row>
    <row r="13" spans="1:8">
      <c r="A13" s="5" t="s">
        <v>3</v>
      </c>
      <c r="B13" s="5" t="s">
        <v>325</v>
      </c>
    </row>
    <row r="14" spans="1:8">
      <c r="A14" s="5" t="s">
        <v>4</v>
      </c>
      <c r="B14" s="5" t="s">
        <v>326</v>
      </c>
    </row>
    <row r="15" spans="1:8">
      <c r="A15" s="5" t="s">
        <v>5</v>
      </c>
      <c r="B15" s="5" t="s">
        <v>327</v>
      </c>
    </row>
    <row r="16" spans="1:8">
      <c r="A16" s="5" t="s">
        <v>6</v>
      </c>
      <c r="B16" s="5" t="s">
        <v>328</v>
      </c>
    </row>
    <row r="17" spans="1:2">
      <c r="A17" s="5" t="s">
        <v>7</v>
      </c>
      <c r="B17" s="5" t="s">
        <v>329</v>
      </c>
    </row>
    <row r="18" spans="1:2">
      <c r="A18" s="5" t="s">
        <v>8</v>
      </c>
      <c r="B18" s="5" t="s">
        <v>330</v>
      </c>
    </row>
    <row r="19" spans="1:2">
      <c r="A19" s="5" t="s">
        <v>9</v>
      </c>
      <c r="B19" s="5" t="s">
        <v>331</v>
      </c>
    </row>
    <row r="20" spans="1:2">
      <c r="A20" s="5" t="s">
        <v>10</v>
      </c>
      <c r="B20" s="5" t="s">
        <v>332</v>
      </c>
    </row>
    <row r="21" spans="1:2">
      <c r="A21" s="5" t="s">
        <v>11</v>
      </c>
      <c r="B21" s="5" t="s">
        <v>333</v>
      </c>
    </row>
    <row r="23" spans="1:2">
      <c r="A23" s="4" t="s">
        <v>334</v>
      </c>
    </row>
    <row r="24" spans="1:2">
      <c r="A24" s="5" t="s">
        <v>335</v>
      </c>
      <c r="B24" s="5" t="s">
        <v>336</v>
      </c>
    </row>
    <row r="25" spans="1:2">
      <c r="A25" s="5" t="s">
        <v>337</v>
      </c>
      <c r="B25" s="5" t="s">
        <v>338</v>
      </c>
    </row>
    <row r="26" spans="1:2">
      <c r="A26" s="5" t="s">
        <v>88</v>
      </c>
      <c r="B26" s="5" t="s">
        <v>339</v>
      </c>
    </row>
    <row r="27" spans="1:2">
      <c r="A27" s="5" t="s">
        <v>340</v>
      </c>
      <c r="B27" s="5" t="s">
        <v>341</v>
      </c>
    </row>
    <row r="28" spans="1:2">
      <c r="A28" s="5" t="s">
        <v>342</v>
      </c>
      <c r="B28" s="5" t="s">
        <v>343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</vt:lpstr>
      <vt:lpstr>Income Statement</vt:lpstr>
      <vt:lpstr>Balance Sheet</vt:lpstr>
      <vt:lpstr>Cash Flow Statement</vt:lpstr>
      <vt:lpstr>Derived Metrics</vt:lpstr>
      <vt:lpstr>Operating Metrics</vt:lpstr>
      <vt:lpstr>Segments</vt:lpstr>
      <vt:lpstr>Note Schedules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e69900</cp:lastModifiedBy>
  <dcterms:created xsi:type="dcterms:W3CDTF">2026-09-17T06:14:06Z</dcterms:created>
  <dcterms:modified xsi:type="dcterms:W3CDTF">2026-09-18T09:23:11Z</dcterms:modified>
</cp:coreProperties>
</file>