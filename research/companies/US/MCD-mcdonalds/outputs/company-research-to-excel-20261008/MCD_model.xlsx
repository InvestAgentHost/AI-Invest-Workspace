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tccc/Desktop/AI Invest/Workspace/research/companies/US/MCD-mcdonalds/outputs/company-research-to-excel-20261008/"/>
    </mc:Choice>
  </mc:AlternateContent>
  <xr:revisionPtr revIDLastSave="0" documentId="13_ncr:1_{46554C88-BDCC-7843-8A40-E0C5221B0069}" xr6:coauthVersionLast="47" xr6:coauthVersionMax="47" xr10:uidLastSave="{00000000-0000-0000-0000-000000000000}"/>
  <bookViews>
    <workbookView xWindow="5320" yWindow="600" windowWidth="33080" windowHeight="19500" xr2:uid="{00000000-000D-0000-FFFF-FFFF00000000}"/>
  </bookViews>
  <sheets>
    <sheet name="Cover" sheetId="1" r:id="rId1"/>
    <sheet name="Income Statement" sheetId="2" r:id="rId2"/>
    <sheet name="Balance Sheet" sheetId="3" r:id="rId3"/>
    <sheet name="Cash Flow" sheetId="4" r:id="rId4"/>
    <sheet name="Segments" sheetId="5" r:id="rId5"/>
    <sheet name="Operating Metrics" sheetId="6" r:id="rId6"/>
    <sheet name="Note Schedules" sheetId="7" r:id="rId7"/>
    <sheet name="Derived Metrics" sheetId="10" r:id="rId8"/>
    <sheet name="Year-End Schedules" sheetId="8" r:id="rId9"/>
    <sheet name="Outlook &amp; Text KPIs" sheetId="9" r:id="rId10"/>
    <sheet name="Sources" sheetId="11" r:id="rId11"/>
    <sheet name="Valuation" sheetId="12" r:id="rId1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2" l="1"/>
  <c r="D22" i="12"/>
  <c r="L105" i="5"/>
  <c r="K105" i="5"/>
  <c r="J105" i="5"/>
  <c r="I105" i="5"/>
  <c r="H105" i="5"/>
  <c r="G105" i="5"/>
  <c r="F105" i="5"/>
  <c r="E105" i="5"/>
  <c r="D105" i="5"/>
  <c r="L103" i="5"/>
  <c r="K103" i="5"/>
  <c r="J103" i="5"/>
  <c r="I103" i="5"/>
  <c r="H103" i="5"/>
  <c r="G103" i="5"/>
  <c r="F103" i="5"/>
  <c r="E103" i="5"/>
  <c r="D103" i="5"/>
  <c r="L101" i="5"/>
  <c r="K101" i="5"/>
  <c r="J101" i="5"/>
  <c r="I101" i="5"/>
  <c r="H101" i="5"/>
  <c r="G101" i="5"/>
  <c r="F101" i="5"/>
  <c r="E101" i="5"/>
  <c r="D101" i="5"/>
  <c r="L99" i="5"/>
  <c r="K99" i="5"/>
  <c r="J99" i="5"/>
  <c r="I99" i="5"/>
  <c r="H99" i="5"/>
  <c r="G99" i="5"/>
  <c r="F99" i="5"/>
  <c r="E99" i="5"/>
  <c r="D99" i="5"/>
  <c r="S13" i="2"/>
  <c r="T13" i="2"/>
  <c r="U13" i="2"/>
  <c r="R13" i="2"/>
  <c r="L15" i="2"/>
  <c r="K15" i="2"/>
  <c r="J15" i="2"/>
  <c r="I15" i="2"/>
  <c r="H15" i="2"/>
  <c r="G15" i="2"/>
  <c r="F15" i="2"/>
  <c r="E15" i="2"/>
  <c r="D15" i="2"/>
  <c r="L13" i="2"/>
  <c r="K13" i="2"/>
  <c r="J13" i="2"/>
  <c r="I13" i="2"/>
  <c r="H13" i="2"/>
  <c r="G13" i="2"/>
  <c r="F13" i="2"/>
  <c r="E13" i="2"/>
  <c r="D13" i="2"/>
  <c r="C38" i="12"/>
  <c r="D38" i="12"/>
  <c r="D116" i="5"/>
  <c r="D117" i="5"/>
  <c r="D119" i="5"/>
  <c r="D120" i="5"/>
  <c r="D122" i="5"/>
  <c r="D123" i="5"/>
  <c r="D124" i="5"/>
  <c r="D115" i="5"/>
  <c r="F62" i="6"/>
  <c r="G62" i="6"/>
  <c r="H62" i="6"/>
  <c r="I62" i="6"/>
  <c r="J62" i="6"/>
  <c r="K62" i="6"/>
  <c r="L62" i="6"/>
  <c r="F63" i="6"/>
  <c r="G63" i="6"/>
  <c r="H63" i="6"/>
  <c r="I63" i="6"/>
  <c r="J63" i="6"/>
  <c r="K63" i="6"/>
  <c r="L63" i="6"/>
  <c r="F64" i="6"/>
  <c r="G64" i="6"/>
  <c r="H64" i="6"/>
  <c r="I64" i="6"/>
  <c r="J64" i="6"/>
  <c r="K64" i="6"/>
  <c r="L64" i="6"/>
  <c r="E63" i="6"/>
  <c r="E64" i="6"/>
  <c r="E62" i="6"/>
  <c r="F29" i="6"/>
  <c r="G29" i="6"/>
  <c r="H29" i="6"/>
  <c r="I29" i="6"/>
  <c r="J29" i="6"/>
  <c r="K29" i="6"/>
  <c r="L29" i="6"/>
  <c r="F30" i="6"/>
  <c r="G30" i="6"/>
  <c r="H30" i="6"/>
  <c r="I30" i="6"/>
  <c r="J30" i="6"/>
  <c r="K30" i="6"/>
  <c r="L30" i="6"/>
  <c r="F31" i="6"/>
  <c r="G31" i="6"/>
  <c r="H31" i="6"/>
  <c r="I31" i="6"/>
  <c r="J31" i="6"/>
  <c r="K31" i="6"/>
  <c r="L31" i="6"/>
  <c r="F32" i="6"/>
  <c r="G32" i="6"/>
  <c r="H32" i="6"/>
  <c r="I32" i="6"/>
  <c r="J32" i="6"/>
  <c r="K32" i="6"/>
  <c r="L32" i="6"/>
  <c r="F33" i="6"/>
  <c r="G33" i="6"/>
  <c r="H33" i="6"/>
  <c r="I33" i="6"/>
  <c r="J33" i="6"/>
  <c r="K33" i="6"/>
  <c r="L33" i="6"/>
  <c r="F34" i="6"/>
  <c r="G34" i="6"/>
  <c r="H34" i="6"/>
  <c r="I34" i="6"/>
  <c r="J34" i="6"/>
  <c r="K34" i="6"/>
  <c r="L34" i="6"/>
  <c r="E34" i="6"/>
  <c r="E30" i="6"/>
  <c r="E31" i="6"/>
  <c r="E32" i="6"/>
  <c r="E33" i="6"/>
  <c r="E29" i="6"/>
  <c r="E179" i="6"/>
  <c r="F179" i="6"/>
  <c r="G179" i="6"/>
  <c r="H179" i="6"/>
  <c r="I179" i="6"/>
  <c r="J179" i="6"/>
  <c r="K179" i="6"/>
  <c r="L179" i="6"/>
  <c r="E180" i="6"/>
  <c r="F180" i="6"/>
  <c r="G180" i="6"/>
  <c r="H180" i="6"/>
  <c r="I180" i="6"/>
  <c r="J180" i="6"/>
  <c r="K180" i="6"/>
  <c r="L180" i="6"/>
  <c r="E181" i="6"/>
  <c r="F181" i="6"/>
  <c r="G181" i="6"/>
  <c r="H181" i="6"/>
  <c r="I181" i="6"/>
  <c r="J181" i="6"/>
  <c r="K181" i="6"/>
  <c r="L181" i="6"/>
  <c r="D180" i="6"/>
  <c r="D181" i="6"/>
  <c r="D179" i="6"/>
  <c r="U86" i="10"/>
  <c r="T86" i="10"/>
  <c r="S86" i="10"/>
  <c r="R86" i="10"/>
  <c r="Q86" i="10"/>
  <c r="P86" i="10"/>
  <c r="O86" i="10"/>
  <c r="N86" i="10"/>
  <c r="L86" i="10"/>
  <c r="K86" i="10"/>
  <c r="J86" i="10"/>
  <c r="I86" i="10"/>
  <c r="H86" i="10"/>
  <c r="G86" i="10"/>
  <c r="F86" i="10"/>
  <c r="E86" i="10"/>
  <c r="D86" i="10"/>
  <c r="C86" i="10"/>
  <c r="U84" i="10"/>
  <c r="T84" i="10"/>
  <c r="S84" i="10"/>
  <c r="R84" i="10"/>
  <c r="Q84" i="10"/>
  <c r="P84" i="10"/>
  <c r="O84" i="10"/>
  <c r="S85" i="10" s="1"/>
  <c r="N84" i="10"/>
  <c r="L84" i="10"/>
  <c r="K84" i="10"/>
  <c r="J84" i="10"/>
  <c r="I84" i="10"/>
  <c r="H84" i="10"/>
  <c r="G84" i="10"/>
  <c r="F84" i="10"/>
  <c r="E84" i="10"/>
  <c r="D84" i="10"/>
  <c r="C84" i="10"/>
  <c r="U82" i="10"/>
  <c r="T82" i="10"/>
  <c r="S82" i="10"/>
  <c r="R82" i="10"/>
  <c r="Q82" i="10"/>
  <c r="P82" i="10"/>
  <c r="O82" i="10"/>
  <c r="N82" i="10"/>
  <c r="L82" i="10"/>
  <c r="K82" i="10"/>
  <c r="J82" i="10"/>
  <c r="I82" i="10"/>
  <c r="H82" i="10"/>
  <c r="G82" i="10"/>
  <c r="F82" i="10"/>
  <c r="E82" i="10"/>
  <c r="D82" i="10"/>
  <c r="C82" i="10"/>
  <c r="U80" i="10"/>
  <c r="T80" i="10"/>
  <c r="S80" i="10"/>
  <c r="R80" i="10"/>
  <c r="Q80" i="10"/>
  <c r="P80" i="10"/>
  <c r="O80" i="10"/>
  <c r="N80" i="10"/>
  <c r="L80" i="10"/>
  <c r="K80" i="10"/>
  <c r="J80" i="10"/>
  <c r="I80" i="10"/>
  <c r="H80" i="10"/>
  <c r="G80" i="10"/>
  <c r="F80" i="10"/>
  <c r="E80" i="10"/>
  <c r="D80" i="10"/>
  <c r="C80" i="10"/>
  <c r="U78" i="10"/>
  <c r="T78" i="10"/>
  <c r="S78" i="10"/>
  <c r="R78" i="10"/>
  <c r="Q78" i="10"/>
  <c r="P78" i="10"/>
  <c r="O78" i="10"/>
  <c r="N78" i="10"/>
  <c r="L78" i="10"/>
  <c r="K78" i="10"/>
  <c r="J78" i="10"/>
  <c r="I78" i="10"/>
  <c r="H78" i="10"/>
  <c r="G78" i="10"/>
  <c r="F78" i="10"/>
  <c r="E78" i="10"/>
  <c r="D78" i="10"/>
  <c r="C78" i="10"/>
  <c r="U74" i="10"/>
  <c r="T74" i="10"/>
  <c r="S74" i="10"/>
  <c r="R74" i="10"/>
  <c r="Q74" i="10"/>
  <c r="P74" i="10"/>
  <c r="O74" i="10"/>
  <c r="N74" i="10"/>
  <c r="L74" i="10"/>
  <c r="K74" i="10"/>
  <c r="J74" i="10"/>
  <c r="I74" i="10"/>
  <c r="H74" i="10"/>
  <c r="G74" i="10"/>
  <c r="F74" i="10"/>
  <c r="E74" i="10"/>
  <c r="D74" i="10"/>
  <c r="C74" i="10"/>
  <c r="L69" i="10"/>
  <c r="K69" i="10"/>
  <c r="J69" i="10"/>
  <c r="I69" i="10"/>
  <c r="H69" i="10"/>
  <c r="G69" i="10"/>
  <c r="F69" i="10"/>
  <c r="E69" i="10"/>
  <c r="D69" i="10"/>
  <c r="L66" i="10"/>
  <c r="K66" i="10"/>
  <c r="J66" i="10"/>
  <c r="I66" i="10"/>
  <c r="H66" i="10"/>
  <c r="G66" i="10"/>
  <c r="F66" i="10"/>
  <c r="E66" i="10"/>
  <c r="D66" i="10"/>
  <c r="C66" i="10"/>
  <c r="L65" i="10"/>
  <c r="K65" i="10"/>
  <c r="J65" i="10"/>
  <c r="I65" i="10"/>
  <c r="H65" i="10"/>
  <c r="G65" i="10"/>
  <c r="F65" i="10"/>
  <c r="E65" i="10"/>
  <c r="D65" i="10"/>
  <c r="C65" i="10"/>
  <c r="U57" i="10"/>
  <c r="T57" i="10"/>
  <c r="S57" i="10"/>
  <c r="R57" i="10"/>
  <c r="Q57" i="10"/>
  <c r="P57" i="10"/>
  <c r="O57" i="10"/>
  <c r="N57" i="10"/>
  <c r="L57" i="10"/>
  <c r="K57" i="10"/>
  <c r="J57" i="10"/>
  <c r="I57" i="10"/>
  <c r="H57" i="10"/>
  <c r="G57" i="10"/>
  <c r="F57" i="10"/>
  <c r="E57" i="10"/>
  <c r="D57" i="10"/>
  <c r="C57" i="10"/>
  <c r="U54" i="10"/>
  <c r="T54" i="10"/>
  <c r="S54" i="10"/>
  <c r="R54" i="10"/>
  <c r="Q54" i="10"/>
  <c r="P54" i="10"/>
  <c r="O54" i="10"/>
  <c r="N54" i="10"/>
  <c r="L54" i="10"/>
  <c r="K54" i="10"/>
  <c r="J54" i="10"/>
  <c r="I54" i="10"/>
  <c r="H54" i="10"/>
  <c r="G54" i="10"/>
  <c r="F54" i="10"/>
  <c r="E54" i="10"/>
  <c r="D54" i="10"/>
  <c r="C54" i="10"/>
  <c r="U53" i="10"/>
  <c r="T53" i="10"/>
  <c r="S53" i="10"/>
  <c r="R53" i="10"/>
  <c r="Q53" i="10"/>
  <c r="P53" i="10"/>
  <c r="O53" i="10"/>
  <c r="N53" i="10"/>
  <c r="L53" i="10"/>
  <c r="K53" i="10"/>
  <c r="J53" i="10"/>
  <c r="I53" i="10"/>
  <c r="H53" i="10"/>
  <c r="G53" i="10"/>
  <c r="F53" i="10"/>
  <c r="E53" i="10"/>
  <c r="D53" i="10"/>
  <c r="C53" i="10"/>
  <c r="U51" i="10"/>
  <c r="T51" i="10"/>
  <c r="S51" i="10"/>
  <c r="R51" i="10"/>
  <c r="Q51" i="10"/>
  <c r="P51" i="10"/>
  <c r="O51" i="10"/>
  <c r="N51" i="10"/>
  <c r="L51" i="10"/>
  <c r="K51" i="10"/>
  <c r="J51" i="10"/>
  <c r="I51" i="10"/>
  <c r="H51" i="10"/>
  <c r="G51" i="10"/>
  <c r="F51" i="10"/>
  <c r="E51" i="10"/>
  <c r="D51" i="10"/>
  <c r="C51" i="10"/>
  <c r="U48" i="10"/>
  <c r="T48" i="10"/>
  <c r="S48" i="10"/>
  <c r="R48" i="10"/>
  <c r="Q48" i="10"/>
  <c r="P48" i="10"/>
  <c r="O48" i="10"/>
  <c r="N48" i="10"/>
  <c r="L48" i="10"/>
  <c r="K48" i="10"/>
  <c r="J48" i="10"/>
  <c r="I48" i="10"/>
  <c r="H48" i="10"/>
  <c r="G48" i="10"/>
  <c r="F48" i="10"/>
  <c r="E48" i="10"/>
  <c r="D48" i="10"/>
  <c r="C48" i="10"/>
  <c r="U47" i="10"/>
  <c r="T47" i="10"/>
  <c r="S47" i="10"/>
  <c r="R47" i="10"/>
  <c r="Q47" i="10"/>
  <c r="P47" i="10"/>
  <c r="O47" i="10"/>
  <c r="N47" i="10"/>
  <c r="L47" i="10"/>
  <c r="K47" i="10"/>
  <c r="J47" i="10"/>
  <c r="I47" i="10"/>
  <c r="H47" i="10"/>
  <c r="G47" i="10"/>
  <c r="F47" i="10"/>
  <c r="E47" i="10"/>
  <c r="D47" i="10"/>
  <c r="C47" i="10"/>
  <c r="U46" i="10"/>
  <c r="T46" i="10"/>
  <c r="S46" i="10"/>
  <c r="R46" i="10"/>
  <c r="Q46" i="10"/>
  <c r="P46" i="10"/>
  <c r="O46" i="10"/>
  <c r="N46" i="10"/>
  <c r="L46" i="10"/>
  <c r="K46" i="10"/>
  <c r="J46" i="10"/>
  <c r="I46" i="10"/>
  <c r="H46" i="10"/>
  <c r="G46" i="10"/>
  <c r="F46" i="10"/>
  <c r="E46" i="10"/>
  <c r="D46" i="10"/>
  <c r="C46" i="10"/>
  <c r="L41" i="10"/>
  <c r="K41" i="10"/>
  <c r="J41" i="10"/>
  <c r="I41" i="10"/>
  <c r="H41" i="10"/>
  <c r="G41" i="10"/>
  <c r="F41" i="10"/>
  <c r="E41" i="10"/>
  <c r="D41" i="10"/>
  <c r="C41" i="10"/>
  <c r="L30" i="10"/>
  <c r="L31" i="10" s="1"/>
  <c r="K30" i="10"/>
  <c r="K75" i="10" s="1"/>
  <c r="J30" i="10"/>
  <c r="J31" i="10" s="1"/>
  <c r="I30" i="10"/>
  <c r="I31" i="10" s="1"/>
  <c r="H30" i="10"/>
  <c r="H75" i="10" s="1"/>
  <c r="G30" i="10"/>
  <c r="G31" i="10" s="1"/>
  <c r="F30" i="10"/>
  <c r="F75" i="10" s="1"/>
  <c r="E30" i="10"/>
  <c r="E75" i="10" s="1"/>
  <c r="D30" i="10"/>
  <c r="D75" i="10" s="1"/>
  <c r="U27" i="10"/>
  <c r="T27" i="10"/>
  <c r="S27" i="10"/>
  <c r="R27" i="10"/>
  <c r="Q27" i="10"/>
  <c r="P27" i="10"/>
  <c r="O27" i="10"/>
  <c r="N27" i="10"/>
  <c r="L27" i="10"/>
  <c r="K27" i="10"/>
  <c r="J27" i="10"/>
  <c r="I27" i="10"/>
  <c r="H27" i="10"/>
  <c r="G27" i="10"/>
  <c r="F27" i="10"/>
  <c r="E27" i="10"/>
  <c r="D27" i="10"/>
  <c r="C27" i="10"/>
  <c r="U26" i="10"/>
  <c r="T26" i="10"/>
  <c r="S26" i="10"/>
  <c r="R26" i="10"/>
  <c r="Q26" i="10"/>
  <c r="P26" i="10"/>
  <c r="O26" i="10"/>
  <c r="N26" i="10"/>
  <c r="L26" i="10"/>
  <c r="L34" i="10" s="1"/>
  <c r="K26" i="10"/>
  <c r="K34" i="10" s="1"/>
  <c r="J26" i="10"/>
  <c r="J34" i="10" s="1"/>
  <c r="I26" i="10"/>
  <c r="I34" i="10" s="1"/>
  <c r="H26" i="10"/>
  <c r="H34" i="10" s="1"/>
  <c r="G26" i="10"/>
  <c r="G34" i="10" s="1"/>
  <c r="F26" i="10"/>
  <c r="F34" i="10" s="1"/>
  <c r="E26" i="10"/>
  <c r="E34" i="10" s="1"/>
  <c r="D26" i="10"/>
  <c r="D34" i="10" s="1"/>
  <c r="C26" i="10"/>
  <c r="C34" i="10" s="1"/>
  <c r="U25" i="10"/>
  <c r="T25" i="10"/>
  <c r="S25" i="10"/>
  <c r="R25" i="10"/>
  <c r="Q25" i="10"/>
  <c r="P25" i="10"/>
  <c r="O25" i="10"/>
  <c r="N25" i="10"/>
  <c r="L25" i="10"/>
  <c r="K25" i="10"/>
  <c r="J25" i="10"/>
  <c r="I25" i="10"/>
  <c r="H25" i="10"/>
  <c r="G25" i="10"/>
  <c r="F25" i="10"/>
  <c r="E25" i="10"/>
  <c r="D25" i="10"/>
  <c r="C25" i="10"/>
  <c r="U23" i="10"/>
  <c r="U24" i="10" s="1"/>
  <c r="T23" i="10"/>
  <c r="T24" i="10" s="1"/>
  <c r="S23" i="10"/>
  <c r="S52" i="10" s="1"/>
  <c r="R23" i="10"/>
  <c r="R24" i="10" s="1"/>
  <c r="Q23" i="10"/>
  <c r="Q52" i="10" s="1"/>
  <c r="P23" i="10"/>
  <c r="P24" i="10" s="1"/>
  <c r="O23" i="10"/>
  <c r="O52" i="10" s="1"/>
  <c r="N23" i="10"/>
  <c r="N52" i="10" s="1"/>
  <c r="L23" i="10"/>
  <c r="L52" i="10" s="1"/>
  <c r="K23" i="10"/>
  <c r="K52" i="10" s="1"/>
  <c r="J23" i="10"/>
  <c r="J42" i="10" s="1"/>
  <c r="I23" i="10"/>
  <c r="I52" i="10" s="1"/>
  <c r="H23" i="10"/>
  <c r="H42" i="10" s="1"/>
  <c r="G23" i="10"/>
  <c r="G52" i="10" s="1"/>
  <c r="F23" i="10"/>
  <c r="F42" i="10" s="1"/>
  <c r="E23" i="10"/>
  <c r="E42" i="10" s="1"/>
  <c r="D23" i="10"/>
  <c r="D52" i="10" s="1"/>
  <c r="C23" i="10"/>
  <c r="C42" i="10" s="1"/>
  <c r="U22" i="10"/>
  <c r="T22" i="10"/>
  <c r="S22" i="10"/>
  <c r="R22" i="10"/>
  <c r="Q22" i="10"/>
  <c r="P22" i="10"/>
  <c r="O22" i="10"/>
  <c r="N22" i="10"/>
  <c r="L22" i="10"/>
  <c r="K22" i="10"/>
  <c r="J22" i="10"/>
  <c r="I22" i="10"/>
  <c r="H22" i="10"/>
  <c r="G22" i="10"/>
  <c r="F22" i="10"/>
  <c r="E22" i="10"/>
  <c r="D22" i="10"/>
  <c r="C22" i="10"/>
  <c r="U18" i="10"/>
  <c r="T18" i="10"/>
  <c r="S18" i="10"/>
  <c r="R18" i="10"/>
  <c r="Q18" i="10"/>
  <c r="P18" i="10"/>
  <c r="O18" i="10"/>
  <c r="N18" i="10"/>
  <c r="L18" i="10"/>
  <c r="K18" i="10"/>
  <c r="J18" i="10"/>
  <c r="I18" i="10"/>
  <c r="H18" i="10"/>
  <c r="G18" i="10"/>
  <c r="F18" i="10"/>
  <c r="E18" i="10"/>
  <c r="D18" i="10"/>
  <c r="C18" i="10"/>
  <c r="U17" i="10"/>
  <c r="T17" i="10"/>
  <c r="S17" i="10"/>
  <c r="R17" i="10"/>
  <c r="Q17" i="10"/>
  <c r="P17" i="10"/>
  <c r="O17" i="10"/>
  <c r="N17" i="10"/>
  <c r="L17" i="10"/>
  <c r="K17" i="10"/>
  <c r="J17" i="10"/>
  <c r="I17" i="10"/>
  <c r="H17" i="10"/>
  <c r="G17" i="10"/>
  <c r="F17" i="10"/>
  <c r="E17" i="10"/>
  <c r="D17" i="10"/>
  <c r="C17" i="10"/>
  <c r="A14" i="10"/>
  <c r="A13" i="10"/>
  <c r="A12" i="10"/>
  <c r="A11" i="10"/>
  <c r="A10" i="10"/>
  <c r="A9" i="10"/>
  <c r="A8" i="10"/>
  <c r="A7" i="10"/>
  <c r="L119" i="7"/>
  <c r="K119" i="7"/>
  <c r="J119" i="7"/>
  <c r="I119" i="7"/>
  <c r="H119" i="7"/>
  <c r="G119" i="7"/>
  <c r="F119" i="7"/>
  <c r="E119" i="7"/>
  <c r="D119" i="7"/>
  <c r="C119" i="7"/>
  <c r="L114" i="7"/>
  <c r="K114" i="7"/>
  <c r="J114" i="7"/>
  <c r="I114" i="7"/>
  <c r="H114" i="7"/>
  <c r="G114" i="7"/>
  <c r="F114" i="7"/>
  <c r="E114" i="7"/>
  <c r="D114" i="7"/>
  <c r="C114" i="7"/>
  <c r="L110" i="7"/>
  <c r="K110" i="7"/>
  <c r="J110" i="7"/>
  <c r="I110" i="7"/>
  <c r="H110" i="7"/>
  <c r="G110" i="7"/>
  <c r="F110" i="7"/>
  <c r="E110" i="7"/>
  <c r="D110" i="7"/>
  <c r="C110" i="7"/>
  <c r="L104" i="7"/>
  <c r="K104" i="7"/>
  <c r="J104" i="7"/>
  <c r="I104" i="7"/>
  <c r="H104" i="7"/>
  <c r="G104" i="7"/>
  <c r="F104" i="7"/>
  <c r="E104" i="7"/>
  <c r="D104" i="7"/>
  <c r="C104" i="7"/>
  <c r="L103" i="7"/>
  <c r="K103" i="7"/>
  <c r="J103" i="7"/>
  <c r="I103" i="7"/>
  <c r="H103" i="7"/>
  <c r="G103" i="7"/>
  <c r="F103" i="7"/>
  <c r="E103" i="7"/>
  <c r="D103" i="7"/>
  <c r="C103" i="7"/>
  <c r="L80" i="7"/>
  <c r="L90" i="7" s="1"/>
  <c r="K80" i="7"/>
  <c r="K90" i="7" s="1"/>
  <c r="J80" i="7"/>
  <c r="J83" i="7" s="1"/>
  <c r="I80" i="7"/>
  <c r="I90" i="7" s="1"/>
  <c r="H80" i="7"/>
  <c r="H83" i="7" s="1"/>
  <c r="G80" i="7"/>
  <c r="G84" i="7" s="1"/>
  <c r="F80" i="7"/>
  <c r="F90" i="7" s="1"/>
  <c r="E80" i="7"/>
  <c r="E90" i="7" s="1"/>
  <c r="D80" i="7"/>
  <c r="D90" i="7" s="1"/>
  <c r="C80" i="7"/>
  <c r="C83" i="7" s="1"/>
  <c r="L68" i="7"/>
  <c r="L69" i="7" s="1"/>
  <c r="K68" i="7"/>
  <c r="K69" i="7" s="1"/>
  <c r="J68" i="7"/>
  <c r="J69" i="7" s="1"/>
  <c r="I68" i="7"/>
  <c r="I69" i="7" s="1"/>
  <c r="H68" i="7"/>
  <c r="H69" i="7" s="1"/>
  <c r="G68" i="7"/>
  <c r="G69" i="7" s="1"/>
  <c r="F68" i="7"/>
  <c r="F69" i="7" s="1"/>
  <c r="E68" i="7"/>
  <c r="D68" i="7"/>
  <c r="C68" i="7"/>
  <c r="L62" i="7"/>
  <c r="K62" i="7"/>
  <c r="J62" i="7"/>
  <c r="I62" i="7"/>
  <c r="H62" i="7"/>
  <c r="G62" i="7"/>
  <c r="F62" i="7"/>
  <c r="E62" i="7"/>
  <c r="D62" i="7"/>
  <c r="C62" i="7"/>
  <c r="L61" i="7"/>
  <c r="K61" i="7"/>
  <c r="J61" i="7"/>
  <c r="I61" i="7"/>
  <c r="H61" i="7"/>
  <c r="G61" i="7"/>
  <c r="F61" i="7"/>
  <c r="E61" i="7"/>
  <c r="D61" i="7"/>
  <c r="C61" i="7"/>
  <c r="L54" i="7"/>
  <c r="K54" i="7"/>
  <c r="J54" i="7"/>
  <c r="I54" i="7"/>
  <c r="H54" i="7"/>
  <c r="G54" i="7"/>
  <c r="F54" i="7"/>
  <c r="E54" i="7"/>
  <c r="D54" i="7"/>
  <c r="C54" i="7"/>
  <c r="L53" i="7"/>
  <c r="K53" i="7"/>
  <c r="J53" i="7"/>
  <c r="I53" i="7"/>
  <c r="H53" i="7"/>
  <c r="G53" i="7"/>
  <c r="F53" i="7"/>
  <c r="E53" i="7"/>
  <c r="D53" i="7"/>
  <c r="C53" i="7"/>
  <c r="L45" i="7"/>
  <c r="K45" i="7"/>
  <c r="J45" i="7"/>
  <c r="I45" i="7"/>
  <c r="H45" i="7"/>
  <c r="G45" i="7"/>
  <c r="F45" i="7"/>
  <c r="E45" i="7"/>
  <c r="D45" i="7"/>
  <c r="C45" i="7"/>
  <c r="L44" i="7"/>
  <c r="K44" i="7"/>
  <c r="J44" i="7"/>
  <c r="I44" i="7"/>
  <c r="H44" i="7"/>
  <c r="G44" i="7"/>
  <c r="F44" i="7"/>
  <c r="E44" i="7"/>
  <c r="D44" i="7"/>
  <c r="C44" i="7"/>
  <c r="L43" i="7"/>
  <c r="K43" i="7"/>
  <c r="J43" i="7"/>
  <c r="I43" i="7"/>
  <c r="H43" i="7"/>
  <c r="G43" i="7"/>
  <c r="F43" i="7"/>
  <c r="E43" i="7"/>
  <c r="D43" i="7"/>
  <c r="C43" i="7"/>
  <c r="L42" i="7"/>
  <c r="K42" i="7"/>
  <c r="J42" i="7"/>
  <c r="I42" i="7"/>
  <c r="H42" i="7"/>
  <c r="G42" i="7"/>
  <c r="F42" i="7"/>
  <c r="E42" i="7"/>
  <c r="D42" i="7"/>
  <c r="C42" i="7"/>
  <c r="L27" i="7"/>
  <c r="K27" i="7"/>
  <c r="J27" i="7"/>
  <c r="I27" i="7"/>
  <c r="H27" i="7"/>
  <c r="G27" i="7"/>
  <c r="F27" i="7"/>
  <c r="E27" i="7"/>
  <c r="D27" i="7"/>
  <c r="L26" i="7"/>
  <c r="K26" i="7"/>
  <c r="J26" i="7"/>
  <c r="I26" i="7"/>
  <c r="H26" i="7"/>
  <c r="G26" i="7"/>
  <c r="F26" i="7"/>
  <c r="E26" i="7"/>
  <c r="D26" i="7"/>
  <c r="A15" i="7"/>
  <c r="A14" i="7"/>
  <c r="A13" i="7"/>
  <c r="A12" i="7"/>
  <c r="A11" i="7"/>
  <c r="A10" i="7"/>
  <c r="A9" i="7"/>
  <c r="A8" i="7"/>
  <c r="A7" i="7"/>
  <c r="L170" i="6"/>
  <c r="K170" i="6"/>
  <c r="J170" i="6"/>
  <c r="I170" i="6"/>
  <c r="H170" i="6"/>
  <c r="G170" i="6"/>
  <c r="F170" i="6"/>
  <c r="F171" i="6" s="1"/>
  <c r="E170" i="6"/>
  <c r="E171" i="6" s="1"/>
  <c r="D170" i="6"/>
  <c r="D171" i="6" s="1"/>
  <c r="C170" i="6"/>
  <c r="C171" i="6" s="1"/>
  <c r="L164" i="6"/>
  <c r="K164" i="6"/>
  <c r="J164" i="6"/>
  <c r="I164" i="6"/>
  <c r="H164" i="6"/>
  <c r="L163" i="6"/>
  <c r="K163" i="6"/>
  <c r="J163" i="6"/>
  <c r="I163" i="6"/>
  <c r="H163" i="6"/>
  <c r="L162" i="6"/>
  <c r="K162" i="6"/>
  <c r="J162" i="6"/>
  <c r="I162" i="6"/>
  <c r="H162" i="6"/>
  <c r="G162" i="6"/>
  <c r="F162" i="6"/>
  <c r="E162" i="6"/>
  <c r="D162" i="6"/>
  <c r="C162" i="6"/>
  <c r="L151" i="6"/>
  <c r="K151" i="6"/>
  <c r="J151" i="6"/>
  <c r="I151" i="6"/>
  <c r="H151" i="6"/>
  <c r="L150" i="6"/>
  <c r="K150" i="6"/>
  <c r="J150" i="6"/>
  <c r="I150" i="6"/>
  <c r="H150" i="6"/>
  <c r="L142" i="6"/>
  <c r="K142" i="6"/>
  <c r="J142" i="6"/>
  <c r="I142" i="6"/>
  <c r="H142" i="6"/>
  <c r="G142" i="6"/>
  <c r="F142" i="6"/>
  <c r="E142" i="6"/>
  <c r="D142" i="6"/>
  <c r="L141" i="6"/>
  <c r="K141" i="6"/>
  <c r="J141" i="6"/>
  <c r="I141" i="6"/>
  <c r="H141" i="6"/>
  <c r="G141" i="6"/>
  <c r="F141" i="6"/>
  <c r="E141" i="6"/>
  <c r="D141" i="6"/>
  <c r="L133" i="6"/>
  <c r="K133" i="6"/>
  <c r="J133" i="6"/>
  <c r="I133" i="6"/>
  <c r="H133" i="6"/>
  <c r="G133" i="6"/>
  <c r="F133" i="6"/>
  <c r="E133" i="6"/>
  <c r="D133" i="6"/>
  <c r="C133" i="6"/>
  <c r="L132" i="6"/>
  <c r="K132" i="6"/>
  <c r="J132" i="6"/>
  <c r="I132" i="6"/>
  <c r="H132" i="6"/>
  <c r="G132" i="6"/>
  <c r="F132" i="6"/>
  <c r="E132" i="6"/>
  <c r="D132" i="6"/>
  <c r="C132" i="6"/>
  <c r="L115" i="6"/>
  <c r="K115" i="6"/>
  <c r="J115" i="6"/>
  <c r="I115" i="6"/>
  <c r="H115" i="6"/>
  <c r="G115" i="6"/>
  <c r="F115" i="6"/>
  <c r="E115" i="6"/>
  <c r="D115" i="6"/>
  <c r="C115" i="6"/>
  <c r="L114" i="6"/>
  <c r="K114" i="6"/>
  <c r="J114" i="6"/>
  <c r="I114" i="6"/>
  <c r="H114" i="6"/>
  <c r="G114" i="6"/>
  <c r="F114" i="6"/>
  <c r="E114" i="6"/>
  <c r="D114" i="6"/>
  <c r="C114" i="6"/>
  <c r="L102" i="6"/>
  <c r="L104" i="6" s="1"/>
  <c r="K102" i="6"/>
  <c r="K105" i="6" s="1"/>
  <c r="J102" i="6"/>
  <c r="J105" i="6" s="1"/>
  <c r="I102" i="6"/>
  <c r="I104" i="6" s="1"/>
  <c r="H102" i="6"/>
  <c r="H103" i="6" s="1"/>
  <c r="G102" i="6"/>
  <c r="G104" i="6" s="1"/>
  <c r="F102" i="6"/>
  <c r="F104" i="6" s="1"/>
  <c r="E102" i="6"/>
  <c r="E104" i="6" s="1"/>
  <c r="D102" i="6"/>
  <c r="D104" i="6" s="1"/>
  <c r="C102" i="6"/>
  <c r="C104" i="6" s="1"/>
  <c r="L71" i="6"/>
  <c r="K71" i="6"/>
  <c r="J71" i="6"/>
  <c r="I71" i="6"/>
  <c r="H71" i="6"/>
  <c r="G71" i="6"/>
  <c r="F71" i="6"/>
  <c r="E71" i="6"/>
  <c r="D71" i="6"/>
  <c r="L70" i="6"/>
  <c r="K70" i="6"/>
  <c r="J70" i="6"/>
  <c r="I70" i="6"/>
  <c r="H70" i="6"/>
  <c r="G70" i="6"/>
  <c r="F70" i="6"/>
  <c r="E70" i="6"/>
  <c r="D70" i="6"/>
  <c r="L69" i="6"/>
  <c r="K69" i="6"/>
  <c r="J69" i="6"/>
  <c r="I69" i="6"/>
  <c r="H69" i="6"/>
  <c r="G69" i="6"/>
  <c r="F69" i="6"/>
  <c r="E69" i="6"/>
  <c r="L68" i="6"/>
  <c r="K68" i="6"/>
  <c r="J68" i="6"/>
  <c r="I68" i="6"/>
  <c r="H68" i="6"/>
  <c r="G68" i="6"/>
  <c r="F68" i="6"/>
  <c r="E68" i="6"/>
  <c r="L67" i="6"/>
  <c r="K67" i="6"/>
  <c r="J67" i="6"/>
  <c r="I67" i="6"/>
  <c r="H67" i="6"/>
  <c r="G67" i="6"/>
  <c r="F67" i="6"/>
  <c r="E67" i="6"/>
  <c r="L65" i="6"/>
  <c r="L71" i="10" s="1"/>
  <c r="K65" i="6"/>
  <c r="K71" i="10" s="1"/>
  <c r="J65" i="6"/>
  <c r="J66" i="6" s="1"/>
  <c r="I65" i="6"/>
  <c r="I66" i="6" s="1"/>
  <c r="H65" i="6"/>
  <c r="H66" i="6" s="1"/>
  <c r="G65" i="6"/>
  <c r="G71" i="10" s="1"/>
  <c r="F65" i="6"/>
  <c r="F71" i="10" s="1"/>
  <c r="E65" i="6"/>
  <c r="E71" i="10" s="1"/>
  <c r="L55" i="6"/>
  <c r="K55" i="6"/>
  <c r="J55" i="6"/>
  <c r="I55" i="6"/>
  <c r="H55" i="6"/>
  <c r="G55" i="6"/>
  <c r="F55" i="6"/>
  <c r="E55" i="6"/>
  <c r="D55" i="6"/>
  <c r="L54" i="6"/>
  <c r="K54" i="6"/>
  <c r="J54" i="6"/>
  <c r="I54" i="6"/>
  <c r="H54" i="6"/>
  <c r="G54" i="6"/>
  <c r="F54" i="6"/>
  <c r="E54" i="6"/>
  <c r="D54" i="6"/>
  <c r="L53" i="6"/>
  <c r="K53" i="6"/>
  <c r="J53" i="6"/>
  <c r="I53" i="6"/>
  <c r="H53" i="6"/>
  <c r="G53" i="6"/>
  <c r="F53" i="6"/>
  <c r="E53" i="6"/>
  <c r="D53" i="6"/>
  <c r="L51" i="6"/>
  <c r="K51" i="6"/>
  <c r="J51" i="6"/>
  <c r="I51" i="6"/>
  <c r="H51" i="6"/>
  <c r="G51" i="6"/>
  <c r="F51" i="6"/>
  <c r="E51" i="6"/>
  <c r="D51" i="6"/>
  <c r="C51" i="6"/>
  <c r="L49" i="6"/>
  <c r="L68" i="10" s="1"/>
  <c r="K49" i="6"/>
  <c r="K63" i="10" s="1"/>
  <c r="J49" i="6"/>
  <c r="I49" i="6"/>
  <c r="H49" i="6"/>
  <c r="G49" i="6"/>
  <c r="F49" i="6"/>
  <c r="F63" i="10" s="1"/>
  <c r="E49" i="6"/>
  <c r="E63" i="10" s="1"/>
  <c r="D49" i="6"/>
  <c r="D63" i="10" s="1"/>
  <c r="C49" i="6"/>
  <c r="C63" i="10" s="1"/>
  <c r="L44" i="6"/>
  <c r="K44" i="6"/>
  <c r="J44" i="6"/>
  <c r="I44" i="6"/>
  <c r="H44" i="6"/>
  <c r="G44" i="6"/>
  <c r="F44" i="6"/>
  <c r="E44" i="6"/>
  <c r="D44" i="6"/>
  <c r="L37" i="6"/>
  <c r="K37" i="6"/>
  <c r="J37" i="6"/>
  <c r="I37" i="6"/>
  <c r="H37" i="6"/>
  <c r="G37" i="6"/>
  <c r="F37" i="6"/>
  <c r="E37" i="6"/>
  <c r="D37" i="6"/>
  <c r="C37" i="6"/>
  <c r="L36" i="6"/>
  <c r="K36" i="6"/>
  <c r="J36" i="6"/>
  <c r="I36" i="6"/>
  <c r="H36" i="6"/>
  <c r="G36" i="6"/>
  <c r="F36" i="6"/>
  <c r="E36" i="6"/>
  <c r="D36" i="6"/>
  <c r="C36" i="6"/>
  <c r="L35" i="6"/>
  <c r="K35" i="6"/>
  <c r="J35" i="6"/>
  <c r="I35" i="6"/>
  <c r="H35" i="6"/>
  <c r="G35" i="6"/>
  <c r="F35" i="6"/>
  <c r="E35" i="6"/>
  <c r="D35" i="6"/>
  <c r="A20" i="6"/>
  <c r="A19" i="6"/>
  <c r="A18" i="6"/>
  <c r="A17" i="6"/>
  <c r="A16" i="6"/>
  <c r="A15" i="6"/>
  <c r="A14" i="6"/>
  <c r="A13" i="6"/>
  <c r="A12" i="6"/>
  <c r="A11" i="6"/>
  <c r="A10" i="6"/>
  <c r="A9" i="6"/>
  <c r="A8" i="6"/>
  <c r="A7" i="6"/>
  <c r="E174" i="5"/>
  <c r="D174" i="5"/>
  <c r="C174" i="5"/>
  <c r="E173" i="5"/>
  <c r="D173" i="5"/>
  <c r="C173" i="5"/>
  <c r="L140" i="5"/>
  <c r="K140" i="5"/>
  <c r="J140" i="5"/>
  <c r="I140" i="5"/>
  <c r="H140" i="5"/>
  <c r="G140" i="5"/>
  <c r="F140" i="5"/>
  <c r="E140" i="5"/>
  <c r="D140" i="5"/>
  <c r="L139" i="5"/>
  <c r="K139" i="5"/>
  <c r="J139" i="5"/>
  <c r="I139" i="5"/>
  <c r="H139" i="5"/>
  <c r="G139" i="5"/>
  <c r="F139" i="5"/>
  <c r="E139" i="5"/>
  <c r="D139" i="5"/>
  <c r="L137" i="5"/>
  <c r="K137" i="5"/>
  <c r="J137" i="5"/>
  <c r="I137" i="5"/>
  <c r="H137" i="5"/>
  <c r="G137" i="5"/>
  <c r="F137" i="5"/>
  <c r="E137" i="5"/>
  <c r="D137" i="5"/>
  <c r="L136" i="5"/>
  <c r="K136" i="5"/>
  <c r="J136" i="5"/>
  <c r="I136" i="5"/>
  <c r="H136" i="5"/>
  <c r="G136" i="5"/>
  <c r="F136" i="5"/>
  <c r="E136" i="5"/>
  <c r="D136" i="5"/>
  <c r="L135" i="5"/>
  <c r="K135" i="5"/>
  <c r="J135" i="5"/>
  <c r="I135" i="5"/>
  <c r="H135" i="5"/>
  <c r="G135" i="5"/>
  <c r="F135" i="5"/>
  <c r="E135" i="5"/>
  <c r="D135" i="5"/>
  <c r="L126" i="5"/>
  <c r="K126" i="5"/>
  <c r="J126" i="5"/>
  <c r="I126" i="5"/>
  <c r="H126" i="5"/>
  <c r="G126" i="5"/>
  <c r="F126" i="5"/>
  <c r="E126" i="5"/>
  <c r="L124" i="5"/>
  <c r="K124" i="5"/>
  <c r="J124" i="5"/>
  <c r="I124" i="5"/>
  <c r="H124" i="5"/>
  <c r="G124" i="5"/>
  <c r="F124" i="5"/>
  <c r="E124" i="5"/>
  <c r="L123" i="5"/>
  <c r="K123" i="5"/>
  <c r="J123" i="5"/>
  <c r="I123" i="5"/>
  <c r="H123" i="5"/>
  <c r="G123" i="5"/>
  <c r="F123" i="5"/>
  <c r="E123" i="5"/>
  <c r="L122" i="5"/>
  <c r="K122" i="5"/>
  <c r="J122" i="5"/>
  <c r="I122" i="5"/>
  <c r="H122" i="5"/>
  <c r="G122" i="5"/>
  <c r="F122" i="5"/>
  <c r="E122" i="5"/>
  <c r="L120" i="5"/>
  <c r="K120" i="5"/>
  <c r="J120" i="5"/>
  <c r="I120" i="5"/>
  <c r="H120" i="5"/>
  <c r="G120" i="5"/>
  <c r="F120" i="5"/>
  <c r="E120" i="5"/>
  <c r="L119" i="5"/>
  <c r="K119" i="5"/>
  <c r="J119" i="5"/>
  <c r="I119" i="5"/>
  <c r="H119" i="5"/>
  <c r="G119" i="5"/>
  <c r="F119" i="5"/>
  <c r="E119" i="5"/>
  <c r="L117" i="5"/>
  <c r="K117" i="5"/>
  <c r="J117" i="5"/>
  <c r="I117" i="5"/>
  <c r="H117" i="5"/>
  <c r="G117" i="5"/>
  <c r="F117" i="5"/>
  <c r="E117" i="5"/>
  <c r="L116" i="5"/>
  <c r="K116" i="5"/>
  <c r="J116" i="5"/>
  <c r="I116" i="5"/>
  <c r="H116" i="5"/>
  <c r="G116" i="5"/>
  <c r="F116" i="5"/>
  <c r="E116" i="5"/>
  <c r="L115" i="5"/>
  <c r="K115" i="5"/>
  <c r="J115" i="5"/>
  <c r="I115" i="5"/>
  <c r="H115" i="5"/>
  <c r="G115" i="5"/>
  <c r="F115" i="5"/>
  <c r="E115" i="5"/>
  <c r="L90" i="5"/>
  <c r="L121" i="5" s="1"/>
  <c r="K90" i="5"/>
  <c r="K94" i="5" s="1"/>
  <c r="J90" i="5"/>
  <c r="J94" i="5" s="1"/>
  <c r="I90" i="5"/>
  <c r="H90" i="5"/>
  <c r="H121" i="5" s="1"/>
  <c r="G90" i="5"/>
  <c r="G121" i="5" s="1"/>
  <c r="F90" i="5"/>
  <c r="F94" i="5" s="1"/>
  <c r="E90" i="5"/>
  <c r="E94" i="5" s="1"/>
  <c r="D90" i="5"/>
  <c r="D121" i="5" s="1"/>
  <c r="L86" i="5"/>
  <c r="L118" i="5" s="1"/>
  <c r="K86" i="5"/>
  <c r="K182" i="6" s="1"/>
  <c r="J86" i="5"/>
  <c r="J182" i="6" s="1"/>
  <c r="I86" i="5"/>
  <c r="I93" i="5" s="1"/>
  <c r="H86" i="5"/>
  <c r="H93" i="5" s="1"/>
  <c r="G86" i="5"/>
  <c r="G118" i="5" s="1"/>
  <c r="F86" i="5"/>
  <c r="F93" i="5" s="1"/>
  <c r="E86" i="5"/>
  <c r="E93" i="5" s="1"/>
  <c r="D86" i="5"/>
  <c r="D118" i="5" s="1"/>
  <c r="L80" i="5"/>
  <c r="K80" i="5"/>
  <c r="J80" i="5"/>
  <c r="I80" i="5"/>
  <c r="H80" i="5"/>
  <c r="G80" i="5"/>
  <c r="F80" i="5"/>
  <c r="E80" i="5"/>
  <c r="D80" i="5"/>
  <c r="L75" i="5"/>
  <c r="K75" i="5"/>
  <c r="J75" i="5"/>
  <c r="I75" i="5"/>
  <c r="H75" i="5"/>
  <c r="G75" i="5"/>
  <c r="F75" i="5"/>
  <c r="E75" i="5"/>
  <c r="D75" i="5"/>
  <c r="L70" i="5"/>
  <c r="K70" i="5"/>
  <c r="J70" i="5"/>
  <c r="I70" i="5"/>
  <c r="H70" i="5"/>
  <c r="G70" i="5"/>
  <c r="F70" i="5"/>
  <c r="E70" i="5"/>
  <c r="D70" i="5"/>
  <c r="L65" i="5"/>
  <c r="K65" i="5"/>
  <c r="J65" i="5"/>
  <c r="I65" i="5"/>
  <c r="H65" i="5"/>
  <c r="G65" i="5"/>
  <c r="F65" i="5"/>
  <c r="E65" i="5"/>
  <c r="D65" i="5"/>
  <c r="L58" i="5"/>
  <c r="L59" i="5" s="1"/>
  <c r="K58" i="5"/>
  <c r="K59" i="5" s="1"/>
  <c r="J58" i="5"/>
  <c r="J59" i="5" s="1"/>
  <c r="I58" i="5"/>
  <c r="I59" i="5" s="1"/>
  <c r="H58" i="5"/>
  <c r="H59" i="5" s="1"/>
  <c r="G58" i="5"/>
  <c r="G59" i="5" s="1"/>
  <c r="F58" i="5"/>
  <c r="F59" i="5" s="1"/>
  <c r="E58" i="5"/>
  <c r="E59" i="5" s="1"/>
  <c r="D58" i="5"/>
  <c r="D59" i="5" s="1"/>
  <c r="L51" i="5"/>
  <c r="L52" i="5" s="1"/>
  <c r="K51" i="5"/>
  <c r="K52" i="5" s="1"/>
  <c r="J51" i="5"/>
  <c r="J52" i="5" s="1"/>
  <c r="I51" i="5"/>
  <c r="I52" i="5" s="1"/>
  <c r="H51" i="5"/>
  <c r="H52" i="5" s="1"/>
  <c r="G51" i="5"/>
  <c r="G52" i="5" s="1"/>
  <c r="F51" i="5"/>
  <c r="F52" i="5" s="1"/>
  <c r="E51" i="5"/>
  <c r="E52" i="5" s="1"/>
  <c r="D51" i="5"/>
  <c r="D52" i="5" s="1"/>
  <c r="L44" i="5"/>
  <c r="L45" i="5" s="1"/>
  <c r="K44" i="5"/>
  <c r="K45" i="5" s="1"/>
  <c r="J44" i="5"/>
  <c r="J45" i="5" s="1"/>
  <c r="I44" i="5"/>
  <c r="I45" i="5" s="1"/>
  <c r="H44" i="5"/>
  <c r="H45" i="5" s="1"/>
  <c r="G44" i="5"/>
  <c r="G45" i="5" s="1"/>
  <c r="F44" i="5"/>
  <c r="F45" i="5" s="1"/>
  <c r="E44" i="5"/>
  <c r="E45" i="5" s="1"/>
  <c r="D44" i="5"/>
  <c r="D45" i="5" s="1"/>
  <c r="L36" i="5"/>
  <c r="K36" i="5"/>
  <c r="J36" i="5"/>
  <c r="I36" i="5"/>
  <c r="H36" i="5"/>
  <c r="G36" i="5"/>
  <c r="F36" i="5"/>
  <c r="E36" i="5"/>
  <c r="D36" i="5"/>
  <c r="L35" i="5"/>
  <c r="K35" i="5"/>
  <c r="J35" i="5"/>
  <c r="I35" i="5"/>
  <c r="H35" i="5"/>
  <c r="G35" i="5"/>
  <c r="F35" i="5"/>
  <c r="E35" i="5"/>
  <c r="D35" i="5"/>
  <c r="L34" i="5"/>
  <c r="K34" i="5"/>
  <c r="J34" i="5"/>
  <c r="I34" i="5"/>
  <c r="H34" i="5"/>
  <c r="G34" i="5"/>
  <c r="F34" i="5"/>
  <c r="E34" i="5"/>
  <c r="D34" i="5"/>
  <c r="L33" i="5"/>
  <c r="L38" i="5" s="1"/>
  <c r="K33" i="5"/>
  <c r="K38" i="5" s="1"/>
  <c r="J33" i="5"/>
  <c r="I33" i="5"/>
  <c r="I38" i="5" s="1"/>
  <c r="H33" i="5"/>
  <c r="H38" i="5" s="1"/>
  <c r="G33" i="5"/>
  <c r="G38" i="5" s="1"/>
  <c r="F33" i="5"/>
  <c r="F38" i="5" s="1"/>
  <c r="E33" i="5"/>
  <c r="E38" i="5" s="1"/>
  <c r="D33" i="5"/>
  <c r="D38" i="5" s="1"/>
  <c r="D27" i="5"/>
  <c r="L22" i="5"/>
  <c r="L25" i="5" s="1"/>
  <c r="K22" i="5"/>
  <c r="K23" i="5" s="1"/>
  <c r="J22" i="5"/>
  <c r="J25" i="5" s="1"/>
  <c r="I22" i="5"/>
  <c r="I25" i="5" s="1"/>
  <c r="H22" i="5"/>
  <c r="H25" i="5" s="1"/>
  <c r="G22" i="5"/>
  <c r="G25" i="5" s="1"/>
  <c r="F22" i="5"/>
  <c r="F23" i="5" s="1"/>
  <c r="E22" i="5"/>
  <c r="E23" i="5" s="1"/>
  <c r="D22" i="5"/>
  <c r="A16" i="5"/>
  <c r="A15" i="5"/>
  <c r="A14" i="5"/>
  <c r="A13" i="5"/>
  <c r="A12" i="5"/>
  <c r="A11" i="5"/>
  <c r="A10" i="5"/>
  <c r="A9" i="5"/>
  <c r="A8" i="5"/>
  <c r="A7" i="5"/>
  <c r="U76" i="4"/>
  <c r="T76" i="4"/>
  <c r="S76" i="4"/>
  <c r="R76" i="4"/>
  <c r="Q76" i="4"/>
  <c r="P76" i="4"/>
  <c r="O76" i="4"/>
  <c r="N76" i="4"/>
  <c r="L76" i="4"/>
  <c r="K76" i="4"/>
  <c r="J76" i="4"/>
  <c r="I76" i="4"/>
  <c r="H76" i="4"/>
  <c r="G76" i="4"/>
  <c r="F76" i="4"/>
  <c r="E76" i="4"/>
  <c r="D76" i="4"/>
  <c r="C76" i="4"/>
  <c r="U73" i="4"/>
  <c r="T73" i="4"/>
  <c r="S73" i="4"/>
  <c r="R73" i="4"/>
  <c r="Q73" i="4"/>
  <c r="P73" i="4"/>
  <c r="O73" i="4"/>
  <c r="N73" i="4"/>
  <c r="L73" i="4"/>
  <c r="K73" i="4"/>
  <c r="J73" i="4"/>
  <c r="I73" i="4"/>
  <c r="H73" i="4"/>
  <c r="G73" i="4"/>
  <c r="F73" i="4"/>
  <c r="E73" i="4"/>
  <c r="D73" i="4"/>
  <c r="C73" i="4"/>
  <c r="U71" i="4"/>
  <c r="U56" i="10" s="1"/>
  <c r="T71" i="4"/>
  <c r="T88" i="10" s="1"/>
  <c r="S71" i="4"/>
  <c r="S58" i="10" s="1"/>
  <c r="R71" i="4"/>
  <c r="R58" i="10" s="1"/>
  <c r="Q71" i="4"/>
  <c r="Q55" i="10" s="1"/>
  <c r="P71" i="4"/>
  <c r="P55" i="10" s="1"/>
  <c r="O71" i="4"/>
  <c r="O59" i="10" s="1"/>
  <c r="N71" i="4"/>
  <c r="N59" i="10" s="1"/>
  <c r="L71" i="4"/>
  <c r="L56" i="10" s="1"/>
  <c r="K71" i="4"/>
  <c r="K56" i="10" s="1"/>
  <c r="J71" i="4"/>
  <c r="J56" i="10" s="1"/>
  <c r="I71" i="4"/>
  <c r="I56" i="10" s="1"/>
  <c r="H71" i="4"/>
  <c r="G71" i="4"/>
  <c r="F71" i="4"/>
  <c r="E71" i="4"/>
  <c r="E88" i="10" s="1"/>
  <c r="D71" i="4"/>
  <c r="D58" i="10" s="1"/>
  <c r="C71" i="4"/>
  <c r="C58" i="10" s="1"/>
  <c r="U68" i="4"/>
  <c r="T68" i="4"/>
  <c r="S68" i="4"/>
  <c r="R68" i="4"/>
  <c r="Q68" i="4"/>
  <c r="P68" i="4"/>
  <c r="O68" i="4"/>
  <c r="N68" i="4"/>
  <c r="L68" i="4"/>
  <c r="K68" i="4"/>
  <c r="J68" i="4"/>
  <c r="I68" i="4"/>
  <c r="H68" i="4"/>
  <c r="G68" i="4"/>
  <c r="F68" i="4"/>
  <c r="E68" i="4"/>
  <c r="D68" i="4"/>
  <c r="C68" i="4"/>
  <c r="U67" i="4"/>
  <c r="T67" i="4"/>
  <c r="S67" i="4"/>
  <c r="R67" i="4"/>
  <c r="Q67" i="4"/>
  <c r="P67" i="4"/>
  <c r="O67" i="4"/>
  <c r="N67" i="4"/>
  <c r="L67" i="4"/>
  <c r="K67" i="4"/>
  <c r="J67" i="4"/>
  <c r="I67" i="4"/>
  <c r="H67" i="4"/>
  <c r="G67" i="4"/>
  <c r="F67" i="4"/>
  <c r="E67" i="4"/>
  <c r="D67" i="4"/>
  <c r="C67" i="4"/>
  <c r="U66" i="4"/>
  <c r="T66" i="4"/>
  <c r="S66" i="4"/>
  <c r="R66" i="4"/>
  <c r="Q66" i="4"/>
  <c r="P66" i="4"/>
  <c r="O66" i="4"/>
  <c r="N66" i="4"/>
  <c r="L66" i="4"/>
  <c r="K66" i="4"/>
  <c r="J66" i="4"/>
  <c r="I66" i="4"/>
  <c r="H66" i="4"/>
  <c r="G66" i="4"/>
  <c r="F66" i="4"/>
  <c r="E66" i="4"/>
  <c r="D66" i="4"/>
  <c r="C66" i="4"/>
  <c r="U65" i="4"/>
  <c r="T65" i="4"/>
  <c r="S65" i="4"/>
  <c r="R65" i="4"/>
  <c r="Q65" i="4"/>
  <c r="P65" i="4"/>
  <c r="O65" i="4"/>
  <c r="N65" i="4"/>
  <c r="L65" i="4"/>
  <c r="K65" i="4"/>
  <c r="J65" i="4"/>
  <c r="I65" i="4"/>
  <c r="H65" i="4"/>
  <c r="G65" i="4"/>
  <c r="F65" i="4"/>
  <c r="E65" i="4"/>
  <c r="D65" i="4"/>
  <c r="C65" i="4"/>
  <c r="U63" i="4"/>
  <c r="T63" i="4"/>
  <c r="S63" i="4"/>
  <c r="R63" i="4"/>
  <c r="Q63" i="4"/>
  <c r="P63" i="4"/>
  <c r="O63" i="4"/>
  <c r="N63" i="4"/>
  <c r="L62" i="4"/>
  <c r="K62" i="4"/>
  <c r="J62" i="4"/>
  <c r="I62" i="4"/>
  <c r="H62" i="4"/>
  <c r="G62" i="4"/>
  <c r="F62" i="4"/>
  <c r="E62" i="4"/>
  <c r="D62" i="4"/>
  <c r="C62" i="4"/>
  <c r="U27" i="4"/>
  <c r="U64" i="4" s="1"/>
  <c r="T27" i="4"/>
  <c r="T64" i="4" s="1"/>
  <c r="S27" i="4"/>
  <c r="S64" i="4" s="1"/>
  <c r="R27" i="4"/>
  <c r="R64" i="4" s="1"/>
  <c r="Q27" i="4"/>
  <c r="Q64" i="4" s="1"/>
  <c r="P27" i="4"/>
  <c r="P64" i="4" s="1"/>
  <c r="O27" i="4"/>
  <c r="O64" i="4" s="1"/>
  <c r="N27" i="4"/>
  <c r="N64" i="4" s="1"/>
  <c r="L27" i="4"/>
  <c r="L64" i="4" s="1"/>
  <c r="K27" i="4"/>
  <c r="K64" i="4" s="1"/>
  <c r="J27" i="4"/>
  <c r="J64" i="4" s="1"/>
  <c r="I27" i="4"/>
  <c r="I64" i="4" s="1"/>
  <c r="H27" i="4"/>
  <c r="H64" i="4" s="1"/>
  <c r="G27" i="4"/>
  <c r="G64" i="4" s="1"/>
  <c r="F27" i="4"/>
  <c r="F64" i="4" s="1"/>
  <c r="E27" i="4"/>
  <c r="E64" i="4" s="1"/>
  <c r="D27" i="4"/>
  <c r="D64" i="4" s="1"/>
  <c r="C27" i="4"/>
  <c r="C64" i="4" s="1"/>
  <c r="A12" i="4"/>
  <c r="A11" i="4"/>
  <c r="A10" i="4"/>
  <c r="A9" i="4"/>
  <c r="A8" i="4"/>
  <c r="A7" i="4"/>
  <c r="U70" i="3"/>
  <c r="T70" i="3"/>
  <c r="S70" i="3"/>
  <c r="R70" i="3"/>
  <c r="Q70" i="3"/>
  <c r="P70" i="3"/>
  <c r="O70" i="3"/>
  <c r="N70" i="3"/>
  <c r="L70" i="3"/>
  <c r="K70" i="3"/>
  <c r="J70" i="3"/>
  <c r="I70" i="3"/>
  <c r="H70" i="3"/>
  <c r="G70" i="3"/>
  <c r="F70" i="3"/>
  <c r="E70" i="3"/>
  <c r="D70" i="3"/>
  <c r="C70" i="3"/>
  <c r="U69" i="3"/>
  <c r="U71" i="3" s="1"/>
  <c r="T69" i="3"/>
  <c r="T71" i="3" s="1"/>
  <c r="S69" i="3"/>
  <c r="S71" i="3" s="1"/>
  <c r="R69" i="3"/>
  <c r="R71" i="3" s="1"/>
  <c r="Q69" i="3"/>
  <c r="Q71" i="3" s="1"/>
  <c r="P69" i="3"/>
  <c r="P71" i="3" s="1"/>
  <c r="O69" i="3"/>
  <c r="O71" i="3" s="1"/>
  <c r="N69" i="3"/>
  <c r="N71" i="3" s="1"/>
  <c r="L69" i="3"/>
  <c r="L43" i="10" s="1"/>
  <c r="K69" i="3"/>
  <c r="K43" i="10" s="1"/>
  <c r="J69" i="3"/>
  <c r="J43" i="10" s="1"/>
  <c r="I69" i="3"/>
  <c r="I71" i="3" s="1"/>
  <c r="H69" i="3"/>
  <c r="H71" i="3" s="1"/>
  <c r="G69" i="3"/>
  <c r="F69" i="3"/>
  <c r="E69" i="3"/>
  <c r="D69" i="3"/>
  <c r="C69" i="3"/>
  <c r="U66" i="3"/>
  <c r="T66" i="3"/>
  <c r="S66" i="3"/>
  <c r="R66" i="3"/>
  <c r="Q66" i="3"/>
  <c r="P66" i="3"/>
  <c r="O66" i="3"/>
  <c r="N66" i="3"/>
  <c r="L66" i="3"/>
  <c r="K66" i="3"/>
  <c r="J66" i="3"/>
  <c r="I66" i="3"/>
  <c r="H66" i="3"/>
  <c r="G66" i="3"/>
  <c r="F66" i="3"/>
  <c r="E66" i="3"/>
  <c r="D66" i="3"/>
  <c r="C66" i="3"/>
  <c r="U65" i="3"/>
  <c r="T65" i="3"/>
  <c r="S65" i="3"/>
  <c r="R65" i="3"/>
  <c r="Q65" i="3"/>
  <c r="P65" i="3"/>
  <c r="O65" i="3"/>
  <c r="N65" i="3"/>
  <c r="L65" i="3"/>
  <c r="K65" i="3"/>
  <c r="J65" i="3"/>
  <c r="I65" i="3"/>
  <c r="H65" i="3"/>
  <c r="G65" i="3"/>
  <c r="F65" i="3"/>
  <c r="E65" i="3"/>
  <c r="D65" i="3"/>
  <c r="C65" i="3"/>
  <c r="U64" i="3"/>
  <c r="T64" i="3"/>
  <c r="S64" i="3"/>
  <c r="R64" i="3"/>
  <c r="Q64" i="3"/>
  <c r="P64" i="3"/>
  <c r="O64" i="3"/>
  <c r="N64" i="3"/>
  <c r="L64" i="3"/>
  <c r="K64" i="3"/>
  <c r="J64" i="3"/>
  <c r="I64" i="3"/>
  <c r="H64" i="3"/>
  <c r="G64" i="3"/>
  <c r="F64" i="3"/>
  <c r="E64" i="3"/>
  <c r="D64" i="3"/>
  <c r="C64" i="3"/>
  <c r="U63" i="3"/>
  <c r="T63" i="3"/>
  <c r="S63" i="3"/>
  <c r="R63" i="3"/>
  <c r="Q63" i="3"/>
  <c r="P63" i="3"/>
  <c r="O63" i="3"/>
  <c r="N63" i="3"/>
  <c r="L63" i="3"/>
  <c r="K63" i="3"/>
  <c r="J63" i="3"/>
  <c r="I63" i="3"/>
  <c r="H63" i="3"/>
  <c r="G63" i="3"/>
  <c r="F63" i="3"/>
  <c r="E63" i="3"/>
  <c r="D63" i="3"/>
  <c r="C63" i="3"/>
  <c r="U62" i="3"/>
  <c r="T62" i="3"/>
  <c r="S62" i="3"/>
  <c r="R62" i="3"/>
  <c r="Q62" i="3"/>
  <c r="P62" i="3"/>
  <c r="O62" i="3"/>
  <c r="N62" i="3"/>
  <c r="L62" i="3"/>
  <c r="K62" i="3"/>
  <c r="J62" i="3"/>
  <c r="I62" i="3"/>
  <c r="H62" i="3"/>
  <c r="G62" i="3"/>
  <c r="F62" i="3"/>
  <c r="E62" i="3"/>
  <c r="D62" i="3"/>
  <c r="C62" i="3"/>
  <c r="U61" i="3"/>
  <c r="T61" i="3"/>
  <c r="S61" i="3"/>
  <c r="R61" i="3"/>
  <c r="Q61" i="3"/>
  <c r="P61" i="3"/>
  <c r="O61" i="3"/>
  <c r="N61" i="3"/>
  <c r="L61" i="3"/>
  <c r="K61" i="3"/>
  <c r="J61" i="3"/>
  <c r="I61" i="3"/>
  <c r="H61" i="3"/>
  <c r="G61" i="3"/>
  <c r="F61" i="3"/>
  <c r="E61" i="3"/>
  <c r="D61" i="3"/>
  <c r="C61" i="3"/>
  <c r="U58" i="3"/>
  <c r="T58" i="3"/>
  <c r="S58" i="3"/>
  <c r="R58" i="3"/>
  <c r="Q58" i="3"/>
  <c r="P58" i="3"/>
  <c r="O58" i="3"/>
  <c r="N58" i="3"/>
  <c r="L58" i="3"/>
  <c r="K58" i="3"/>
  <c r="J58" i="3"/>
  <c r="I58" i="3"/>
  <c r="H58" i="3"/>
  <c r="G58" i="3"/>
  <c r="F58" i="3"/>
  <c r="E58" i="3"/>
  <c r="D58" i="3"/>
  <c r="C58" i="3"/>
  <c r="A11" i="3"/>
  <c r="A10" i="3"/>
  <c r="A9" i="3"/>
  <c r="A8" i="3"/>
  <c r="A7" i="3"/>
  <c r="U58" i="2"/>
  <c r="T58" i="2"/>
  <c r="S58" i="2"/>
  <c r="R58" i="2"/>
  <c r="Q58" i="2"/>
  <c r="P58" i="2"/>
  <c r="O58" i="2"/>
  <c r="N58" i="2"/>
  <c r="L58" i="2"/>
  <c r="K58" i="2"/>
  <c r="J58" i="2"/>
  <c r="I58" i="2"/>
  <c r="H58" i="2"/>
  <c r="G58" i="2"/>
  <c r="F58" i="2"/>
  <c r="E58" i="2"/>
  <c r="D58" i="2"/>
  <c r="C58" i="2"/>
  <c r="U57" i="2"/>
  <c r="T57" i="2"/>
  <c r="S57" i="2"/>
  <c r="R57" i="2"/>
  <c r="Q57" i="2"/>
  <c r="P57" i="2"/>
  <c r="O57" i="2"/>
  <c r="N57" i="2"/>
  <c r="L57" i="2"/>
  <c r="K57" i="2"/>
  <c r="J57" i="2"/>
  <c r="I57" i="2"/>
  <c r="H57" i="2"/>
  <c r="G57" i="2"/>
  <c r="F57" i="2"/>
  <c r="E57" i="2"/>
  <c r="D57" i="2"/>
  <c r="C57" i="2"/>
  <c r="U56" i="2"/>
  <c r="T56" i="2"/>
  <c r="S56" i="2"/>
  <c r="R56" i="2"/>
  <c r="Q56" i="2"/>
  <c r="P56" i="2"/>
  <c r="O56" i="2"/>
  <c r="N56" i="2"/>
  <c r="L56" i="2"/>
  <c r="K56" i="2"/>
  <c r="J56" i="2"/>
  <c r="I56" i="2"/>
  <c r="H56" i="2"/>
  <c r="G56" i="2"/>
  <c r="F56" i="2"/>
  <c r="E56" i="2"/>
  <c r="D56" i="2"/>
  <c r="C56" i="2"/>
  <c r="U54" i="2"/>
  <c r="T54" i="2"/>
  <c r="S54" i="2"/>
  <c r="R54" i="2"/>
  <c r="Q54" i="2"/>
  <c r="P54" i="2"/>
  <c r="O54" i="2"/>
  <c r="N54" i="2"/>
  <c r="L54" i="2"/>
  <c r="K54" i="2"/>
  <c r="J54" i="2"/>
  <c r="I54" i="2"/>
  <c r="H54" i="2"/>
  <c r="G54" i="2"/>
  <c r="F54" i="2"/>
  <c r="E54" i="2"/>
  <c r="D54" i="2"/>
  <c r="C54" i="2"/>
  <c r="U48" i="2"/>
  <c r="T48" i="2"/>
  <c r="S48" i="2"/>
  <c r="R48" i="2"/>
  <c r="L48" i="2"/>
  <c r="K48" i="2"/>
  <c r="J48" i="2"/>
  <c r="I48" i="2"/>
  <c r="H48" i="2"/>
  <c r="G48" i="2"/>
  <c r="F48" i="2"/>
  <c r="E48" i="2"/>
  <c r="D48" i="2"/>
  <c r="U43" i="2"/>
  <c r="T43" i="2"/>
  <c r="S43" i="2"/>
  <c r="R43" i="2"/>
  <c r="L43" i="2"/>
  <c r="K43" i="2"/>
  <c r="J43" i="2"/>
  <c r="I43" i="2"/>
  <c r="H43" i="2"/>
  <c r="G43" i="2"/>
  <c r="F43" i="2"/>
  <c r="E43" i="2"/>
  <c r="D43" i="2"/>
  <c r="U42" i="2"/>
  <c r="T42" i="2"/>
  <c r="S42" i="2"/>
  <c r="R42" i="2"/>
  <c r="Q42" i="2"/>
  <c r="P42" i="2"/>
  <c r="O42" i="2"/>
  <c r="N42" i="2"/>
  <c r="L42" i="2"/>
  <c r="K42" i="2"/>
  <c r="J42" i="2"/>
  <c r="I42" i="2"/>
  <c r="H42" i="2"/>
  <c r="G42" i="2"/>
  <c r="F42" i="2"/>
  <c r="E42" i="2"/>
  <c r="D42" i="2"/>
  <c r="C42" i="2"/>
  <c r="U35" i="2"/>
  <c r="T35" i="2"/>
  <c r="S35" i="2"/>
  <c r="R35" i="2"/>
  <c r="L35" i="2"/>
  <c r="K35" i="2"/>
  <c r="J35" i="2"/>
  <c r="I35" i="2"/>
  <c r="H35" i="2"/>
  <c r="G35" i="2"/>
  <c r="F35" i="2"/>
  <c r="E35" i="2"/>
  <c r="D35" i="2"/>
  <c r="U34" i="2"/>
  <c r="T34" i="2"/>
  <c r="S34" i="2"/>
  <c r="R34" i="2"/>
  <c r="Q34" i="2"/>
  <c r="P34" i="2"/>
  <c r="O34" i="2"/>
  <c r="N34" i="2"/>
  <c r="L34" i="2"/>
  <c r="K34" i="2"/>
  <c r="J34" i="2"/>
  <c r="I34" i="2"/>
  <c r="H34" i="2"/>
  <c r="G34" i="2"/>
  <c r="F34" i="2"/>
  <c r="E34" i="2"/>
  <c r="D34" i="2"/>
  <c r="C34" i="2"/>
  <c r="U30" i="2"/>
  <c r="U21" i="10" s="1"/>
  <c r="T30" i="2"/>
  <c r="T21" i="10" s="1"/>
  <c r="S30" i="2"/>
  <c r="S21" i="10" s="1"/>
  <c r="R30" i="2"/>
  <c r="R21" i="10" s="1"/>
  <c r="Q30" i="2"/>
  <c r="Q21" i="10" s="1"/>
  <c r="P30" i="2"/>
  <c r="P21" i="10" s="1"/>
  <c r="O30" i="2"/>
  <c r="O21" i="10" s="1"/>
  <c r="N30" i="2"/>
  <c r="N21" i="10" s="1"/>
  <c r="L30" i="2"/>
  <c r="L138" i="5" s="1"/>
  <c r="K30" i="2"/>
  <c r="K21" i="10" s="1"/>
  <c r="J30" i="2"/>
  <c r="J138" i="5" s="1"/>
  <c r="I30" i="2"/>
  <c r="H30" i="2"/>
  <c r="G30" i="2"/>
  <c r="F30" i="2"/>
  <c r="F21" i="10" s="1"/>
  <c r="E30" i="2"/>
  <c r="E21" i="10" s="1"/>
  <c r="D30" i="2"/>
  <c r="D21" i="10" s="1"/>
  <c r="C30" i="2"/>
  <c r="C21" i="10" s="1"/>
  <c r="U25" i="2"/>
  <c r="U20" i="10" s="1"/>
  <c r="T25" i="2"/>
  <c r="T20" i="10" s="1"/>
  <c r="S25" i="2"/>
  <c r="S20" i="10" s="1"/>
  <c r="R25" i="2"/>
  <c r="R20" i="10" s="1"/>
  <c r="Q25" i="2"/>
  <c r="Q20" i="10" s="1"/>
  <c r="P25" i="2"/>
  <c r="O25" i="2"/>
  <c r="O19" i="10" s="1"/>
  <c r="N25" i="2"/>
  <c r="L25" i="2"/>
  <c r="K25" i="2"/>
  <c r="J25" i="2"/>
  <c r="J20" i="10" s="1"/>
  <c r="I25" i="2"/>
  <c r="I20" i="10" s="1"/>
  <c r="H25" i="2"/>
  <c r="H20" i="10" s="1"/>
  <c r="G25" i="2"/>
  <c r="G20" i="10" s="1"/>
  <c r="F25" i="2"/>
  <c r="F125" i="5" s="1"/>
  <c r="E25" i="2"/>
  <c r="E20" i="10" s="1"/>
  <c r="D25" i="2"/>
  <c r="D20" i="10" s="1"/>
  <c r="C25" i="2"/>
  <c r="C20" i="10" s="1"/>
  <c r="U18" i="2"/>
  <c r="T18" i="2"/>
  <c r="S18" i="2"/>
  <c r="R18" i="2"/>
  <c r="L18" i="2"/>
  <c r="K18" i="2"/>
  <c r="J18" i="2"/>
  <c r="I18" i="2"/>
  <c r="H18" i="2"/>
  <c r="G18" i="2"/>
  <c r="F18" i="2"/>
  <c r="E18" i="2"/>
  <c r="D18" i="2"/>
  <c r="A9" i="2"/>
  <c r="A8" i="2"/>
  <c r="A7" i="2"/>
  <c r="R85" i="10" l="1"/>
  <c r="G72" i="4"/>
  <c r="Q24" i="10"/>
  <c r="D33" i="10"/>
  <c r="S72" i="3"/>
  <c r="T85" i="10"/>
  <c r="L81" i="10"/>
  <c r="K85" i="10"/>
  <c r="O24" i="10"/>
  <c r="U83" i="10"/>
  <c r="L87" i="10"/>
  <c r="H38" i="10"/>
  <c r="I38" i="10"/>
  <c r="G77" i="4"/>
  <c r="C33" i="10"/>
  <c r="H79" i="10"/>
  <c r="D81" i="10"/>
  <c r="L79" i="10"/>
  <c r="G81" i="10"/>
  <c r="D83" i="10"/>
  <c r="D83" i="7"/>
  <c r="D86" i="7" s="1"/>
  <c r="D84" i="7"/>
  <c r="D79" i="10"/>
  <c r="S24" i="10"/>
  <c r="F79" i="10"/>
  <c r="T81" i="10"/>
  <c r="L83" i="10"/>
  <c r="F87" i="10"/>
  <c r="L83" i="7"/>
  <c r="L86" i="7" s="1"/>
  <c r="E66" i="6"/>
  <c r="J87" i="10"/>
  <c r="N60" i="10"/>
  <c r="I32" i="10"/>
  <c r="P52" i="10"/>
  <c r="N74" i="4"/>
  <c r="P77" i="4"/>
  <c r="U85" i="10"/>
  <c r="Q75" i="4"/>
  <c r="U79" i="10"/>
  <c r="R87" i="10"/>
  <c r="P55" i="2"/>
  <c r="E85" i="10"/>
  <c r="T83" i="10"/>
  <c r="L55" i="2"/>
  <c r="R77" i="4"/>
  <c r="L93" i="5"/>
  <c r="N55" i="2"/>
  <c r="I55" i="2"/>
  <c r="J52" i="10"/>
  <c r="I72" i="4"/>
  <c r="I60" i="10"/>
  <c r="H87" i="10"/>
  <c r="D24" i="10"/>
  <c r="F83" i="10"/>
  <c r="K87" i="10"/>
  <c r="J74" i="4"/>
  <c r="L60" i="10"/>
  <c r="H83" i="10"/>
  <c r="F75" i="4"/>
  <c r="L75" i="4"/>
  <c r="H84" i="7"/>
  <c r="U81" i="10"/>
  <c r="S87" i="10"/>
  <c r="Q72" i="3"/>
  <c r="C60" i="10"/>
  <c r="R60" i="10"/>
  <c r="L84" i="7"/>
  <c r="T87" i="10"/>
  <c r="S81" i="10"/>
  <c r="U87" i="10"/>
  <c r="E77" i="4"/>
  <c r="T77" i="4"/>
  <c r="J79" i="10"/>
  <c r="F81" i="10"/>
  <c r="S83" i="10"/>
  <c r="I85" i="10"/>
  <c r="D87" i="10"/>
  <c r="Q74" i="4"/>
  <c r="C77" i="4"/>
  <c r="U19" i="10"/>
  <c r="P60" i="10"/>
  <c r="S55" i="2"/>
  <c r="H72" i="4"/>
  <c r="E72" i="4"/>
  <c r="U74" i="4"/>
  <c r="H60" i="10"/>
  <c r="J77" i="4"/>
  <c r="F20" i="10"/>
  <c r="G24" i="10"/>
  <c r="H32" i="10"/>
  <c r="K83" i="10"/>
  <c r="L77" i="4"/>
  <c r="R79" i="10"/>
  <c r="J88" i="10"/>
  <c r="S72" i="4"/>
  <c r="P20" i="10"/>
  <c r="I24" i="10"/>
  <c r="K55" i="2"/>
  <c r="P72" i="3"/>
  <c r="U72" i="4"/>
  <c r="J75" i="4"/>
  <c r="J60" i="10"/>
  <c r="N77" i="4"/>
  <c r="J118" i="5"/>
  <c r="I83" i="7"/>
  <c r="I86" i="7" s="1"/>
  <c r="N24" i="10"/>
  <c r="D42" i="10"/>
  <c r="S79" i="10"/>
  <c r="F85" i="10"/>
  <c r="K75" i="4"/>
  <c r="K77" i="4"/>
  <c r="O77" i="4"/>
  <c r="K83" i="7"/>
  <c r="K86" i="7" s="1"/>
  <c r="G42" i="10"/>
  <c r="T79" i="10"/>
  <c r="E81" i="10"/>
  <c r="R83" i="10"/>
  <c r="I42" i="10"/>
  <c r="I81" i="10"/>
  <c r="H85" i="10"/>
  <c r="O75" i="4"/>
  <c r="E121" i="5"/>
  <c r="H182" i="6"/>
  <c r="D125" i="5"/>
  <c r="P75" i="4"/>
  <c r="O60" i="10"/>
  <c r="E79" i="10"/>
  <c r="K81" i="10"/>
  <c r="J85" i="10"/>
  <c r="I84" i="7"/>
  <c r="K74" i="4"/>
  <c r="U75" i="4"/>
  <c r="Q77" i="4"/>
  <c r="K84" i="7"/>
  <c r="G79" i="10"/>
  <c r="L85" i="10"/>
  <c r="E87" i="10"/>
  <c r="L74" i="4"/>
  <c r="R81" i="10"/>
  <c r="I70" i="10"/>
  <c r="D77" i="4"/>
  <c r="S77" i="4"/>
  <c r="E19" i="10"/>
  <c r="K58" i="10"/>
  <c r="G87" i="10"/>
  <c r="F19" i="10"/>
  <c r="O58" i="10"/>
  <c r="I79" i="10"/>
  <c r="D55" i="2"/>
  <c r="H55" i="2"/>
  <c r="C71" i="3"/>
  <c r="C38" i="10" s="1"/>
  <c r="P74" i="4"/>
  <c r="F77" i="4"/>
  <c r="U77" i="4"/>
  <c r="T19" i="10"/>
  <c r="J59" i="10"/>
  <c r="I83" i="10"/>
  <c r="I87" i="10"/>
  <c r="O74" i="4"/>
  <c r="H43" i="10"/>
  <c r="D71" i="3"/>
  <c r="D38" i="10" s="1"/>
  <c r="D32" i="10"/>
  <c r="R72" i="3"/>
  <c r="I92" i="5"/>
  <c r="I95" i="5" s="1"/>
  <c r="I182" i="6"/>
  <c r="G182" i="6"/>
  <c r="F182" i="6"/>
  <c r="F118" i="5"/>
  <c r="H94" i="5"/>
  <c r="H118" i="5"/>
  <c r="I23" i="5"/>
  <c r="I94" i="5"/>
  <c r="I118" i="5"/>
  <c r="I24" i="5"/>
  <c r="L94" i="5"/>
  <c r="J24" i="5"/>
  <c r="F26" i="5"/>
  <c r="E27" i="5"/>
  <c r="F121" i="5"/>
  <c r="J71" i="3"/>
  <c r="J38" i="10" s="1"/>
  <c r="T72" i="3"/>
  <c r="E33" i="10"/>
  <c r="F33" i="10"/>
  <c r="U72" i="3"/>
  <c r="G33" i="10"/>
  <c r="H70" i="10"/>
  <c r="N72" i="3"/>
  <c r="E71" i="3"/>
  <c r="E40" i="10"/>
  <c r="O72" i="3"/>
  <c r="G71" i="3"/>
  <c r="G72" i="3" s="1"/>
  <c r="G39" i="10" s="1"/>
  <c r="J40" i="10"/>
  <c r="E43" i="10"/>
  <c r="K31" i="10"/>
  <c r="I75" i="10"/>
  <c r="J32" i="10"/>
  <c r="K32" i="10"/>
  <c r="D31" i="10"/>
  <c r="E31" i="10"/>
  <c r="F31" i="10"/>
  <c r="H31" i="10"/>
  <c r="G75" i="10"/>
  <c r="E182" i="6"/>
  <c r="D93" i="5"/>
  <c r="I121" i="5"/>
  <c r="D182" i="6"/>
  <c r="K92" i="5"/>
  <c r="K95" i="5" s="1"/>
  <c r="G93" i="5"/>
  <c r="J121" i="5"/>
  <c r="L23" i="5"/>
  <c r="L27" i="5"/>
  <c r="L182" i="6"/>
  <c r="L24" i="5"/>
  <c r="L92" i="5"/>
  <c r="L95" i="5" s="1"/>
  <c r="J93" i="5"/>
  <c r="E118" i="5"/>
  <c r="H50" i="6"/>
  <c r="D105" i="6"/>
  <c r="D103" i="6"/>
  <c r="F66" i="6"/>
  <c r="I67" i="10"/>
  <c r="G67" i="10"/>
  <c r="H67" i="10"/>
  <c r="J50" i="6"/>
  <c r="J52" i="6"/>
  <c r="K52" i="6"/>
  <c r="L50" i="6"/>
  <c r="L26" i="5"/>
  <c r="K26" i="5"/>
  <c r="J23" i="5"/>
  <c r="K27" i="5"/>
  <c r="F24" i="5"/>
  <c r="K24" i="5"/>
  <c r="G26" i="5"/>
  <c r="J37" i="5"/>
  <c r="I26" i="5"/>
  <c r="J26" i="5"/>
  <c r="G37" i="5"/>
  <c r="I37" i="5"/>
  <c r="K37" i="5"/>
  <c r="J27" i="5"/>
  <c r="L37" i="5"/>
  <c r="E25" i="5"/>
  <c r="F25" i="5"/>
  <c r="D37" i="5"/>
  <c r="H23" i="5"/>
  <c r="E26" i="5"/>
  <c r="C103" i="6"/>
  <c r="K103" i="6"/>
  <c r="C105" i="6"/>
  <c r="H64" i="10"/>
  <c r="K64" i="10"/>
  <c r="H105" i="6"/>
  <c r="I105" i="6"/>
  <c r="L105" i="6"/>
  <c r="G64" i="10"/>
  <c r="G66" i="6"/>
  <c r="L103" i="6"/>
  <c r="H71" i="10"/>
  <c r="I103" i="6"/>
  <c r="I64" i="10"/>
  <c r="J64" i="10"/>
  <c r="H104" i="6"/>
  <c r="F68" i="10"/>
  <c r="H86" i="7"/>
  <c r="H88" i="7"/>
  <c r="J86" i="7"/>
  <c r="J88" i="7"/>
  <c r="C86" i="7"/>
  <c r="C88" i="7"/>
  <c r="L71" i="3"/>
  <c r="H72" i="3"/>
  <c r="H39" i="10" s="1"/>
  <c r="J72" i="4"/>
  <c r="F74" i="4"/>
  <c r="H77" i="4"/>
  <c r="F27" i="5"/>
  <c r="K121" i="5"/>
  <c r="L52" i="6"/>
  <c r="K66" i="6"/>
  <c r="E103" i="6"/>
  <c r="E83" i="7"/>
  <c r="P19" i="10"/>
  <c r="K20" i="10"/>
  <c r="G21" i="10"/>
  <c r="H33" i="10"/>
  <c r="C55" i="10"/>
  <c r="R55" i="10"/>
  <c r="N56" i="10"/>
  <c r="E58" i="10"/>
  <c r="T58" i="10"/>
  <c r="P59" i="10"/>
  <c r="K60" i="10"/>
  <c r="G63" i="10"/>
  <c r="L64" i="10"/>
  <c r="J67" i="10"/>
  <c r="J70" i="10"/>
  <c r="F88" i="10"/>
  <c r="U88" i="10"/>
  <c r="I72" i="3"/>
  <c r="I39" i="10" s="1"/>
  <c r="E24" i="5"/>
  <c r="G90" i="7"/>
  <c r="K72" i="4"/>
  <c r="G74" i="4"/>
  <c r="C75" i="4"/>
  <c r="R75" i="4"/>
  <c r="I77" i="4"/>
  <c r="K25" i="5"/>
  <c r="G27" i="5"/>
  <c r="D92" i="5"/>
  <c r="D95" i="5" s="1"/>
  <c r="K118" i="5"/>
  <c r="E50" i="6"/>
  <c r="L66" i="6"/>
  <c r="F103" i="6"/>
  <c r="J104" i="6"/>
  <c r="F83" i="7"/>
  <c r="J84" i="7"/>
  <c r="H90" i="7"/>
  <c r="Q19" i="10"/>
  <c r="L20" i="10"/>
  <c r="H21" i="10"/>
  <c r="J24" i="10"/>
  <c r="E32" i="10"/>
  <c r="I33" i="10"/>
  <c r="D55" i="10"/>
  <c r="S55" i="10"/>
  <c r="O56" i="10"/>
  <c r="F58" i="10"/>
  <c r="U58" i="10"/>
  <c r="Q59" i="10"/>
  <c r="H63" i="10"/>
  <c r="K67" i="10"/>
  <c r="K70" i="10"/>
  <c r="G88" i="10"/>
  <c r="D50" i="6"/>
  <c r="Q55" i="2"/>
  <c r="L72" i="4"/>
  <c r="H74" i="4"/>
  <c r="D75" i="4"/>
  <c r="S75" i="4"/>
  <c r="H27" i="5"/>
  <c r="E37" i="5"/>
  <c r="J38" i="5"/>
  <c r="E92" i="5"/>
  <c r="E95" i="5" s="1"/>
  <c r="G103" i="6"/>
  <c r="K104" i="6"/>
  <c r="G83" i="7"/>
  <c r="C19" i="10"/>
  <c r="R19" i="10"/>
  <c r="N20" i="10"/>
  <c r="I21" i="10"/>
  <c r="K24" i="10"/>
  <c r="F32" i="10"/>
  <c r="J33" i="10"/>
  <c r="C40" i="10"/>
  <c r="K42" i="10"/>
  <c r="C52" i="10"/>
  <c r="R52" i="10"/>
  <c r="E55" i="10"/>
  <c r="T55" i="10"/>
  <c r="P56" i="10"/>
  <c r="G58" i="10"/>
  <c r="C59" i="10"/>
  <c r="R59" i="10"/>
  <c r="I63" i="10"/>
  <c r="L67" i="10"/>
  <c r="L70" i="10"/>
  <c r="H88" i="10"/>
  <c r="O55" i="2"/>
  <c r="G24" i="5"/>
  <c r="E125" i="5"/>
  <c r="F50" i="6"/>
  <c r="C55" i="2"/>
  <c r="R55" i="2"/>
  <c r="R72" i="4"/>
  <c r="I74" i="4"/>
  <c r="E75" i="4"/>
  <c r="T75" i="4"/>
  <c r="H24" i="5"/>
  <c r="D26" i="5"/>
  <c r="I27" i="5"/>
  <c r="F37" i="5"/>
  <c r="F92" i="5"/>
  <c r="F95" i="5" s="1"/>
  <c r="K93" i="5"/>
  <c r="D138" i="5"/>
  <c r="G50" i="6"/>
  <c r="J90" i="7"/>
  <c r="D19" i="10"/>
  <c r="S19" i="10"/>
  <c r="O20" i="10"/>
  <c r="J21" i="10"/>
  <c r="L24" i="10"/>
  <c r="G32" i="10"/>
  <c r="K33" i="10"/>
  <c r="D40" i="10"/>
  <c r="L42" i="10"/>
  <c r="F55" i="10"/>
  <c r="U55" i="10"/>
  <c r="Q56" i="10"/>
  <c r="H58" i="10"/>
  <c r="D59" i="10"/>
  <c r="S59" i="10"/>
  <c r="J63" i="10"/>
  <c r="C68" i="10"/>
  <c r="I88" i="10"/>
  <c r="D23" i="5"/>
  <c r="G92" i="5"/>
  <c r="G95" i="5" s="1"/>
  <c r="G125" i="5"/>
  <c r="E138" i="5"/>
  <c r="L33" i="10"/>
  <c r="C43" i="10"/>
  <c r="E52" i="10"/>
  <c r="T52" i="10"/>
  <c r="G55" i="10"/>
  <c r="C56" i="10"/>
  <c r="R56" i="10"/>
  <c r="I58" i="10"/>
  <c r="E59" i="10"/>
  <c r="T59" i="10"/>
  <c r="D68" i="10"/>
  <c r="E55" i="2"/>
  <c r="T55" i="2"/>
  <c r="T72" i="4"/>
  <c r="G75" i="4"/>
  <c r="H37" i="5"/>
  <c r="H92" i="5"/>
  <c r="H95" i="5" s="1"/>
  <c r="D94" i="5"/>
  <c r="H125" i="5"/>
  <c r="F138" i="5"/>
  <c r="I50" i="6"/>
  <c r="C52" i="6"/>
  <c r="J103" i="6"/>
  <c r="L21" i="10"/>
  <c r="F40" i="10"/>
  <c r="D43" i="10"/>
  <c r="F52" i="10"/>
  <c r="U52" i="10"/>
  <c r="H55" i="10"/>
  <c r="D56" i="10"/>
  <c r="S56" i="10"/>
  <c r="J58" i="10"/>
  <c r="F59" i="10"/>
  <c r="U59" i="10"/>
  <c r="Q60" i="10"/>
  <c r="L63" i="10"/>
  <c r="E68" i="10"/>
  <c r="K88" i="10"/>
  <c r="F55" i="2"/>
  <c r="U55" i="2"/>
  <c r="H75" i="4"/>
  <c r="I125" i="5"/>
  <c r="G138" i="5"/>
  <c r="D52" i="6"/>
  <c r="E105" i="6"/>
  <c r="G19" i="10"/>
  <c r="G40" i="10"/>
  <c r="I55" i="10"/>
  <c r="E56" i="10"/>
  <c r="T56" i="10"/>
  <c r="G59" i="10"/>
  <c r="D64" i="10"/>
  <c r="L88" i="10"/>
  <c r="G55" i="2"/>
  <c r="F71" i="3"/>
  <c r="I75" i="4"/>
  <c r="G23" i="5"/>
  <c r="H26" i="5"/>
  <c r="J92" i="5"/>
  <c r="J95" i="5" s="1"/>
  <c r="J125" i="5"/>
  <c r="H138" i="5"/>
  <c r="K50" i="6"/>
  <c r="E52" i="6"/>
  <c r="F105" i="6"/>
  <c r="H19" i="10"/>
  <c r="H40" i="10"/>
  <c r="F43" i="10"/>
  <c r="H52" i="10"/>
  <c r="J55" i="10"/>
  <c r="F56" i="10"/>
  <c r="L58" i="10"/>
  <c r="H59" i="10"/>
  <c r="D60" i="10"/>
  <c r="S60" i="10"/>
  <c r="E64" i="10"/>
  <c r="C67" i="10"/>
  <c r="G68" i="10"/>
  <c r="I71" i="10"/>
  <c r="J75" i="10"/>
  <c r="K79" i="10"/>
  <c r="H81" i="10"/>
  <c r="E83" i="10"/>
  <c r="N88" i="10"/>
  <c r="D72" i="4"/>
  <c r="D25" i="5"/>
  <c r="G94" i="5"/>
  <c r="K125" i="5"/>
  <c r="I138" i="5"/>
  <c r="F52" i="6"/>
  <c r="G105" i="6"/>
  <c r="C84" i="7"/>
  <c r="I19" i="10"/>
  <c r="C24" i="10"/>
  <c r="L32" i="10"/>
  <c r="I40" i="10"/>
  <c r="G43" i="10"/>
  <c r="K55" i="10"/>
  <c r="G56" i="10"/>
  <c r="N58" i="10"/>
  <c r="I59" i="10"/>
  <c r="E60" i="10"/>
  <c r="T60" i="10"/>
  <c r="F64" i="10"/>
  <c r="D67" i="10"/>
  <c r="H68" i="10"/>
  <c r="D70" i="10"/>
  <c r="J71" i="10"/>
  <c r="O88" i="10"/>
  <c r="L125" i="5"/>
  <c r="G52" i="6"/>
  <c r="L88" i="7"/>
  <c r="J19" i="10"/>
  <c r="L55" i="10"/>
  <c r="H56" i="10"/>
  <c r="F60" i="10"/>
  <c r="U60" i="10"/>
  <c r="E67" i="10"/>
  <c r="I68" i="10"/>
  <c r="E70" i="10"/>
  <c r="L75" i="10"/>
  <c r="J81" i="10"/>
  <c r="G83" i="10"/>
  <c r="D85" i="10"/>
  <c r="P88" i="10"/>
  <c r="T89" i="10" s="1"/>
  <c r="F72" i="4"/>
  <c r="K138" i="5"/>
  <c r="H52" i="6"/>
  <c r="E84" i="7"/>
  <c r="C90" i="7"/>
  <c r="K19" i="10"/>
  <c r="E24" i="10"/>
  <c r="K40" i="10"/>
  <c r="I43" i="10"/>
  <c r="N55" i="10"/>
  <c r="P58" i="10"/>
  <c r="K59" i="10"/>
  <c r="G60" i="10"/>
  <c r="F67" i="10"/>
  <c r="J68" i="10"/>
  <c r="F70" i="10"/>
  <c r="Q88" i="10"/>
  <c r="C74" i="4"/>
  <c r="R74" i="4"/>
  <c r="N75" i="4"/>
  <c r="I52" i="6"/>
  <c r="F84" i="7"/>
  <c r="L19" i="10"/>
  <c r="F24" i="10"/>
  <c r="L40" i="10"/>
  <c r="O55" i="10"/>
  <c r="Q58" i="10"/>
  <c r="L59" i="10"/>
  <c r="K68" i="10"/>
  <c r="G70" i="10"/>
  <c r="C88" i="10"/>
  <c r="R88" i="10"/>
  <c r="J55" i="2"/>
  <c r="K71" i="3"/>
  <c r="D74" i="4"/>
  <c r="S74" i="4"/>
  <c r="N19" i="10"/>
  <c r="J83" i="10"/>
  <c r="G85" i="10"/>
  <c r="D88" i="10"/>
  <c r="E89" i="10" s="1"/>
  <c r="S88" i="10"/>
  <c r="E74" i="4"/>
  <c r="T74" i="4"/>
  <c r="D24" i="5"/>
  <c r="H24" i="10"/>
  <c r="E35" i="10" l="1"/>
  <c r="K88" i="7"/>
  <c r="J89" i="10"/>
  <c r="D35" i="10"/>
  <c r="J72" i="3"/>
  <c r="J39" i="10" s="1"/>
  <c r="I88" i="7"/>
  <c r="D72" i="3"/>
  <c r="D39" i="10" s="1"/>
  <c r="G35" i="10"/>
  <c r="C72" i="3"/>
  <c r="C39" i="10" s="1"/>
  <c r="D88" i="7"/>
  <c r="I35" i="10"/>
  <c r="U89" i="10"/>
  <c r="H89" i="10"/>
  <c r="L89" i="10"/>
  <c r="F35" i="10"/>
  <c r="G38" i="10"/>
  <c r="D89" i="10"/>
  <c r="L35" i="10"/>
  <c r="J35" i="10"/>
  <c r="H35" i="10"/>
  <c r="E38" i="10"/>
  <c r="E72" i="3"/>
  <c r="E39" i="10" s="1"/>
  <c r="K35" i="10"/>
  <c r="S89" i="10"/>
  <c r="E86" i="7"/>
  <c r="E88" i="7"/>
  <c r="G86" i="7"/>
  <c r="G88" i="7"/>
  <c r="F86" i="7"/>
  <c r="F88" i="7"/>
  <c r="K38" i="10"/>
  <c r="K72" i="3"/>
  <c r="K39" i="10" s="1"/>
  <c r="I89" i="10"/>
  <c r="R89" i="10"/>
  <c r="F38" i="10"/>
  <c r="F72" i="3"/>
  <c r="F39" i="10" s="1"/>
  <c r="L38" i="10"/>
  <c r="L72" i="3"/>
  <c r="L39" i="10" s="1"/>
  <c r="G89" i="10"/>
  <c r="K89" i="10"/>
  <c r="F89" i="10"/>
  <c r="H68" i="12"/>
  <c r="G68" i="12"/>
  <c r="F68" i="12"/>
  <c r="G55" i="12"/>
  <c r="E55" i="12"/>
  <c r="F34" i="12"/>
  <c r="D34" i="12" s="1"/>
  <c r="F30" i="12"/>
  <c r="D30" i="12" s="1"/>
  <c r="F26" i="12"/>
  <c r="D26" i="12" s="1"/>
  <c r="F22" i="12"/>
  <c r="C57" i="12"/>
  <c r="C59" i="12" s="1"/>
  <c r="H3" i="12"/>
  <c r="C26" i="12" l="1"/>
  <c r="D52" i="12" s="1"/>
  <c r="H55" i="12"/>
  <c r="D8" i="12"/>
  <c r="G54" i="12"/>
  <c r="H54" i="12"/>
  <c r="F54" i="12"/>
  <c r="H52" i="12"/>
  <c r="G52" i="12"/>
  <c r="F52" i="12"/>
  <c r="E51" i="12"/>
  <c r="D51" i="12"/>
  <c r="G53" i="12"/>
  <c r="H53" i="12"/>
  <c r="F53" i="12"/>
  <c r="C30" i="12"/>
  <c r="C34" i="12"/>
  <c r="D55" i="12"/>
  <c r="F55" i="12"/>
  <c r="E52" i="12" l="1"/>
  <c r="C43" i="12"/>
  <c r="D57" i="12" s="1"/>
  <c r="E57" i="12" s="1"/>
  <c r="E53" i="12"/>
  <c r="D53" i="12"/>
  <c r="H51" i="12"/>
  <c r="G51" i="12"/>
  <c r="F51" i="12"/>
  <c r="E54" i="12"/>
  <c r="C8" i="12"/>
  <c r="D54" i="12"/>
  <c r="E64" i="12" l="1"/>
  <c r="D58" i="12"/>
  <c r="E58" i="12" s="1"/>
  <c r="E59" i="12" s="1"/>
  <c r="C9" i="12" s="1"/>
  <c r="D43" i="12"/>
  <c r="D45" i="12" s="1"/>
  <c r="C45" i="12"/>
  <c r="C68" i="12" s="1"/>
  <c r="D64" i="12"/>
  <c r="E60" i="12"/>
  <c r="E62" i="12"/>
  <c r="D60" i="12"/>
  <c r="D61" i="12" s="1"/>
  <c r="D62" i="12"/>
  <c r="D65" i="12" l="1"/>
  <c r="D71" i="12" s="1"/>
  <c r="D59" i="12"/>
  <c r="D68" i="12"/>
  <c r="E63" i="12"/>
  <c r="D63" i="12"/>
  <c r="E61" i="12"/>
  <c r="E70" i="12" s="1"/>
  <c r="F58" i="12"/>
  <c r="G58" i="12" s="1"/>
  <c r="H58" i="12" s="1"/>
  <c r="F57" i="12"/>
  <c r="F60" i="12" s="1"/>
  <c r="E65" i="12"/>
  <c r="D69" i="12"/>
  <c r="C69" i="12"/>
  <c r="D70" i="12"/>
  <c r="C7" i="12" l="1"/>
  <c r="E69" i="12"/>
  <c r="F61" i="12"/>
  <c r="F70" i="12" s="1"/>
  <c r="F59" i="12"/>
  <c r="G57" i="12"/>
  <c r="G64" i="12" s="1"/>
  <c r="G65" i="12" s="1"/>
  <c r="G71" i="12" s="1"/>
  <c r="E71" i="12"/>
  <c r="C5" i="12" s="1"/>
  <c r="C6" i="12"/>
  <c r="E68" i="12"/>
  <c r="C4" i="12" s="1"/>
  <c r="F62" i="12"/>
  <c r="F63" i="12" s="1"/>
  <c r="F64" i="12"/>
  <c r="F65" i="12" s="1"/>
  <c r="F71" i="12" s="1"/>
  <c r="G62" i="12" l="1"/>
  <c r="F69" i="12"/>
  <c r="H57" i="12"/>
  <c r="H64" i="12" s="1"/>
  <c r="H65" i="12" s="1"/>
  <c r="H71" i="12" s="1"/>
  <c r="G59" i="12"/>
  <c r="G60" i="12"/>
  <c r="G61" i="12" s="1"/>
  <c r="G69" i="12" s="1"/>
  <c r="H62" i="12" l="1"/>
  <c r="H60" i="12"/>
  <c r="H61" i="12" s="1"/>
  <c r="H70" i="12" s="1"/>
  <c r="H59" i="12"/>
  <c r="D9" i="12" s="1"/>
  <c r="D6" i="12"/>
  <c r="G70" i="12"/>
  <c r="G63" i="12"/>
  <c r="D7" i="12"/>
  <c r="H63" i="12" l="1"/>
  <c r="H69" i="12"/>
  <c r="D4" i="12" s="1"/>
  <c r="D5" i="12"/>
</calcChain>
</file>

<file path=xl/sharedStrings.xml><?xml version="1.0" encoding="utf-8"?>
<sst xmlns="http://schemas.openxmlformats.org/spreadsheetml/2006/main" count="1706" uniqueCount="1058">
  <si>
    <t>McDonald's Corporation — Cover</t>
  </si>
  <si>
    <t>$ in millions except per-share data  |  USD  |  as of 2026-10-08</t>
  </si>
  <si>
    <t>McDonald's Corporation - Financial Model Workbook</t>
  </si>
  <si>
    <t>Ticker / exchange</t>
  </si>
  <si>
    <t>MCD / NYSE</t>
  </si>
  <si>
    <t>SEC registrant / CIK</t>
  </si>
  <si>
    <t>MCDONALDS CORP / 0000063908</t>
  </si>
  <si>
    <t>Reporting framework</t>
  </si>
  <si>
    <t>US GAAP (per SEC Form 10-K / 10-Q); consolidated</t>
  </si>
  <si>
    <t>Fiscal year end</t>
  </si>
  <si>
    <t>December 31</t>
  </si>
  <si>
    <t>Currency and units</t>
  </si>
  <si>
    <t>USD millions except per-share data and restaurant counts</t>
  </si>
  <si>
    <t>Annual window</t>
  </si>
  <si>
    <t>FY2016-FY2025 (10 Form 10-K filings; latest-filing-wins precedence for restated periods)</t>
  </si>
  <si>
    <t>Quarterly window</t>
  </si>
  <si>
    <t>3Q2024-2Q2026 (6 Form 10-Q filings: 3Q24, 1Q25, 2Q25, 3Q25, 1Q26, 2Q26)</t>
  </si>
  <si>
    <t>Latest filing covered</t>
  </si>
  <si>
    <t>Form 10-Q for the quarter ended 2026-06-30 (filed 2026-08-07); 3Q2026 10-Q not yet filed at 2026-10-08</t>
  </si>
  <si>
    <t>Research as-of date</t>
  </si>
  <si>
    <t>2026-10-08</t>
  </si>
  <si>
    <t>Colour legend</t>
  </si>
  <si>
    <t>Blue</t>
  </si>
  <si>
    <t>Hard-coded value copied from a filed statement table</t>
  </si>
  <si>
    <t>Black</t>
  </si>
  <si>
    <t>Formula / analyst calculation</t>
  </si>
  <si>
    <t>Green</t>
  </si>
  <si>
    <t>Cross-sheet link</t>
  </si>
  <si>
    <t>Grey italic</t>
  </si>
  <si>
    <t>Memo / ratio rows</t>
  </si>
  <si>
    <t>Amber check rows</t>
  </si>
  <si>
    <t>Rounding tie-outs of as-filed integers (+/-2 expected); red = strict tie-out failure</t>
  </si>
  <si>
    <t>Sheet directory</t>
  </si>
  <si>
    <t>Income Statement (IS)</t>
  </si>
  <si>
    <t>As-reported income statement, per-share data, tie-outs</t>
  </si>
  <si>
    <t>Balance Sheet (BS)</t>
  </si>
  <si>
    <t>As-reported balance sheet, tie-outs, debt and lease summary</t>
  </si>
  <si>
    <t>Cash Flow (CF)</t>
  </si>
  <si>
    <t>As-reported cash flow, cash walk, free cash flow analytics</t>
  </si>
  <si>
    <t>Segments (SEG)</t>
  </si>
  <si>
    <t>Reportable-segment revenue, operating income, assets, capex, D&amp;A; revenue by type; restaurant margins by segment; SG&amp;A by segment and incentive compensation; superseded FY2016-FY2018 structure</t>
  </si>
  <si>
    <t>Operating Metrics (OM)</t>
  </si>
  <si>
    <t>Restaurant counts (type and segment), net additions, comparable sales and guest counts, systemwide sales growth, franchised sales, franchised revenue mix, currency translation impact, non-GAAP reconciliations, capex by purpose, shareholder returns, debt statistics</t>
  </si>
  <si>
    <t>Note Schedules (NS)</t>
  </si>
  <si>
    <t>Property and equipment, income taxes, other operating and nonoperating components, goodwill by segment, debt by currency and maturity, rent and lease commitments, franchise-arrangement assets, advertising, share-based compensation, text-only operating facts</t>
  </si>
  <si>
    <t>Year-End Schedules</t>
  </si>
  <si>
    <t>Debt, lease and minimum-rent maturity ladders (Dec 2025 and Dec 2024), restructuring reserve roll-forward, equity-method investees</t>
  </si>
  <si>
    <t>Outlook &amp; Text KPIs</t>
  </si>
  <si>
    <t>Verbatim management outlook statements FY2016-FY2025 10-Ks (FORWARD-LOOKING, not realised) and operating-KPI sentences FY2021-FY2025 with line locators</t>
  </si>
  <si>
    <t>Derived Metrics (DM)</t>
  </si>
  <si>
    <t>Margins, returns, leverage, liquidity, cash conversion, growth (formulas on the statements)</t>
  </si>
  <si>
    <t>Sources</t>
  </si>
  <si>
    <t>Filing register, extraction method, comparability and restatement notes</t>
  </si>
  <si>
    <t>Comparability and method notes</t>
  </si>
  <si>
    <t>4Q columns marked *</t>
  </si>
  <si>
    <t>Income statement and cash flow 4Q = FY (10-K) less nine-month YTD (10-Q): analyst derivation, not a filed quarterly statement. Balance-sheet 4Q columns are the filed 10-K year-end balances. EPS / share counts are not derived.</t>
  </si>
  <si>
    <t>Revenue recast</t>
  </si>
  <si>
    <t>FY2018-FY2019 were recast in the FY2020 10-K (new 'Other revenues' and 'Other restaurant expenses' lines; revenue and cost both higher, operating income unchanged). FY2016-FY2017 are as originally reported and are not comparable at line level.</t>
  </si>
  <si>
    <t>Segment structure</t>
  </si>
  <si>
    <t>Current segments (U.S. / International Operated Markets / International Developmental Licensed Markets &amp; Corporate) available from FY2017 (FY2019 10-K recast). FY2016 exists only under the superseded structure.</t>
  </si>
  <si>
    <t>Negative equity</t>
  </si>
  <si>
    <t>Shareholders' equity is a deficit in every period; ROE and debt/equity are not meaningful and are omitted.</t>
  </si>
  <si>
    <t>Precision</t>
  </si>
  <si>
    <t>FY2016-FY2019 10-K tables show one decimal; FY2018 onward as later recast are whole millions. Tie-outs therefore show +/-1-2 rounding in recent years.</t>
  </si>
  <si>
    <t>Systemwide sales</t>
  </si>
  <si>
    <t>The company does not tabulate Systemwide sales in dollars; the OM row reconstructs it as franchised sales + Company-owned and operated sales (analyst calculation). Cross-check: 2025 SG&amp;A / reconstructed Systemwide sales = 2.2%, equal to the company's own 'about 2.2% of Systemwide sales' statement.</t>
  </si>
  <si>
    <t>Text-only facts</t>
  </si>
  <si>
    <t>Rows built from MD&amp;A / note prose (advertising, variable rent, franchise-arrangement property, debt fair value, segment franchised %, employees, delivery / drive thru) are company statements rounded as printed; they are not audited tables.</t>
  </si>
  <si>
    <t>Guidance</t>
  </si>
  <si>
    <t>The Outlook &amp; Text KPIs sheet quotes management guidance and targets verbatim. They are forward-looking company statements (SEC filing text), not realised data.</t>
  </si>
  <si>
    <t>Not loaded</t>
  </si>
  <si>
    <t>Official-site material and earnings-call transcripts (out of scope); 1Q/2Q 2024 quarterly flows (prior-year comparatives in the 2025 10-Qs); deferred-tax components, effective-tax-rate reconciliation, unrecognised tax benefits, derivative / fair-value tables, option and RSU activity, monthly repurchase table and the 5-year shareholder-return index (financial-reporting detail outside the operating scope of this pass); FY2016-FY2018 old-structure MD&amp;A tables other than those shown in the superseded-structure block; 10-Q MD&amp;A KPI tables.</t>
  </si>
  <si>
    <t>McDonald's Corporation — Income Statement</t>
  </si>
  <si>
    <t>FY2016</t>
  </si>
  <si>
    <t>FY2017</t>
  </si>
  <si>
    <t>FY2018</t>
  </si>
  <si>
    <t>FY2019</t>
  </si>
  <si>
    <t>FY2020</t>
  </si>
  <si>
    <t>FY2021</t>
  </si>
  <si>
    <t>FY2022</t>
  </si>
  <si>
    <t>FY2023</t>
  </si>
  <si>
    <t>FY2024</t>
  </si>
  <si>
    <t>FY2025</t>
  </si>
  <si>
    <t>·</t>
  </si>
  <si>
    <t>3Q2024</t>
  </si>
  <si>
    <t>4Q2024*</t>
  </si>
  <si>
    <t>1Q2025</t>
  </si>
  <si>
    <t>2Q2025</t>
  </si>
  <si>
    <t>3Q2025</t>
  </si>
  <si>
    <t>4Q2025*</t>
  </si>
  <si>
    <t>1Q2026</t>
  </si>
  <si>
    <t>2Q2026</t>
  </si>
  <si>
    <t>2016-12-31</t>
  </si>
  <si>
    <t>2017-12-31</t>
  </si>
  <si>
    <t>2018-12-31</t>
  </si>
  <si>
    <t>2019-12-31</t>
  </si>
  <si>
    <t>2020-12-31</t>
  </si>
  <si>
    <t>2021-12-31</t>
  </si>
  <si>
    <t>2022-12-31</t>
  </si>
  <si>
    <t>2023-12-31</t>
  </si>
  <si>
    <t>2024-12-31</t>
  </si>
  <si>
    <t>2025-12-31</t>
  </si>
  <si>
    <t>2024-09-30</t>
  </si>
  <si>
    <t>2025-03-31</t>
  </si>
  <si>
    <t>2025-06-30</t>
  </si>
  <si>
    <t>2025-09-30</t>
  </si>
  <si>
    <t>2026-03-31</t>
  </si>
  <si>
    <t>2026-06-30</t>
  </si>
  <si>
    <t>CONTENTS</t>
  </si>
  <si>
    <t>1. INCOME STATEMENT - AS REPORTED</t>
  </si>
  <si>
    <t>Revenues from franchised restaurants</t>
  </si>
  <si>
    <t>Sales by Company-owned and operated restaurants</t>
  </si>
  <si>
    <t>Captioned 'Sales by Company-operated restaurants' in 10-Ks through FY2023</t>
  </si>
  <si>
    <t>Other revenues</t>
  </si>
  <si>
    <t>Line first presented in FY2020 10-K with FY2018-FY2019 recast; FY2016-FY2017 pre-date the recast (no separate line)</t>
  </si>
  <si>
    <t>Total revenues</t>
  </si>
  <si>
    <t xml:space="preserve">  YoY Growth</t>
  </si>
  <si>
    <t>Franchised restaurants-occupancy expenses</t>
  </si>
  <si>
    <t>Company-owned and operated: Food &amp; paper</t>
  </si>
  <si>
    <t>Company-owned and operated: Payroll &amp; employee benefits</t>
  </si>
  <si>
    <t>Company-owned and operated: Occupancy &amp; other operating expenses</t>
  </si>
  <si>
    <t>Company-owned and operated restaurant expenses (10-Q single-line)</t>
  </si>
  <si>
    <t>10-Q presents one line; 10-K presents the three components above. 4Q* = FY components less 9M YTD</t>
  </si>
  <si>
    <t>Company-owned and operated restaurant expenses</t>
  </si>
  <si>
    <t>Other restaurant expenses</t>
  </si>
  <si>
    <t>Line first presented in FY2020 10-K with FY2018-FY2019 recast</t>
  </si>
  <si>
    <t>SG&amp;A (single-line presentation, FY2016-FY2017)</t>
  </si>
  <si>
    <t>SG&amp;A: Depreciation and amortization</t>
  </si>
  <si>
    <t>SG&amp;A: Other</t>
  </si>
  <si>
    <t>Selling, general &amp; administrative expenses</t>
  </si>
  <si>
    <t>Analyst sum of as-filed components; filed as one line FY2016-FY2017</t>
  </si>
  <si>
    <t>Other operating (income) expense, net</t>
  </si>
  <si>
    <t>Total operating costs and expenses</t>
  </si>
  <si>
    <t>Operating income</t>
  </si>
  <si>
    <t xml:space="preserve">  Operating Margin</t>
  </si>
  <si>
    <t>Interest expense, net of capitalized interest</t>
  </si>
  <si>
    <t>Nonoperating (income) expense, net</t>
  </si>
  <si>
    <t>Income before provision for income taxes</t>
  </si>
  <si>
    <t>Provision for income taxes</t>
  </si>
  <si>
    <t>Net income</t>
  </si>
  <si>
    <t xml:space="preserve">  Net Margin</t>
  </si>
  <si>
    <t>2. PER-SHARE DATA AND SHARE COUNT</t>
  </si>
  <si>
    <t>Earnings per common share - basic ($)</t>
  </si>
  <si>
    <t>Earnings per common share - diluted ($)</t>
  </si>
  <si>
    <t>Dividends declared per common share ($)</t>
  </si>
  <si>
    <t>3Q2024 includes the declaration normally made in 4Q (timing); FY basis is the 10-K figure</t>
  </si>
  <si>
    <t>Weighted-average shares outstanding - basic (mm)</t>
  </si>
  <si>
    <t>Weighted-average shares outstanding - diluted (mm)</t>
  </si>
  <si>
    <t>3. TIE-OUT CHECKS</t>
  </si>
  <si>
    <t>Revenue components vs total (filed integers; rounding +/-2 expected)</t>
  </si>
  <si>
    <t>Operating cost lines vs total (rounding +/-2 expected)</t>
  </si>
  <si>
    <t>Revenue - operating costs - operating income (rounding)</t>
  </si>
  <si>
    <t>Operating income - interest - nonoperating - pre-tax (rounding)</t>
  </si>
  <si>
    <t>Pre-tax - tax - net income (rounding)</t>
  </si>
  <si>
    <t>McDonald's Corporation — Balance Sheet</t>
  </si>
  <si>
    <t>1. ASSETS</t>
  </si>
  <si>
    <t>Cash and equivalents</t>
  </si>
  <si>
    <t>Accounts and notes receivable</t>
  </si>
  <si>
    <t>Inventories, at cost, not in excess of market</t>
  </si>
  <si>
    <t>Prepaid expenses and other current assets</t>
  </si>
  <si>
    <t>Assets of businesses held for sale</t>
  </si>
  <si>
    <t>Total current assets</t>
  </si>
  <si>
    <t>Investments in and advances to affiliates</t>
  </si>
  <si>
    <t>Goodwill</t>
  </si>
  <si>
    <t>Miscellaneous other assets</t>
  </si>
  <si>
    <t>Total other assets</t>
  </si>
  <si>
    <t>Presented from FY2019 (ASC 842 adoption); no comparable line for FY2016-FY2018</t>
  </si>
  <si>
    <t>Property and equipment, at cost</t>
  </si>
  <si>
    <t>Accumulated depreciation and amortization</t>
  </si>
  <si>
    <t>Net property and equipment</t>
  </si>
  <si>
    <t>Total assets</t>
  </si>
  <si>
    <t>2. LIABILITIES</t>
  </si>
  <si>
    <t>Accounts payable</t>
  </si>
  <si>
    <t>Lease liability (current)</t>
  </si>
  <si>
    <t>Income taxes</t>
  </si>
  <si>
    <t>Other taxes</t>
  </si>
  <si>
    <t>Accrued interest</t>
  </si>
  <si>
    <t>Accrued payroll and other liabilities</t>
  </si>
  <si>
    <t>Dividend payable</t>
  </si>
  <si>
    <t>Separate line only in the 3Q2024 10-Q</t>
  </si>
  <si>
    <t>Short-term borrowings and current maturities of long-term debt</t>
  </si>
  <si>
    <t>Captioned 'Current maturities of long-term debt' through FY2021; line absent (nil) where blank</t>
  </si>
  <si>
    <t>Liabilities of businesses held for sale</t>
  </si>
  <si>
    <t>Total current liabilities</t>
  </si>
  <si>
    <t>Long-term debt</t>
  </si>
  <si>
    <t>Long-term lease liability</t>
  </si>
  <si>
    <t>Long-term income taxes</t>
  </si>
  <si>
    <t>Separate line from FY2017 10-K; FY2016 amount is within Other long-term liabilities (see restatement log)</t>
  </si>
  <si>
    <t>Deferred revenues - initial franchise fees</t>
  </si>
  <si>
    <t>Separate line from FY2018 10-K</t>
  </si>
  <si>
    <t>Other long-term liabilities</t>
  </si>
  <si>
    <t>Deferred income taxes</t>
  </si>
  <si>
    <t>3. SHAREHOLDERS' EQUITY (DEFICIT)</t>
  </si>
  <si>
    <t>Preferred stock (none issued)</t>
  </si>
  <si>
    <t>Common stock, $0.01 par value</t>
  </si>
  <si>
    <t>Additional paid-in capital</t>
  </si>
  <si>
    <t>Retained earnings</t>
  </si>
  <si>
    <t>Accumulated other comprehensive income (loss)</t>
  </si>
  <si>
    <t>Common stock in treasury, at cost</t>
  </si>
  <si>
    <t>Total shareholders' equity (deficit)</t>
  </si>
  <si>
    <t>Total liabilities and shareholders' equity (deficit)</t>
  </si>
  <si>
    <t xml:space="preserve">  Total liabilities (derived: total less equity)</t>
  </si>
  <si>
    <t>4. TIE-OUT CHECKS</t>
  </si>
  <si>
    <t>Balance Check: total assets - total liabilities and equity (should be ~0)</t>
  </si>
  <si>
    <t>Asset groups vs total assets (rounding +/-2 expected)</t>
  </si>
  <si>
    <t>Gross PP&amp;E - accumulated depreciation vs net PP&amp;E (rounding)</t>
  </si>
  <si>
    <t>Current liability lines vs total (rounding +/-2 expected)</t>
  </si>
  <si>
    <t>Equity components vs total equity (rounding +/-2 expected)</t>
  </si>
  <si>
    <t>Current asset lines vs total (rounding +/-2 expected)</t>
  </si>
  <si>
    <t>5. DEBT AND LEASE SUMMARY (ANALYST CALCULATION FROM FILED LINES)</t>
  </si>
  <si>
    <t>Total debt (short-term + long-term)</t>
  </si>
  <si>
    <t>Total lease liabilities (current + long-term)</t>
  </si>
  <si>
    <t>Net debt (total debt less cash and equivalents)</t>
  </si>
  <si>
    <t>Net debt including lease liabilities</t>
  </si>
  <si>
    <t>McDonald's Corporation — Cash Flow</t>
  </si>
  <si>
    <t>1. OPERATING ACTIVITIES</t>
  </si>
  <si>
    <t>Depreciation and amortization</t>
  </si>
  <si>
    <t>Share-based compensation</t>
  </si>
  <si>
    <t>Net (gain) loss on sale of restaurant and other businesses</t>
  </si>
  <si>
    <t>Separate line FY2017+ (recast); in 10-Qs it is included in 'Other' below</t>
  </si>
  <si>
    <t>Other</t>
  </si>
  <si>
    <t>10-Q 'Other' and 4Q* include the net gain/loss on sale line</t>
  </si>
  <si>
    <t>Working capital: Accounts receivable</t>
  </si>
  <si>
    <t>Working capital: Inventories, prepaid expenses and other current assets</t>
  </si>
  <si>
    <t>Working capital: Accounts payable</t>
  </si>
  <si>
    <t>Working capital: Income taxes</t>
  </si>
  <si>
    <t>Working capital: Other accrued liabilities</t>
  </si>
  <si>
    <t>Changes in working capital items (10-Q single-line)</t>
  </si>
  <si>
    <t>10-Q presents one line; 4Q* = FY sum of the five lines less 9M YTD</t>
  </si>
  <si>
    <t>Changes in working capital items</t>
  </si>
  <si>
    <t>Cash provided by operations</t>
  </si>
  <si>
    <t>2. INVESTING ACTIVITIES</t>
  </si>
  <si>
    <t>Capital expenditures</t>
  </si>
  <si>
    <t>Purchases of restaurant (and other) businesses</t>
  </si>
  <si>
    <t>Purchases of equity method investments</t>
  </si>
  <si>
    <t>Sales of restaurant (and other) businesses</t>
  </si>
  <si>
    <t>Proceeds from sale of businesses in China and Hong Kong</t>
  </si>
  <si>
    <t>Sales of property</t>
  </si>
  <si>
    <t>Other investing</t>
  </si>
  <si>
    <t>Cash provided by (used for) investing activities</t>
  </si>
  <si>
    <t>3. FINANCING ACTIVITIES</t>
  </si>
  <si>
    <t>Net short-term borrowings (repayments)</t>
  </si>
  <si>
    <t>Long-term financing issuances</t>
  </si>
  <si>
    <t>Long-term financing repayments</t>
  </si>
  <si>
    <t>Treasury stock purchases</t>
  </si>
  <si>
    <t>Common stock dividends</t>
  </si>
  <si>
    <t>Proceeds from stock option exercises</t>
  </si>
  <si>
    <t>Excess tax benefit on share-based compensation</t>
  </si>
  <si>
    <t>Other financing</t>
  </si>
  <si>
    <t>Cash provided by (used for) financing activities</t>
  </si>
  <si>
    <t>4. CASH RECONCILIATION AND SUPPLEMENTAL</t>
  </si>
  <si>
    <t>Effect of exchange rates on cash and equivalents</t>
  </si>
  <si>
    <t>Cash and equivalents increase (decrease)</t>
  </si>
  <si>
    <t>Change in cash balances of businesses held for sale</t>
  </si>
  <si>
    <t>Captioned 'Cash balance of businesses held for sale at end of year' in the FY2016 10-K</t>
  </si>
  <si>
    <t>Cash and equivalents at beginning of period</t>
  </si>
  <si>
    <t>Cash and equivalents at end of period</t>
  </si>
  <si>
    <t>Interest paid (supplemental)</t>
  </si>
  <si>
    <t>Supplemental disclosure in 10-K only</t>
  </si>
  <si>
    <t>Income taxes paid, net (supplemental)</t>
  </si>
  <si>
    <t>Supplemental disclosure in 10-K only; FY2025 moved to the Income Tax note under ASU 2023-09 (table T840 of the FY2025 10-K)</t>
  </si>
  <si>
    <t>5. TIE-OUT CHECKS</t>
  </si>
  <si>
    <t>Cash Walk Check (annual): begin + net change + held-for-sale change - end (filed integers; rounding +/-1 in FY2022-FY2023)</t>
  </si>
  <si>
    <t>Cash Walk Check (quarterly)</t>
  </si>
  <si>
    <t>Operating lines vs CFO (rounding +/-2 expected)</t>
  </si>
  <si>
    <t>Investing lines vs CFI (rounding +/-2 expected)</t>
  </si>
  <si>
    <t>Financing lines vs CFF (rounding +/-2 expected)</t>
  </si>
  <si>
    <t>CFO + CFI + CFF + FX vs net change (rounding +/-2 expected)</t>
  </si>
  <si>
    <t>Ending cash vs balance sheet cash (rounding)</t>
  </si>
  <si>
    <t>6. FREE CASH FLOW ANALYTICS (ANALYST CALCULATION)</t>
  </si>
  <si>
    <t>Free cash flow (CFO + capital expenditures)</t>
  </si>
  <si>
    <t xml:space="preserve">  Capital expenditures % of revenue</t>
  </si>
  <si>
    <t xml:space="preserve">  FCF margin</t>
  </si>
  <si>
    <t xml:space="preserve">  FCF conversion (FCF / net income)</t>
  </si>
  <si>
    <t>Dividends + treasury stock purchases (cash basis)</t>
  </si>
  <si>
    <t xml:space="preserve">  Shareholder returns % of FCF</t>
  </si>
  <si>
    <t>McDonald's Corporation — Segments</t>
  </si>
  <si>
    <t>1. SEGMENT REVENUES (CURRENT REPORTABLE-SEGMENT STRUCTURE, FY2017-FY2025)</t>
  </si>
  <si>
    <t>U.S.</t>
  </si>
  <si>
    <t>International Operated Markets</t>
  </si>
  <si>
    <t>International Developmental Licensed Markets &amp; Corporate</t>
  </si>
  <si>
    <t xml:space="preserve">  U.S. % of total</t>
  </si>
  <si>
    <t xml:space="preserve">  International Operated Markets % of total</t>
  </si>
  <si>
    <t xml:space="preserve">  International Developmental Licensed Markets &amp; Corporate % of total</t>
  </si>
  <si>
    <t>Segment revenue vs IS total revenues (rounding / recast timing)</t>
  </si>
  <si>
    <t>2. SEGMENT OPERATING INCOME</t>
  </si>
  <si>
    <t>Total operating income</t>
  </si>
  <si>
    <t xml:space="preserve">  U.S. margin</t>
  </si>
  <si>
    <t xml:space="preserve">  International Operated Markets margin</t>
  </si>
  <si>
    <t xml:space="preserve">  International Developmental Licensed Markets &amp; Corporate margin</t>
  </si>
  <si>
    <t xml:space="preserve">  Total margin</t>
  </si>
  <si>
    <t>Segment operating income vs IS operating income</t>
  </si>
  <si>
    <t>3. SEGMENT TOTAL ASSETS</t>
  </si>
  <si>
    <t>Segment assets vs BS total assets</t>
  </si>
  <si>
    <t>4. SEGMENT CAPITAL EXPENDITURES</t>
  </si>
  <si>
    <t>Total capital expenditures</t>
  </si>
  <si>
    <t>Segment capex vs CF capital expenditures (sign flipped)</t>
  </si>
  <si>
    <t>5. SEGMENT DEPRECIATION AND AMORTIZATION</t>
  </si>
  <si>
    <t>Total depreciation and amortization</t>
  </si>
  <si>
    <t>Segment D&amp;A vs CF depreciation and amortization</t>
  </si>
  <si>
    <t>6. SEGMENT EXPENSE DETAIL (DISCLOSED FROM FY2022 10-K, ASU 2023-07 PRESENTATION)</t>
  </si>
  <si>
    <t>Total franchised restaurants-occupancy expenses</t>
  </si>
  <si>
    <t>Total Company-operated restaurant expenses</t>
  </si>
  <si>
    <t>Total selling, general &amp; administrative expenses</t>
  </si>
  <si>
    <t>Total other segment items</t>
  </si>
  <si>
    <t>Franchised revenues: International Operated Markets</t>
  </si>
  <si>
    <t>Franchised revenues: International Developmental Licensed Markets &amp; Corporate</t>
  </si>
  <si>
    <t>Total franchised revenues</t>
  </si>
  <si>
    <t>Company-owned and operated sales: U.S.</t>
  </si>
  <si>
    <t>Company-owned and operated sales: International Operated Markets</t>
  </si>
  <si>
    <t>Company-owned and operated sales: International Developmental Licensed Markets &amp; Corporate</t>
  </si>
  <si>
    <t>Total company-owned and operated sales</t>
  </si>
  <si>
    <t>Other revenues (total)</t>
  </si>
  <si>
    <t>Franchised revenues by segment vs IS (rounding)</t>
  </si>
  <si>
    <t>Company-operated sales by segment vs IS (rounding)</t>
  </si>
  <si>
    <t>Total revenues vs IS (rounding / FY2017 pre-recast)</t>
  </si>
  <si>
    <t>8. RESTAURANT MARGINS BY SEGMENT (MD&amp;A, FY2017-FY2025)</t>
  </si>
  <si>
    <t>Franchised margins: U.S.</t>
  </si>
  <si>
    <t>Franchised margins: International Operated Markets</t>
  </si>
  <si>
    <t>Franchised margins: International Developmental Licensed Markets &amp; Corporate</t>
  </si>
  <si>
    <t>Franchised margins: total</t>
  </si>
  <si>
    <t>Company-owned and operated margins: U.S.</t>
  </si>
  <si>
    <t>International Developmental Licensed Markets &amp; Corporate shown as n/m by the company</t>
  </si>
  <si>
    <t>Company-owned and operated margins: International Operated Markets</t>
  </si>
  <si>
    <t>Company-owned and operated margins: total</t>
  </si>
  <si>
    <t>Total restaurant margins: U.S.</t>
  </si>
  <si>
    <t>Reported from the FY2020 10-K (covers FY2018+)</t>
  </si>
  <si>
    <t>Total restaurant margins: International Operated Markets</t>
  </si>
  <si>
    <t>Total restaurant margins: total</t>
  </si>
  <si>
    <t xml:space="preserve">  Franchised margin % of franchised revenues: U.S.</t>
  </si>
  <si>
    <t xml:space="preserve">  Franchised margin % of franchised revenues: International Operated Markets</t>
  </si>
  <si>
    <t xml:space="preserve">  Franchised margin % of franchised revenues: International Developmental Licensed Markets &amp; Corporate</t>
  </si>
  <si>
    <t xml:space="preserve">  Franchised margin % of franchised revenues: total</t>
  </si>
  <si>
    <t xml:space="preserve">  Company-operated margin % of company-operated sales: International Operated Markets</t>
  </si>
  <si>
    <t xml:space="preserve">  Company-operated margin % of company-operated sales: total</t>
  </si>
  <si>
    <t xml:space="preserve">  Franchised margins % of total restaurant margins</t>
  </si>
  <si>
    <t>Franchised margins vs income statement (revenues less occupancy; rounding)</t>
  </si>
  <si>
    <t>Franchised margins by segment vs total (rounding)</t>
  </si>
  <si>
    <t>Company-operated margins vs income statement (sales less restaurant expenses; rounding)</t>
  </si>
  <si>
    <t>Total restaurant margins vs franchised + company-operated (rounding)</t>
  </si>
  <si>
    <t>9. SELLING, GENERAL &amp; ADMINISTRATIVE EXPENSES BY SEGMENT AND INCENTIVE COMPENSATION (MD&amp;A, FY2017-FY2025)</t>
  </si>
  <si>
    <t>Less: incentive-based compensation (cash incentives and share-based compensation)</t>
  </si>
  <si>
    <t>Total excluding incentive-based compensation</t>
  </si>
  <si>
    <t xml:space="preserve">  Incentive-based compensation % of SG&amp;A</t>
  </si>
  <si>
    <t xml:space="preserve">  Excluding incentive compensation: YoY Growth</t>
  </si>
  <si>
    <t>MD&amp;A SG&amp;A vs income statement (rounding)</t>
  </si>
  <si>
    <t>SG&amp;A by segment vs total (rounding)</t>
  </si>
  <si>
    <t>Total less incentive vs excluding incentive (rounding)</t>
  </si>
  <si>
    <t>10. SUPERSEDED SEGMENT STRUCTURE (U.S. / INT'L LEAD / HIGH GROWTH / FOUNDATIONAL), FY2016-FY2018 - NOT COMPARABLE WITH BLOCKS ABOVE</t>
  </si>
  <si>
    <t>Revenues: U.S.</t>
  </si>
  <si>
    <t>Revenues: International Lead Markets</t>
  </si>
  <si>
    <t>Revenues: High Growth Markets</t>
  </si>
  <si>
    <t>Revenues: Foundational Markets &amp; Corporate</t>
  </si>
  <si>
    <t>Total revenues (as reported)</t>
  </si>
  <si>
    <t>Operating income: U.S.</t>
  </si>
  <si>
    <t>Operating income: International Lead Markets</t>
  </si>
  <si>
    <t>Operating income: High Growth Markets</t>
  </si>
  <si>
    <t>Operating income: Foundational Markets &amp; Corporate</t>
  </si>
  <si>
    <t>Total operating income (as reported)</t>
  </si>
  <si>
    <t>Total assets: U.S.</t>
  </si>
  <si>
    <t>Total assets: International Lead Markets</t>
  </si>
  <si>
    <t>Total assets: High Growth Markets</t>
  </si>
  <si>
    <t>Total assets: Foundational Markets &amp; Corporate</t>
  </si>
  <si>
    <t>Total total assets (as reported)</t>
  </si>
  <si>
    <t>Capital expenditures: U.S.</t>
  </si>
  <si>
    <t>Capital expenditures: International Lead Markets</t>
  </si>
  <si>
    <t>Capital expenditures: High Growth Markets</t>
  </si>
  <si>
    <t>Capital expenditures: Foundational Markets &amp; Corporate</t>
  </si>
  <si>
    <t>Total capital expenditures (as reported)</t>
  </si>
  <si>
    <t>Depreciation and amortization: U.S.</t>
  </si>
  <si>
    <t>Depreciation and amortization: International Lead Markets</t>
  </si>
  <si>
    <t>Depreciation and amortization: High Growth Markets</t>
  </si>
  <si>
    <t>Depreciation and amortization: Foundational Markets &amp; Corporate</t>
  </si>
  <si>
    <t>Total depreciation and amortization (as reported)</t>
  </si>
  <si>
    <t>Old-structure revenue by segment vs reported total</t>
  </si>
  <si>
    <t>Old-structure operating income by segment vs reported total</t>
  </si>
  <si>
    <t>McDonald's Corporation — Operating Metrics</t>
  </si>
  <si>
    <t>1. RESTAURANT COUNT (YEAR END)</t>
  </si>
  <si>
    <t>Conventional franchised</t>
  </si>
  <si>
    <t>Developmental licensed</t>
  </si>
  <si>
    <t>Foreign affiliated</t>
  </si>
  <si>
    <t>Total franchised restaurants</t>
  </si>
  <si>
    <t>FY2016 from Item 6 selected data (no type split)</t>
  </si>
  <si>
    <t>Company-owned and operated restaurants</t>
  </si>
  <si>
    <t>Total systemwide restaurants</t>
  </si>
  <si>
    <t xml:space="preserve">  Franchised % of systemwide restaurants</t>
  </si>
  <si>
    <t>Franchised + company-operated vs systemwide</t>
  </si>
  <si>
    <t>International Developmental Licensed Markets</t>
  </si>
  <si>
    <t>Franchised sales: total</t>
  </si>
  <si>
    <t>FY2016 from Item 6 selected financial data (segment split not comparable); FY2017+ from the MD&amp;A franchised-sales table</t>
  </si>
  <si>
    <t>Systemwide sales (analyst: franchised sales + Company-owned and operated sales)</t>
  </si>
  <si>
    <t>Company defines Systemwide sales as sales at all restaurants; this sum is an analyst reconstruction from two disclosed components</t>
  </si>
  <si>
    <t xml:space="preserve">  SG&amp;A % of Systemwide sales</t>
  </si>
  <si>
    <t xml:space="preserve">  Franchised sales per average franchised restaurant ($mm)</t>
  </si>
  <si>
    <t>Franchised sales by segment vs total (rounding)</t>
  </si>
  <si>
    <t>Franchised sales by ownership type vs total (rounding)</t>
  </si>
  <si>
    <t>3. RESTAURANTS BY SEGMENT AND NET ADDITIONS</t>
  </si>
  <si>
    <t>Net restaurant additions (year-over-year change)</t>
  </si>
  <si>
    <t xml:space="preserve">  Net unit growth %</t>
  </si>
  <si>
    <t xml:space="preserve">  Net additions: U.S.</t>
  </si>
  <si>
    <t xml:space="preserve">  Net additions: International Operated Markets</t>
  </si>
  <si>
    <t xml:space="preserve">  Net additions: International Developmental Licensed Markets &amp; Corporate</t>
  </si>
  <si>
    <t>Segment restaurants vs total (rounding)</t>
  </si>
  <si>
    <t>Segment restaurant total vs restaurant-count block</t>
  </si>
  <si>
    <t>Comparable sales growth: U.S.</t>
  </si>
  <si>
    <t>FY2016-FY2017 from the FY2018/FY2019 10-K comparable-sales and guest-count tables (U.S. and Total Company definitions unchanged)</t>
  </si>
  <si>
    <t>Comparable sales growth: International Operated Markets</t>
  </si>
  <si>
    <t>Comparable sales growth: International Developmental Licensed Markets</t>
  </si>
  <si>
    <t>Comparable sales growth: Total Company</t>
  </si>
  <si>
    <t>Comparable guest counts growth: U.S.</t>
  </si>
  <si>
    <t>Guest-count tables were discontinued after the FY2019 10-K</t>
  </si>
  <si>
    <t>Comparable guest counts growth: International Operated Markets</t>
  </si>
  <si>
    <t>Comparable guest counts growth: International Developmental Licensed Markets &amp; Corporate</t>
  </si>
  <si>
    <t>Comparable guest counts growth: Total Company</t>
  </si>
  <si>
    <t>5. SYSTEMWIDE SALES GROWTH (FY2019-FY2025)</t>
  </si>
  <si>
    <t>Systemwide sales growth, as reported: U.S.</t>
  </si>
  <si>
    <t>Systemwide sales growth, as reported: International Operated Markets</t>
  </si>
  <si>
    <t>Systemwide sales growth, as reported: International Developmental Licensed Markets</t>
  </si>
  <si>
    <t>Systemwide sales growth, as reported: Total Company</t>
  </si>
  <si>
    <t>Systemwide sales growth, excluding currency translation: U.S.</t>
  </si>
  <si>
    <t>Systemwide sales growth, excluding currency translation: International Operated Markets</t>
  </si>
  <si>
    <t>Systemwide sales growth, excluding currency translation: International Developmental Licensed Markets</t>
  </si>
  <si>
    <t>Systemwide sales growth, excluding currency translation: Total Company</t>
  </si>
  <si>
    <t>6. MARKET DATA (ITEM 6 SELECTED FINANCIAL DATA, FY2016-FY2021 ONLY)</t>
  </si>
  <si>
    <t>Market price at year end ($, Item 6)</t>
  </si>
  <si>
    <t>Item 6 table discontinued after the FY2021 10-K</t>
  </si>
  <si>
    <t>Total debt ($mm, Item 6)</t>
  </si>
  <si>
    <t>7. FRANCHISED REVENUE COMPOSITION</t>
  </si>
  <si>
    <t>Rents</t>
  </si>
  <si>
    <t>Royalties</t>
  </si>
  <si>
    <t>Initial fees</t>
  </si>
  <si>
    <t xml:space="preserve">  Rents % of franchised revenues</t>
  </si>
  <si>
    <t xml:space="preserve">  Royalties % of franchised revenues</t>
  </si>
  <si>
    <t>Franchised revenue composition vs IS (rounding)</t>
  </si>
  <si>
    <t>8. SHAREHOLDER RETURNS (MD&amp;A TABLE)</t>
  </si>
  <si>
    <t>Number of shares repurchased (mm)</t>
  </si>
  <si>
    <t>Shares outstanding at year end (mm)</t>
  </si>
  <si>
    <t>Dividends declared per share ($)</t>
  </si>
  <si>
    <t>Treasury stock purchases (in shareholders' equity)</t>
  </si>
  <si>
    <t>Dividends paid</t>
  </si>
  <si>
    <t>Total returned to shareholders (as reported)</t>
  </si>
  <si>
    <t>Buybacks + dividends vs total returned (rounding)</t>
  </si>
  <si>
    <t>Dividends paid vs cash-flow dividends (rounding)</t>
  </si>
  <si>
    <t>9. DEBT STRUCTURE STATISTICS (MD&amp;A TABLE)</t>
  </si>
  <si>
    <t>Fixed-rate debt as % of total debt</t>
  </si>
  <si>
    <t>Weighted-average annual interest rate of total debt</t>
  </si>
  <si>
    <t>Foreign currency-denominated debt as % of total debt</t>
  </si>
  <si>
    <t>Total debt as % of total capitalization</t>
  </si>
  <si>
    <t>Cash provided by operations as % of total debt</t>
  </si>
  <si>
    <t>10. CURRENCY TRANSLATION IMPACT ON REPORTED RESULTS (COMPANY-DISCLOSED BENEFIT / (COST) VS PRIOR-YEAR RATES)</t>
  </si>
  <si>
    <t>Currency impact - Revenues</t>
  </si>
  <si>
    <t>Currency impact - Franchised margins</t>
  </si>
  <si>
    <t>Currency impact - Company-owned and operated margins</t>
  </si>
  <si>
    <t>Currency impact - Selling, general &amp; administrative expenses (negative = higher expense)</t>
  </si>
  <si>
    <t>Currency impact - Operating income</t>
  </si>
  <si>
    <t>Currency impact - Net income</t>
  </si>
  <si>
    <t>Currency impact - Earnings per common share - diluted ($)</t>
  </si>
  <si>
    <t xml:space="preserve">  Currency impact as % of reported operating income</t>
  </si>
  <si>
    <t xml:space="preserve">  Currency impact as % of reported revenues</t>
  </si>
  <si>
    <t>11. NON-GAAP RECONCILIATION: EARNINGS PER SHARE (ADJUSTMENT LINES AS PRESENTED IN THE FILING SUPPLYING EACH NON-GAAP FIGURE)</t>
  </si>
  <si>
    <t>GAAP earnings per share - diluted ($)</t>
  </si>
  <si>
    <t>(Gains) / charges (strategic charges, restructuring, impairments, disposals)</t>
  </si>
  <si>
    <t>Income tax (benefit) cost, net</t>
  </si>
  <si>
    <t>Tax settlement</t>
  </si>
  <si>
    <t>Non-GAAP earnings per share - diluted ($)</t>
  </si>
  <si>
    <t>GAAP + adjustments vs non-GAAP (disclosed rounding)</t>
  </si>
  <si>
    <t>GAAP figure vs income statement (rounding)</t>
  </si>
  <si>
    <t>12. NON-GAAP RECONCILIATION: NET INCOME (FY2021+)</t>
  </si>
  <si>
    <t>GAAP net income</t>
  </si>
  <si>
    <t>Non-GAAP net income</t>
  </si>
  <si>
    <t>13. NON-GAAP RECONCILIATION: OPERATING INCOME (FY2021+)</t>
  </si>
  <si>
    <t>GAAP operating income</t>
  </si>
  <si>
    <t>Russia sale charge</t>
  </si>
  <si>
    <t>Dynamic Yield sale gain</t>
  </si>
  <si>
    <t>Japan stock sale gains</t>
  </si>
  <si>
    <t>McDonald's Tech Labs sale charge</t>
  </si>
  <si>
    <t>Non-GAAP operating income</t>
  </si>
  <si>
    <t>Non-GAAP operating margin (as reported)</t>
  </si>
  <si>
    <t xml:space="preserve">  Non-GAAP operating margin (recomputed on total revenues)</t>
  </si>
  <si>
    <t>14. CAPITAL EXPENDITURES BY PURPOSE (DISCLOSED FY2016-FY2019 ONLY)</t>
  </si>
  <si>
    <t>New restaurants</t>
  </si>
  <si>
    <t>Existing restaurants</t>
  </si>
  <si>
    <t>Capex by purpose vs cash-flow capital expenditures (sign flipped; rounding)</t>
  </si>
  <si>
    <t>McDonald's Corporation — Note Schedules</t>
  </si>
  <si>
    <t>1. PROPERTY AND EQUIPMENT (NOTE)</t>
  </si>
  <si>
    <t>Land</t>
  </si>
  <si>
    <t>Buildings and improvements on owned land</t>
  </si>
  <si>
    <t>Buildings and improvements on leased land</t>
  </si>
  <si>
    <t>Equipment, signs and seating</t>
  </si>
  <si>
    <t>Components vs cost (rounding)</t>
  </si>
  <si>
    <t>Note net PP&amp;E vs balance sheet (rounding)</t>
  </si>
  <si>
    <t>2. INCOME TAXES (NOTE)</t>
  </si>
  <si>
    <t>Income before taxes: U.S.</t>
  </si>
  <si>
    <t>Income before taxes: outside the U.S.</t>
  </si>
  <si>
    <t>Current: U.S. federal</t>
  </si>
  <si>
    <t>Current: U.S. state</t>
  </si>
  <si>
    <t>Current: outside the U.S.</t>
  </si>
  <si>
    <t>Current tax provision</t>
  </si>
  <si>
    <t>Deferred: U.S. federal</t>
  </si>
  <si>
    <t>Deferred: U.S. state</t>
  </si>
  <si>
    <t>Deferred: outside the U.S.</t>
  </si>
  <si>
    <t>Deferred tax (benefit) provision</t>
  </si>
  <si>
    <t xml:space="preserve">  U.S. share of pre-tax income</t>
  </si>
  <si>
    <t>Pre-tax split vs IS (rounding)</t>
  </si>
  <si>
    <t>Tax provision vs IS (rounding)</t>
  </si>
  <si>
    <t>Current + deferred vs total (rounding)</t>
  </si>
  <si>
    <t>3. OTHER OPERATING (INCOME) EXPENSE, NET - COMPONENTS (MD&amp;A / NOTE)</t>
  </si>
  <si>
    <t>Gains on sales of restaurant businesses</t>
  </si>
  <si>
    <t>Equity in earnings of unconsolidated affiliates</t>
  </si>
  <si>
    <t>Asset dispositions and other (income) expense, net</t>
  </si>
  <si>
    <t>Impairment and other charges (gains), net</t>
  </si>
  <si>
    <t>Components vs total (rounding)</t>
  </si>
  <si>
    <t>Total vs income statement (rounding)</t>
  </si>
  <si>
    <t>4. NONOPERATING (INCOME) EXPENSE, NET - COMPONENTS (MD&amp;A)</t>
  </si>
  <si>
    <t>Interest income</t>
  </si>
  <si>
    <t>Foreign currency and hedging activity</t>
  </si>
  <si>
    <t>Other (income) expense</t>
  </si>
  <si>
    <t>5. GOODWILL BY SEGMENT (YEAR END; NOTE)</t>
  </si>
  <si>
    <t>Goodwill: consolidated</t>
  </si>
  <si>
    <t>Goodwill by segment vs balance sheet (rounding)</t>
  </si>
  <si>
    <t>6. DEBT BY CURRENCY, FAIR VALUE AND MATURITY (FINANCING NOTE)</t>
  </si>
  <si>
    <t>Debt obligations: U.S. dollar</t>
  </si>
  <si>
    <t>Debt obligations: Euro</t>
  </si>
  <si>
    <t>Debt obligations: British pound sterling</t>
  </si>
  <si>
    <t>Debt obligations: Canadian dollar</t>
  </si>
  <si>
    <t>Debt obligations: Australian dollar</t>
  </si>
  <si>
    <t>Debt obligations: Japanese yen</t>
  </si>
  <si>
    <t>Debt obligations: Chinese renminbi</t>
  </si>
  <si>
    <t>Debt obligations: Other currencies</t>
  </si>
  <si>
    <t>Debt obligations before fair value adjustments and deferred debt costs</t>
  </si>
  <si>
    <t>Fair value adjustments</t>
  </si>
  <si>
    <t>Deferred debt costs</t>
  </si>
  <si>
    <t>Total debt obligations (carrying amount)</t>
  </si>
  <si>
    <t xml:space="preserve">  Non-U.S.-dollar share of debt before adjustments</t>
  </si>
  <si>
    <t>Fair value of debt obligations (debt note text; $mm, rounded to $0.1bn)</t>
  </si>
  <si>
    <t xml:space="preserve">  Fair value % of carrying amount</t>
  </si>
  <si>
    <t>Aggregate debt maturities falling due in the next year</t>
  </si>
  <si>
    <t>Total debt obligations vs balance sheet total debt (rounding)</t>
  </si>
  <si>
    <t>Aggregate debt maturities: total (sum of the maturity schedule)</t>
  </si>
  <si>
    <t>Maturity schedule total vs debt before adjustments (rounding)</t>
  </si>
  <si>
    <t>7. RENT, LEASE COMMITMENTS AND MINIMUM RENT RECEIVABLE</t>
  </si>
  <si>
    <t>Rent expense: restaurants</t>
  </si>
  <si>
    <t>FY2016-FY2018 filed on a different (company-operated / franchised) basis; only the total is comparable</t>
  </si>
  <si>
    <t>Rent expense: other</t>
  </si>
  <si>
    <t>Total rent expense</t>
  </si>
  <si>
    <t>Variable lease payments in excess of minimum rents: Company-owned and operated restaurants</t>
  </si>
  <si>
    <t>Disclosed in the lease note text</t>
  </si>
  <si>
    <t>Variable lease payments in excess of minimum rents: franchised restaurants</t>
  </si>
  <si>
    <t>Lease payments due in the next 12 months</t>
  </si>
  <si>
    <t>FY2016-FY2020: operating lease commitments per the contractual-obligations table; FY2021+: total (operating + finance) lease payments from the lease note</t>
  </si>
  <si>
    <t>Total remaining lease payments (undiscounted)</t>
  </si>
  <si>
    <t>Minimum rent receivable under franchise arrangements in the next 12 months</t>
  </si>
  <si>
    <t>Total minimum rent receivable under franchise arrangements (undiscounted)</t>
  </si>
  <si>
    <t xml:space="preserve">  Minimum rent receivable / lease payments, next 12 months</t>
  </si>
  <si>
    <t xml:space="preserve">  Minimum rent receivable / lease payments, total</t>
  </si>
  <si>
    <t>8. FRANCHISE-ARRANGEMENT ASSETS, ADVERTISING AND SHARE-BASED COMPENSATION</t>
  </si>
  <si>
    <t>Net property and equipment under franchise arrangements</t>
  </si>
  <si>
    <t>Disclosed in $bn to one decimal; converted to $mm</t>
  </si>
  <si>
    <t xml:space="preserve">  of which land</t>
  </si>
  <si>
    <t>Accumulated depreciation and amortization on franchise-arrangement property</t>
  </si>
  <si>
    <t xml:space="preserve">  Franchise-arrangement property % of balance sheet net PP&amp;E</t>
  </si>
  <si>
    <t>Advertising costs in Company-owned and operated restaurant expenses</t>
  </si>
  <si>
    <t>Advertising production and other marketing-related costs (in SG&amp;A)</t>
  </si>
  <si>
    <t xml:space="preserve">  Restaurant advertising % of Company-owned and operated sales</t>
  </si>
  <si>
    <t>Share-based compensation expense</t>
  </si>
  <si>
    <t>Share-based compensation expense, after tax</t>
  </si>
  <si>
    <t>Share-based compensation per diluted share ($)</t>
  </si>
  <si>
    <t>Share-based compensation vs cash-flow add-back (rounding)</t>
  </si>
  <si>
    <t>9. OTHER OPERATING FACTS DISCLOSED IN TEXT ONLY (APPROXIMATE; NOT TABULATED BY THE COMPANY)</t>
  </si>
  <si>
    <t>Franchised restaurants % of systemwide restaurants (text)</t>
  </si>
  <si>
    <t>Stated in MD&amp;A text for FY2018 and FY2023-FY2025 only</t>
  </si>
  <si>
    <t>Segment franchised %: U.S. (segment note text)</t>
  </si>
  <si>
    <t>Segment franchised %: International Operated Markets</t>
  </si>
  <si>
    <t>Segment franchised %: International Developmental Licensed Markets &amp; Corporate</t>
  </si>
  <si>
    <t>Share of operating income earned outside the U.S. (liquidity section text, approximate)</t>
  </si>
  <si>
    <t>Company employees worldwide (text, approximate; 'over' / 'approximately')</t>
  </si>
  <si>
    <t>Restaurants offering delivery (text, approximate)</t>
  </si>
  <si>
    <t>Drive thru locations (text, approximate)</t>
  </si>
  <si>
    <t>McDonald's Corporation — Year-End Schedules</t>
  </si>
  <si>
    <t>Year-end schedules disclosed in the notes (USD millions). Source: Form 10-K notes; table IDs refer to tables.json in this output folder.</t>
  </si>
  <si>
    <t>Aggregate debt maturities at December 31, 2025 (before fair value adjustments and deferred debt costs)</t>
  </si>
  <si>
    <t>Year</t>
  </si>
  <si>
    <t>Amount</t>
  </si>
  <si>
    <t>2026</t>
  </si>
  <si>
    <t>2027</t>
  </si>
  <si>
    <t>2028</t>
  </si>
  <si>
    <t>2029</t>
  </si>
  <si>
    <t>2030</t>
  </si>
  <si>
    <t>Thereafter</t>
  </si>
  <si>
    <t>Aggregate debt maturities at December 31, 2024 (before fair value adjustments and deferred debt costs)</t>
  </si>
  <si>
    <t>2025</t>
  </si>
  <si>
    <t>Minimum rent payments due to the Company under franchise arrangements at December 31, 2025 (table T828)</t>
  </si>
  <si>
    <t>Owned sites</t>
  </si>
  <si>
    <t>Leased sites</t>
  </si>
  <si>
    <t>Total</t>
  </si>
  <si>
    <t>Total minimum payments</t>
  </si>
  <si>
    <t>Minimum rent payments due to the Company under franchise arrangements at December 31, 2024 (table T763)</t>
  </si>
  <si>
    <t>Lease payment maturities at December 31, 2025 (table T833)</t>
  </si>
  <si>
    <t>Operating</t>
  </si>
  <si>
    <t>Finance</t>
  </si>
  <si>
    <t>Total (as filed)</t>
  </si>
  <si>
    <t>Total lease payments</t>
  </si>
  <si>
    <t>Less: imputed interest</t>
  </si>
  <si>
    <t>Present value of lease liability</t>
  </si>
  <si>
    <t>Lease payment maturities at December 31, 2024 (table T768)</t>
  </si>
  <si>
    <t>Restructuring reserve roll-forward - Accelerating the Organization (table T835)</t>
  </si>
  <si>
    <t>Line</t>
  </si>
  <si>
    <t>Employee termination benefits</t>
  </si>
  <si>
    <t>Costs to terminate contracts</t>
  </si>
  <si>
    <t>Professional services and other</t>
  </si>
  <si>
    <t>2023</t>
  </si>
  <si>
    <t>Accrued Balance at Beginning of Year</t>
  </si>
  <si>
    <t>Restructuring Costs Incurred</t>
  </si>
  <si>
    <t>Cash Payments</t>
  </si>
  <si>
    <t>Other Non-Cash Items</t>
  </si>
  <si>
    <t>Accrued Balance at December 31, 2023</t>
  </si>
  <si>
    <t>2024</t>
  </si>
  <si>
    <t>Accrued Balance at December 31, 2024</t>
  </si>
  <si>
    <t>Accrued Balance at December 31, 2025</t>
  </si>
  <si>
    <t>Equity-method investees (table T836); company-reported, Level 1 fair value where listed</t>
  </si>
  <si>
    <t>Investee</t>
  </si>
  <si>
    <t>Ownership 2025</t>
  </si>
  <si>
    <t>Fair value 2025</t>
  </si>
  <si>
    <t>Carrying 2025</t>
  </si>
  <si>
    <t>Ownership 2024</t>
  </si>
  <si>
    <t>Fair value 2024</t>
  </si>
  <si>
    <t>Carrying 2024</t>
  </si>
  <si>
    <t>Grand Foods Holding</t>
  </si>
  <si>
    <t>N/A</t>
  </si>
  <si>
    <t>McDonald's Japan Holdings Co., Ltd</t>
  </si>
  <si>
    <t>Summarised financial data of the equity-method investees (table T837)</t>
  </si>
  <si>
    <t>Revenue</t>
  </si>
  <si>
    <t>Equity in Earnings</t>
  </si>
  <si>
    <t>Accounts Receivable</t>
  </si>
  <si>
    <t>Dividends Received</t>
  </si>
  <si>
    <t>McDonald's Corporation — Outlook &amp; Text KPIs</t>
  </si>
  <si>
    <t>Management outlook and operating-KPI statements quoted verbatim from Form 10-K MD&amp;A text. Source tier: SEC filing (company statement). Nature: FORWARD-LOOKING guidance / targets or company-stated facts - not realised results, not audited, not verified independently.</t>
  </si>
  <si>
    <t>Locator = line number in the prepared document.md of the cited 10-K (sources/companies/US/MCD-mcdonalds/artifacts/ten_k/MCD-mcdonalds/FY&lt;year&gt;/psp_*/prepared/document.md). Management-stated conditions are preserved in the quoted text.</t>
  </si>
  <si>
    <t>10-K fiscal year</t>
  </si>
  <si>
    <t>Guided year</t>
  </si>
  <si>
    <t>Item</t>
  </si>
  <si>
    <t>Verbatim statement</t>
  </si>
  <si>
    <t>Net restaurant additions contribution to Systemwide sales growth</t>
  </si>
  <si>
    <t>Changes in Systemwide sales are driven by comparable sales and net restaurant unit expansion. The Company expects net restaurant additions to add approximately 1 percentage point to 2017 Systemwide sales growth (in constant currencies).</t>
  </si>
  <si>
    <t>SG&amp;A</t>
  </si>
  <si>
    <t>The Company expects full-year 2017 selling, general and administrative expenses to decrease about 7-8%, in constant currencies with fluctuations expected between the quarters. This includes incentive-based compensation costs of less than $ 300 million.</t>
  </si>
  <si>
    <t>Interest expense</t>
  </si>
  <si>
    <t>Based on current interest and foreign currency exchange rates, the Company expects interest expense for the full-year 2017 to increase about 5-10% compared with 2016 due to higher average debt balances.</t>
  </si>
  <si>
    <t>Effective tax rate</t>
  </si>
  <si>
    <t>The Company expects the effective income tax rate for the full-year 2017 to be in the 31-33% range. Some volatility may result in a quarterly tax rate outside of the annual range.</t>
  </si>
  <si>
    <t>Capital expenditures / restaurant openings</t>
  </si>
  <si>
    <t>The Company expects capital expenditures for 2017 to be approximately $ 1.7 billion, about one-third of which will be used to open new restaurants. The Company expects to open about 900 restaurants, including about 500 restaurants in affiliated and developmental licensee markets where the Company generally does not fund any capital expenditures. The Company expects net additions of about 400 restaurants. The remaining two-thirds of capital will be used to reinvest in existing locations, including about 650 reimages</t>
  </si>
  <si>
    <t>Changes in Systemwide sales are driven by comparable sales, net restaurant unit expansion, and the potential impacts of hyper-inflation. The Company expects net restaurant additions to add approximately 1 percentage point to 2018 Systemwide sales growth (in constant currencies).</t>
  </si>
  <si>
    <t>The Company expects full-year 2018 selling, general and administrative expenses to decrease about 1% in constant currencies.</t>
  </si>
  <si>
    <t>Based on current interest and foreign currency exchange rates, the Company expects interest expense for the full-year 2018 to increase about 5% to 7% compared with 2017 due primarily to higher average debt balances.</t>
  </si>
  <si>
    <t>The Company expects the effective income tax rate for the full-year 2018 to be in the 25-27% range, with volatility between the quarters. Certain aspects of the Tax Act are expected to be clarified, and as such, could impact the Company's tax rate.</t>
  </si>
  <si>
    <t>The Company expects capital expenditures for 2018 to be approximately $ 2.4 billion. About $ 1.5 billion will be dedicated to our U.S. business, primarily focused on accelerating the pace of EOTF. We expect to complete EOTF at nearly 4,000 additional U.S. restaurants in 2018,</t>
  </si>
  <si>
    <t>Changes in Systemwide sales are driven by comparable sales, net restaurant unit expansion and the potential impacts of hyper-inflation. The Company expects net restaurant additions to add approximately 1 percentage point to 2019 Systemwide sales growth (in constant currencies).</t>
  </si>
  <si>
    <t>The Company expects full year 2019 selling, general and administrative expenses to decrease about 4% in constant currencies.</t>
  </si>
  <si>
    <t>Based on current interest and foreign currency exchange rates, the Company expects interest expense for the full year 2019 to increase about 10% to 12% due primarily to higher average debt balances.</t>
  </si>
  <si>
    <t>The Company expects the effective income tax rate for the full year 2019 to be in the 24% to 26% range. Some volatility may result in a quarterly tax rate outside of the annual range. Primarily due to tax costs associated with new regulations issued in January 2019, the effective income tax rate for the first quarter of 2019 is expected to be in the 28% to 29% range.</t>
  </si>
  <si>
    <t>The Company expects capital expenditures for 2019 to be approximately $ 2.3 billion. About $ 1.5 billion will be dedicated to our U.S. business, nearly two-thirds of which is allocated to approximately 2,000 EOTF projects. Globally, we expect to open roughly 1,200 restaurants. We will spend approximately $ 600 million in our wholly owned markets to open 300 restaurants and our developmental licensee and affiliated markets will contribute capital toward the remaining 900 restaurant openings in their respective marke</t>
  </si>
  <si>
    <t>Changes in Systemwide sales are driven by comparable sales, net restaurant unit expansion, and the potential impacts of hyper-inflation. The Company expects net restaurant additions to add approximately 1.5 percentage points to 2020 Systemwide sales growth (in constant currencies).</t>
  </si>
  <si>
    <t>The Company expects full year 2020 selling, general and administrative expenses to increase about 5% to 7% in constant currencies as the Company invests in technology and research &amp; development, and incurs costs related to the Worldwide Owner/Operator Convention, which will occur in the second quarter 2020.</t>
  </si>
  <si>
    <t>Based on current interest and foreign currency exchange rates, the Company expects interest expense for the full year 2020 to increase about 4% to 6% due primarily to higher average debt balances.</t>
  </si>
  <si>
    <t>The Company expects the effective income tax rate for the full year 2020 to be in the 23% to 25% range. Some volatility may result in a quarterly tax rate outside of the annual range.</t>
  </si>
  <si>
    <t>The Company expects capital expenditures for 2020 to be approximately $ 2.4 billion. About $ 1.3 billion will be dedicated to our U.S. business, over half of which is allocated to approximately 1,800 EOTF projects. Globally, we expect to open roughly 1,400 restaurants. We will spend approximately $ 800 million in the U.S. and International Operated segments to open 400 restaurants and our developmental licensees and affiliates will contribute capital towards the remaining 1,000 restaurant openings in the Internatio</t>
  </si>
  <si>
    <t>The Company expects 2021 Systemwide sales growth, in constant currencies, in the low double digits, and expects net restaurant unit expansion to contribute about 1% to 2021 Systemwide sales growth.</t>
  </si>
  <si>
    <t>Operating margin</t>
  </si>
  <si>
    <t>The Company expects operating margin percent to be in the low-to-mid 40% range.</t>
  </si>
  <si>
    <t>The Company expects full year 2021 selling, general and administrative expenses of approximately 2.3% of Systemwide sales, reflecting a decrease of about 2% to 4% in constant currencies.</t>
  </si>
  <si>
    <t>Based on current interest and foreign currency exchange rates, the Company expects interest expense for the full year 2021 to decrease about 1% to 3% due primarily to lower average debt balances as the Company expects to pay down current debt levels to return to pre-COVID-19 leverage ratios.</t>
  </si>
  <si>
    <t>The Company expects the effective income tax rate for the full year 2021 to be in the 21% to 23% range. Some volatility may result in a quarterly tax rate outside of the annual range.</t>
  </si>
  <si>
    <t>The Company expects 2021 capital expenditures to be approximately $ 2.3 billion, about half of which will be directed towards new unit expansion across the U.S. and International Operated Markets.</t>
  </si>
  <si>
    <t>Free cash flow conversion</t>
  </si>
  <si>
    <t>The Company expects to achieve a free cash flow conversion rate greater than 90%.</t>
  </si>
  <si>
    <t>The Company expects net restaurant unit expansion will contribute about 1.5% to 2022 Systemwide sales growth, in constant currencies.</t>
  </si>
  <si>
    <t>The Company expects full year 2022 selling, general &amp; administrative expenses of between 2.2% and 2.3% of Systemwide sales.</t>
  </si>
  <si>
    <t>Based on current interest and foreign currency exchange rates, the Company expects interest expense for the full year 2022 to be relatively flat to 2021.</t>
  </si>
  <si>
    <t>Under current tax legislation, the Company expects the effective income tax rate for the full year 2022 to be in the 20% to 22% range. Some volatility may result in a quarterly tax rate outside of the annual range.</t>
  </si>
  <si>
    <t>The Company expects 2022 capital expenditures to be approximately $ 2.2 to $ 2.4 billion, about half of which will be directed towards new restaurant unit expansion across the U.S. and International Operated Markets. About 40% will be dedicated to the U.S. business, most of which will go towards reinvestment, including the completion of restaurant modernization efforts. Globally, the Company expects to open over 1,800 restaurants. The Company will open over 500 restaurants in the U.S. and International Operated Mar</t>
  </si>
  <si>
    <t>The Company expects net restaurant unit expansion will contribute nearly 1.5% to 2023 Systemwide sales growth, in constant currencies.</t>
  </si>
  <si>
    <t>The Company expects full year 2023 selling, general and administrative expenses of about 2.2% to 2.3% of Systemwide sales.</t>
  </si>
  <si>
    <t>The Company expects 2023 operating margin percent to be about 45%.</t>
  </si>
  <si>
    <t>Based on current interest and foreign currency exchange rates, the Company expects interest expense for the full year 2023 to increase between 10% and 12%, driven primarily by higher average interest rates.</t>
  </si>
  <si>
    <t>The Company expects the effective income tax rate for the full year 2023 to be in the 20% to 22% range. Some volatility may result in a quarterly tax rate outside of the annual range.</t>
  </si>
  <si>
    <t xml:space="preserve">The Company expects 2023 capital expenditures to be between $ 2.2 and $ 2.4 billion, about half of which will be directed towards new restaurant unit expansion across the U.S. and International Operated Markets. Globally, the Company expects to open about 1,900 restaurants. The Company will open more than 400 restaurants in the U.S. and International Operated Markets segments, and developmental licensees and affiliates will contribute capital towards about 1,500 restaurant openings in their respective markets. The </t>
  </si>
  <si>
    <t>The Company expects net restaurant unit expansion will contribute nearly 2% to 2024 Systemwide sales growth, in constant currencies.</t>
  </si>
  <si>
    <t>The Company expects full year 2024 selling, general and administrative expenses of about 2.2% of Systemwide sales.</t>
  </si>
  <si>
    <t>The Company expects 2024 operating margin percent to be in the mid-to-high 40% range.</t>
  </si>
  <si>
    <t>Based on current interest and foreign currency exchange rates, the Company expects interest expense for the full year 2024 to increase between 9% and 11% driven primarily by higher average interest rates and a higher average debt balance.</t>
  </si>
  <si>
    <t>The Company expects the effective income tax rate for the full year 2024 to be in the 20% to 22% range. Some volatility may result in a quarterly tax rate outside of the annual range.</t>
  </si>
  <si>
    <t>The Company expects 2024 capital expenditures to be between $ 2.5 and $ 2.7 billion, more than half of which will be directed towards new restaurant unit expansion across the U.S. and International Operated Markets. Globally, the Company expects to open more than 2,100 restaurants. The Company will open about 500 restaurants in the U.S. and International Operated Markets segments, and developmental licensees and affiliates will contribute capital towards more than 1,600 restaurant openings in their respective marke</t>
  </si>
  <si>
    <t>The Company expects to achieve a free cash flow conversion rate in the 90% range.</t>
  </si>
  <si>
    <t>The Company expects net restaurant unit expansion will contribute slightly over 2% to 2025 Systemwide sales growth, in constant currencies.</t>
  </si>
  <si>
    <t>The Company expects full year 2025 Selling, general and administrative expenses of about 2.2% of Systemwide sales.</t>
  </si>
  <si>
    <t>The Company expects 2025 operating margin percent to be in the mid-to-high 40% range.</t>
  </si>
  <si>
    <t>Based on current interest and foreign currency exchange rates, the Company expects interest expense for the full year 2025 to increase between 4% and 6% driven primarily by higher average debt balances and higher average interest rates.</t>
  </si>
  <si>
    <t>The Company expects the effective income tax rate for the full year 2025 to be between 20% and 22%. Some volatility may result in a quarterly tax rate outside of the annual range.</t>
  </si>
  <si>
    <t>The Company expects 2025 capital expenditures to be between $ 3.0 and $ 3.2 billion, with the majority directed towards new restaurant unit expansion across the U.S. and International Operated Markets. Globally, the Company expects to open approximately 2,200 restaurants. The Company expects to open about 600 restaurants in the U.S. and International Operated Markets segments, and that developmental licensees and affiliates will contribute capital towards about 1,600 restaurant openings in their respective markets.</t>
  </si>
  <si>
    <t>The Company expects to achieve a free cash flow conversion rate in the low-to-mid 80% range.</t>
  </si>
  <si>
    <t>The Company expects net restaurant unit expansion will contribute approximately 2.5% to 2026 Systemwide sales growth, in constant currencies.</t>
  </si>
  <si>
    <t>The Company expects full year 2026 Selling, general and administrative expenses of about 2.2% of Systemwide sales.</t>
  </si>
  <si>
    <t>The Company expects 2026 operating margin percent to be in the mid-to-high 40% range.</t>
  </si>
  <si>
    <t>Based on current interest and foreign currency exchange rates, the Company expects interest expense for the full year 2026 to increase between 4% and 6% driven primarily by higher average interest rates.</t>
  </si>
  <si>
    <t>The Company expects the effective income tax rate for the full year 2026 to be between 21% and 23%. Some volatility may result in a quarterly tax rate outside of the annual range.</t>
  </si>
  <si>
    <t>The Company expects 2026 capital expenditures to be between $ 3.7 and $ 3.9 billion, with the majority directed towards new restaurant unit expansion across the U.S. and International Operated Markets. Globally, the Company expects to open approximately 2,600 restaurants in 2026, with about 750 restaurants opening in the U.S. and International Operated Markets, and developmental licensees and affiliates contributing capital towards more than 1,800 restaurant openings in their respective markets. The Company expects</t>
  </si>
  <si>
    <t>The Company expects to achieve a free cash flow conversion rate in the low-to-mid 80% range for 2026.</t>
  </si>
  <si>
    <t>Operating KPI and strategy statements (FY2021-FY2025 10-Ks)</t>
  </si>
  <si>
    <t>Topic</t>
  </si>
  <si>
    <t>Loyalty / digital</t>
  </si>
  <si>
    <t>• Comparable sales in the U.S. increased 13.8%, benefiting primarily from strong average check growth, successful menu and marketing promotions and growth in digital channels, which benefited from the launch of the Company's loyalty program.</t>
  </si>
  <si>
    <t>Restaurant development</t>
  </si>
  <si>
    <t>• Capital expenditures of $ 2.0 billion were allocated mainly to reinvestment in existing restaurants and, to a lesser extent, to new restaurant openings.</t>
  </si>
  <si>
    <t>• Across the System, nearly 1,500 new restaurants (including those in developmental licensee and affiliate markets) were opened.</t>
  </si>
  <si>
    <t>The Company has successful loyalty programs in over 40 markets around the world, including “MyMcDonald’s Rewards” in the U.S., Germany and Canada, each of which launched in 2021.</t>
  </si>
  <si>
    <t>Just six months after its launch, MyMcDonald’s Rewards in the U.S. has enrolled 30 million members, with over 21 million active loyalty members earning rewards.</t>
  </si>
  <si>
    <t>Delivery</t>
  </si>
  <si>
    <t>◦ Delivery: The Company has expanded the number of restaurants offering delivery to over 33,000, representing over 80% of McDonald's restaurants, and delivery sales have grown significantly over the past few years.</t>
  </si>
  <si>
    <t>Drive thru</t>
  </si>
  <si>
    <t>◦ Drive Thru: The Company has drive thru locations in over 25,000 restaurants globally, including nearly 95% of the 13,000+ locations in the U.S.</t>
  </si>
  <si>
    <t>The Company will open over 500 restaurants in the U.S. and International Operated Markets segments, and developmental licensees and affiliates will contribute capital towards over 1,300 restaurant openings in their respective markets.</t>
  </si>
  <si>
    <t>• Capital expenditures of $ 1.9 billion were allocated approximately 50% to each of reinvestment in existing restaurants and new restaurant openings.</t>
  </si>
  <si>
    <t>• Across the System, over 1,500 new restaurants (including those in our developmental licensee and affiliated markets) were opened.</t>
  </si>
  <si>
    <t>The Company has successful loyalty programs in over 50 markets around the world, including its top six markets.</t>
  </si>
  <si>
    <t>As of December 31, 2022, the Company’s loyalty customers have proven to be highly engaged, with nearly 50 million active loyalty members across the top six markets in the last 90 days, including 28 million in the U.S.</t>
  </si>
  <si>
    <t>◦ Drive Thru: The Company has drive thru locations in over 26,000 restaurants globally, including nearly 95% of the over 13,000 locations in the U.S.</t>
  </si>
  <si>
    <t>The Company will open more than 400 restaurants in the U.S. and International Operated Markets segments, and developmental licensees and affiliates will contribute capital towards about 1,500 restaurant openings in their respective markets.</t>
  </si>
  <si>
    <t>Systemwide sales to loyalty members are measured across approximately 50 markets with loyalty programs globally.</t>
  </si>
  <si>
    <t>• Capital expenditures of $ 2.4 billion were allocated approximately 50% to each of reinvestment in existing restaurants and new restaurant openings.</t>
  </si>
  <si>
    <t>• Across the System, over 2,000 new restaurants (including those in our developmental licensee and affiliated markets) were opened.</t>
  </si>
  <si>
    <t>The Company has successful loyalty programs in approximately 50 markets around the world, including its top six markets.</t>
  </si>
  <si>
    <t>McDonald’s loyalty customers have proven to be highly engaged, and the Company plans to increase its 90-day active users from over 150 million today to 250 million by 2027.</t>
  </si>
  <si>
    <t>Further, the Company plans to grow its annual Systemwide sales to loyalty members from over $ 20 billion today to $ 45 billion by 2027.</t>
  </si>
  <si>
    <t>◦ Drive Thru: The Company is the largest drive thru player worldwide, with more than 27,000 drive thru locations globally, including nearly 95% of the approximately 13,500 locations in the U.S.</t>
  </si>
  <si>
    <t>In 2024, the Company plans to open more than 2,100 new restaurants across the globe, which will contribute to nearly 4% new unit growth.</t>
  </si>
  <si>
    <t>Accordingly, the Company will continue to build on its industry-leading development progress by targeting expansion to 50,000 restaurants by the end of 2027, which would make it the fastest period of growth in Company history.</t>
  </si>
  <si>
    <t>The Company will open about 500 restaurants in the U.S. and International Operated Markets segments, and developmental licensees and affiliates will contribute capital towards more than 1,600 restaurant openings in their respective markets.</t>
  </si>
  <si>
    <t>• Between 4% and 5% net new restaurant unit growth, targeting 50,000 global units by 2027 with a run rate of about 1,000 gross restaurant openings across the U.S. and International Operated Markets segments in 2027; and</t>
  </si>
  <si>
    <t>Systemwide sales to loyalty members are measured across 60 markets with loyalty programs.</t>
  </si>
  <si>
    <t>• Capital expenditures of $ 2.8 billion were mainly allocated to new restaurant openings and, to a lesser extent, to reinvestment in existing restaurants.</t>
  </si>
  <si>
    <t>• Across the System, over 2,100 new restaurants (including those in our developmental licensee and affiliated markets) were opened.</t>
  </si>
  <si>
    <t>The Company has successful loyalty programs in 60 markets, including its top six markets.</t>
  </si>
  <si>
    <t>McDonald’s loyalty customers have proven to be highly engaged, and the Company plans to increase its 90-day active users to 250 million by the end of 2027.</t>
  </si>
  <si>
    <t>Further, the Company plans to grow its annual Systemwide sales to loyalty members to $ 45.0 billion by the end of 2027.</t>
  </si>
  <si>
    <t>◦ Delivery: The Company offers delivery from over 38,000 restaurants across approximately 100 markets, representing nearly 90% of McDonald's restaurants.</t>
  </si>
  <si>
    <t>The Company continues to scale this capability and expects to increase the percentage of Systemwide delivery sales originating from our mobile app to 30% by the end of 2027.</t>
  </si>
  <si>
    <t>◦ Drive Thru: The Company has the most drive thru locations worldwide, with nearly 28,000 drive thru locations globally, including over 95% of the over 13,500 locations in the U.S.</t>
  </si>
  <si>
    <t>In 2025, the Company plans to open about 2,200 new restaurants across the globe, which will contribute to slightly over 4% new unit growth (net of closures).</t>
  </si>
  <si>
    <t>Further, the Company continues to build on its industry-leading development, by progressing toward the targeted expansion to 50,000 restaurants by the end of 2027, which would make it the fastest period of restaurant unit growth in Company history.</t>
  </si>
  <si>
    <t>The Company expects to open about 600 restaurants in the U.S. and International Operated Markets segments, and that developmental licensees and affiliates will contribute capital towards about 1,600 restaurant openings in their respective markets.</t>
  </si>
  <si>
    <t>Systemwide sales to loyalty members are measured across 70 markets with loyalty programs.</t>
  </si>
  <si>
    <t>• Capital expenditures of $ 3.4 billion were mainly allocated to new restaurant openings and, to a lesser extent, to reinvestment in existing restaurants.</t>
  </si>
  <si>
    <t>• Across the System, nearly 2,300 new restaurants (including those in our developmental licensee and affiliated markets) were opened.</t>
  </si>
  <si>
    <t>The Company has loyalty programs in 70 markets, including nearly all major markets.</t>
  </si>
  <si>
    <t>McDonald's loyalty customers have proven to be highly engaged, and the Company plans to increase its 90-day active users to 250 million by the end of 2027.</t>
  </si>
  <si>
    <t>◦ Delivery: The Company offers delivery from nearly 41,000 restaurants across approximately 100 markets, representing approximately 90% of McDonald's restaurants.</t>
  </si>
  <si>
    <t>◦ Drive Thru: The Company has the most drive thru locations worldwide, with nearly 29,000 drive thru locations globally, including over 95% of the approximately 13,700 locations in the U.S.</t>
  </si>
  <si>
    <t>In 2026, the Company plans to open approximately 2,600 new restaurants (gross) across the globe, which will contribute to slightly over 4.5% new unit growth (net of closures).</t>
  </si>
  <si>
    <t>Globally, the Company expects to open approximately 2,600 restaurants in 2026, with about 750 restaurants opening in the U.S. and International Operated Markets, and developmental licensees and affiliates contributing capital towards more than 1,800 restaurant openings in their respective markets.</t>
  </si>
  <si>
    <t>McDonald's Corporation — Derived Metrics</t>
  </si>
  <si>
    <t>1. PROFITABILITY</t>
  </si>
  <si>
    <t>Franchised margin ($mm)</t>
  </si>
  <si>
    <t>Franchised margin % of franchised revenues</t>
  </si>
  <si>
    <t>Company-operated margin ($mm)</t>
  </si>
  <si>
    <t>Company-operated margin % of company-operated sales</t>
  </si>
  <si>
    <t>SG&amp;A % of revenues</t>
  </si>
  <si>
    <t>EBITDA ($mm; operating income + cash-flow D&amp;A)</t>
  </si>
  <si>
    <t>EBITDA margin</t>
  </si>
  <si>
    <t>Net margin</t>
  </si>
  <si>
    <t>D&amp;A % of revenues</t>
  </si>
  <si>
    <t>2. RETURNS AND EFFICIENCY (ANNUAL; AVERAGE BALANCES)</t>
  </si>
  <si>
    <t>Average total assets ($mm)</t>
  </si>
  <si>
    <t>Return on average assets</t>
  </si>
  <si>
    <t>Asset turnover</t>
  </si>
  <si>
    <t>Invested capital ($mm; total debt + lease liabilities + equity)</t>
  </si>
  <si>
    <t>Lease liabilities are on the balance sheet from FY2019 (ASC 842); FY2016-FY2018 exclude them - not comparable across the FY2018/FY2019 boundary</t>
  </si>
  <si>
    <t>NOPAT ($mm; operating income x (1 - effective tax rate))</t>
  </si>
  <si>
    <t>ROIC (NOPAT / average invested capital)</t>
  </si>
  <si>
    <t>3. LEVERAGE AND COVERAGE (ANNUAL)</t>
  </si>
  <si>
    <t>Net debt / EBITDA</t>
  </si>
  <si>
    <t>Net debt incl. lease liabilities / EBITDA (EBITDA not rent-adjusted)</t>
  </si>
  <si>
    <t>Lease liabilities on balance sheet from FY2019 only (ASC 842)</t>
  </si>
  <si>
    <t>Total debt / total assets</t>
  </si>
  <si>
    <t>Interest coverage (operating income / interest expense)</t>
  </si>
  <si>
    <t>EBITDA / interest expense</t>
  </si>
  <si>
    <t>Cash provided by operations / total debt</t>
  </si>
  <si>
    <t>4. LIQUIDITY (PERIOD-END)</t>
  </si>
  <si>
    <t>Current ratio</t>
  </si>
  <si>
    <t>Quick ratio ((cash + receivables) / current liabilities)</t>
  </si>
  <si>
    <t>Cash ratio</t>
  </si>
  <si>
    <t>5. CASH CONVERSION AND CAPITAL ALLOCATION</t>
  </si>
  <si>
    <t>CFO margin</t>
  </si>
  <si>
    <t>CFO / EBITDA</t>
  </si>
  <si>
    <t>Capital expenditures % of revenues</t>
  </si>
  <si>
    <t>Capital expenditures / D&amp;A</t>
  </si>
  <si>
    <t>FCF margin</t>
  </si>
  <si>
    <t>FCF / net income</t>
  </si>
  <si>
    <t>Dividends paid % of net income</t>
  </si>
  <si>
    <t>Dividends paid % of FCF</t>
  </si>
  <si>
    <t>Treasury stock purchases % of FCF</t>
  </si>
  <si>
    <t>Dividends + buybacks % of FCF</t>
  </si>
  <si>
    <t>6. SYSTEMWIDE AND FRANCHISE ECONOMICS</t>
  </si>
  <si>
    <t>Systemwide sales ($mm; franchised sales + Company-operated sales)</t>
  </si>
  <si>
    <t>Systemwide sales growth (reported currency)</t>
  </si>
  <si>
    <t>Franchised revenues % of franchised sales</t>
  </si>
  <si>
    <t>Franchised margins % of franchised sales</t>
  </si>
  <si>
    <t>SG&amp;A % of Systemwide sales</t>
  </si>
  <si>
    <t>Operating income % of Systemwide sales</t>
  </si>
  <si>
    <t>Total revenues per average systemwide restaurant ($mm)</t>
  </si>
  <si>
    <t>Interest expense / average total debt</t>
  </si>
  <si>
    <t>Capital expenditures per net restaurant addition ($mm; net additions can be small or negative)</t>
  </si>
  <si>
    <t>7. EARNINGS QUALITY</t>
  </si>
  <si>
    <t>CFO / net income</t>
  </si>
  <si>
    <t>Accrual ratio ((net income - CFO) / average assets)</t>
  </si>
  <si>
    <t>8. GROWTH</t>
  </si>
  <si>
    <t>Diluted EPS ($)</t>
  </si>
  <si>
    <t>Free cash flow</t>
  </si>
  <si>
    <t>McDonald's Corporation — Sources</t>
  </si>
  <si>
    <t>Source ID</t>
  </si>
  <si>
    <t>Form / period</t>
  </si>
  <si>
    <t>Period end</t>
  </si>
  <si>
    <t>SEC URL (accession folder)</t>
  </si>
  <si>
    <t>Local path</t>
  </si>
  <si>
    <t>Raw source.html SHA-256</t>
  </si>
  <si>
    <t>Notes</t>
  </si>
  <si>
    <t>S001</t>
  </si>
  <si>
    <t>SEC 10-K - McDonald's Corporation FY2016 10-K</t>
  </si>
  <si>
    <t>https://www.sec.gov/Archives/edgar/data/63908/000006390817000017/</t>
  </si>
  <si>
    <t>sources/companies/US/MCD-mcdonalds/artifacts/ten_k/MCD-mcdonalds/FY2016/</t>
  </si>
  <si>
    <t>3850e57247214dacb2d6707f5d14d5cb94e0861e1f1e9eaf43a973ad3d18f21b</t>
  </si>
  <si>
    <t>Accession 0000063908-17-000017; filed 2017-03-01; package psp_7eec6fd72710477497d5550d77be8305; raw/source.html SHA-256 shown; prepared/docu</t>
  </si>
  <si>
    <t>S002</t>
  </si>
  <si>
    <t>SEC 10-K - McDonald's Corporation FY2017 10-K</t>
  </si>
  <si>
    <t>https://www.sec.gov/Archives/edgar/data/63908/000006390818000010/</t>
  </si>
  <si>
    <t>sources/companies/US/MCD-mcdonalds/artifacts/ten_k/MCD-mcdonalds/FY2017/</t>
  </si>
  <si>
    <t>0febf160f7c305eb50f271545fad1dad0615747544caf0fe455543b7c054de26</t>
  </si>
  <si>
    <t>Accession 0000063908-18-000010; filed 2018-02-23; package psp_70e820a9eb774ac39e1e7a22fffb2910; raw/source.html SHA-256 shown; prepared/docu</t>
  </si>
  <si>
    <t>S003</t>
  </si>
  <si>
    <t>SEC 10-K - McDonald's Corporation FY2018 10-K</t>
  </si>
  <si>
    <t>https://www.sec.gov/Archives/edgar/data/63908/000006390819000010/</t>
  </si>
  <si>
    <t>sources/companies/US/MCD-mcdonalds/artifacts/ten_k/MCD-mcdonalds/FY2018/</t>
  </si>
  <si>
    <t>e64dbaa45bfadd7815ce167b97a5c1fd178f4e4e5673586010fcde0a766fa75a</t>
  </si>
  <si>
    <t>Accession 0000063908-19-000010; filed 2019-02-22; package psp_54de7e747d424a1eb6b58080627b8671; raw/source.html SHA-256 shown; prepared/docu</t>
  </si>
  <si>
    <t>S004</t>
  </si>
  <si>
    <t>SEC 10-K - McDonald's Corporation FY2019 10-K</t>
  </si>
  <si>
    <t>https://www.sec.gov/Archives/edgar/data/63908/000006390820000022/</t>
  </si>
  <si>
    <t>sources/companies/US/MCD-mcdonalds/artifacts/ten_k/MCD-mcdonalds/FY2019/</t>
  </si>
  <si>
    <t>b4fe586c36906c1c31ed8389cd288bda28364810fe5bb5d6b59f015fd0d34b6c</t>
  </si>
  <si>
    <t>Accession 0000063908-20-000022; filed 2020-02-26; package psp_6a6839c598fb44cf84637ef78c8cca77; raw/source.html SHA-256 shown; prepared/docu</t>
  </si>
  <si>
    <t>S005</t>
  </si>
  <si>
    <t>SEC 10-K - McDonald's Corporation FY2020 10-K</t>
  </si>
  <si>
    <t>https://www.sec.gov/Archives/edgar/data/63908/000006390821000013/</t>
  </si>
  <si>
    <t>sources/companies/US/MCD-mcdonalds/artifacts/ten_k/MCD-mcdonalds/FY2020/</t>
  </si>
  <si>
    <t>81e96230b4bed3bb40e3b190c2ef68952261c449940ce498c511546764ecf5dd</t>
  </si>
  <si>
    <t>Accession 0000063908-21-000013; filed 2021-02-23; package psp_5aea50748dad4c96af9a2e472c4ee0ca; raw/source.html SHA-256 shown; prepared/docu</t>
  </si>
  <si>
    <t>S006</t>
  </si>
  <si>
    <t>SEC 10-K - McDonald's Corporation FY2021 10-K</t>
  </si>
  <si>
    <t>https://www.sec.gov/Archives/edgar/data/63908/000006390822000011/</t>
  </si>
  <si>
    <t>sources/companies/US/MCD-mcdonalds/artifacts/ten_k/MCD-mcdonalds/FY2021/</t>
  </si>
  <si>
    <t>dfa470c0ef8b9e08dd2da7d69463eb907ecd79afdeb840481a3d7854ec9a2d40</t>
  </si>
  <si>
    <t>Accession 0000063908-22-000011; filed 2022-02-24; package psp_f17120d116dd4836a7cf87a9a4d1eea5; raw/source.html SHA-256 shown; prepared/docu</t>
  </si>
  <si>
    <t>S007</t>
  </si>
  <si>
    <t>SEC 10-K - McDonald's Corporation FY2022 10-K</t>
  </si>
  <si>
    <t>https://www.sec.gov/Archives/edgar/data/63908/000006390823000012/</t>
  </si>
  <si>
    <t>sources/companies/US/MCD-mcdonalds/artifacts/ten_k/MCD-mcdonalds/FY2022/</t>
  </si>
  <si>
    <t>584b17313492be687b5266b463bd34aa218953607a877ed94a3566dbf8daed9a</t>
  </si>
  <si>
    <t>Accession 0000063908-23-000012; filed 2023-02-24; package psp_5c02e34023f4489ca3bd31125a064c4f; raw/source.html SHA-256 shown; prepared/docu</t>
  </si>
  <si>
    <t>S008</t>
  </si>
  <si>
    <t>SEC 10-K - McDonald's Corporation FY2023 10-K</t>
  </si>
  <si>
    <t>https://www.sec.gov/Archives/edgar/data/63908/000006390824000072/</t>
  </si>
  <si>
    <t>sources/companies/US/MCD-mcdonalds/artifacts/ten_k/MCD-mcdonalds/FY2023/</t>
  </si>
  <si>
    <t>3c88e1f965e57e2b3c6c0149e8c47a112c91bf6a58648ac069b17b16b10a0362</t>
  </si>
  <si>
    <t>Accession 0000063908-24-000072; filed 2024-02-22; package psp_ef1ae541a2824f9686a1c1fc99a30117; raw/source.html SHA-256 shown; prepared/docu</t>
  </si>
  <si>
    <t>S009</t>
  </si>
  <si>
    <t>SEC 10-Q - McDonald's Corporation 2024 Q3 10-Q</t>
  </si>
  <si>
    <t>https://www.sec.gov/Archives/edgar/data/63908/000006390824000156/</t>
  </si>
  <si>
    <t>sources/companies/US/MCD-mcdonalds/artifacts/ten_k/MCD-mcdonalds-10Q-Q3/FY2024/</t>
  </si>
  <si>
    <t>492598e17026b9e60d883c0722b3f6a0a1b610d1a67cb5234f4ff68fd5d5bc47</t>
  </si>
  <si>
    <t>Accession 0000063908-24-000156; filed 2024-11-07; package psp_9bb891694811468dafd1c2ff04bd55d5; raw/source.html SHA-256 shown; prepared/docu</t>
  </si>
  <si>
    <t>S010</t>
  </si>
  <si>
    <t>SEC 10-K - McDonald's Corporation FY2024 10-K</t>
  </si>
  <si>
    <t>https://www.sec.gov/Archives/edgar/data/63908/000006390825000012/</t>
  </si>
  <si>
    <t>sources/companies/US/MCD-mcdonalds/artifacts/ten_k/MCD-mcdonalds/FY2024/</t>
  </si>
  <si>
    <t>35b47dfeae166963f5c97d3a43ac61851ef6dae752b2e85a3849268d300e9564</t>
  </si>
  <si>
    <t>Accession 0000063908-25-000012; filed 2025-02-25; package psp_3dcad7a1d4024ad5afd45edf2d6ab8fa; raw/source.html SHA-256 shown; prepared/docu</t>
  </si>
  <si>
    <t>S011</t>
  </si>
  <si>
    <t>SEC 10-Q - McDonald's Corporation 2025 Q1 10-Q</t>
  </si>
  <si>
    <t>https://www.sec.gov/Archives/edgar/data/63908/000006390825000025/</t>
  </si>
  <si>
    <t>sources/companies/US/MCD-mcdonalds/artifacts/ten_k/MCD-mcdonalds-10Q-Q1/FY2025/</t>
  </si>
  <si>
    <t>a244127f7d114bf3b90c1cd2403b77857961c8d2d81e27c7945f55a9e030b0d4</t>
  </si>
  <si>
    <t>Accession 0000063908-25-000025; filed 2025-05-12; package psp_52b253d4e7c24d1a8d9ce36afc225215; raw/source.html SHA-256 shown; prepared/docu</t>
  </si>
  <si>
    <t>S012</t>
  </si>
  <si>
    <t>SEC 10-Q - McDonald's Corporation 2025 Q2 10-Q</t>
  </si>
  <si>
    <t>https://www.sec.gov/Archives/edgar/data/63908/000006390825000039/</t>
  </si>
  <si>
    <t>sources/companies/US/MCD-mcdonalds/artifacts/ten_k/MCD-mcdonalds-10Q-Q2/FY2025/</t>
  </si>
  <si>
    <t>93d49384f97f3ccc4480e9c3b0a42f7ac3d2503b53b07668f58e39a1421ecd7b</t>
  </si>
  <si>
    <t>Accession 0000063908-25-000039; filed 2025-08-06; package psp_5e5f96e2a1334ba1a5ecb3447f6c12c4; raw/source.html SHA-256 shown; prepared/docu</t>
  </si>
  <si>
    <t>S013</t>
  </si>
  <si>
    <t>SEC 10-Q - McDonald's Corporation 2025 Q3 10-Q</t>
  </si>
  <si>
    <t>https://www.sec.gov/Archives/edgar/data/63908/000006390825000059/</t>
  </si>
  <si>
    <t>sources/companies/US/MCD-mcdonalds/artifacts/ten_k/MCD-mcdonalds-10Q-Q3/FY2025/</t>
  </si>
  <si>
    <t>243f04a9926db4714ca28092e6e11beb74e19b3d5e605227a5498f50525e592d</t>
  </si>
  <si>
    <t>Accession 0000063908-25-000059; filed 2025-11-05; package psp_0fe32f1a1b434ab1bb968ddaf387aff6; raw/source.html SHA-256 shown; prepared/docu</t>
  </si>
  <si>
    <t>S014</t>
  </si>
  <si>
    <t>SEC 10-K - McDonald's Corporation FY2025 10-K</t>
  </si>
  <si>
    <t>https://www.sec.gov/Archives/edgar/data/63908/000006390826000035/</t>
  </si>
  <si>
    <t>sources/companies/US/MCD-mcdonalds/artifacts/ten_k/MCD-mcdonalds/FY2025/</t>
  </si>
  <si>
    <t>4055ac7240b6d6c6785a6c99ba91c6a39e5d3daefafdfca70e3700be626adf80</t>
  </si>
  <si>
    <t>Accession 0000063908-26-000035; filed 2026-02-24; package psp_ef32da6b010c46ea849b6125696072d0; raw/source.html SHA-256 shown; prepared/docu</t>
  </si>
  <si>
    <t>S015</t>
  </si>
  <si>
    <t>SEC 10-Q - McDonald's Corporation 2026 Q1 10-Q</t>
  </si>
  <si>
    <t>https://www.sec.gov/Archives/edgar/data/63908/000006390826000051/</t>
  </si>
  <si>
    <t>sources/companies/US/MCD-mcdonalds/artifacts/ten_k/MCD-mcdonalds-10Q-Q1/FY2026/</t>
  </si>
  <si>
    <t>ab10d0743d18aac6c570167817c506e570a4edca578aa32755fbcd3732fa21f7</t>
  </si>
  <si>
    <t>Accession 0000063908-26-000051; filed 2026-05-07; package psp_9a4070baa4b74501bc993b2070b13672; raw/source.html SHA-256 shown; prepared/docu</t>
  </si>
  <si>
    <t>S016</t>
  </si>
  <si>
    <t>SEC 10-Q - McDonald's Corporation 2026 Q2 10-Q</t>
  </si>
  <si>
    <t>https://www.sec.gov/Archives/edgar/data/63908/000006390826000073/</t>
  </si>
  <si>
    <t>sources/companies/US/MCD-mcdonalds/artifacts/ten_k/MCD-mcdonalds-10Q-Q2/FY2026/</t>
  </si>
  <si>
    <t>1f4c9ed2518b2a004ce1289ecf7e3e31f3852580482a24aa96203817914e52d2</t>
  </si>
  <si>
    <t>Accession 0000063908-26-000073; filed 2026-08-07; package psp_7f085b8ce86148ada0a6134bd63f3a28; raw/source.html SHA-256 shown; prepared/docu</t>
  </si>
  <si>
    <t>Extraction method</t>
  </si>
  <si>
    <t>Collector</t>
  </si>
  <si>
    <t>collect_tables.py over the 16 raw source.html files -&gt; tables.json (858 tables)</t>
  </si>
  <si>
    <t>Parser</t>
  </si>
  <si>
    <t>mcd_extract.py / mcd_extract2.py (statements, segments, KPIs) and mcd_extract3.py / mcd_extract4.py (MD&amp;A operating tables, note schedules, prose series, outlook text) map rows by caption and compact SEC split-cell negatives; no value is typed by hand</t>
  </si>
  <si>
    <t>Precedence</t>
  </si>
  <si>
    <t>For a period reported in several filings the latest filing is used; superseded differences &gt; 1.0 are listed in restatement_log.json</t>
  </si>
  <si>
    <t>Tier discipline</t>
  </si>
  <si>
    <t>Tier 2 per company-research-to-excel: SEC filing HTML only; no press releases, third-party data or research reports</t>
  </si>
  <si>
    <t>Restatement / reclassification log (differences &gt; 1.0 between filings)</t>
  </si>
  <si>
    <t>IS:total_revenues FY2018</t>
  </si>
  <si>
    <t>10-K FY2018: 21,025.2; 10-K FY2019: 21,025.2; 10-K FY2020: 21,257.9</t>
  </si>
  <si>
    <t>latest filing used</t>
  </si>
  <si>
    <t>IS:total_revenues FY2019</t>
  </si>
  <si>
    <t>10-K FY2019: 21,076.5; 10-K FY2020: 21,364.4; 10-K FY2021: 21,364.4</t>
  </si>
  <si>
    <t>IS:other_operating FY2018</t>
  </si>
  <si>
    <t>10-K FY2018: -236.8; 10-K FY2019: -236.8; 10-K FY2020: -190.2</t>
  </si>
  <si>
    <t>IS:other_operating FY2019</t>
  </si>
  <si>
    <t>10-K FY2019: -183.9; 10-K FY2020: -119.8; 10-K FY2021: -119.8</t>
  </si>
  <si>
    <t>IS:total_opex FY2018</t>
  </si>
  <si>
    <t>10-K FY2018: 12,202.6; 10-K FY2019: 12,202.6; 10-K FY2020: 12,435.3</t>
  </si>
  <si>
    <t>IS:total_opex FY2019</t>
  </si>
  <si>
    <t>10-K FY2019: 12,006.7; 10-K FY2020: 12,294.6; 10-K FY2021: 12,294.6</t>
  </si>
  <si>
    <t>BS:other_lt_liabilities FY2016</t>
  </si>
  <si>
    <t>10-K FY2016: 2,064.3; 10-K FY2017: 1,053.7</t>
  </si>
  <si>
    <t>CF:cf_other_charges FY2016</t>
  </si>
  <si>
    <t>10-K FY2016: 96.9; 10-K FY2017: 407.6; 10-K FY2018: 407.6</t>
  </si>
  <si>
    <t>2. FRANCHISED SALES AND SYSTEMWIDE SALES (MD&amp;A; FY2016 TOTAL FROM ITEM 6)</t>
    <phoneticPr fontId="15" type="noConversion"/>
  </si>
  <si>
    <t xml:space="preserve">  Franchised revenues % of franchised sales</t>
    <phoneticPr fontId="15" type="noConversion"/>
  </si>
  <si>
    <t>4. COMPARABLE SALES GROWTH (U.S. / TOTAL FROM FY2016; SEGMENTS FROM FY2018; SEGMENT DEFINITIONS PER FY2019+ 10-KS)</t>
    <phoneticPr fontId="15" type="noConversion"/>
  </si>
  <si>
    <t>分部take rate</t>
    <phoneticPr fontId="15" type="noConversion"/>
  </si>
  <si>
    <t>7. REVENUE BY TYPE AND SEGMENT (MD&amp;A REVENUE TABLE)</t>
    <phoneticPr fontId="15" type="noConversion"/>
  </si>
  <si>
    <t>Franchised revenues: U.S.</t>
    <phoneticPr fontId="15" type="noConversion"/>
  </si>
  <si>
    <r>
      <t xml:space="preserve">Conventional franchised </t>
    </r>
    <r>
      <rPr>
        <sz val="10"/>
        <color rgb="FF333333"/>
        <rFont val="Microsoft YaHei"/>
        <family val="2"/>
        <charset val="134"/>
      </rPr>
      <t>净增</t>
    </r>
    <phoneticPr fontId="15" type="noConversion"/>
  </si>
  <si>
    <r>
      <t xml:space="preserve">Developmental licensed </t>
    </r>
    <r>
      <rPr>
        <sz val="10"/>
        <color rgb="FF333333"/>
        <rFont val="Microsoft YaHei"/>
        <family val="2"/>
        <charset val="134"/>
      </rPr>
      <t>净增</t>
    </r>
    <phoneticPr fontId="15" type="noConversion"/>
  </si>
  <si>
    <r>
      <t xml:space="preserve">Foreign affiliated </t>
    </r>
    <r>
      <rPr>
        <sz val="10"/>
        <color rgb="FF333333"/>
        <rFont val="Microsoft YaHei"/>
        <family val="2"/>
        <charset val="134"/>
      </rPr>
      <t>净增</t>
    </r>
    <phoneticPr fontId="15" type="noConversion"/>
  </si>
  <si>
    <r>
      <t xml:space="preserve">Total franchised restaurants </t>
    </r>
    <r>
      <rPr>
        <b/>
        <sz val="10"/>
        <color rgb="FF333333"/>
        <rFont val="Microsoft YaHei"/>
        <family val="2"/>
        <charset val="134"/>
      </rPr>
      <t>净增</t>
    </r>
    <phoneticPr fontId="15" type="noConversion"/>
  </si>
  <si>
    <r>
      <t xml:space="preserve">Company-owned and operated restaurants </t>
    </r>
    <r>
      <rPr>
        <sz val="10"/>
        <color rgb="FF333333"/>
        <rFont val="Microsoft YaHei"/>
        <family val="2"/>
        <charset val="134"/>
      </rPr>
      <t>净增</t>
    </r>
    <phoneticPr fontId="15" type="noConversion"/>
  </si>
  <si>
    <r>
      <t xml:space="preserve">Total systemwide restaurants </t>
    </r>
    <r>
      <rPr>
        <b/>
        <sz val="10"/>
        <color rgb="FF333333"/>
        <rFont val="Microsoft YaHei"/>
        <family val="2"/>
        <charset val="134"/>
      </rPr>
      <t>净增</t>
    </r>
    <phoneticPr fontId="15" type="noConversion"/>
  </si>
  <si>
    <t xml:space="preserve">  Company-operated margin % of company-operated sales: U.S.</t>
    <phoneticPr fontId="15" type="noConversion"/>
  </si>
  <si>
    <t>Property and equipment, at cost</t>
    <phoneticPr fontId="15" type="noConversion"/>
  </si>
  <si>
    <t>Lease right-of-use asset, net</t>
    <phoneticPr fontId="15" type="noConversion"/>
  </si>
  <si>
    <t>单位：百万美元；预测期间为估值起点之后的完整年度；黄色区域可编辑。</t>
  </si>
  <si>
    <t>估值结果</t>
  </si>
  <si>
    <t>两年</t>
  </si>
  <si>
    <t>五年</t>
  </si>
  <si>
    <t>当前情景</t>
  </si>
  <si>
    <t>年化股东回报率 IRR</t>
  </si>
  <si>
    <t>目标买入市值（按当前股份）</t>
  </si>
  <si>
    <t>现金分红与回购分别处理</t>
  </si>
  <si>
    <t>退出价值（按当前持有股份）</t>
  </si>
  <si>
    <t>回购仅通过净缩股提高每股价值</t>
  </si>
  <si>
    <t>持有期现金分红（按当前股份）</t>
  </si>
  <si>
    <t>基准参数初始化为历史参考，尚非预测</t>
  </si>
  <si>
    <t>回购调整后的每股盈利 CAGR</t>
  </si>
  <si>
    <t>结果按年度末收款与缩股近似</t>
  </si>
  <si>
    <t>估值起点与控制项</t>
  </si>
  <si>
    <t>当前总市值</t>
  </si>
  <si>
    <t>必填：输入估值日总市值，单位百万美元</t>
  </si>
  <si>
    <t>基期净利润</t>
  </si>
  <si>
    <t>已链接2026Q2 TTM净利润；可替换为正常化基期利润</t>
  </si>
  <si>
    <t>要求年化回报率</t>
  </si>
  <si>
    <t>用于目标买入市值；10%为可调整的演示要求</t>
  </si>
  <si>
    <t>情景选择（1低 / 2基准 / 3高）</t>
  </si>
  <si>
    <t>修改此选择，使用同一套逐年计算切换情景</t>
  </si>
  <si>
    <t>估值日期</t>
  </si>
  <si>
    <t>市值与日期需同步更新；不自动联网更新行情</t>
  </si>
  <si>
    <t>参数假设：前两年与第三至第五年分别设置</t>
  </si>
  <si>
    <t>基准初始化采用历史锚点；请将其替换为研究预测。低/高情景留空，未填情景不会影响已填情景。</t>
  </si>
  <si>
    <t>参数与情景</t>
  </si>
  <si>
    <t>前两年</t>
  </si>
  <si>
    <t>第三至第五年</t>
  </si>
  <si>
    <t>单位</t>
  </si>
  <si>
    <t>历史参考</t>
  </si>
  <si>
    <t>参数定义</t>
  </si>
  <si>
    <t>公司总净利润增速 g</t>
  </si>
  <si>
    <t>%</t>
  </si>
  <si>
    <t>低情景</t>
  </si>
  <si>
    <t>基准情景</t>
  </si>
  <si>
    <t>高情景</t>
  </si>
  <si>
    <t>净缩股速率 s</t>
  </si>
  <si>
    <t>FCF转换率 c</t>
  </si>
  <si>
    <t>现金分红支付率 p</t>
  </si>
  <si>
    <t>倍</t>
  </si>
  <si>
    <t>待提供</t>
  </si>
  <si>
    <t>基期</t>
  </si>
  <si>
    <t>第1年</t>
  </si>
  <si>
    <t>第2年</t>
  </si>
  <si>
    <t>第3年</t>
  </si>
  <si>
    <t>第4年</t>
  </si>
  <si>
    <t>第5年</t>
  </si>
  <si>
    <t>年度序号</t>
  </si>
  <si>
    <t>公司净利润增速</t>
  </si>
  <si>
    <t>净缩股速率</t>
  </si>
  <si>
    <t>现金分红支付率</t>
  </si>
  <si>
    <t>FCF转换率</t>
  </si>
  <si>
    <t>公司总净利润</t>
  </si>
  <si>
    <t>流通股数指数（基期=100）</t>
  </si>
  <si>
    <t>净利润（按当前股份折算）</t>
  </si>
  <si>
    <t>公司现金分红总额</t>
  </si>
  <si>
    <t>现金分红（按当前股份折算）</t>
  </si>
  <si>
    <t>公司FCF参考</t>
  </si>
  <si>
    <t>公司FCF扣除分红后余额</t>
  </si>
  <si>
    <t>公司整体退出市值</t>
  </si>
  <si>
    <t>退出价值（按当前股份折算）</t>
  </si>
  <si>
    <t>两年：投资现金流</t>
  </si>
  <si>
    <t>五年：投资现金流</t>
  </si>
  <si>
    <t>现金分红现值（要求回报率）</t>
  </si>
  <si>
    <t>退出价值现值（要求回报率）</t>
  </si>
  <si>
    <t>模型口径与来源</t>
  </si>
  <si>
    <t>NIₜ = NIₜ₋₁×(1+gₜ)；股数指数ₜ = 股数指数ₜ₋₁×(1−sₜ)。</t>
  </si>
  <si>
    <t>当前股份折算值 = 公司总额 ÷（当期股数指数 / 100）；适用于持续持有、不参与回购出售的股东。</t>
  </si>
  <si>
    <t>现金分红单独进入IRR；回购金额不进入分红项。年度末缩股与收款为简化假设。</t>
  </si>
  <si>
    <t>两年IRR使用第2年退出价值；五年IRR使用第5年退出价值，均包含退出年度分红。</t>
  </si>
  <si>
    <t>当前股东退出价值并非未来公司整体市值；目标买入市值是当前股份对应现金流的折现值。</t>
  </si>
  <si>
    <t>FCF扣除分红后余额仅作现金参考；缩股资金需求还取决于回购价格、股权稀释及其他现金用途。</t>
  </si>
  <si>
    <t>基期净利润：Income Statement 的最新四个季度；增长参考：FY2019—FY2025总净利润。</t>
  </si>
  <si>
    <t>现金参考：Cash Flow 的FY2023—FY2025经营现金流、资本开支与现金分红，使用区间比率。</t>
  </si>
  <si>
    <t>缩股参考：用户提供的Wind股本结构，2025Q2为7.14亿股、2026Q2为7.08亿股（取整数据）。</t>
  </si>
  <si>
    <t>Wind：2025Q2流通股（亿股）</t>
  </si>
  <si>
    <t>来源：用户提供的麦当劳股本结构；数据已取整</t>
  </si>
  <si>
    <t>Wind：2026Q2流通股（亿股）</t>
  </si>
  <si>
    <t>仅用于历史缩股参考；预测请修改上方情景输入</t>
  </si>
  <si>
    <t>退出市盈率 PE</t>
  </si>
  <si>
    <t>退出PE直接输入，缩股另行计算</t>
  </si>
  <si>
    <t>公司终值 = 净利润×退出PE；当前持有股份的终值再除以累计剩余股数比例。</t>
  </si>
  <si>
    <t>方法：退出PE直接输入；回购按净缩股口径处理。当前市值和退出PE留待输入。</t>
  </si>
  <si>
    <t>逐年计算：公司利润、流通股数与当前股东权益</t>
    <phoneticPr fontId="15" type="noConversion"/>
  </si>
  <si>
    <t>麦当劳估值</t>
    <phoneticPr fontId="15" type="noConversion"/>
  </si>
  <si>
    <t>正值为缩股；负值为净摊薄</t>
    <phoneticPr fontId="15" type="noConversion"/>
  </si>
  <si>
    <t>已包含股权激励等净影响；数据取整</t>
    <phoneticPr fontId="15" type="noConversion"/>
  </si>
  <si>
    <t>只含现金分红；不含回购</t>
    <phoneticPr fontId="15" type="noConversion"/>
  </si>
  <si>
    <t>输入25，即按25倍退出PE估值</t>
    <phoneticPr fontId="15" type="noConversion"/>
  </si>
  <si>
    <t>净缩股速率自动调整每股价值</t>
    <phoneticPr fontId="15" type="noConversion"/>
  </si>
  <si>
    <t>利润与股数计算状态</t>
    <phoneticPr fontId="15" type="noConversion"/>
  </si>
  <si>
    <t>估值计算状态</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</si>
</sst>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quot;-&quot;"/>
    <numFmt numFmtId="177" formatCode="0.0%;\(0.0%\);&quot;-&quot;"/>
    <numFmt numFmtId="178" formatCode="#,##0.00;\(#,##0.00\);&quot;-&quot;"/>
    <numFmt numFmtId="179" formatCode="#,##0.0;\(#,##0.0\);&quot;-&quot;"/>
    <numFmt numFmtId="180" formatCode="0.0&quot;x&quot;;\(0.0&quot;x&quot;\);&quot;-&quot;"/>
    <numFmt numFmtId="181" formatCode="0.0%"/>
    <numFmt numFmtId="182" formatCode="#,##0.0;\(#,##0.0\);&quot;–&quot;"/>
    <numFmt numFmtId="183" formatCode="0.0%;\(0.0%\);&quot;–&quot;"/>
    <numFmt numFmtId="184" formatCode="0.0&quot;x&quot;"/>
    <numFmt numFmtId="185" formatCode="yyyy\-mm\-dd"/>
  </numFmts>
  <fonts count="44">
    <font>
      <sz val="11"/>
      <color theme="1"/>
      <name val="宋体"/>
      <family val="2"/>
      <scheme val="minor"/>
    </font>
    <font>
      <b/>
      <sz val="14"/>
      <color rgb="FFFFFFFF"/>
      <name val="Arial"/>
      <family val="2"/>
    </font>
    <font>
      <i/>
      <sz val="9"/>
      <color rgb="FF808080"/>
      <name val="Arial"/>
      <family val="2"/>
    </font>
    <font>
      <b/>
      <sz val="10"/>
      <name val="Arial"/>
      <family val="2"/>
    </font>
    <font>
      <sz val="10"/>
      <color rgb="FF333333"/>
      <name val="Arial"/>
      <family val="2"/>
    </font>
    <font>
      <b/>
      <sz val="10"/>
      <color rgb="FF333333"/>
      <name val="Arial"/>
      <family val="2"/>
    </font>
    <font>
      <i/>
      <sz val="8"/>
      <color rgb="FF808080"/>
      <name val="Arial"/>
      <family val="2"/>
    </font>
    <font>
      <i/>
      <sz val="9"/>
      <color rgb="FF999999"/>
      <name val="Arial"/>
      <family val="2"/>
    </font>
    <font>
      <u/>
      <sz val="9"/>
      <color rgb="FF0563C1"/>
      <name val="Arial"/>
      <family val="2"/>
    </font>
    <font>
      <b/>
      <sz val="10"/>
      <color rgb="FFFFFFFF"/>
      <name val="Arial"/>
      <family val="2"/>
    </font>
    <font>
      <sz val="10"/>
      <color rgb="FF0000CC"/>
      <name val="Arial"/>
      <family val="2"/>
    </font>
    <font>
      <b/>
      <sz val="10"/>
      <color rgb="FF0000CC"/>
      <name val="Arial"/>
      <family val="2"/>
    </font>
    <font>
      <i/>
      <sz val="10"/>
      <color rgb="FFBF8F00"/>
      <name val="Arial"/>
      <family val="2"/>
    </font>
    <font>
      <sz val="10"/>
      <color rgb="FF008000"/>
      <name val="Arial"/>
      <family val="2"/>
    </font>
    <font>
      <sz val="11"/>
      <color theme="1"/>
      <name val="宋体"/>
      <family val="2"/>
      <scheme val="minor"/>
    </font>
    <font>
      <sz val="9"/>
      <name val="宋体"/>
      <family val="3"/>
      <charset val="134"/>
      <scheme val="minor"/>
    </font>
    <font>
      <b/>
      <sz val="10"/>
      <color rgb="FFFFFFFF"/>
      <name val="Arial"/>
      <family val="2"/>
    </font>
    <font>
      <i/>
      <sz val="9"/>
      <color rgb="FFFF0000"/>
      <name val="Arial"/>
      <family val="2"/>
    </font>
    <font>
      <sz val="11"/>
      <color rgb="FFFF0000"/>
      <name val="宋体"/>
      <family val="2"/>
      <scheme val="minor"/>
    </font>
    <font>
      <sz val="10"/>
      <color rgb="FF333333"/>
      <name val="Arial"/>
      <family val="2"/>
    </font>
    <font>
      <b/>
      <sz val="10"/>
      <color theme="0" tint="-0.34998626667073579"/>
      <name val="Arial"/>
      <family val="2"/>
    </font>
    <font>
      <sz val="10"/>
      <color rgb="FF333333"/>
      <name val="Microsoft YaHei"/>
      <family val="2"/>
      <charset val="134"/>
    </font>
    <font>
      <b/>
      <sz val="10"/>
      <color rgb="FF333333"/>
      <name val="Microsoft YaHei"/>
      <family val="2"/>
      <charset val="134"/>
    </font>
    <font>
      <b/>
      <sz val="10"/>
      <color rgb="FF333333"/>
      <name val="Arial"/>
      <family val="2"/>
    </font>
    <font>
      <i/>
      <sz val="9"/>
      <color theme="1" tint="0.34998626667073579"/>
      <name val="Arial"/>
      <family val="2"/>
    </font>
    <font>
      <sz val="11"/>
      <color theme="1" tint="0.34998626667073579"/>
      <name val="宋体"/>
      <family val="2"/>
      <scheme val="minor"/>
    </font>
    <font>
      <b/>
      <i/>
      <sz val="9"/>
      <color theme="1" tint="0.34998626667073579"/>
      <name val="Arial"/>
      <family val="2"/>
    </font>
    <font>
      <sz val="10"/>
      <color rgb="FF222222"/>
      <name val="宋体"/>
      <family val="2"/>
      <scheme val="minor"/>
    </font>
    <font>
      <sz val="10"/>
      <color rgb="FF666666"/>
      <name val="宋体"/>
      <family val="2"/>
      <scheme val="minor"/>
    </font>
    <font>
      <b/>
      <sz val="10"/>
      <color rgb="FF222222"/>
      <name val="宋体"/>
      <family val="2"/>
      <scheme val="minor"/>
    </font>
    <font>
      <b/>
      <sz val="10"/>
      <color rgb="FF008000"/>
      <name val="宋体"/>
      <family val="2"/>
      <scheme val="minor"/>
    </font>
    <font>
      <b/>
      <sz val="14"/>
      <color rgb="FF222222"/>
      <name val="宋体"/>
      <family val="2"/>
      <scheme val="minor"/>
    </font>
    <font>
      <b/>
      <sz val="10"/>
      <color rgb="FFFFFFFF"/>
      <name val="宋体"/>
      <family val="2"/>
      <scheme val="minor"/>
    </font>
    <font>
      <sz val="10"/>
      <color rgb="FF0000FF"/>
      <name val="宋体"/>
      <family val="2"/>
      <scheme val="minor"/>
    </font>
    <font>
      <sz val="10"/>
      <color rgb="FF008000"/>
      <name val="宋体"/>
      <family val="2"/>
      <scheme val="minor"/>
    </font>
    <font>
      <b/>
      <i/>
      <sz val="10"/>
      <color rgb="FF222222"/>
      <name val="宋体"/>
      <family val="2"/>
      <scheme val="minor"/>
    </font>
    <font>
      <i/>
      <sz val="10"/>
      <color rgb="FF222222"/>
      <name val="宋体"/>
      <family val="2"/>
      <scheme val="minor"/>
    </font>
    <font>
      <i/>
      <sz val="10"/>
      <color rgb="FF0000FF"/>
      <name val="宋体"/>
      <family val="2"/>
      <scheme val="minor"/>
    </font>
    <font>
      <b/>
      <sz val="10"/>
      <color rgb="FF222222"/>
      <name val="宋体"/>
      <family val="2"/>
      <scheme val="minor"/>
    </font>
    <font>
      <sz val="10"/>
      <color rgb="FF222222"/>
      <name val="宋体"/>
      <family val="2"/>
      <scheme val="minor"/>
    </font>
    <font>
      <sz val="10"/>
      <color rgb="FF0000FF"/>
      <name val="宋体"/>
      <family val="2"/>
      <scheme val="minor"/>
    </font>
    <font>
      <sz val="9"/>
      <color rgb="FF222222"/>
      <name val="宋体"/>
      <family val="2"/>
      <scheme val="minor"/>
    </font>
    <font>
      <b/>
      <sz val="14"/>
      <color rgb="FFFFFFFF"/>
      <name val="Microsoft YaHei"/>
      <family val="2"/>
      <charset val="134"/>
    </font>
    <font>
      <u/>
      <sz val="11"/>
      <color theme="10"/>
      <name val="宋体"/>
      <family val="2"/>
      <scheme val="minor"/>
    </font>
  </fonts>
  <fills count="10">
    <fill>
      <patternFill patternType="none"/>
    </fill>
    <fill>
      <patternFill patternType="gray125"/>
    </fill>
    <fill>
      <patternFill patternType="solid">
        <fgColor rgb="FF1F4E79"/>
      </patternFill>
    </fill>
    <fill>
      <patternFill patternType="solid">
        <fgColor rgb="FFD6E4F0"/>
      </patternFill>
    </fill>
    <fill>
      <patternFill patternType="solid">
        <fgColor rgb="FFF2F2F2"/>
      </patternFill>
    </fill>
    <fill>
      <patternFill patternType="none"/>
    </fill>
    <fill>
      <patternFill patternType="solid">
        <fgColor rgb="FFD6E4F0"/>
      </patternFill>
    </fill>
    <fill>
      <patternFill patternType="solid">
        <fgColor rgb="FF1F4E79"/>
      </patternFill>
    </fill>
    <fill>
      <patternFill patternType="solid">
        <fgColor rgb="FFFFF2CC"/>
      </patternFill>
    </fill>
    <fill>
      <patternFill patternType="solid">
        <fgColor rgb="FFEAF0F7"/>
      </patternFill>
    </fill>
  </fills>
  <borders count="7">
    <border>
      <left/>
      <right/>
      <top/>
      <bottom/>
      <diagonal/>
    </border>
    <border>
      <left/>
      <right/>
      <top/>
      <bottom style="thin">
        <color rgb="FF999999"/>
      </bottom>
      <diagonal/>
    </border>
    <border>
      <left/>
      <right/>
      <top style="thin">
        <color rgb="FF999999"/>
      </top>
      <bottom/>
      <diagonal/>
    </border>
    <border>
      <left/>
      <right/>
      <top style="thin">
        <color rgb="FF999999"/>
      </top>
      <bottom style="thin">
        <color indexed="64"/>
      </bottom>
      <diagonal/>
    </border>
    <border>
      <left/>
      <right/>
      <top/>
      <bottom style="thin">
        <color indexed="64"/>
      </bottom>
      <diagonal/>
    </border>
    <border>
      <left/>
      <right/>
      <top/>
      <bottom/>
      <diagonal/>
    </border>
    <border>
      <left/>
      <right/>
      <top/>
      <bottom style="thin">
        <color rgb="FFB7C9DC"/>
      </bottom>
      <diagonal/>
    </border>
  </borders>
  <cellStyleXfs count="3">
    <xf numFmtId="0" fontId="0" fillId="0" borderId="0"/>
    <xf numFmtId="9" fontId="14" fillId="0" borderId="0" applyFont="0" applyFill="0" applyBorder="0" applyAlignment="0" applyProtection="0">
      <alignment vertical="center"/>
    </xf>
    <xf numFmtId="0" fontId="43" fillId="0" borderId="0" applyNumberFormat="0" applyFill="0" applyBorder="0" applyAlignment="0" applyProtection="0"/>
  </cellStyleXfs>
  <cellXfs count="102">
    <xf numFmtId="0" fontId="0" fillId="0" borderId="0" xfId="0"/>
    <xf numFmtId="0" fontId="1" fillId="2" borderId="0" xfId="0" applyFont="1" applyFill="1" applyAlignment="1">
      <alignment vertical="center"/>
    </xf>
    <xf numFmtId="0" fontId="0" fillId="2" borderId="0" xfId="0" applyFill="1"/>
    <xf numFmtId="0" fontId="2" fillId="0" borderId="0" xfId="0" applyFont="1"/>
    <xf numFmtId="0" fontId="3" fillId="0" borderId="0" xfId="0" applyFont="1"/>
    <xf numFmtId="0" fontId="4" fillId="0" borderId="0" xfId="0" applyFont="1"/>
    <xf numFmtId="0" fontId="5" fillId="3" borderId="1" xfId="0" applyFont="1" applyFill="1" applyBorder="1" applyAlignment="1">
      <alignment horizontal="center"/>
    </xf>
    <xf numFmtId="0" fontId="7" fillId="4" borderId="0" xfId="0" applyFont="1" applyFill="1" applyAlignment="1">
      <alignment horizontal="center"/>
    </xf>
    <xf numFmtId="0" fontId="6" fillId="0" borderId="0" xfId="0" applyFont="1" applyAlignment="1">
      <alignment horizontal="center"/>
    </xf>
    <xf numFmtId="0" fontId="0" fillId="4" borderId="0" xfId="0" applyFill="1"/>
    <xf numFmtId="0" fontId="5" fillId="0" borderId="0" xfId="0" applyFont="1"/>
    <xf numFmtId="0" fontId="8" fillId="0" borderId="0" xfId="0" applyFont="1" applyAlignment="1">
      <alignment indent="1"/>
    </xf>
    <xf numFmtId="0" fontId="9" fillId="2" borderId="0" xfId="0" applyFont="1" applyFill="1"/>
    <xf numFmtId="0" fontId="4" fillId="0" borderId="0" xfId="0" applyFont="1" applyAlignment="1">
      <alignment indent="1"/>
    </xf>
    <xf numFmtId="176" fontId="10" fillId="0" borderId="0" xfId="0" applyNumberFormat="1" applyFont="1" applyAlignment="1">
      <alignment horizontal="right"/>
    </xf>
    <xf numFmtId="0" fontId="6" fillId="0" borderId="0" xfId="0" applyFont="1" applyAlignment="1">
      <alignment vertical="top" wrapText="1"/>
    </xf>
    <xf numFmtId="176" fontId="11" fillId="0" borderId="2" xfId="0" applyNumberFormat="1" applyFont="1" applyBorder="1" applyAlignment="1">
      <alignment horizontal="right"/>
    </xf>
    <xf numFmtId="0" fontId="0" fillId="4" borderId="2" xfId="0" applyFill="1" applyBorder="1"/>
    <xf numFmtId="0" fontId="7" fillId="0" borderId="0" xfId="0" applyFont="1"/>
    <xf numFmtId="177" fontId="7" fillId="0" borderId="0" xfId="0" applyNumberFormat="1" applyFont="1" applyAlignment="1">
      <alignment horizontal="right"/>
    </xf>
    <xf numFmtId="0" fontId="4" fillId="0" borderId="0" xfId="0" applyFont="1" applyAlignment="1">
      <alignment indent="2"/>
    </xf>
    <xf numFmtId="176" fontId="4" fillId="0" borderId="0" xfId="0" applyNumberFormat="1" applyFont="1" applyAlignment="1">
      <alignment horizontal="right"/>
    </xf>
    <xf numFmtId="178" fontId="10" fillId="0" borderId="0" xfId="0" applyNumberFormat="1" applyFont="1" applyAlignment="1">
      <alignment horizontal="right"/>
    </xf>
    <xf numFmtId="178" fontId="11" fillId="0" borderId="0" xfId="0" applyNumberFormat="1" applyFont="1" applyAlignment="1">
      <alignment horizontal="right"/>
    </xf>
    <xf numFmtId="179" fontId="10" fillId="0" borderId="0" xfId="0" applyNumberFormat="1" applyFont="1" applyAlignment="1">
      <alignment horizontal="right"/>
    </xf>
    <xf numFmtId="176" fontId="12" fillId="0" borderId="0" xfId="0" applyNumberFormat="1" applyFont="1" applyAlignment="1">
      <alignment horizontal="right"/>
    </xf>
    <xf numFmtId="176" fontId="7" fillId="0" borderId="0" xfId="0" applyNumberFormat="1" applyFont="1" applyAlignment="1">
      <alignment horizontal="right"/>
    </xf>
    <xf numFmtId="176" fontId="5" fillId="0" borderId="0" xfId="0" applyNumberFormat="1" applyFont="1" applyAlignment="1">
      <alignment horizontal="right"/>
    </xf>
    <xf numFmtId="176" fontId="11" fillId="0" borderId="0" xfId="0" applyNumberFormat="1" applyFont="1" applyAlignment="1">
      <alignment horizontal="right"/>
    </xf>
    <xf numFmtId="176" fontId="5" fillId="0" borderId="2" xfId="0" applyNumberFormat="1" applyFont="1" applyBorder="1" applyAlignment="1">
      <alignment horizontal="right"/>
    </xf>
    <xf numFmtId="178" fontId="7" fillId="0" borderId="0" xfId="0" applyNumberFormat="1" applyFont="1" applyAlignment="1">
      <alignment horizontal="right"/>
    </xf>
    <xf numFmtId="177" fontId="10" fillId="0" borderId="0" xfId="0" applyNumberFormat="1" applyFont="1" applyAlignment="1">
      <alignment horizontal="right"/>
    </xf>
    <xf numFmtId="177" fontId="11" fillId="0" borderId="0" xfId="0" applyNumberFormat="1" applyFont="1" applyAlignment="1">
      <alignment horizontal="right"/>
    </xf>
    <xf numFmtId="178" fontId="11" fillId="0" borderId="2" xfId="0" applyNumberFormat="1" applyFont="1" applyBorder="1" applyAlignment="1">
      <alignment horizontal="right"/>
    </xf>
    <xf numFmtId="180" fontId="7" fillId="0" borderId="0" xfId="0" applyNumberFormat="1" applyFont="1" applyAlignment="1">
      <alignment horizontal="right"/>
    </xf>
    <xf numFmtId="176" fontId="13" fillId="0" borderId="0" xfId="0" applyNumberFormat="1" applyFont="1" applyAlignment="1">
      <alignment horizontal="right"/>
    </xf>
    <xf numFmtId="178" fontId="13" fillId="0" borderId="0" xfId="0" applyNumberFormat="1" applyFont="1" applyAlignment="1">
      <alignment horizontal="right"/>
    </xf>
    <xf numFmtId="0" fontId="16" fillId="2" borderId="0" xfId="0" applyFont="1" applyFill="1"/>
    <xf numFmtId="0" fontId="17" fillId="0" borderId="0" xfId="0" applyFont="1"/>
    <xf numFmtId="0" fontId="18" fillId="0" borderId="0" xfId="0" applyFont="1"/>
    <xf numFmtId="177" fontId="17" fillId="0" borderId="0" xfId="0" applyNumberFormat="1" applyFont="1" applyAlignment="1">
      <alignment horizontal="right"/>
    </xf>
    <xf numFmtId="181" fontId="0" fillId="0" borderId="0" xfId="1" applyNumberFormat="1" applyFont="1" applyAlignment="1"/>
    <xf numFmtId="0" fontId="19" fillId="0" borderId="0" xfId="0" applyFont="1" applyAlignment="1">
      <alignment indent="1"/>
    </xf>
    <xf numFmtId="176" fontId="20" fillId="0" borderId="0" xfId="0" applyNumberFormat="1" applyFont="1" applyAlignment="1">
      <alignment horizontal="right"/>
    </xf>
    <xf numFmtId="176" fontId="11" fillId="0" borderId="3" xfId="0" applyNumberFormat="1" applyFont="1" applyBorder="1" applyAlignment="1">
      <alignment horizontal="right"/>
    </xf>
    <xf numFmtId="0" fontId="23" fillId="0" borderId="0" xfId="0" applyFont="1"/>
    <xf numFmtId="0" fontId="24" fillId="0" borderId="0" xfId="0" applyFont="1"/>
    <xf numFmtId="0" fontId="25" fillId="0" borderId="0" xfId="0" applyFont="1"/>
    <xf numFmtId="177" fontId="24" fillId="0" borderId="0" xfId="0" applyNumberFormat="1" applyFont="1" applyAlignment="1">
      <alignment horizontal="right"/>
    </xf>
    <xf numFmtId="0" fontId="25" fillId="0" borderId="4" xfId="0" applyFont="1" applyBorder="1"/>
    <xf numFmtId="0" fontId="26" fillId="0" borderId="0" xfId="0" applyFont="1"/>
    <xf numFmtId="177" fontId="26" fillId="0" borderId="4" xfId="0" applyNumberFormat="1" applyFont="1" applyBorder="1" applyAlignment="1">
      <alignment horizontal="right"/>
    </xf>
    <xf numFmtId="177" fontId="26" fillId="0" borderId="0" xfId="0" applyNumberFormat="1" applyFont="1" applyAlignment="1">
      <alignment horizontal="right"/>
    </xf>
    <xf numFmtId="0" fontId="19" fillId="0" borderId="0" xfId="0" applyFont="1"/>
    <xf numFmtId="0" fontId="27" fillId="5" borderId="5" xfId="2" applyFont="1" applyFill="1" applyBorder="1" applyAlignment="1">
      <alignment vertical="center"/>
    </xf>
    <xf numFmtId="182" fontId="27" fillId="5" borderId="5" xfId="2" applyNumberFormat="1" applyFont="1" applyFill="1" applyBorder="1" applyAlignment="1">
      <alignment horizontal="right" vertical="center"/>
    </xf>
    <xf numFmtId="0" fontId="29" fillId="6" borderId="5" xfId="2" applyFont="1" applyFill="1" applyBorder="1" applyAlignment="1">
      <alignment vertical="center"/>
    </xf>
    <xf numFmtId="182" fontId="29" fillId="6" borderId="5" xfId="2" applyNumberFormat="1" applyFont="1" applyFill="1" applyBorder="1" applyAlignment="1">
      <alignment horizontal="right" vertical="center"/>
    </xf>
    <xf numFmtId="182" fontId="30" fillId="6" borderId="5" xfId="2" applyNumberFormat="1" applyFont="1" applyFill="1" applyBorder="1" applyAlignment="1">
      <alignment horizontal="right" vertical="center"/>
    </xf>
    <xf numFmtId="183" fontId="27" fillId="5" borderId="5" xfId="2" applyNumberFormat="1" applyFont="1" applyFill="1" applyBorder="1" applyAlignment="1">
      <alignment horizontal="right" vertical="center"/>
    </xf>
    <xf numFmtId="184" fontId="27" fillId="5" borderId="5" xfId="2" applyNumberFormat="1" applyFont="1" applyFill="1" applyBorder="1" applyAlignment="1">
      <alignment horizontal="right" vertical="center"/>
    </xf>
    <xf numFmtId="0" fontId="29" fillId="5" borderId="5" xfId="2" applyFont="1" applyFill="1" applyBorder="1" applyAlignment="1">
      <alignment vertical="center"/>
    </xf>
    <xf numFmtId="182" fontId="29" fillId="5" borderId="5" xfId="2" applyNumberFormat="1" applyFont="1" applyFill="1" applyBorder="1" applyAlignment="1">
      <alignment horizontal="right" vertical="center"/>
    </xf>
    <xf numFmtId="183" fontId="31" fillId="5" borderId="5" xfId="2" applyNumberFormat="1" applyFont="1" applyFill="1" applyBorder="1" applyAlignment="1">
      <alignment horizontal="right" vertical="center"/>
    </xf>
    <xf numFmtId="1" fontId="27" fillId="5" borderId="5" xfId="2" applyNumberFormat="1" applyFont="1" applyFill="1" applyBorder="1" applyAlignment="1">
      <alignment horizontal="right" vertical="center"/>
    </xf>
    <xf numFmtId="182" fontId="33" fillId="8" borderId="5" xfId="2" applyNumberFormat="1" applyFont="1" applyFill="1" applyBorder="1" applyAlignment="1">
      <alignment horizontal="right" vertical="center"/>
    </xf>
    <xf numFmtId="183" fontId="33" fillId="8" borderId="5" xfId="2" applyNumberFormat="1" applyFont="1" applyFill="1" applyBorder="1" applyAlignment="1">
      <alignment horizontal="right" vertical="center"/>
    </xf>
    <xf numFmtId="1" fontId="33" fillId="8" borderId="5" xfId="2" applyNumberFormat="1" applyFont="1" applyFill="1" applyBorder="1" applyAlignment="1">
      <alignment horizontal="right" vertical="center"/>
    </xf>
    <xf numFmtId="185" fontId="33" fillId="8" borderId="5" xfId="2" applyNumberFormat="1" applyFont="1" applyFill="1" applyBorder="1" applyAlignment="1">
      <alignment horizontal="right" vertical="center"/>
    </xf>
    <xf numFmtId="182" fontId="34" fillId="8" borderId="5" xfId="2" applyNumberFormat="1" applyFont="1" applyFill="1" applyBorder="1" applyAlignment="1">
      <alignment horizontal="right" vertical="center"/>
    </xf>
    <xf numFmtId="183" fontId="34" fillId="5" borderId="5" xfId="2" applyNumberFormat="1" applyFont="1" applyFill="1" applyBorder="1" applyAlignment="1">
      <alignment horizontal="right" vertical="center"/>
    </xf>
    <xf numFmtId="0" fontId="35" fillId="9" borderId="5" xfId="2" applyFont="1" applyFill="1" applyBorder="1" applyAlignment="1">
      <alignment vertical="center"/>
    </xf>
    <xf numFmtId="183" fontId="35" fillId="9" borderId="5" xfId="2" applyNumberFormat="1" applyFont="1" applyFill="1" applyBorder="1" applyAlignment="1">
      <alignment horizontal="right" vertical="center"/>
    </xf>
    <xf numFmtId="182" fontId="35" fillId="9" borderId="5" xfId="2" applyNumberFormat="1" applyFont="1" applyFill="1" applyBorder="1" applyAlignment="1">
      <alignment horizontal="right" vertical="center"/>
    </xf>
    <xf numFmtId="0" fontId="36" fillId="5" borderId="5" xfId="2" applyFont="1" applyFill="1" applyBorder="1" applyAlignment="1">
      <alignment vertical="center"/>
    </xf>
    <xf numFmtId="183" fontId="37" fillId="8" borderId="5" xfId="2" applyNumberFormat="1" applyFont="1" applyFill="1" applyBorder="1" applyAlignment="1">
      <alignment horizontal="right" vertical="center"/>
    </xf>
    <xf numFmtId="182" fontId="36" fillId="5" borderId="5" xfId="2" applyNumberFormat="1" applyFont="1" applyFill="1" applyBorder="1" applyAlignment="1">
      <alignment horizontal="right" vertical="center"/>
    </xf>
    <xf numFmtId="0" fontId="38" fillId="9" borderId="5" xfId="2" applyFont="1" applyFill="1" applyBorder="1" applyAlignment="1">
      <alignment vertical="center"/>
    </xf>
    <xf numFmtId="184" fontId="38" fillId="9" borderId="5" xfId="2" applyNumberFormat="1" applyFont="1" applyFill="1" applyBorder="1" applyAlignment="1">
      <alignment horizontal="right" vertical="center"/>
    </xf>
    <xf numFmtId="182" fontId="38" fillId="9" borderId="5" xfId="2" applyNumberFormat="1" applyFont="1" applyFill="1" applyBorder="1" applyAlignment="1">
      <alignment horizontal="right" vertical="center"/>
    </xf>
    <xf numFmtId="0" fontId="39" fillId="5" borderId="5" xfId="2" applyFont="1" applyFill="1" applyBorder="1" applyAlignment="1">
      <alignment vertical="center"/>
    </xf>
    <xf numFmtId="184" fontId="40" fillId="8" borderId="5" xfId="2" applyNumberFormat="1" applyFont="1" applyFill="1" applyBorder="1" applyAlignment="1">
      <alignment horizontal="right" vertical="center"/>
    </xf>
    <xf numFmtId="182" fontId="39" fillId="5" borderId="5" xfId="2" applyNumberFormat="1" applyFont="1" applyFill="1" applyBorder="1" applyAlignment="1">
      <alignment horizontal="right" vertical="center"/>
    </xf>
    <xf numFmtId="182" fontId="41" fillId="5" borderId="5" xfId="2" applyNumberFormat="1" applyFont="1" applyFill="1" applyBorder="1" applyAlignment="1">
      <alignment horizontal="right" vertical="center"/>
    </xf>
    <xf numFmtId="183" fontId="36" fillId="5" borderId="5" xfId="2" applyNumberFormat="1" applyFont="1" applyFill="1" applyBorder="1" applyAlignment="1">
      <alignment horizontal="right" vertical="center"/>
    </xf>
    <xf numFmtId="184" fontId="36" fillId="5" borderId="5" xfId="2" applyNumberFormat="1" applyFont="1" applyFill="1" applyBorder="1" applyAlignment="1">
      <alignment horizontal="right" vertical="center"/>
    </xf>
    <xf numFmtId="0" fontId="29" fillId="5" borderId="6" xfId="2" applyFont="1" applyFill="1" applyBorder="1" applyAlignment="1">
      <alignment vertical="center"/>
    </xf>
    <xf numFmtId="182" fontId="29" fillId="5" borderId="6" xfId="2" applyNumberFormat="1" applyFont="1" applyFill="1" applyBorder="1" applyAlignment="1">
      <alignment horizontal="right" vertical="center"/>
    </xf>
    <xf numFmtId="2" fontId="33" fillId="5" borderId="5" xfId="2" applyNumberFormat="1" applyFont="1" applyFill="1" applyBorder="1" applyAlignment="1">
      <alignment vertical="center"/>
    </xf>
    <xf numFmtId="0" fontId="42" fillId="2" borderId="0" xfId="0" applyFont="1" applyFill="1" applyAlignment="1">
      <alignment vertical="center"/>
    </xf>
    <xf numFmtId="182" fontId="28" fillId="5" borderId="5" xfId="2" applyNumberFormat="1" applyFont="1" applyFill="1" applyBorder="1" applyAlignment="1">
      <alignment vertical="center"/>
    </xf>
    <xf numFmtId="0" fontId="28" fillId="5" borderId="5" xfId="2" applyFont="1" applyFill="1" applyBorder="1" applyAlignment="1">
      <alignment vertical="center"/>
    </xf>
    <xf numFmtId="0" fontId="0" fillId="4" borderId="5" xfId="0" applyFill="1" applyBorder="1"/>
    <xf numFmtId="0" fontId="0" fillId="2" borderId="0" xfId="0" applyFill="1"/>
    <xf numFmtId="0" fontId="27" fillId="5" borderId="5" xfId="2" applyFont="1" applyFill="1" applyBorder="1" applyAlignment="1">
      <alignment horizontal="left" vertical="center"/>
    </xf>
    <xf numFmtId="0" fontId="28" fillId="5" borderId="5" xfId="2" applyFont="1" applyFill="1" applyBorder="1" applyAlignment="1">
      <alignment horizontal="left" vertical="center"/>
    </xf>
    <xf numFmtId="0" fontId="32" fillId="7" borderId="5" xfId="2" applyFont="1" applyFill="1" applyBorder="1" applyAlignment="1">
      <alignment horizontal="left" vertical="center"/>
    </xf>
    <xf numFmtId="182" fontId="32" fillId="7" borderId="5" xfId="2" applyNumberFormat="1" applyFont="1" applyFill="1" applyBorder="1" applyAlignment="1">
      <alignment horizontal="left" vertical="center"/>
    </xf>
    <xf numFmtId="182" fontId="28" fillId="5" borderId="5" xfId="2" applyNumberFormat="1" applyFont="1" applyFill="1" applyBorder="1" applyAlignment="1">
      <alignment horizontal="left" vertical="center"/>
    </xf>
    <xf numFmtId="182" fontId="29" fillId="6" borderId="5" xfId="2" applyNumberFormat="1" applyFont="1" applyFill="1" applyBorder="1" applyAlignment="1">
      <alignment horizontal="left" vertical="center"/>
    </xf>
    <xf numFmtId="0" fontId="29" fillId="6" borderId="5" xfId="2" applyFont="1" applyFill="1" applyBorder="1" applyAlignment="1">
      <alignment horizontal="left" vertical="center"/>
    </xf>
    <xf numFmtId="182" fontId="27" fillId="5" borderId="5" xfId="2" applyNumberFormat="1" applyFont="1" applyFill="1" applyBorder="1" applyAlignment="1">
      <alignment horizontal="left" vertical="center"/>
    </xf>
  </cellXfs>
  <cellStyles count="3">
    <cellStyle name="百分比" xfId="1" builtinId="5"/>
    <cellStyle name="常规" xfId="0" builtinId="0"/>
    <cellStyle name="超链接" xfId="2" builtinId="8"/>
  </cellStyles>
  <dxfs count="6">
    <dxf>
      <font>
        <color rgb="FF9C0006"/>
      </font>
      <fill>
        <patternFill patternType="solid">
          <bgColor rgb="FFFCE4D6"/>
        </patternFill>
      </fill>
    </dxf>
    <dxf>
      <font>
        <color rgb="FF9C6500"/>
      </font>
    </dxf>
    <dxf>
      <font>
        <b/>
        <sz val="10"/>
        <color rgb="FFFF0000"/>
        <name val="Arial"/>
      </font>
    </dxf>
    <dxf>
      <font>
        <b/>
        <sz val="10"/>
        <color rgb="FFFF0000"/>
        <name val="Arial"/>
      </font>
    </dxf>
    <dxf>
      <font>
        <b/>
        <sz val="10"/>
        <color rgb="FFFF0000"/>
        <name val="Arial"/>
      </font>
    </dxf>
    <dxf>
      <font>
        <b/>
        <sz val="10"/>
        <color rgb="FFFF0000"/>
        <name val="Arial"/>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44"/>
  <sheetViews>
    <sheetView showGridLines="0" tabSelected="1" zoomScale="85" workbookViewId="0">
      <pane ySplit="3" topLeftCell="A4" activePane="bottomLeft" state="frozen"/>
      <selection pane="bottomLeft" activeCell="D31" sqref="D31"/>
    </sheetView>
  </sheetViews>
  <sheetFormatPr baseColWidth="10" defaultColWidth="8.83203125" defaultRowHeight="14"/>
  <cols>
    <col min="1" max="1" width="30" customWidth="1"/>
    <col min="2" max="2" width="120" customWidth="1"/>
  </cols>
  <sheetData>
    <row r="1" spans="1:8" ht="28" customHeight="1">
      <c r="A1" s="1" t="s">
        <v>0</v>
      </c>
      <c r="B1" s="2"/>
      <c r="C1" s="2"/>
      <c r="D1" s="2"/>
      <c r="E1" s="2"/>
      <c r="F1" s="2"/>
      <c r="G1" s="2"/>
      <c r="H1" s="2"/>
    </row>
    <row r="2" spans="1:8" ht="16" customHeight="1">
      <c r="A2" s="3" t="s">
        <v>1</v>
      </c>
    </row>
    <row r="4" spans="1:8">
      <c r="A4" s="4" t="s">
        <v>2</v>
      </c>
    </row>
    <row r="6" spans="1:8">
      <c r="A6" s="5" t="s">
        <v>3</v>
      </c>
      <c r="B6" s="5" t="s">
        <v>4</v>
      </c>
    </row>
    <row r="7" spans="1:8">
      <c r="A7" s="5" t="s">
        <v>5</v>
      </c>
      <c r="B7" s="5" t="s">
        <v>6</v>
      </c>
    </row>
    <row r="8" spans="1:8">
      <c r="A8" s="5" t="s">
        <v>7</v>
      </c>
      <c r="B8" s="5" t="s">
        <v>8</v>
      </c>
    </row>
    <row r="9" spans="1:8">
      <c r="A9" s="5" t="s">
        <v>9</v>
      </c>
      <c r="B9" s="5" t="s">
        <v>10</v>
      </c>
    </row>
    <row r="10" spans="1:8">
      <c r="A10" s="5" t="s">
        <v>11</v>
      </c>
      <c r="B10" s="5" t="s">
        <v>12</v>
      </c>
    </row>
    <row r="11" spans="1:8">
      <c r="A11" s="5" t="s">
        <v>13</v>
      </c>
      <c r="B11" s="5" t="s">
        <v>14</v>
      </c>
    </row>
    <row r="12" spans="1:8">
      <c r="A12" s="5" t="s">
        <v>15</v>
      </c>
      <c r="B12" s="5" t="s">
        <v>16</v>
      </c>
    </row>
    <row r="13" spans="1:8">
      <c r="A13" s="5" t="s">
        <v>17</v>
      </c>
      <c r="B13" s="5" t="s">
        <v>18</v>
      </c>
    </row>
    <row r="14" spans="1:8">
      <c r="A14" s="5" t="s">
        <v>19</v>
      </c>
      <c r="B14" s="5" t="s">
        <v>20</v>
      </c>
    </row>
    <row r="16" spans="1:8">
      <c r="A16" s="4" t="s">
        <v>21</v>
      </c>
    </row>
    <row r="17" spans="1:2">
      <c r="A17" s="5" t="s">
        <v>22</v>
      </c>
      <c r="B17" s="5" t="s">
        <v>23</v>
      </c>
    </row>
    <row r="18" spans="1:2">
      <c r="A18" s="5" t="s">
        <v>24</v>
      </c>
      <c r="B18" s="5" t="s">
        <v>25</v>
      </c>
    </row>
    <row r="19" spans="1:2">
      <c r="A19" s="5" t="s">
        <v>26</v>
      </c>
      <c r="B19" s="5" t="s">
        <v>27</v>
      </c>
    </row>
    <row r="20" spans="1:2">
      <c r="A20" s="5" t="s">
        <v>28</v>
      </c>
      <c r="B20" s="5" t="s">
        <v>29</v>
      </c>
    </row>
    <row r="21" spans="1:2">
      <c r="A21" s="5" t="s">
        <v>30</v>
      </c>
      <c r="B21" s="5" t="s">
        <v>31</v>
      </c>
    </row>
    <row r="23" spans="1:2">
      <c r="A23" s="4" t="s">
        <v>32</v>
      </c>
    </row>
    <row r="24" spans="1:2">
      <c r="A24" s="5" t="s">
        <v>33</v>
      </c>
      <c r="B24" s="5" t="s">
        <v>34</v>
      </c>
    </row>
    <row r="25" spans="1:2">
      <c r="A25" s="5" t="s">
        <v>35</v>
      </c>
      <c r="B25" s="5" t="s">
        <v>36</v>
      </c>
    </row>
    <row r="26" spans="1:2">
      <c r="A26" s="5" t="s">
        <v>37</v>
      </c>
      <c r="B26" s="5" t="s">
        <v>38</v>
      </c>
    </row>
    <row r="27" spans="1:2">
      <c r="A27" s="5" t="s">
        <v>39</v>
      </c>
      <c r="B27" s="5" t="s">
        <v>40</v>
      </c>
    </row>
    <row r="28" spans="1:2">
      <c r="A28" s="5" t="s">
        <v>41</v>
      </c>
      <c r="B28" s="5" t="s">
        <v>42</v>
      </c>
    </row>
    <row r="29" spans="1:2">
      <c r="A29" s="5" t="s">
        <v>43</v>
      </c>
      <c r="B29" s="5" t="s">
        <v>44</v>
      </c>
    </row>
    <row r="30" spans="1:2">
      <c r="A30" s="5" t="s">
        <v>45</v>
      </c>
      <c r="B30" s="5" t="s">
        <v>46</v>
      </c>
    </row>
    <row r="31" spans="1:2">
      <c r="A31" s="5" t="s">
        <v>47</v>
      </c>
      <c r="B31" s="5" t="s">
        <v>48</v>
      </c>
    </row>
    <row r="32" spans="1:2">
      <c r="A32" s="5" t="s">
        <v>49</v>
      </c>
      <c r="B32" s="5" t="s">
        <v>50</v>
      </c>
    </row>
    <row r="33" spans="1:2">
      <c r="A33" s="5" t="s">
        <v>51</v>
      </c>
      <c r="B33" s="5" t="s">
        <v>52</v>
      </c>
    </row>
    <row r="35" spans="1:2">
      <c r="A35" s="4" t="s">
        <v>53</v>
      </c>
    </row>
    <row r="36" spans="1:2">
      <c r="A36" s="5" t="s">
        <v>54</v>
      </c>
      <c r="B36" s="5" t="s">
        <v>55</v>
      </c>
    </row>
    <row r="37" spans="1:2">
      <c r="A37" s="5" t="s">
        <v>56</v>
      </c>
      <c r="B37" s="5" t="s">
        <v>57</v>
      </c>
    </row>
    <row r="38" spans="1:2">
      <c r="A38" s="5" t="s">
        <v>58</v>
      </c>
      <c r="B38" s="5" t="s">
        <v>59</v>
      </c>
    </row>
    <row r="39" spans="1:2">
      <c r="A39" s="5" t="s">
        <v>60</v>
      </c>
      <c r="B39" s="5" t="s">
        <v>61</v>
      </c>
    </row>
    <row r="40" spans="1:2">
      <c r="A40" s="5" t="s">
        <v>62</v>
      </c>
      <c r="B40" s="5" t="s">
        <v>63</v>
      </c>
    </row>
    <row r="41" spans="1:2">
      <c r="A41" s="5" t="s">
        <v>64</v>
      </c>
      <c r="B41" s="5" t="s">
        <v>65</v>
      </c>
    </row>
    <row r="42" spans="1:2">
      <c r="A42" s="5" t="s">
        <v>66</v>
      </c>
      <c r="B42" s="5" t="s">
        <v>67</v>
      </c>
    </row>
    <row r="43" spans="1:2">
      <c r="A43" s="5" t="s">
        <v>68</v>
      </c>
      <c r="B43" s="5" t="s">
        <v>69</v>
      </c>
    </row>
    <row r="44" spans="1:2">
      <c r="A44" s="5" t="s">
        <v>70</v>
      </c>
      <c r="B44" s="5" t="s">
        <v>71</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U59"/>
  <sheetViews>
    <sheetView showGridLines="0" zoomScale="85" workbookViewId="0">
      <pane xSplit="2" ySplit="5" topLeftCell="C6" activePane="bottomRight" state="frozen"/>
      <selection pane="topRight"/>
      <selection pane="bottomLeft"/>
      <selection pane="bottomRight" activeCell="L31" sqref="A31:L31"/>
    </sheetView>
  </sheetViews>
  <sheetFormatPr baseColWidth="10" defaultColWidth="8.83203125" defaultRowHeight="14" outlineLevelCol="1"/>
  <cols>
    <col min="1" max="1" width="46" customWidth="1"/>
    <col min="2" max="2" width="34" hidden="1" customWidth="1" outlineLevel="1"/>
    <col min="3" max="3" width="12" customWidth="1" collapsed="1"/>
    <col min="4" max="12" width="12" customWidth="1"/>
    <col min="13" max="13" width="9" customWidth="1"/>
    <col min="14" max="17" width="12" hidden="1" customWidth="1"/>
    <col min="18" max="21" width="12" customWidth="1"/>
  </cols>
  <sheetData>
    <row r="1" spans="1:21" ht="28" customHeight="1">
      <c r="A1" s="1" t="s">
        <v>72</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HYPERLINK("#'Income Statement'!A11","1. INCOME STATEMENT - AS REPORTED")</f>
        <v>1. INCOME STATEMENT - AS REPORTED</v>
      </c>
      <c r="M7" s="9"/>
    </row>
    <row r="8" spans="1:21">
      <c r="A8" s="11" t="str">
        <f>HYPERLINK("#'Income Statement'!A43","2. PER-SHARE DATA AND SHARE COUNT")</f>
        <v>2. PER-SHARE DATA AND SHARE COUNT</v>
      </c>
      <c r="M8" s="9"/>
    </row>
    <row r="9" spans="1:21">
      <c r="A9" s="11" t="str">
        <f>HYPERLINK("#'Income Statement'!A51","3. TIE-OUT CHECKS")</f>
        <v>3. TIE-OUT CHECKS</v>
      </c>
      <c r="M9" s="9"/>
    </row>
    <row r="10" spans="1:21" ht="8" customHeight="1">
      <c r="M10" s="9"/>
    </row>
    <row r="11" spans="1:21" ht="20" customHeight="1">
      <c r="A11" s="12" t="s">
        <v>109</v>
      </c>
      <c r="B11" s="2"/>
      <c r="C11" s="2"/>
      <c r="D11" s="2"/>
      <c r="E11" s="2"/>
      <c r="F11" s="2"/>
      <c r="G11" s="2"/>
      <c r="H11" s="2"/>
      <c r="I11" s="2"/>
      <c r="J11" s="2"/>
      <c r="K11" s="2"/>
      <c r="L11" s="2"/>
      <c r="M11" s="9"/>
      <c r="N11" s="2"/>
      <c r="O11" s="2"/>
      <c r="P11" s="2"/>
      <c r="Q11" s="2"/>
      <c r="R11" s="2"/>
      <c r="S11" s="2"/>
      <c r="T11" s="2"/>
      <c r="U11" s="2"/>
    </row>
    <row r="12" spans="1:21">
      <c r="A12" s="13" t="s">
        <v>110</v>
      </c>
      <c r="C12" s="14">
        <v>9326.9</v>
      </c>
      <c r="D12" s="14">
        <v>10101.5</v>
      </c>
      <c r="E12" s="14">
        <v>11012.5</v>
      </c>
      <c r="F12" s="14">
        <v>11655.7</v>
      </c>
      <c r="G12" s="14">
        <v>10726.1</v>
      </c>
      <c r="H12" s="14">
        <v>13085.4</v>
      </c>
      <c r="I12" s="14">
        <v>14106</v>
      </c>
      <c r="J12" s="14">
        <v>15437</v>
      </c>
      <c r="K12" s="14">
        <v>15715</v>
      </c>
      <c r="L12" s="14">
        <v>16548</v>
      </c>
      <c r="M12" s="9"/>
      <c r="N12" s="14">
        <v>4094</v>
      </c>
      <c r="O12" s="14">
        <v>3959</v>
      </c>
      <c r="P12" s="14">
        <v>3661</v>
      </c>
      <c r="Q12" s="14">
        <v>4213</v>
      </c>
      <c r="R12" s="14">
        <v>4363</v>
      </c>
      <c r="S12" s="14">
        <v>4310</v>
      </c>
      <c r="T12" s="14">
        <v>4007</v>
      </c>
      <c r="U12" s="14">
        <v>4393</v>
      </c>
    </row>
    <row r="13" spans="1:21">
      <c r="A13" s="18" t="s">
        <v>116</v>
      </c>
      <c r="D13" s="19">
        <f t="shared" ref="D13" si="0">IF(N(C12)=0,"",D12/C12-1)</f>
        <v>8.3050102392006053E-2</v>
      </c>
      <c r="E13" s="19">
        <f t="shared" ref="E13" si="1">IF(N(D12)=0,"",E12/D12-1)</f>
        <v>9.0184626045636707E-2</v>
      </c>
      <c r="F13" s="19">
        <f t="shared" ref="F13" si="2">IF(N(E12)=0,"",F12/E12-1)</f>
        <v>5.8406356413166938E-2</v>
      </c>
      <c r="G13" s="19">
        <f t="shared" ref="G13" si="3">IF(N(F12)=0,"",G12/F12-1)</f>
        <v>-7.9754969671491205E-2</v>
      </c>
      <c r="H13" s="19">
        <f t="shared" ref="H13" si="4">IF(N(G12)=0,"",H12/G12-1)</f>
        <v>0.21995879210523861</v>
      </c>
      <c r="I13" s="19">
        <f t="shared" ref="I13" si="5">IF(N(H12)=0,"",I12/H12-1)</f>
        <v>7.7995323031775809E-2</v>
      </c>
      <c r="J13" s="19">
        <f t="shared" ref="J13" si="6">IF(N(I12)=0,"",J12/I12-1)</f>
        <v>9.4357011200907337E-2</v>
      </c>
      <c r="K13" s="19">
        <f t="shared" ref="K13" si="7">IF(N(J12)=0,"",K12/J12-1)</f>
        <v>1.800868044309123E-2</v>
      </c>
      <c r="L13" s="19">
        <f t="shared" ref="L13" si="8">IF(N(K12)=0,"",L12/K12-1)</f>
        <v>5.3006681514476517E-2</v>
      </c>
      <c r="M13" s="9"/>
      <c r="N13" s="14"/>
      <c r="O13" s="14"/>
      <c r="P13" s="14"/>
      <c r="Q13" s="14"/>
      <c r="R13" s="19">
        <f>R12/N12-1</f>
        <v>6.570591108939916E-2</v>
      </c>
      <c r="S13" s="19">
        <f t="shared" ref="S13:U13" si="9">S12/O12-1</f>
        <v>8.8658752210154068E-2</v>
      </c>
      <c r="T13" s="19">
        <f t="shared" si="9"/>
        <v>9.4509696804151888E-2</v>
      </c>
      <c r="U13" s="19">
        <f t="shared" si="9"/>
        <v>4.2724899121765914E-2</v>
      </c>
    </row>
    <row r="14" spans="1:21" ht="14" customHeight="1">
      <c r="A14" s="13" t="s">
        <v>111</v>
      </c>
      <c r="B14" s="15" t="s">
        <v>112</v>
      </c>
      <c r="C14" s="14">
        <v>15295</v>
      </c>
      <c r="D14" s="14">
        <v>12718.9</v>
      </c>
      <c r="E14" s="14">
        <v>10012.700000000001</v>
      </c>
      <c r="F14" s="14">
        <v>9420.7999999999993</v>
      </c>
      <c r="G14" s="14">
        <v>8139.2</v>
      </c>
      <c r="H14" s="14">
        <v>9787.4</v>
      </c>
      <c r="I14" s="14">
        <v>8748</v>
      </c>
      <c r="J14" s="14">
        <v>9742</v>
      </c>
      <c r="K14" s="14">
        <v>9782</v>
      </c>
      <c r="L14" s="14">
        <v>9690</v>
      </c>
      <c r="M14" s="9"/>
      <c r="N14" s="14">
        <v>2656</v>
      </c>
      <c r="O14" s="14">
        <v>2310</v>
      </c>
      <c r="P14" s="14">
        <v>2132</v>
      </c>
      <c r="Q14" s="14">
        <v>2458</v>
      </c>
      <c r="R14" s="14">
        <v>2563</v>
      </c>
      <c r="S14" s="14">
        <v>2536</v>
      </c>
      <c r="T14" s="14">
        <v>2317</v>
      </c>
      <c r="U14" s="14">
        <v>2525</v>
      </c>
    </row>
    <row r="15" spans="1:21" ht="14" customHeight="1">
      <c r="A15" s="18" t="s">
        <v>116</v>
      </c>
      <c r="D15" s="19">
        <f t="shared" ref="D15" si="10">IF(N(C14)=0,"",D14/C14-1)</f>
        <v>-0.16842759071592028</v>
      </c>
      <c r="E15" s="19">
        <f t="shared" ref="E15" si="11">IF(N(D14)=0,"",E14/D14-1)</f>
        <v>-0.21276997224602745</v>
      </c>
      <c r="F15" s="19">
        <f t="shared" ref="F15" si="12">IF(N(E14)=0,"",F14/E14-1)</f>
        <v>-5.9114924046461126E-2</v>
      </c>
      <c r="G15" s="19">
        <f t="shared" ref="G15" si="13">IF(N(F14)=0,"",G14/F14-1)</f>
        <v>-0.13603940217391297</v>
      </c>
      <c r="H15" s="19">
        <f t="shared" ref="H15" si="14">IF(N(G14)=0,"",H14/G14-1)</f>
        <v>0.20250147434637311</v>
      </c>
      <c r="I15" s="19">
        <f t="shared" ref="I15" si="15">IF(N(H14)=0,"",I14/H14-1)</f>
        <v>-0.10619776447268936</v>
      </c>
      <c r="J15" s="19">
        <f t="shared" ref="J15" si="16">IF(N(I14)=0,"",J14/I14-1)</f>
        <v>0.1136259716506629</v>
      </c>
      <c r="K15" s="19">
        <f t="shared" ref="K15" si="17">IF(N(J14)=0,"",K14/J14-1)</f>
        <v>4.1059330732908794E-3</v>
      </c>
      <c r="L15" s="19">
        <f t="shared" ref="L15" si="18">IF(N(K14)=0,"",L14/K14-1)</f>
        <v>-9.405029646289087E-3</v>
      </c>
      <c r="M15" s="9"/>
      <c r="N15" s="14"/>
      <c r="O15" s="14"/>
      <c r="P15" s="14"/>
      <c r="Q15" s="14"/>
      <c r="R15" s="14"/>
      <c r="S15" s="14"/>
      <c r="T15" s="14"/>
      <c r="U15" s="14"/>
    </row>
    <row r="16" spans="1:21" ht="14" customHeight="1">
      <c r="A16" s="13" t="s">
        <v>113</v>
      </c>
      <c r="B16" s="15" t="s">
        <v>114</v>
      </c>
      <c r="E16" s="14">
        <v>232.7</v>
      </c>
      <c r="F16" s="14">
        <v>287.89999999999998</v>
      </c>
      <c r="G16" s="14">
        <v>342.5</v>
      </c>
      <c r="H16" s="14">
        <v>350.1</v>
      </c>
      <c r="I16" s="14">
        <v>328</v>
      </c>
      <c r="J16" s="14">
        <v>316</v>
      </c>
      <c r="K16" s="14">
        <v>423</v>
      </c>
      <c r="L16" s="14">
        <v>647</v>
      </c>
      <c r="M16" s="9"/>
      <c r="N16" s="14">
        <v>124</v>
      </c>
      <c r="O16" s="14">
        <v>119</v>
      </c>
      <c r="P16" s="14">
        <v>162</v>
      </c>
      <c r="Q16" s="14">
        <v>172</v>
      </c>
      <c r="R16" s="14">
        <v>151</v>
      </c>
      <c r="S16" s="14">
        <v>162</v>
      </c>
      <c r="T16" s="14">
        <v>193</v>
      </c>
      <c r="U16" s="14">
        <v>182</v>
      </c>
    </row>
    <row r="17" spans="1:21">
      <c r="A17" s="10" t="s">
        <v>115</v>
      </c>
      <c r="C17" s="16">
        <v>24621.9</v>
      </c>
      <c r="D17" s="16">
        <v>22820.400000000001</v>
      </c>
      <c r="E17" s="16">
        <v>21257.9</v>
      </c>
      <c r="F17" s="16">
        <v>21364.400000000001</v>
      </c>
      <c r="G17" s="16">
        <v>19207.8</v>
      </c>
      <c r="H17" s="16">
        <v>23222.9</v>
      </c>
      <c r="I17" s="16">
        <v>23183</v>
      </c>
      <c r="J17" s="16">
        <v>25494</v>
      </c>
      <c r="K17" s="16">
        <v>25920</v>
      </c>
      <c r="L17" s="16">
        <v>26885</v>
      </c>
      <c r="M17" s="17"/>
      <c r="N17" s="16">
        <v>6873</v>
      </c>
      <c r="O17" s="16">
        <v>6388</v>
      </c>
      <c r="P17" s="16">
        <v>5956</v>
      </c>
      <c r="Q17" s="16">
        <v>6843</v>
      </c>
      <c r="R17" s="16">
        <v>7078</v>
      </c>
      <c r="S17" s="16">
        <v>7009</v>
      </c>
      <c r="T17" s="16">
        <v>6517</v>
      </c>
      <c r="U17" s="16">
        <v>7099</v>
      </c>
    </row>
    <row r="18" spans="1:21">
      <c r="A18" s="18" t="s">
        <v>116</v>
      </c>
      <c r="D18" s="19">
        <f t="shared" ref="D18:L18" si="19">IF(N(C17)=0,"",D17/C17-1)</f>
        <v>-7.3166571223179377E-2</v>
      </c>
      <c r="E18" s="19">
        <f t="shared" si="19"/>
        <v>-6.8469439624195938E-2</v>
      </c>
      <c r="F18" s="19">
        <f t="shared" si="19"/>
        <v>5.0099022010641203E-3</v>
      </c>
      <c r="G18" s="19">
        <f t="shared" si="19"/>
        <v>-0.10094362584486349</v>
      </c>
      <c r="H18" s="19">
        <f t="shared" si="19"/>
        <v>0.20903487125022147</v>
      </c>
      <c r="I18" s="19">
        <f t="shared" si="19"/>
        <v>-1.7181316717550521E-3</v>
      </c>
      <c r="J18" s="19">
        <f t="shared" si="19"/>
        <v>9.9685114092222804E-2</v>
      </c>
      <c r="K18" s="19">
        <f t="shared" si="19"/>
        <v>1.6709814073899709E-2</v>
      </c>
      <c r="L18" s="19">
        <f t="shared" si="19"/>
        <v>3.7229938271605034E-2</v>
      </c>
      <c r="M18" s="9"/>
      <c r="R18" s="19">
        <f>IF(N(N17)=0,"",R17/N17-1)</f>
        <v>2.982685872253743E-2</v>
      </c>
      <c r="S18" s="19">
        <f>IF(N(O17)=0,"",S17/O17-1)</f>
        <v>9.7213525360050124E-2</v>
      </c>
      <c r="T18" s="19">
        <f>IF(N(P17)=0,"",T17/P17-1)</f>
        <v>9.4190732034922675E-2</v>
      </c>
      <c r="U18" s="19">
        <f>IF(N(Q17)=0,"",U17/Q17-1)</f>
        <v>3.741049247406103E-2</v>
      </c>
    </row>
    <row r="19" spans="1:21">
      <c r="M19" s="9"/>
    </row>
    <row r="20" spans="1:21">
      <c r="A20" s="13" t="s">
        <v>117</v>
      </c>
      <c r="C20" s="14">
        <v>1718.4</v>
      </c>
      <c r="D20" s="14">
        <v>1790</v>
      </c>
      <c r="E20" s="14">
        <v>1973.3</v>
      </c>
      <c r="F20" s="14">
        <v>2200.6</v>
      </c>
      <c r="G20" s="14">
        <v>2207.5</v>
      </c>
      <c r="H20" s="14">
        <v>2335</v>
      </c>
      <c r="I20" s="14">
        <v>2350</v>
      </c>
      <c r="J20" s="14">
        <v>2475</v>
      </c>
      <c r="K20" s="14">
        <v>2536</v>
      </c>
      <c r="L20" s="14">
        <v>2618</v>
      </c>
      <c r="M20" s="9"/>
      <c r="N20" s="14">
        <v>646</v>
      </c>
      <c r="O20" s="14">
        <v>634</v>
      </c>
      <c r="P20" s="14">
        <v>620</v>
      </c>
      <c r="Q20" s="14">
        <v>654</v>
      </c>
      <c r="R20" s="14">
        <v>666</v>
      </c>
      <c r="S20" s="14">
        <v>678</v>
      </c>
      <c r="T20" s="14">
        <v>676</v>
      </c>
      <c r="U20" s="14">
        <v>680</v>
      </c>
    </row>
    <row r="21" spans="1:21">
      <c r="A21" s="20" t="s">
        <v>118</v>
      </c>
      <c r="C21" s="14">
        <v>4896.8999999999996</v>
      </c>
      <c r="D21" s="14">
        <v>4033.5</v>
      </c>
      <c r="E21" s="14">
        <v>3153.8</v>
      </c>
      <c r="F21" s="14">
        <v>2980.3</v>
      </c>
      <c r="G21" s="14">
        <v>2564.1999999999998</v>
      </c>
      <c r="H21" s="14">
        <v>3096.8</v>
      </c>
      <c r="I21" s="14">
        <v>2737</v>
      </c>
      <c r="J21" s="14">
        <v>3039</v>
      </c>
      <c r="K21" s="14">
        <v>2995</v>
      </c>
      <c r="L21" s="14">
        <v>3006</v>
      </c>
      <c r="M21" s="9"/>
    </row>
    <row r="22" spans="1:21">
      <c r="A22" s="20" t="s">
        <v>119</v>
      </c>
      <c r="C22" s="14">
        <v>4134.2</v>
      </c>
      <c r="D22" s="14">
        <v>3528.5</v>
      </c>
      <c r="E22" s="14">
        <v>2937.9</v>
      </c>
      <c r="F22" s="14">
        <v>2704.4</v>
      </c>
      <c r="G22" s="14">
        <v>2416.4</v>
      </c>
      <c r="H22" s="14">
        <v>2677.2</v>
      </c>
      <c r="I22" s="14">
        <v>2617</v>
      </c>
      <c r="J22" s="14">
        <v>2886</v>
      </c>
      <c r="K22" s="14">
        <v>2959</v>
      </c>
      <c r="L22" s="14">
        <v>2905</v>
      </c>
      <c r="M22" s="9"/>
    </row>
    <row r="23" spans="1:21">
      <c r="A23" s="20" t="s">
        <v>120</v>
      </c>
      <c r="C23" s="14">
        <v>3667.7</v>
      </c>
      <c r="D23" s="14">
        <v>2847.6</v>
      </c>
      <c r="E23" s="14">
        <v>2174.1999999999998</v>
      </c>
      <c r="F23" s="14">
        <v>2075.9</v>
      </c>
      <c r="G23" s="14">
        <v>2000.6</v>
      </c>
      <c r="H23" s="14">
        <v>2273.3000000000002</v>
      </c>
      <c r="I23" s="14">
        <v>2026</v>
      </c>
      <c r="J23" s="14">
        <v>2299</v>
      </c>
      <c r="K23" s="14">
        <v>2381</v>
      </c>
      <c r="L23" s="14">
        <v>2358</v>
      </c>
      <c r="M23" s="9"/>
    </row>
    <row r="24" spans="1:21" ht="24">
      <c r="A24" s="20" t="s">
        <v>121</v>
      </c>
      <c r="B24" s="15" t="s">
        <v>122</v>
      </c>
      <c r="M24" s="9"/>
      <c r="N24" s="14">
        <v>2248</v>
      </c>
      <c r="O24" s="14">
        <v>1977</v>
      </c>
      <c r="P24" s="14">
        <v>1859</v>
      </c>
      <c r="Q24" s="14">
        <v>2078</v>
      </c>
      <c r="R24" s="14">
        <v>2172</v>
      </c>
      <c r="S24" s="14">
        <v>2160</v>
      </c>
      <c r="T24" s="14">
        <v>2032</v>
      </c>
      <c r="U24" s="14">
        <v>2138</v>
      </c>
    </row>
    <row r="25" spans="1:21">
      <c r="A25" s="13" t="s">
        <v>123</v>
      </c>
      <c r="C25" s="21">
        <f t="shared" ref="C25:L25" si="20">C21+C22+C23</f>
        <v>12698.8</v>
      </c>
      <c r="D25" s="21">
        <f t="shared" si="20"/>
        <v>10409.6</v>
      </c>
      <c r="E25" s="21">
        <f t="shared" si="20"/>
        <v>8265.9000000000015</v>
      </c>
      <c r="F25" s="21">
        <f t="shared" si="20"/>
        <v>7760.6</v>
      </c>
      <c r="G25" s="21">
        <f t="shared" si="20"/>
        <v>6981.2000000000007</v>
      </c>
      <c r="H25" s="21">
        <f t="shared" si="20"/>
        <v>8047.3</v>
      </c>
      <c r="I25" s="21">
        <f t="shared" si="20"/>
        <v>7380</v>
      </c>
      <c r="J25" s="21">
        <f t="shared" si="20"/>
        <v>8224</v>
      </c>
      <c r="K25" s="21">
        <f t="shared" si="20"/>
        <v>8335</v>
      </c>
      <c r="L25" s="21">
        <f t="shared" si="20"/>
        <v>8269</v>
      </c>
      <c r="M25" s="9"/>
      <c r="N25" s="21">
        <f t="shared" ref="N25:U25" si="21">N24</f>
        <v>2248</v>
      </c>
      <c r="O25" s="21">
        <f t="shared" si="21"/>
        <v>1977</v>
      </c>
      <c r="P25" s="21">
        <f t="shared" si="21"/>
        <v>1859</v>
      </c>
      <c r="Q25" s="21">
        <f t="shared" si="21"/>
        <v>2078</v>
      </c>
      <c r="R25" s="21">
        <f t="shared" si="21"/>
        <v>2172</v>
      </c>
      <c r="S25" s="21">
        <f t="shared" si="21"/>
        <v>2160</v>
      </c>
      <c r="T25" s="21">
        <f t="shared" si="21"/>
        <v>2032</v>
      </c>
      <c r="U25" s="21">
        <f t="shared" si="21"/>
        <v>2138</v>
      </c>
    </row>
    <row r="26" spans="1:21" ht="14" customHeight="1">
      <c r="A26" s="13" t="s">
        <v>124</v>
      </c>
      <c r="B26" s="15" t="s">
        <v>125</v>
      </c>
      <c r="E26" s="14">
        <v>186.1</v>
      </c>
      <c r="F26" s="14">
        <v>223.8</v>
      </c>
      <c r="G26" s="14">
        <v>267</v>
      </c>
      <c r="H26" s="14">
        <v>260.39999999999998</v>
      </c>
      <c r="I26" s="14">
        <v>245</v>
      </c>
      <c r="J26" s="14">
        <v>232</v>
      </c>
      <c r="K26" s="14">
        <v>339</v>
      </c>
      <c r="L26" s="14">
        <v>564</v>
      </c>
      <c r="M26" s="9"/>
      <c r="N26" s="14">
        <v>104</v>
      </c>
      <c r="O26" s="14">
        <v>98</v>
      </c>
      <c r="P26" s="14">
        <v>140</v>
      </c>
      <c r="Q26" s="14">
        <v>149</v>
      </c>
      <c r="R26" s="14">
        <v>135</v>
      </c>
      <c r="S26" s="14">
        <v>140</v>
      </c>
      <c r="T26" s="14">
        <v>166</v>
      </c>
      <c r="U26" s="14">
        <v>163</v>
      </c>
    </row>
    <row r="27" spans="1:21" ht="14" customHeight="1">
      <c r="A27" s="20" t="s">
        <v>126</v>
      </c>
      <c r="C27" s="14">
        <v>2384.5</v>
      </c>
      <c r="D27" s="14">
        <v>2231.3000000000002</v>
      </c>
      <c r="M27" s="9"/>
    </row>
    <row r="28" spans="1:21" ht="14" customHeight="1">
      <c r="A28" s="20" t="s">
        <v>127</v>
      </c>
      <c r="E28" s="14">
        <v>214.8</v>
      </c>
      <c r="F28" s="14">
        <v>262.5</v>
      </c>
      <c r="G28" s="14">
        <v>300.60000000000002</v>
      </c>
      <c r="H28" s="14">
        <v>329.7</v>
      </c>
      <c r="I28" s="14">
        <v>370</v>
      </c>
      <c r="J28" s="14">
        <v>382</v>
      </c>
      <c r="K28" s="14">
        <v>447</v>
      </c>
      <c r="L28" s="14">
        <v>457</v>
      </c>
      <c r="M28" s="9"/>
      <c r="N28" s="14">
        <v>111</v>
      </c>
      <c r="O28" s="14">
        <v>136</v>
      </c>
      <c r="P28" s="14">
        <v>107</v>
      </c>
      <c r="Q28" s="14">
        <v>106</v>
      </c>
      <c r="R28" s="14">
        <v>121</v>
      </c>
      <c r="S28" s="14">
        <v>124</v>
      </c>
      <c r="T28" s="14">
        <v>111</v>
      </c>
      <c r="U28" s="14">
        <v>111</v>
      </c>
    </row>
    <row r="29" spans="1:21" ht="14" customHeight="1">
      <c r="A29" s="20" t="s">
        <v>128</v>
      </c>
      <c r="E29" s="14">
        <v>1985.4</v>
      </c>
      <c r="F29" s="14">
        <v>1966.9</v>
      </c>
      <c r="G29" s="14">
        <v>2245</v>
      </c>
      <c r="H29" s="14">
        <v>2377.8000000000002</v>
      </c>
      <c r="I29" s="14">
        <v>2492</v>
      </c>
      <c r="J29" s="14">
        <v>2435</v>
      </c>
      <c r="K29" s="14">
        <v>2412</v>
      </c>
      <c r="L29" s="14">
        <v>2583</v>
      </c>
      <c r="M29" s="9"/>
      <c r="N29" s="14">
        <v>536</v>
      </c>
      <c r="O29" s="14">
        <v>664</v>
      </c>
      <c r="P29" s="14">
        <v>575</v>
      </c>
      <c r="Q29" s="14">
        <v>595</v>
      </c>
      <c r="R29" s="14">
        <v>664</v>
      </c>
      <c r="S29" s="14">
        <v>749</v>
      </c>
      <c r="T29" s="14">
        <v>648</v>
      </c>
      <c r="U29" s="14">
        <v>706</v>
      </c>
    </row>
    <row r="30" spans="1:21" ht="24">
      <c r="A30" s="13" t="s">
        <v>129</v>
      </c>
      <c r="B30" s="15" t="s">
        <v>130</v>
      </c>
      <c r="C30" s="21">
        <f t="shared" ref="C30:L30" si="22">C27+C28+C29</f>
        <v>2384.5</v>
      </c>
      <c r="D30" s="21">
        <f t="shared" si="22"/>
        <v>2231.3000000000002</v>
      </c>
      <c r="E30" s="21">
        <f t="shared" si="22"/>
        <v>2200.2000000000003</v>
      </c>
      <c r="F30" s="21">
        <f t="shared" si="22"/>
        <v>2229.4</v>
      </c>
      <c r="G30" s="21">
        <f t="shared" si="22"/>
        <v>2545.6</v>
      </c>
      <c r="H30" s="21">
        <f t="shared" si="22"/>
        <v>2707.5</v>
      </c>
      <c r="I30" s="21">
        <f t="shared" si="22"/>
        <v>2862</v>
      </c>
      <c r="J30" s="21">
        <f t="shared" si="22"/>
        <v>2817</v>
      </c>
      <c r="K30" s="21">
        <f t="shared" si="22"/>
        <v>2859</v>
      </c>
      <c r="L30" s="21">
        <f t="shared" si="22"/>
        <v>3040</v>
      </c>
      <c r="M30" s="9"/>
      <c r="N30" s="21">
        <f t="shared" ref="N30:U30" si="23">N27+N28+N29</f>
        <v>647</v>
      </c>
      <c r="O30" s="21">
        <f t="shared" si="23"/>
        <v>800</v>
      </c>
      <c r="P30" s="21">
        <f t="shared" si="23"/>
        <v>682</v>
      </c>
      <c r="Q30" s="21">
        <f t="shared" si="23"/>
        <v>701</v>
      </c>
      <c r="R30" s="21">
        <f t="shared" si="23"/>
        <v>785</v>
      </c>
      <c r="S30" s="21">
        <f t="shared" si="23"/>
        <v>873</v>
      </c>
      <c r="T30" s="21">
        <f t="shared" si="23"/>
        <v>759</v>
      </c>
      <c r="U30" s="21">
        <f t="shared" si="23"/>
        <v>817</v>
      </c>
    </row>
    <row r="31" spans="1:21">
      <c r="A31" s="13" t="s">
        <v>131</v>
      </c>
      <c r="C31" s="14">
        <v>75.7</v>
      </c>
      <c r="D31" s="14">
        <v>-1163.2</v>
      </c>
      <c r="E31" s="14">
        <v>-190.2</v>
      </c>
      <c r="F31" s="14">
        <v>-119.8</v>
      </c>
      <c r="G31" s="14">
        <v>-117.5</v>
      </c>
      <c r="H31" s="14">
        <v>-483.3</v>
      </c>
      <c r="I31" s="14">
        <v>974</v>
      </c>
      <c r="J31" s="14">
        <v>99</v>
      </c>
      <c r="K31" s="14">
        <v>139</v>
      </c>
      <c r="L31" s="14">
        <v>2</v>
      </c>
      <c r="M31" s="9"/>
      <c r="N31" s="14">
        <v>39</v>
      </c>
      <c r="O31" s="14">
        <v>10</v>
      </c>
      <c r="P31" s="14">
        <v>7</v>
      </c>
      <c r="Q31" s="14">
        <v>29</v>
      </c>
      <c r="R31" s="14">
        <v>-37</v>
      </c>
      <c r="S31" s="14">
        <v>3</v>
      </c>
      <c r="T31" s="14">
        <v>-69</v>
      </c>
      <c r="U31" s="14">
        <v>-37</v>
      </c>
    </row>
    <row r="32" spans="1:21">
      <c r="A32" s="10" t="s">
        <v>132</v>
      </c>
      <c r="C32" s="16">
        <v>16877.400000000001</v>
      </c>
      <c r="D32" s="16">
        <v>13267.7</v>
      </c>
      <c r="E32" s="16">
        <v>12435.3</v>
      </c>
      <c r="F32" s="16">
        <v>12294.6</v>
      </c>
      <c r="G32" s="16">
        <v>11883.8</v>
      </c>
      <c r="H32" s="16">
        <v>12866.9</v>
      </c>
      <c r="I32" s="16">
        <v>13812</v>
      </c>
      <c r="J32" s="16">
        <v>13847</v>
      </c>
      <c r="K32" s="16">
        <v>14208</v>
      </c>
      <c r="L32" s="16">
        <v>14492</v>
      </c>
      <c r="M32" s="17"/>
      <c r="N32" s="16">
        <v>3685</v>
      </c>
      <c r="O32" s="16">
        <v>3520</v>
      </c>
      <c r="P32" s="16">
        <v>3308</v>
      </c>
      <c r="Q32" s="16">
        <v>3611</v>
      </c>
      <c r="R32" s="16">
        <v>3721</v>
      </c>
      <c r="S32" s="16">
        <v>3853</v>
      </c>
      <c r="T32" s="16">
        <v>3564</v>
      </c>
      <c r="U32" s="16">
        <v>3760</v>
      </c>
    </row>
    <row r="33" spans="1:21">
      <c r="A33" s="10" t="s">
        <v>133</v>
      </c>
      <c r="C33" s="16">
        <v>7744.5</v>
      </c>
      <c r="D33" s="16">
        <v>9552.7000000000007</v>
      </c>
      <c r="E33" s="16">
        <v>8822.6</v>
      </c>
      <c r="F33" s="16">
        <v>9069.7999999999993</v>
      </c>
      <c r="G33" s="16">
        <v>7324</v>
      </c>
      <c r="H33" s="16">
        <v>10356</v>
      </c>
      <c r="I33" s="16">
        <v>9371</v>
      </c>
      <c r="J33" s="16">
        <v>11647</v>
      </c>
      <c r="K33" s="16">
        <v>11712</v>
      </c>
      <c r="L33" s="16">
        <v>12393</v>
      </c>
      <c r="M33" s="17"/>
      <c r="N33" s="16">
        <v>3188</v>
      </c>
      <c r="O33" s="16">
        <v>2868</v>
      </c>
      <c r="P33" s="16">
        <v>2648</v>
      </c>
      <c r="Q33" s="16">
        <v>3232</v>
      </c>
      <c r="R33" s="16">
        <v>3357</v>
      </c>
      <c r="S33" s="16">
        <v>3156</v>
      </c>
      <c r="T33" s="16">
        <v>2953</v>
      </c>
      <c r="U33" s="16">
        <v>3338</v>
      </c>
    </row>
    <row r="34" spans="1:21">
      <c r="A34" s="18" t="s">
        <v>134</v>
      </c>
      <c r="C34" s="19">
        <f t="shared" ref="C34:L34" si="24">C33/C17</f>
        <v>0.3145370584723356</v>
      </c>
      <c r="D34" s="19">
        <f t="shared" si="24"/>
        <v>0.41860353017475593</v>
      </c>
      <c r="E34" s="19">
        <f t="shared" si="24"/>
        <v>0.41502688412307892</v>
      </c>
      <c r="F34" s="19">
        <f t="shared" si="24"/>
        <v>0.42452865514594368</v>
      </c>
      <c r="G34" s="19">
        <f t="shared" si="24"/>
        <v>0.3813034288153771</v>
      </c>
      <c r="H34" s="19">
        <f t="shared" si="24"/>
        <v>0.44593913766153231</v>
      </c>
      <c r="I34" s="19">
        <f t="shared" si="24"/>
        <v>0.40421860846309798</v>
      </c>
      <c r="J34" s="19">
        <f t="shared" si="24"/>
        <v>0.45685259276692552</v>
      </c>
      <c r="K34" s="19">
        <f t="shared" si="24"/>
        <v>0.45185185185185184</v>
      </c>
      <c r="L34" s="19">
        <f t="shared" si="24"/>
        <v>0.4609633624697787</v>
      </c>
      <c r="M34" s="9"/>
      <c r="N34" s="19">
        <f t="shared" ref="N34:U34" si="25">N33/N17</f>
        <v>0.4638440273534119</v>
      </c>
      <c r="O34" s="19">
        <f t="shared" si="25"/>
        <v>0.44896681277395117</v>
      </c>
      <c r="P34" s="19">
        <f t="shared" si="25"/>
        <v>0.44459368703828073</v>
      </c>
      <c r="Q34" s="19">
        <f t="shared" si="25"/>
        <v>0.47230746748502117</v>
      </c>
      <c r="R34" s="19">
        <f t="shared" si="25"/>
        <v>0.47428652161627577</v>
      </c>
      <c r="S34" s="19">
        <f t="shared" si="25"/>
        <v>0.45027821372521043</v>
      </c>
      <c r="T34" s="19">
        <f t="shared" si="25"/>
        <v>0.45312260242442842</v>
      </c>
      <c r="U34" s="19">
        <f t="shared" si="25"/>
        <v>0.47020707141850965</v>
      </c>
    </row>
    <row r="35" spans="1:21">
      <c r="A35" s="18" t="s">
        <v>116</v>
      </c>
      <c r="D35" s="19">
        <f t="shared" ref="D35:L35" si="26">IF(N(C33)=0,"",D33/C33-1)</f>
        <v>0.23348182581186649</v>
      </c>
      <c r="E35" s="19">
        <f t="shared" si="26"/>
        <v>-7.6428653679064595E-2</v>
      </c>
      <c r="F35" s="19">
        <f t="shared" si="26"/>
        <v>2.801895132953991E-2</v>
      </c>
      <c r="G35" s="19">
        <f t="shared" si="26"/>
        <v>-0.19248495005402533</v>
      </c>
      <c r="H35" s="19">
        <f t="shared" si="26"/>
        <v>0.41398143091206996</v>
      </c>
      <c r="I35" s="19">
        <f t="shared" si="26"/>
        <v>-9.5113943607570528E-2</v>
      </c>
      <c r="J35" s="19">
        <f t="shared" si="26"/>
        <v>0.24287696083662369</v>
      </c>
      <c r="K35" s="19">
        <f t="shared" si="26"/>
        <v>5.580836266849909E-3</v>
      </c>
      <c r="L35" s="19">
        <f t="shared" si="26"/>
        <v>5.8145491803278659E-2</v>
      </c>
      <c r="M35" s="9"/>
      <c r="R35" s="19">
        <f>IF(N(N33)=0,"",R33/N33-1)</f>
        <v>5.3011292346298644E-2</v>
      </c>
      <c r="S35" s="19">
        <f>IF(N(O33)=0,"",S33/O33-1)</f>
        <v>0.10041841004184104</v>
      </c>
      <c r="T35" s="19">
        <f>IF(N(P33)=0,"",T33/P33-1)</f>
        <v>0.11518126888217517</v>
      </c>
      <c r="U35" s="19">
        <f>IF(N(Q33)=0,"",U33/Q33-1)</f>
        <v>3.2797029702970271E-2</v>
      </c>
    </row>
    <row r="36" spans="1:21">
      <c r="M36" s="9"/>
    </row>
    <row r="37" spans="1:21">
      <c r="A37" s="13" t="s">
        <v>135</v>
      </c>
      <c r="C37" s="14">
        <v>884.8</v>
      </c>
      <c r="D37" s="14">
        <v>921.3</v>
      </c>
      <c r="E37" s="14">
        <v>981.2</v>
      </c>
      <c r="F37" s="14">
        <v>1121.9000000000001</v>
      </c>
      <c r="G37" s="14">
        <v>1218.0999999999999</v>
      </c>
      <c r="H37" s="14">
        <v>1185.8</v>
      </c>
      <c r="I37" s="14">
        <v>1207</v>
      </c>
      <c r="J37" s="14">
        <v>1361</v>
      </c>
      <c r="K37" s="14">
        <v>1506</v>
      </c>
      <c r="L37" s="14">
        <v>1582</v>
      </c>
      <c r="M37" s="9"/>
      <c r="N37" s="14">
        <v>381</v>
      </c>
      <c r="O37" s="14">
        <v>380</v>
      </c>
      <c r="P37" s="14">
        <v>376</v>
      </c>
      <c r="Q37" s="14">
        <v>390</v>
      </c>
      <c r="R37" s="14">
        <v>406</v>
      </c>
      <c r="S37" s="14">
        <v>410</v>
      </c>
      <c r="T37" s="14">
        <v>400</v>
      </c>
      <c r="U37" s="14">
        <v>409</v>
      </c>
    </row>
    <row r="38" spans="1:21">
      <c r="A38" s="13" t="s">
        <v>136</v>
      </c>
      <c r="C38" s="14">
        <v>-6.3</v>
      </c>
      <c r="D38" s="14">
        <v>57.9</v>
      </c>
      <c r="E38" s="14">
        <v>25.3</v>
      </c>
      <c r="F38" s="14">
        <v>-70.2</v>
      </c>
      <c r="G38" s="14">
        <v>-34.799999999999997</v>
      </c>
      <c r="H38" s="14">
        <v>42.3</v>
      </c>
      <c r="I38" s="14">
        <v>339</v>
      </c>
      <c r="J38" s="14">
        <v>-236</v>
      </c>
      <c r="K38" s="14">
        <v>-139</v>
      </c>
      <c r="L38" s="14">
        <v>-87</v>
      </c>
      <c r="M38" s="9"/>
      <c r="N38" s="14">
        <v>-36</v>
      </c>
      <c r="O38" s="14">
        <v>-49</v>
      </c>
      <c r="P38" s="14">
        <v>-57</v>
      </c>
      <c r="Q38" s="14">
        <v>-18</v>
      </c>
      <c r="R38" s="14">
        <v>1</v>
      </c>
      <c r="S38" s="14">
        <v>-12</v>
      </c>
      <c r="T38" s="14">
        <v>11</v>
      </c>
      <c r="U38" s="14">
        <v>-6</v>
      </c>
    </row>
    <row r="39" spans="1:21">
      <c r="A39" s="10" t="s">
        <v>137</v>
      </c>
      <c r="C39" s="16">
        <v>6866</v>
      </c>
      <c r="D39" s="16">
        <v>8573.5</v>
      </c>
      <c r="E39" s="16">
        <v>7816.1</v>
      </c>
      <c r="F39" s="16">
        <v>8018.1</v>
      </c>
      <c r="G39" s="16">
        <v>6140.7</v>
      </c>
      <c r="H39" s="16">
        <v>9127.9</v>
      </c>
      <c r="I39" s="16">
        <v>7825</v>
      </c>
      <c r="J39" s="16">
        <v>10522</v>
      </c>
      <c r="K39" s="16">
        <v>10345</v>
      </c>
      <c r="L39" s="16">
        <v>10897</v>
      </c>
      <c r="M39" s="17"/>
      <c r="N39" s="16">
        <v>2843</v>
      </c>
      <c r="O39" s="16">
        <v>2538</v>
      </c>
      <c r="P39" s="16">
        <v>2330</v>
      </c>
      <c r="Q39" s="16">
        <v>2861</v>
      </c>
      <c r="R39" s="16">
        <v>2949</v>
      </c>
      <c r="S39" s="16">
        <v>2757</v>
      </c>
      <c r="T39" s="16">
        <v>2542</v>
      </c>
      <c r="U39" s="16">
        <v>2936</v>
      </c>
    </row>
    <row r="40" spans="1:21">
      <c r="A40" s="13" t="s">
        <v>138</v>
      </c>
      <c r="C40" s="14">
        <v>2179.5</v>
      </c>
      <c r="D40" s="14">
        <v>3381.2</v>
      </c>
      <c r="E40" s="14">
        <v>1891.8</v>
      </c>
      <c r="F40" s="14">
        <v>1992.7</v>
      </c>
      <c r="G40" s="14">
        <v>1410.2</v>
      </c>
      <c r="H40" s="14">
        <v>1582.7</v>
      </c>
      <c r="I40" s="14">
        <v>1648</v>
      </c>
      <c r="J40" s="14">
        <v>2053</v>
      </c>
      <c r="K40" s="14">
        <v>2121</v>
      </c>
      <c r="L40" s="14">
        <v>2334</v>
      </c>
      <c r="M40" s="9"/>
      <c r="N40" s="14">
        <v>588</v>
      </c>
      <c r="O40" s="14">
        <v>521</v>
      </c>
      <c r="P40" s="14">
        <v>461</v>
      </c>
      <c r="Q40" s="14">
        <v>608</v>
      </c>
      <c r="R40" s="14">
        <v>671</v>
      </c>
      <c r="S40" s="14">
        <v>594</v>
      </c>
      <c r="T40" s="14">
        <v>559</v>
      </c>
      <c r="U40" s="14">
        <v>574</v>
      </c>
    </row>
    <row r="41" spans="1:21">
      <c r="A41" s="10" t="s">
        <v>139</v>
      </c>
      <c r="C41" s="16">
        <v>4686.5</v>
      </c>
      <c r="D41" s="16">
        <v>5192.3</v>
      </c>
      <c r="E41" s="16">
        <v>5924.3</v>
      </c>
      <c r="F41" s="16">
        <v>6025.4</v>
      </c>
      <c r="G41" s="16">
        <v>4730.5</v>
      </c>
      <c r="H41" s="16">
        <v>7545.2</v>
      </c>
      <c r="I41" s="16">
        <v>6177</v>
      </c>
      <c r="J41" s="16">
        <v>8469</v>
      </c>
      <c r="K41" s="16">
        <v>8223</v>
      </c>
      <c r="L41" s="16">
        <v>8563</v>
      </c>
      <c r="M41" s="17"/>
      <c r="N41" s="16">
        <v>2255</v>
      </c>
      <c r="O41" s="16">
        <v>2016</v>
      </c>
      <c r="P41" s="16">
        <v>1868</v>
      </c>
      <c r="Q41" s="16">
        <v>2253</v>
      </c>
      <c r="R41" s="16">
        <v>2278</v>
      </c>
      <c r="S41" s="16">
        <v>2164</v>
      </c>
      <c r="T41" s="16">
        <v>1983</v>
      </c>
      <c r="U41" s="16">
        <v>2362</v>
      </c>
    </row>
    <row r="42" spans="1:21">
      <c r="A42" s="18" t="s">
        <v>140</v>
      </c>
      <c r="C42" s="19">
        <f t="shared" ref="C42:L42" si="27">C41/C17</f>
        <v>0.19033868223004721</v>
      </c>
      <c r="D42" s="19">
        <f t="shared" si="27"/>
        <v>0.22752887767085589</v>
      </c>
      <c r="E42" s="19">
        <f t="shared" si="27"/>
        <v>0.27868698225130423</v>
      </c>
      <c r="F42" s="19">
        <f t="shared" si="27"/>
        <v>0.28202991893055734</v>
      </c>
      <c r="G42" s="19">
        <f t="shared" si="27"/>
        <v>0.24628015701954414</v>
      </c>
      <c r="H42" s="19">
        <f t="shared" si="27"/>
        <v>0.32490343583273407</v>
      </c>
      <c r="I42" s="19">
        <f t="shared" si="27"/>
        <v>0.26644524004658587</v>
      </c>
      <c r="J42" s="19">
        <f t="shared" si="27"/>
        <v>0.33219581077900684</v>
      </c>
      <c r="K42" s="19">
        <f t="shared" si="27"/>
        <v>0.31724537037037037</v>
      </c>
      <c r="L42" s="19">
        <f t="shared" si="27"/>
        <v>0.31850474242142457</v>
      </c>
      <c r="M42" s="9"/>
      <c r="N42" s="19">
        <f t="shared" ref="N42:U42" si="28">N41/N17</f>
        <v>0.32809544594791212</v>
      </c>
      <c r="O42" s="19">
        <f t="shared" si="28"/>
        <v>0.31559173450219163</v>
      </c>
      <c r="P42" s="19">
        <f t="shared" si="28"/>
        <v>0.31363331094694424</v>
      </c>
      <c r="Q42" s="19">
        <f t="shared" si="28"/>
        <v>0.32924156071898292</v>
      </c>
      <c r="R42" s="19">
        <f t="shared" si="28"/>
        <v>0.32184232834133936</v>
      </c>
      <c r="S42" s="19">
        <f t="shared" si="28"/>
        <v>0.30874589813097447</v>
      </c>
      <c r="T42" s="19">
        <f t="shared" si="28"/>
        <v>0.30428111094061683</v>
      </c>
      <c r="U42" s="19">
        <f t="shared" si="28"/>
        <v>0.33272291872094661</v>
      </c>
    </row>
    <row r="43" spans="1:21">
      <c r="A43" s="18" t="s">
        <v>116</v>
      </c>
      <c r="D43" s="19">
        <f t="shared" ref="D43:L43" si="29">IF(N(C41)=0,"",D41/C41-1)</f>
        <v>0.10792702443187885</v>
      </c>
      <c r="E43" s="19">
        <f t="shared" si="29"/>
        <v>0.14097798663405436</v>
      </c>
      <c r="F43" s="19">
        <f t="shared" si="29"/>
        <v>1.7065307293688603E-2</v>
      </c>
      <c r="G43" s="19">
        <f t="shared" si="29"/>
        <v>-0.21490689414810626</v>
      </c>
      <c r="H43" s="19">
        <f t="shared" si="29"/>
        <v>0.59501109819258002</v>
      </c>
      <c r="I43" s="19">
        <f t="shared" si="29"/>
        <v>-0.18133382812914167</v>
      </c>
      <c r="J43" s="19">
        <f t="shared" si="29"/>
        <v>0.37105390966488594</v>
      </c>
      <c r="K43" s="19">
        <f t="shared" si="29"/>
        <v>-2.904711300035423E-2</v>
      </c>
      <c r="L43" s="19">
        <f t="shared" si="29"/>
        <v>4.1347440107016853E-2</v>
      </c>
      <c r="M43" s="9"/>
      <c r="R43" s="19">
        <f>IF(N(N41)=0,"",R41/N41-1)</f>
        <v>1.0199556541020005E-2</v>
      </c>
      <c r="S43" s="19">
        <f>IF(N(O41)=0,"",S41/O41-1)</f>
        <v>7.3412698412698374E-2</v>
      </c>
      <c r="T43" s="19">
        <f>IF(N(P41)=0,"",T41/P41-1)</f>
        <v>6.1563169164882137E-2</v>
      </c>
      <c r="U43" s="19">
        <f>IF(N(Q41)=0,"",U41/Q41-1)</f>
        <v>4.8379937860630218E-2</v>
      </c>
    </row>
    <row r="44" spans="1:21" ht="8" customHeight="1">
      <c r="M44" s="9"/>
    </row>
    <row r="45" spans="1:21" ht="20" customHeight="1">
      <c r="A45" s="12" t="s">
        <v>141</v>
      </c>
      <c r="B45" s="2"/>
      <c r="C45" s="2"/>
      <c r="D45" s="2"/>
      <c r="E45" s="2"/>
      <c r="F45" s="2"/>
      <c r="G45" s="2"/>
      <c r="H45" s="2"/>
      <c r="I45" s="2"/>
      <c r="J45" s="2"/>
      <c r="K45" s="2"/>
      <c r="L45" s="2"/>
      <c r="M45" s="9"/>
      <c r="N45" s="2"/>
      <c r="O45" s="2"/>
      <c r="P45" s="2"/>
      <c r="Q45" s="2"/>
      <c r="R45" s="2"/>
      <c r="S45" s="2"/>
      <c r="T45" s="2"/>
      <c r="U45" s="2"/>
    </row>
    <row r="46" spans="1:21">
      <c r="A46" s="5" t="s">
        <v>142</v>
      </c>
      <c r="C46" s="22">
        <v>5.49</v>
      </c>
      <c r="D46" s="22">
        <v>6.43</v>
      </c>
      <c r="E46" s="22">
        <v>7.61</v>
      </c>
      <c r="F46" s="22">
        <v>7.95</v>
      </c>
      <c r="G46" s="22">
        <v>6.35</v>
      </c>
      <c r="H46" s="22">
        <v>10.11</v>
      </c>
      <c r="I46" s="22">
        <v>8.39</v>
      </c>
      <c r="J46" s="22">
        <v>11.63</v>
      </c>
      <c r="K46" s="22">
        <v>11.45</v>
      </c>
      <c r="L46" s="22">
        <v>12</v>
      </c>
      <c r="M46" s="9"/>
      <c r="N46" s="22">
        <v>3.15</v>
      </c>
      <c r="P46" s="22">
        <v>2.61</v>
      </c>
      <c r="Q46" s="22">
        <v>3.15</v>
      </c>
      <c r="R46" s="22">
        <v>3.2</v>
      </c>
      <c r="T46" s="22">
        <v>2.79</v>
      </c>
      <c r="U46" s="22">
        <v>3.33</v>
      </c>
    </row>
    <row r="47" spans="1:21">
      <c r="A47" s="10" t="s">
        <v>143</v>
      </c>
      <c r="C47" s="23">
        <v>5.44</v>
      </c>
      <c r="D47" s="23">
        <v>6.37</v>
      </c>
      <c r="E47" s="23">
        <v>7.54</v>
      </c>
      <c r="F47" s="23">
        <v>7.88</v>
      </c>
      <c r="G47" s="23">
        <v>6.31</v>
      </c>
      <c r="H47" s="23">
        <v>10.039999999999999</v>
      </c>
      <c r="I47" s="23">
        <v>8.33</v>
      </c>
      <c r="J47" s="23">
        <v>11.56</v>
      </c>
      <c r="K47" s="23">
        <v>11.39</v>
      </c>
      <c r="L47" s="23">
        <v>11.95</v>
      </c>
      <c r="M47" s="9"/>
      <c r="N47" s="23">
        <v>3.13</v>
      </c>
      <c r="P47" s="23">
        <v>2.6</v>
      </c>
      <c r="Q47" s="23">
        <v>3.14</v>
      </c>
      <c r="R47" s="23">
        <v>3.18</v>
      </c>
      <c r="T47" s="23">
        <v>2.78</v>
      </c>
      <c r="U47" s="23">
        <v>3.32</v>
      </c>
    </row>
    <row r="48" spans="1:21">
      <c r="A48" s="18" t="s">
        <v>116</v>
      </c>
      <c r="D48" s="19">
        <f t="shared" ref="D48:L48" si="30">IF(N(C47)=0,"",D47/C47-1)</f>
        <v>0.17095588235294112</v>
      </c>
      <c r="E48" s="19">
        <f t="shared" si="30"/>
        <v>0.18367346938775508</v>
      </c>
      <c r="F48" s="19">
        <f t="shared" si="30"/>
        <v>4.5092838196286511E-2</v>
      </c>
      <c r="G48" s="19">
        <f t="shared" si="30"/>
        <v>-0.19923857868020312</v>
      </c>
      <c r="H48" s="19">
        <f t="shared" si="30"/>
        <v>0.59112519809825659</v>
      </c>
      <c r="I48" s="19">
        <f t="shared" si="30"/>
        <v>-0.17031872509960155</v>
      </c>
      <c r="J48" s="19">
        <f t="shared" si="30"/>
        <v>0.38775510204081631</v>
      </c>
      <c r="K48" s="19">
        <f t="shared" si="30"/>
        <v>-1.4705882352941124E-2</v>
      </c>
      <c r="L48" s="19">
        <f t="shared" si="30"/>
        <v>4.9165935030728525E-2</v>
      </c>
      <c r="M48" s="9"/>
      <c r="R48" s="19">
        <f>IF(N(N47)=0,"",R47/N47-1)</f>
        <v>1.5974440894568787E-2</v>
      </c>
      <c r="S48" s="19" t="str">
        <f>IF(N(O47)=0,"",S47/O47-1)</f>
        <v/>
      </c>
      <c r="T48" s="19">
        <f>IF(N(P47)=0,"",T47/P47-1)</f>
        <v>6.9230769230769207E-2</v>
      </c>
      <c r="U48" s="19">
        <f>IF(N(Q47)=0,"",U47/Q47-1)</f>
        <v>5.7324840764331197E-2</v>
      </c>
    </row>
    <row r="49" spans="1:21" ht="24">
      <c r="A49" s="5" t="s">
        <v>144</v>
      </c>
      <c r="B49" s="15" t="s">
        <v>145</v>
      </c>
      <c r="C49" s="22">
        <v>3.61</v>
      </c>
      <c r="D49" s="22">
        <v>3.83</v>
      </c>
      <c r="E49" s="22">
        <v>4.1900000000000004</v>
      </c>
      <c r="F49" s="22">
        <v>4.7300000000000004</v>
      </c>
      <c r="G49" s="22">
        <v>5.04</v>
      </c>
      <c r="H49" s="22">
        <v>5.25</v>
      </c>
      <c r="I49" s="22">
        <v>5.66</v>
      </c>
      <c r="J49" s="22">
        <v>6.23</v>
      </c>
      <c r="K49" s="22">
        <v>6.78</v>
      </c>
      <c r="L49" s="22">
        <v>7.17</v>
      </c>
      <c r="M49" s="9"/>
      <c r="N49" s="22">
        <v>3.44</v>
      </c>
      <c r="P49" s="22">
        <v>1.77</v>
      </c>
      <c r="Q49" s="22">
        <v>1.77</v>
      </c>
      <c r="R49" s="22">
        <v>1.77</v>
      </c>
      <c r="T49" s="22">
        <v>1.86</v>
      </c>
      <c r="U49" s="22">
        <v>1.86</v>
      </c>
    </row>
    <row r="50" spans="1:21">
      <c r="A50" s="5" t="s">
        <v>146</v>
      </c>
      <c r="C50" s="24">
        <v>854.4</v>
      </c>
      <c r="D50" s="24">
        <v>807.4</v>
      </c>
      <c r="E50" s="24">
        <v>778.2</v>
      </c>
      <c r="F50" s="24">
        <v>758.1</v>
      </c>
      <c r="G50" s="24">
        <v>744.6</v>
      </c>
      <c r="H50" s="24">
        <v>746.3</v>
      </c>
      <c r="I50" s="24">
        <v>736.5</v>
      </c>
      <c r="J50" s="24">
        <v>727.9</v>
      </c>
      <c r="K50" s="24">
        <v>718.3</v>
      </c>
      <c r="L50" s="24">
        <v>713.4</v>
      </c>
      <c r="M50" s="9"/>
      <c r="N50" s="24">
        <v>716.7</v>
      </c>
      <c r="P50" s="24">
        <v>714.9</v>
      </c>
      <c r="Q50" s="24">
        <v>714.5</v>
      </c>
      <c r="R50" s="24">
        <v>712.9</v>
      </c>
      <c r="T50" s="24">
        <v>710.7</v>
      </c>
      <c r="U50" s="24">
        <v>709.1</v>
      </c>
    </row>
    <row r="51" spans="1:21">
      <c r="A51" s="5" t="s">
        <v>147</v>
      </c>
      <c r="C51" s="24">
        <v>861.2</v>
      </c>
      <c r="D51" s="24">
        <v>815.5</v>
      </c>
      <c r="E51" s="24">
        <v>785.6</v>
      </c>
      <c r="F51" s="24">
        <v>764.9</v>
      </c>
      <c r="G51" s="24">
        <v>750.1</v>
      </c>
      <c r="H51" s="24">
        <v>751.8</v>
      </c>
      <c r="I51" s="24">
        <v>741.3</v>
      </c>
      <c r="J51" s="24">
        <v>732.3</v>
      </c>
      <c r="K51" s="24">
        <v>721.9</v>
      </c>
      <c r="L51" s="24">
        <v>716.4</v>
      </c>
      <c r="M51" s="9"/>
      <c r="N51" s="24">
        <v>720</v>
      </c>
      <c r="P51" s="24">
        <v>718.2</v>
      </c>
      <c r="Q51" s="24">
        <v>717.6</v>
      </c>
      <c r="R51" s="24">
        <v>715.9</v>
      </c>
      <c r="T51" s="24">
        <v>713.5</v>
      </c>
      <c r="U51" s="24">
        <v>711.1</v>
      </c>
    </row>
    <row r="52" spans="1:21" ht="8" customHeight="1">
      <c r="M52" s="9"/>
    </row>
    <row r="53" spans="1:21" ht="20" customHeight="1">
      <c r="A53" s="12" t="s">
        <v>148</v>
      </c>
      <c r="B53" s="2"/>
      <c r="C53" s="2"/>
      <c r="D53" s="2"/>
      <c r="E53" s="2"/>
      <c r="F53" s="2"/>
      <c r="G53" s="2"/>
      <c r="H53" s="2"/>
      <c r="I53" s="2"/>
      <c r="J53" s="2"/>
      <c r="K53" s="2"/>
      <c r="L53" s="2"/>
      <c r="M53" s="9"/>
      <c r="N53" s="2"/>
      <c r="O53" s="2"/>
      <c r="P53" s="2"/>
      <c r="Q53" s="2"/>
      <c r="R53" s="2"/>
      <c r="S53" s="2"/>
      <c r="T53" s="2"/>
      <c r="U53" s="2"/>
    </row>
    <row r="54" spans="1:21">
      <c r="A54" s="18" t="s">
        <v>149</v>
      </c>
      <c r="C54" s="25">
        <f t="shared" ref="C54:L54" si="31">C12+C14+C16-C17</f>
        <v>0</v>
      </c>
      <c r="D54" s="25">
        <f t="shared" si="31"/>
        <v>0</v>
      </c>
      <c r="E54" s="25">
        <f t="shared" si="31"/>
        <v>0</v>
      </c>
      <c r="F54" s="25">
        <f t="shared" si="31"/>
        <v>0</v>
      </c>
      <c r="G54" s="25">
        <f t="shared" si="31"/>
        <v>0</v>
      </c>
      <c r="H54" s="25">
        <f t="shared" si="31"/>
        <v>0</v>
      </c>
      <c r="I54" s="25">
        <f t="shared" si="31"/>
        <v>-1</v>
      </c>
      <c r="J54" s="25">
        <f t="shared" si="31"/>
        <v>1</v>
      </c>
      <c r="K54" s="25">
        <f t="shared" si="31"/>
        <v>0</v>
      </c>
      <c r="L54" s="25">
        <f t="shared" si="31"/>
        <v>0</v>
      </c>
      <c r="M54" s="9"/>
      <c r="N54" s="25">
        <f t="shared" ref="N54:U54" si="32">N12+N14+N16-N17</f>
        <v>1</v>
      </c>
      <c r="O54" s="25">
        <f t="shared" si="32"/>
        <v>0</v>
      </c>
      <c r="P54" s="25">
        <f t="shared" si="32"/>
        <v>-1</v>
      </c>
      <c r="Q54" s="25">
        <f t="shared" si="32"/>
        <v>0</v>
      </c>
      <c r="R54" s="25">
        <f t="shared" si="32"/>
        <v>-1</v>
      </c>
      <c r="S54" s="25">
        <f t="shared" si="32"/>
        <v>-1</v>
      </c>
      <c r="T54" s="25">
        <f t="shared" si="32"/>
        <v>0</v>
      </c>
      <c r="U54" s="25">
        <f t="shared" si="32"/>
        <v>1</v>
      </c>
    </row>
    <row r="55" spans="1:21">
      <c r="A55" s="18" t="s">
        <v>150</v>
      </c>
      <c r="C55" s="25">
        <f t="shared" ref="C55:L55" si="33">C20+C25+C26+C30+C31-C32</f>
        <v>0</v>
      </c>
      <c r="D55" s="25">
        <f t="shared" si="33"/>
        <v>0</v>
      </c>
      <c r="E55" s="25">
        <f t="shared" si="33"/>
        <v>0</v>
      </c>
      <c r="F55" s="25">
        <f t="shared" si="33"/>
        <v>0</v>
      </c>
      <c r="G55" s="25">
        <f t="shared" si="33"/>
        <v>0</v>
      </c>
      <c r="H55" s="25">
        <f t="shared" si="33"/>
        <v>0</v>
      </c>
      <c r="I55" s="25">
        <f t="shared" si="33"/>
        <v>-1</v>
      </c>
      <c r="J55" s="25">
        <f t="shared" si="33"/>
        <v>0</v>
      </c>
      <c r="K55" s="25">
        <f t="shared" si="33"/>
        <v>0</v>
      </c>
      <c r="L55" s="25">
        <f t="shared" si="33"/>
        <v>1</v>
      </c>
      <c r="M55" s="9"/>
      <c r="N55" s="25">
        <f t="shared" ref="N55:U55" si="34">N20+N25+N26+N30+N31-N32</f>
        <v>-1</v>
      </c>
      <c r="O55" s="25">
        <f t="shared" si="34"/>
        <v>-1</v>
      </c>
      <c r="P55" s="25">
        <f t="shared" si="34"/>
        <v>0</v>
      </c>
      <c r="Q55" s="25">
        <f t="shared" si="34"/>
        <v>0</v>
      </c>
      <c r="R55" s="25">
        <f t="shared" si="34"/>
        <v>0</v>
      </c>
      <c r="S55" s="25">
        <f t="shared" si="34"/>
        <v>1</v>
      </c>
      <c r="T55" s="25">
        <f t="shared" si="34"/>
        <v>0</v>
      </c>
      <c r="U55" s="25">
        <f t="shared" si="34"/>
        <v>1</v>
      </c>
    </row>
    <row r="56" spans="1:21">
      <c r="A56" s="18" t="s">
        <v>151</v>
      </c>
      <c r="C56" s="25">
        <f t="shared" ref="C56:L56" si="35">C17-C32-C33</f>
        <v>0</v>
      </c>
      <c r="D56" s="25">
        <f t="shared" si="35"/>
        <v>0</v>
      </c>
      <c r="E56" s="25">
        <f t="shared" si="35"/>
        <v>0</v>
      </c>
      <c r="F56" s="25">
        <f t="shared" si="35"/>
        <v>0</v>
      </c>
      <c r="G56" s="25">
        <f t="shared" si="35"/>
        <v>0</v>
      </c>
      <c r="H56" s="25">
        <f t="shared" si="35"/>
        <v>0</v>
      </c>
      <c r="I56" s="25">
        <f t="shared" si="35"/>
        <v>0</v>
      </c>
      <c r="J56" s="25">
        <f t="shared" si="35"/>
        <v>0</v>
      </c>
      <c r="K56" s="25">
        <f t="shared" si="35"/>
        <v>0</v>
      </c>
      <c r="L56" s="25">
        <f t="shared" si="35"/>
        <v>0</v>
      </c>
      <c r="M56" s="9"/>
      <c r="N56" s="25">
        <f t="shared" ref="N56:U56" si="36">N17-N32-N33</f>
        <v>0</v>
      </c>
      <c r="O56" s="25">
        <f t="shared" si="36"/>
        <v>0</v>
      </c>
      <c r="P56" s="25">
        <f t="shared" si="36"/>
        <v>0</v>
      </c>
      <c r="Q56" s="25">
        <f t="shared" si="36"/>
        <v>0</v>
      </c>
      <c r="R56" s="25">
        <f t="shared" si="36"/>
        <v>0</v>
      </c>
      <c r="S56" s="25">
        <f t="shared" si="36"/>
        <v>0</v>
      </c>
      <c r="T56" s="25">
        <f t="shared" si="36"/>
        <v>0</v>
      </c>
      <c r="U56" s="25">
        <f t="shared" si="36"/>
        <v>1</v>
      </c>
    </row>
    <row r="57" spans="1:21">
      <c r="A57" s="18" t="s">
        <v>152</v>
      </c>
      <c r="C57" s="25">
        <f t="shared" ref="C57:L57" si="37">C33-C37-C38-C39</f>
        <v>0</v>
      </c>
      <c r="D57" s="25">
        <f t="shared" si="37"/>
        <v>0</v>
      </c>
      <c r="E57" s="25">
        <f t="shared" si="37"/>
        <v>0</v>
      </c>
      <c r="F57" s="25">
        <f t="shared" si="37"/>
        <v>0</v>
      </c>
      <c r="G57" s="25">
        <f t="shared" si="37"/>
        <v>0</v>
      </c>
      <c r="H57" s="25">
        <f t="shared" si="37"/>
        <v>0</v>
      </c>
      <c r="I57" s="25">
        <f t="shared" si="37"/>
        <v>0</v>
      </c>
      <c r="J57" s="25">
        <f t="shared" si="37"/>
        <v>0</v>
      </c>
      <c r="K57" s="25">
        <f t="shared" si="37"/>
        <v>0</v>
      </c>
      <c r="L57" s="25">
        <f t="shared" si="37"/>
        <v>1</v>
      </c>
      <c r="M57" s="9"/>
      <c r="N57" s="25">
        <f t="shared" ref="N57:U57" si="38">N33-N37-N38-N39</f>
        <v>0</v>
      </c>
      <c r="O57" s="25">
        <f t="shared" si="38"/>
        <v>-1</v>
      </c>
      <c r="P57" s="25">
        <f t="shared" si="38"/>
        <v>-1</v>
      </c>
      <c r="Q57" s="25">
        <f t="shared" si="38"/>
        <v>-1</v>
      </c>
      <c r="R57" s="25">
        <f t="shared" si="38"/>
        <v>1</v>
      </c>
      <c r="S57" s="25">
        <f t="shared" si="38"/>
        <v>1</v>
      </c>
      <c r="T57" s="25">
        <f t="shared" si="38"/>
        <v>0</v>
      </c>
      <c r="U57" s="25">
        <f t="shared" si="38"/>
        <v>-1</v>
      </c>
    </row>
    <row r="58" spans="1:21">
      <c r="A58" s="18" t="s">
        <v>153</v>
      </c>
      <c r="C58" s="25">
        <f t="shared" ref="C58:L58" si="39">C39-C40-C41</f>
        <v>0</v>
      </c>
      <c r="D58" s="25">
        <f t="shared" si="39"/>
        <v>0</v>
      </c>
      <c r="E58" s="25">
        <f t="shared" si="39"/>
        <v>0</v>
      </c>
      <c r="F58" s="25">
        <f t="shared" si="39"/>
        <v>0</v>
      </c>
      <c r="G58" s="25">
        <f t="shared" si="39"/>
        <v>0</v>
      </c>
      <c r="H58" s="25">
        <f t="shared" si="39"/>
        <v>0</v>
      </c>
      <c r="I58" s="25">
        <f t="shared" si="39"/>
        <v>0</v>
      </c>
      <c r="J58" s="25">
        <f t="shared" si="39"/>
        <v>0</v>
      </c>
      <c r="K58" s="25">
        <f t="shared" si="39"/>
        <v>1</v>
      </c>
      <c r="L58" s="25">
        <f t="shared" si="39"/>
        <v>0</v>
      </c>
      <c r="M58" s="9"/>
      <c r="N58" s="25">
        <f t="shared" ref="N58:U58" si="40">N39-N40-N41</f>
        <v>0</v>
      </c>
      <c r="O58" s="25">
        <f t="shared" si="40"/>
        <v>1</v>
      </c>
      <c r="P58" s="25">
        <f t="shared" si="40"/>
        <v>1</v>
      </c>
      <c r="Q58" s="25">
        <f t="shared" si="40"/>
        <v>0</v>
      </c>
      <c r="R58" s="25">
        <f t="shared" si="40"/>
        <v>0</v>
      </c>
      <c r="S58" s="25">
        <f t="shared" si="40"/>
        <v>-1</v>
      </c>
      <c r="T58" s="25">
        <f t="shared" si="40"/>
        <v>0</v>
      </c>
      <c r="U58" s="25">
        <f t="shared" si="40"/>
        <v>0</v>
      </c>
    </row>
    <row r="59" spans="1:21">
      <c r="M59" s="9"/>
    </row>
  </sheetData>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U73"/>
  <sheetViews>
    <sheetView showGridLines="0" zoomScale="85" workbookViewId="0">
      <pane xSplit="2" ySplit="5" topLeftCell="C6" activePane="bottomRight" state="frozen"/>
      <selection pane="topRight"/>
      <selection pane="bottomLeft"/>
      <selection pane="bottomRight" activeCell="H30" sqref="H30"/>
    </sheetView>
  </sheetViews>
  <sheetFormatPr baseColWidth="10" defaultColWidth="8.83203125" defaultRowHeight="14" outlineLevelCol="1"/>
  <cols>
    <col min="1" max="1" width="46" customWidth="1"/>
    <col min="2" max="2" width="34" hidden="1" customWidth="1" outlineLevel="1"/>
    <col min="3" max="3" width="12" customWidth="1" collapsed="1"/>
    <col min="4" max="12" width="12" customWidth="1"/>
    <col min="13" max="13" width="9" customWidth="1"/>
    <col min="14" max="21" width="12" customWidth="1"/>
  </cols>
  <sheetData>
    <row r="1" spans="1:21" ht="28" customHeight="1">
      <c r="A1" s="1" t="s">
        <v>154</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HYPERLINK("#'Balance Sheet'!A13","1. ASSETS")</f>
        <v>1. ASSETS</v>
      </c>
      <c r="M7" s="9"/>
    </row>
    <row r="8" spans="1:21">
      <c r="A8" s="11" t="str">
        <f>HYPERLINK("#'Balance Sheet'!A31","2. LIABILITIES")</f>
        <v>2. LIABILITIES</v>
      </c>
      <c r="M8" s="9"/>
    </row>
    <row r="9" spans="1:21">
      <c r="A9" s="11" t="str">
        <f>HYPERLINK("#'Balance Sheet'!A49","3. SHAREHOLDERS' EQUITY (DEFICIT)")</f>
        <v>3. SHAREHOLDERS' EQUITY (DEFICIT)</v>
      </c>
      <c r="M9" s="9"/>
    </row>
    <row r="10" spans="1:21">
      <c r="A10" s="11" t="str">
        <f>HYPERLINK("#'Balance Sheet'!A60","4. TIE-OUT CHECKS")</f>
        <v>4. TIE-OUT CHECKS</v>
      </c>
      <c r="M10" s="9"/>
    </row>
    <row r="11" spans="1:21">
      <c r="A11" s="11" t="str">
        <f>HYPERLINK("#'Balance Sheet'!A68","5. DEBT AND LEASE SUMMARY (ANALYST CALCULATION FROM FILED LINES)")</f>
        <v>5. DEBT AND LEASE SUMMARY (ANALYST CALCULATION FROM FILED LINES)</v>
      </c>
      <c r="M11" s="9"/>
    </row>
    <row r="12" spans="1:21" ht="8" customHeight="1">
      <c r="M12" s="9"/>
    </row>
    <row r="13" spans="1:21" ht="20" customHeight="1">
      <c r="A13" s="12" t="s">
        <v>155</v>
      </c>
      <c r="B13" s="2"/>
      <c r="C13" s="2"/>
      <c r="D13" s="2"/>
      <c r="E13" s="2"/>
      <c r="F13" s="2"/>
      <c r="G13" s="2"/>
      <c r="H13" s="2"/>
      <c r="I13" s="2"/>
      <c r="J13" s="2"/>
      <c r="K13" s="2"/>
      <c r="L13" s="2"/>
      <c r="M13" s="9"/>
      <c r="N13" s="2"/>
      <c r="O13" s="2"/>
      <c r="P13" s="2"/>
      <c r="Q13" s="2"/>
      <c r="R13" s="2"/>
      <c r="S13" s="2"/>
      <c r="T13" s="2"/>
      <c r="U13" s="2"/>
    </row>
    <row r="14" spans="1:21">
      <c r="A14" s="13" t="s">
        <v>156</v>
      </c>
      <c r="C14" s="14">
        <v>1223.4000000000001</v>
      </c>
      <c r="D14" s="14">
        <v>2463.8000000000002</v>
      </c>
      <c r="E14" s="14">
        <v>866</v>
      </c>
      <c r="F14" s="14">
        <v>898.5</v>
      </c>
      <c r="G14" s="14">
        <v>3449.1</v>
      </c>
      <c r="H14" s="14">
        <v>4709.2</v>
      </c>
      <c r="I14" s="14">
        <v>2583.8000000000002</v>
      </c>
      <c r="J14" s="14">
        <v>4579</v>
      </c>
      <c r="K14" s="14">
        <v>1085</v>
      </c>
      <c r="L14" s="14">
        <v>774</v>
      </c>
      <c r="M14" s="9"/>
      <c r="N14" s="14">
        <v>1221</v>
      </c>
      <c r="O14" s="14">
        <v>1085</v>
      </c>
      <c r="P14" s="14">
        <v>1238</v>
      </c>
      <c r="Q14" s="14">
        <v>1876</v>
      </c>
      <c r="R14" s="14">
        <v>2413</v>
      </c>
      <c r="S14" s="14">
        <v>774</v>
      </c>
      <c r="T14" s="14">
        <v>1170</v>
      </c>
      <c r="U14" s="14">
        <v>822</v>
      </c>
    </row>
    <row r="15" spans="1:21">
      <c r="A15" s="13" t="s">
        <v>157</v>
      </c>
      <c r="C15" s="14">
        <v>1474.1</v>
      </c>
      <c r="D15" s="14">
        <v>1976.2</v>
      </c>
      <c r="E15" s="14">
        <v>2441.5</v>
      </c>
      <c r="F15" s="14">
        <v>2224.1999999999998</v>
      </c>
      <c r="G15" s="14">
        <v>2110.3000000000002</v>
      </c>
      <c r="H15" s="14">
        <v>1872.4</v>
      </c>
      <c r="I15" s="14">
        <v>2115</v>
      </c>
      <c r="J15" s="14">
        <v>2488</v>
      </c>
      <c r="K15" s="14">
        <v>2383</v>
      </c>
      <c r="L15" s="14">
        <v>2466</v>
      </c>
      <c r="M15" s="9"/>
      <c r="N15" s="14">
        <v>2460</v>
      </c>
      <c r="O15" s="14">
        <v>2383</v>
      </c>
      <c r="P15" s="14">
        <v>2387</v>
      </c>
      <c r="Q15" s="14">
        <v>2550</v>
      </c>
      <c r="R15" s="14">
        <v>2579</v>
      </c>
      <c r="S15" s="14">
        <v>2466</v>
      </c>
      <c r="T15" s="14">
        <v>2432</v>
      </c>
      <c r="U15" s="14">
        <v>2485</v>
      </c>
    </row>
    <row r="16" spans="1:21">
      <c r="A16" s="13" t="s">
        <v>158</v>
      </c>
      <c r="C16" s="14">
        <v>58.9</v>
      </c>
      <c r="D16" s="14">
        <v>58.8</v>
      </c>
      <c r="E16" s="14">
        <v>51.1</v>
      </c>
      <c r="F16" s="14">
        <v>50.2</v>
      </c>
      <c r="G16" s="14">
        <v>51.1</v>
      </c>
      <c r="H16" s="14">
        <v>55.6</v>
      </c>
      <c r="I16" s="14">
        <v>52</v>
      </c>
      <c r="J16" s="14">
        <v>53</v>
      </c>
      <c r="K16" s="14">
        <v>56</v>
      </c>
      <c r="L16" s="14">
        <v>61</v>
      </c>
      <c r="M16" s="9"/>
      <c r="N16" s="14">
        <v>54</v>
      </c>
      <c r="O16" s="14">
        <v>56</v>
      </c>
      <c r="P16" s="14">
        <v>51</v>
      </c>
      <c r="Q16" s="14">
        <v>55</v>
      </c>
      <c r="R16" s="14">
        <v>55</v>
      </c>
      <c r="S16" s="14">
        <v>61</v>
      </c>
      <c r="T16" s="14">
        <v>61</v>
      </c>
      <c r="U16" s="14">
        <v>58</v>
      </c>
    </row>
    <row r="17" spans="1:21">
      <c r="A17" s="13" t="s">
        <v>159</v>
      </c>
      <c r="C17" s="14">
        <v>565.20000000000005</v>
      </c>
      <c r="D17" s="14">
        <v>828.4</v>
      </c>
      <c r="E17" s="14">
        <v>694.6</v>
      </c>
      <c r="F17" s="14">
        <v>385</v>
      </c>
      <c r="G17" s="14">
        <v>632.70000000000005</v>
      </c>
      <c r="H17" s="14">
        <v>511.3</v>
      </c>
      <c r="I17" s="14">
        <v>673.4</v>
      </c>
      <c r="J17" s="14">
        <v>866</v>
      </c>
      <c r="K17" s="14">
        <v>1074</v>
      </c>
      <c r="L17" s="14">
        <v>863</v>
      </c>
      <c r="M17" s="9"/>
      <c r="N17" s="14">
        <v>1176</v>
      </c>
      <c r="O17" s="14">
        <v>1074</v>
      </c>
      <c r="P17" s="14">
        <v>1060</v>
      </c>
      <c r="Q17" s="14">
        <v>1120</v>
      </c>
      <c r="R17" s="14">
        <v>1032</v>
      </c>
      <c r="S17" s="14">
        <v>863</v>
      </c>
      <c r="T17" s="14">
        <v>1046</v>
      </c>
      <c r="U17" s="14">
        <v>980</v>
      </c>
    </row>
    <row r="18" spans="1:21">
      <c r="A18" s="13" t="s">
        <v>160</v>
      </c>
      <c r="C18" s="14">
        <v>1527</v>
      </c>
      <c r="D18" s="14">
        <v>0</v>
      </c>
      <c r="M18" s="9"/>
    </row>
    <row r="19" spans="1:21">
      <c r="A19" s="10" t="s">
        <v>161</v>
      </c>
      <c r="C19" s="16">
        <v>4848.6000000000004</v>
      </c>
      <c r="D19" s="16">
        <v>5327.2</v>
      </c>
      <c r="E19" s="16">
        <v>4053.2</v>
      </c>
      <c r="F19" s="16">
        <v>3557.9</v>
      </c>
      <c r="G19" s="16">
        <v>6243.2</v>
      </c>
      <c r="H19" s="16">
        <v>7148.5</v>
      </c>
      <c r="I19" s="16">
        <v>5424.2</v>
      </c>
      <c r="J19" s="16">
        <v>7986</v>
      </c>
      <c r="K19" s="16">
        <v>4599</v>
      </c>
      <c r="L19" s="16">
        <v>4163</v>
      </c>
      <c r="M19" s="17"/>
      <c r="N19" s="16">
        <v>4912</v>
      </c>
      <c r="O19" s="16">
        <v>4599</v>
      </c>
      <c r="P19" s="16">
        <v>4735</v>
      </c>
      <c r="Q19" s="16">
        <v>5601</v>
      </c>
      <c r="R19" s="16">
        <v>6079</v>
      </c>
      <c r="S19" s="16">
        <v>4163</v>
      </c>
      <c r="T19" s="16">
        <v>4709</v>
      </c>
      <c r="U19" s="16">
        <v>4345</v>
      </c>
    </row>
    <row r="20" spans="1:21">
      <c r="M20" s="9"/>
    </row>
    <row r="21" spans="1:21">
      <c r="A21" s="13" t="s">
        <v>162</v>
      </c>
      <c r="C21" s="14">
        <v>725.9</v>
      </c>
      <c r="D21" s="14">
        <v>1085.7</v>
      </c>
      <c r="E21" s="14">
        <v>1202.8</v>
      </c>
      <c r="F21" s="14">
        <v>1270.3</v>
      </c>
      <c r="G21" s="14">
        <v>1297.2</v>
      </c>
      <c r="H21" s="14">
        <v>1201.2</v>
      </c>
      <c r="I21" s="14">
        <v>1064.5</v>
      </c>
      <c r="J21" s="14">
        <v>1080</v>
      </c>
      <c r="K21" s="14">
        <v>2710</v>
      </c>
      <c r="L21" s="14">
        <v>2820</v>
      </c>
      <c r="M21" s="9"/>
      <c r="N21" s="14">
        <v>2960</v>
      </c>
      <c r="O21" s="14">
        <v>2710</v>
      </c>
      <c r="P21" s="14">
        <v>2751</v>
      </c>
      <c r="Q21" s="14">
        <v>2827</v>
      </c>
      <c r="R21" s="14">
        <v>2864</v>
      </c>
      <c r="S21" s="14">
        <v>2820</v>
      </c>
      <c r="T21" s="14">
        <v>2865</v>
      </c>
      <c r="U21" s="14">
        <v>2896</v>
      </c>
    </row>
    <row r="22" spans="1:21">
      <c r="A22" s="13" t="s">
        <v>163</v>
      </c>
      <c r="C22" s="14">
        <v>2336.5</v>
      </c>
      <c r="D22" s="14">
        <v>2379.6999999999998</v>
      </c>
      <c r="E22" s="14">
        <v>2331.5</v>
      </c>
      <c r="F22" s="14">
        <v>2677.4</v>
      </c>
      <c r="G22" s="14">
        <v>2773.1</v>
      </c>
      <c r="H22" s="14">
        <v>2782.5</v>
      </c>
      <c r="I22" s="14">
        <v>2900.4</v>
      </c>
      <c r="J22" s="14">
        <v>3040</v>
      </c>
      <c r="K22" s="14">
        <v>3145</v>
      </c>
      <c r="L22" s="14">
        <v>3354</v>
      </c>
      <c r="M22" s="9"/>
      <c r="N22" s="14">
        <v>3220</v>
      </c>
      <c r="O22" s="14">
        <v>3145</v>
      </c>
      <c r="P22" s="14">
        <v>3186</v>
      </c>
      <c r="Q22" s="14">
        <v>3308</v>
      </c>
      <c r="R22" s="14">
        <v>3306</v>
      </c>
      <c r="S22" s="14">
        <v>3354</v>
      </c>
      <c r="T22" s="14">
        <v>3349</v>
      </c>
      <c r="U22" s="14">
        <v>3347</v>
      </c>
    </row>
    <row r="23" spans="1:21">
      <c r="A23" s="13" t="s">
        <v>164</v>
      </c>
      <c r="C23" s="14">
        <v>1855.3</v>
      </c>
      <c r="D23" s="14">
        <v>2562.8000000000002</v>
      </c>
      <c r="E23" s="14">
        <v>2381</v>
      </c>
      <c r="F23" s="14">
        <v>2584</v>
      </c>
      <c r="G23" s="14">
        <v>3527.4</v>
      </c>
      <c r="H23" s="14">
        <v>4449.5</v>
      </c>
      <c r="I23" s="14">
        <v>4707.2</v>
      </c>
      <c r="J23" s="14">
        <v>5618</v>
      </c>
      <c r="K23" s="14">
        <v>6095</v>
      </c>
      <c r="L23" s="14">
        <v>6331</v>
      </c>
      <c r="M23" s="9"/>
      <c r="N23" s="14">
        <v>5673</v>
      </c>
      <c r="O23" s="14">
        <v>6095</v>
      </c>
      <c r="P23" s="14">
        <v>6265</v>
      </c>
      <c r="Q23" s="14">
        <v>6492</v>
      </c>
      <c r="R23" s="14">
        <v>6588</v>
      </c>
      <c r="S23" s="14">
        <v>6331</v>
      </c>
      <c r="T23" s="14">
        <v>6357</v>
      </c>
      <c r="U23" s="14">
        <v>6393</v>
      </c>
    </row>
    <row r="24" spans="1:21">
      <c r="A24" s="10" t="s">
        <v>165</v>
      </c>
      <c r="C24" s="16">
        <v>4917.7</v>
      </c>
      <c r="D24" s="16">
        <v>6028.2</v>
      </c>
      <c r="E24" s="16">
        <v>5915.3</v>
      </c>
      <c r="F24" s="16">
        <v>6531.7</v>
      </c>
      <c r="G24" s="16">
        <v>7597.7</v>
      </c>
      <c r="H24" s="16">
        <v>8433.2000000000007</v>
      </c>
      <c r="I24" s="16">
        <v>8672.1</v>
      </c>
      <c r="J24" s="16">
        <v>9738</v>
      </c>
      <c r="K24" s="16">
        <v>11950</v>
      </c>
      <c r="L24" s="16">
        <v>12505</v>
      </c>
      <c r="M24" s="17"/>
      <c r="N24" s="16">
        <v>11853</v>
      </c>
      <c r="O24" s="16">
        <v>11950</v>
      </c>
      <c r="P24" s="16">
        <v>12202</v>
      </c>
      <c r="Q24" s="16">
        <v>12628</v>
      </c>
      <c r="R24" s="16">
        <v>12758</v>
      </c>
      <c r="S24" s="16">
        <v>12505</v>
      </c>
      <c r="T24" s="16">
        <v>12571</v>
      </c>
      <c r="U24" s="16">
        <v>12637</v>
      </c>
    </row>
    <row r="25" spans="1:21" ht="24">
      <c r="A25" s="53" t="s">
        <v>963</v>
      </c>
      <c r="B25" s="15" t="s">
        <v>166</v>
      </c>
      <c r="E25" s="14">
        <v>0</v>
      </c>
      <c r="F25" s="14">
        <v>13261.2</v>
      </c>
      <c r="G25" s="14">
        <v>13827.7</v>
      </c>
      <c r="H25" s="14">
        <v>13552</v>
      </c>
      <c r="I25" s="14">
        <v>12565.7</v>
      </c>
      <c r="J25" s="14">
        <v>13514</v>
      </c>
      <c r="K25" s="14">
        <v>13339</v>
      </c>
      <c r="L25" s="14">
        <v>14606</v>
      </c>
      <c r="M25" s="9"/>
      <c r="N25" s="14">
        <v>13632</v>
      </c>
      <c r="O25" s="14">
        <v>13339</v>
      </c>
      <c r="P25" s="14">
        <v>13642</v>
      </c>
      <c r="Q25" s="14">
        <v>14286</v>
      </c>
      <c r="R25" s="14">
        <v>14285</v>
      </c>
      <c r="S25" s="14">
        <v>14606</v>
      </c>
      <c r="T25" s="14">
        <v>14513</v>
      </c>
      <c r="U25" s="14">
        <v>14459</v>
      </c>
    </row>
    <row r="26" spans="1:21">
      <c r="A26" s="42" t="s">
        <v>962</v>
      </c>
      <c r="C26" s="14">
        <v>34443.4</v>
      </c>
      <c r="D26" s="14">
        <v>36626.400000000001</v>
      </c>
      <c r="E26" s="14">
        <v>37193.599999999999</v>
      </c>
      <c r="F26" s="14">
        <v>39050.9</v>
      </c>
      <c r="G26" s="14">
        <v>41476.5</v>
      </c>
      <c r="H26" s="14">
        <v>41916.6</v>
      </c>
      <c r="I26" s="14">
        <v>41037.599999999999</v>
      </c>
      <c r="J26" s="14">
        <v>43570</v>
      </c>
      <c r="K26" s="14">
        <v>44177</v>
      </c>
      <c r="L26" s="14">
        <v>49290</v>
      </c>
      <c r="M26" s="9"/>
      <c r="N26" s="14">
        <v>45178</v>
      </c>
      <c r="O26" s="14">
        <v>44177</v>
      </c>
      <c r="P26" s="14">
        <v>45258</v>
      </c>
      <c r="Q26" s="14">
        <v>47609</v>
      </c>
      <c r="R26" s="14">
        <v>48215</v>
      </c>
      <c r="S26" s="14">
        <v>49290</v>
      </c>
      <c r="T26" s="14">
        <v>49477</v>
      </c>
      <c r="U26" s="14">
        <v>49943</v>
      </c>
    </row>
    <row r="27" spans="1:21">
      <c r="A27" s="13" t="s">
        <v>168</v>
      </c>
      <c r="C27" s="14">
        <v>-13185.8</v>
      </c>
      <c r="D27" s="14">
        <v>-14178.1</v>
      </c>
      <c r="E27" s="14">
        <v>-14350.9</v>
      </c>
      <c r="F27" s="14">
        <v>-14890.9</v>
      </c>
      <c r="G27" s="14">
        <v>-16518.3</v>
      </c>
      <c r="H27" s="14">
        <v>-17196</v>
      </c>
      <c r="I27" s="14">
        <v>-17264</v>
      </c>
      <c r="J27" s="14">
        <v>-18662</v>
      </c>
      <c r="K27" s="14">
        <v>-18882</v>
      </c>
      <c r="L27" s="14">
        <v>-21049</v>
      </c>
      <c r="M27" s="9"/>
      <c r="N27" s="14">
        <v>-19403</v>
      </c>
      <c r="O27" s="14">
        <v>-18882</v>
      </c>
      <c r="P27" s="14">
        <v>-19509</v>
      </c>
      <c r="Q27" s="14">
        <v>-20570</v>
      </c>
      <c r="R27" s="14">
        <v>-20729</v>
      </c>
      <c r="S27" s="14">
        <v>-21049</v>
      </c>
      <c r="T27" s="14">
        <v>-21232</v>
      </c>
      <c r="U27" s="14">
        <v>-21464</v>
      </c>
    </row>
    <row r="28" spans="1:21">
      <c r="A28" s="10" t="s">
        <v>169</v>
      </c>
      <c r="C28" s="16">
        <v>21257.599999999999</v>
      </c>
      <c r="D28" s="16">
        <v>22448.3</v>
      </c>
      <c r="E28" s="16">
        <v>22842.7</v>
      </c>
      <c r="F28" s="16">
        <v>24160</v>
      </c>
      <c r="G28" s="16">
        <v>24958.2</v>
      </c>
      <c r="H28" s="16">
        <v>24720.6</v>
      </c>
      <c r="I28" s="16">
        <v>23773.599999999999</v>
      </c>
      <c r="J28" s="16">
        <v>24908</v>
      </c>
      <c r="K28" s="16">
        <v>25295</v>
      </c>
      <c r="L28" s="16">
        <v>28241</v>
      </c>
      <c r="M28" s="17"/>
      <c r="N28" s="16">
        <v>25775</v>
      </c>
      <c r="O28" s="16">
        <v>25295</v>
      </c>
      <c r="P28" s="16">
        <v>25749</v>
      </c>
      <c r="Q28" s="16">
        <v>27039</v>
      </c>
      <c r="R28" s="16">
        <v>27486</v>
      </c>
      <c r="S28" s="16">
        <v>28241</v>
      </c>
      <c r="T28" s="16">
        <v>28245</v>
      </c>
      <c r="U28" s="16">
        <v>28479</v>
      </c>
    </row>
    <row r="29" spans="1:21">
      <c r="A29" s="10" t="s">
        <v>170</v>
      </c>
      <c r="C29" s="16">
        <v>31023.9</v>
      </c>
      <c r="D29" s="16">
        <v>33803.699999999997</v>
      </c>
      <c r="E29" s="16">
        <v>32811.199999999997</v>
      </c>
      <c r="F29" s="16">
        <v>47510.8</v>
      </c>
      <c r="G29" s="16">
        <v>52626.8</v>
      </c>
      <c r="H29" s="16">
        <v>53854.3</v>
      </c>
      <c r="I29" s="16">
        <v>50435.6</v>
      </c>
      <c r="J29" s="16">
        <v>56147</v>
      </c>
      <c r="K29" s="16">
        <v>55182</v>
      </c>
      <c r="L29" s="16">
        <v>59515</v>
      </c>
      <c r="M29" s="17"/>
      <c r="N29" s="16">
        <v>56172</v>
      </c>
      <c r="O29" s="16">
        <v>55182</v>
      </c>
      <c r="P29" s="16">
        <v>56329</v>
      </c>
      <c r="Q29" s="16">
        <v>59555</v>
      </c>
      <c r="R29" s="16">
        <v>60608</v>
      </c>
      <c r="S29" s="16">
        <v>59515</v>
      </c>
      <c r="T29" s="16">
        <v>60037</v>
      </c>
      <c r="U29" s="16">
        <v>59920</v>
      </c>
    </row>
    <row r="30" spans="1:21" ht="8" customHeight="1">
      <c r="M30" s="9"/>
    </row>
    <row r="31" spans="1:21" ht="20" customHeight="1">
      <c r="A31" s="12" t="s">
        <v>171</v>
      </c>
      <c r="B31" s="2"/>
      <c r="C31" s="2"/>
      <c r="D31" s="2"/>
      <c r="E31" s="2"/>
      <c r="F31" s="2"/>
      <c r="G31" s="2"/>
      <c r="H31" s="2"/>
      <c r="I31" s="2"/>
      <c r="J31" s="2"/>
      <c r="K31" s="2"/>
      <c r="L31" s="2"/>
      <c r="M31" s="9"/>
      <c r="N31" s="2"/>
      <c r="O31" s="2"/>
      <c r="P31" s="2"/>
      <c r="Q31" s="2"/>
      <c r="R31" s="2"/>
      <c r="S31" s="2"/>
      <c r="T31" s="2"/>
      <c r="U31" s="2"/>
    </row>
    <row r="32" spans="1:21">
      <c r="A32" s="13" t="s">
        <v>172</v>
      </c>
      <c r="C32" s="14">
        <v>756</v>
      </c>
      <c r="D32" s="14">
        <v>924.8</v>
      </c>
      <c r="E32" s="14">
        <v>1207.9000000000001</v>
      </c>
      <c r="F32" s="14">
        <v>988.2</v>
      </c>
      <c r="G32" s="14">
        <v>741.3</v>
      </c>
      <c r="H32" s="14">
        <v>1006.8</v>
      </c>
      <c r="I32" s="14">
        <v>980.2</v>
      </c>
      <c r="J32" s="14">
        <v>1103</v>
      </c>
      <c r="K32" s="14">
        <v>1029</v>
      </c>
      <c r="L32" s="14">
        <v>1149</v>
      </c>
      <c r="M32" s="9"/>
      <c r="N32" s="14">
        <v>944</v>
      </c>
      <c r="O32" s="14">
        <v>1029</v>
      </c>
      <c r="P32" s="14">
        <v>882</v>
      </c>
      <c r="Q32" s="14">
        <v>838</v>
      </c>
      <c r="R32" s="14">
        <v>972</v>
      </c>
      <c r="S32" s="14">
        <v>1149</v>
      </c>
      <c r="T32" s="14">
        <v>1091</v>
      </c>
      <c r="U32" s="14">
        <v>1114</v>
      </c>
    </row>
    <row r="33" spans="1:21">
      <c r="A33" s="13" t="s">
        <v>173</v>
      </c>
      <c r="E33" s="14">
        <v>0</v>
      </c>
      <c r="F33" s="14">
        <v>621</v>
      </c>
      <c r="G33" s="14">
        <v>701.5</v>
      </c>
      <c r="H33" s="14">
        <v>705.5</v>
      </c>
      <c r="I33" s="14">
        <v>661.1</v>
      </c>
      <c r="J33" s="14">
        <v>688</v>
      </c>
      <c r="K33" s="14">
        <v>636</v>
      </c>
      <c r="L33" s="14">
        <v>694</v>
      </c>
      <c r="M33" s="9"/>
      <c r="N33" s="14">
        <v>668</v>
      </c>
      <c r="O33" s="14">
        <v>636</v>
      </c>
      <c r="P33" s="14">
        <v>663</v>
      </c>
      <c r="Q33" s="14">
        <v>686</v>
      </c>
      <c r="R33" s="14">
        <v>698</v>
      </c>
      <c r="S33" s="14">
        <v>694</v>
      </c>
      <c r="T33" s="14">
        <v>707</v>
      </c>
      <c r="U33" s="14">
        <v>690</v>
      </c>
    </row>
    <row r="34" spans="1:21">
      <c r="A34" s="13" t="s">
        <v>174</v>
      </c>
      <c r="C34" s="14">
        <v>267.2</v>
      </c>
      <c r="D34" s="14">
        <v>265.8</v>
      </c>
      <c r="E34" s="14">
        <v>228.3</v>
      </c>
      <c r="F34" s="14">
        <v>331.7</v>
      </c>
      <c r="G34" s="14">
        <v>741.1</v>
      </c>
      <c r="H34" s="14">
        <v>360.7</v>
      </c>
      <c r="I34" s="14">
        <v>274.89999999999998</v>
      </c>
      <c r="J34" s="14">
        <v>705</v>
      </c>
      <c r="K34" s="14">
        <v>361</v>
      </c>
      <c r="L34" s="14">
        <v>250</v>
      </c>
      <c r="M34" s="9"/>
      <c r="N34" s="14">
        <v>786</v>
      </c>
      <c r="O34" s="14">
        <v>361</v>
      </c>
      <c r="P34" s="14">
        <v>556</v>
      </c>
      <c r="Q34" s="14">
        <v>24</v>
      </c>
      <c r="R34" s="14">
        <v>367</v>
      </c>
      <c r="S34" s="14">
        <v>250</v>
      </c>
      <c r="T34" s="14">
        <v>391</v>
      </c>
      <c r="U34" s="14">
        <v>327</v>
      </c>
    </row>
    <row r="35" spans="1:21">
      <c r="A35" s="13" t="s">
        <v>175</v>
      </c>
      <c r="C35" s="14">
        <v>266.3</v>
      </c>
      <c r="D35" s="14">
        <v>275.39999999999998</v>
      </c>
      <c r="E35" s="14">
        <v>253.7</v>
      </c>
      <c r="F35" s="14">
        <v>247.5</v>
      </c>
      <c r="G35" s="14">
        <v>227</v>
      </c>
      <c r="H35" s="14">
        <v>236.7</v>
      </c>
      <c r="I35" s="14">
        <v>255.1</v>
      </c>
      <c r="J35" s="14">
        <v>268</v>
      </c>
      <c r="K35" s="14">
        <v>224</v>
      </c>
      <c r="L35" s="14">
        <v>247</v>
      </c>
      <c r="M35" s="9"/>
      <c r="N35" s="14">
        <v>263</v>
      </c>
      <c r="O35" s="14">
        <v>224</v>
      </c>
      <c r="P35" s="14">
        <v>235</v>
      </c>
      <c r="Q35" s="14">
        <v>245</v>
      </c>
      <c r="R35" s="14">
        <v>242</v>
      </c>
      <c r="S35" s="14">
        <v>247</v>
      </c>
      <c r="T35" s="14">
        <v>253</v>
      </c>
      <c r="U35" s="14">
        <v>261</v>
      </c>
    </row>
    <row r="36" spans="1:21">
      <c r="A36" s="13" t="s">
        <v>176</v>
      </c>
      <c r="C36" s="14">
        <v>247.5</v>
      </c>
      <c r="D36" s="14">
        <v>278.39999999999998</v>
      </c>
      <c r="E36" s="14">
        <v>297</v>
      </c>
      <c r="F36" s="14">
        <v>337.8</v>
      </c>
      <c r="G36" s="14">
        <v>388.4</v>
      </c>
      <c r="H36" s="14">
        <v>363.3</v>
      </c>
      <c r="I36" s="14">
        <v>393.4</v>
      </c>
      <c r="J36" s="14">
        <v>469</v>
      </c>
      <c r="K36" s="14">
        <v>482</v>
      </c>
      <c r="L36" s="14">
        <v>533</v>
      </c>
      <c r="M36" s="9"/>
      <c r="N36" s="14">
        <v>433</v>
      </c>
      <c r="O36" s="14">
        <v>482</v>
      </c>
      <c r="P36" s="14">
        <v>401</v>
      </c>
      <c r="Q36" s="14">
        <v>451</v>
      </c>
      <c r="R36" s="14">
        <v>471</v>
      </c>
      <c r="S36" s="14">
        <v>533</v>
      </c>
      <c r="T36" s="14">
        <v>448</v>
      </c>
      <c r="U36" s="14">
        <v>428</v>
      </c>
    </row>
    <row r="37" spans="1:21">
      <c r="A37" s="13" t="s">
        <v>177</v>
      </c>
      <c r="C37" s="14">
        <v>1159.3</v>
      </c>
      <c r="D37" s="14">
        <v>1146.2</v>
      </c>
      <c r="E37" s="14">
        <v>986.6</v>
      </c>
      <c r="F37" s="14">
        <v>1035.7</v>
      </c>
      <c r="G37" s="14">
        <v>1138.3</v>
      </c>
      <c r="H37" s="14">
        <v>1347</v>
      </c>
      <c r="I37" s="14">
        <v>1237.4000000000001</v>
      </c>
      <c r="J37" s="14">
        <v>1434</v>
      </c>
      <c r="K37" s="14">
        <v>1129</v>
      </c>
      <c r="L37" s="14">
        <v>1488</v>
      </c>
      <c r="M37" s="9"/>
      <c r="N37" s="14">
        <v>1353</v>
      </c>
      <c r="O37" s="14">
        <v>1129</v>
      </c>
      <c r="P37" s="14">
        <v>1191</v>
      </c>
      <c r="Q37" s="14">
        <v>1452</v>
      </c>
      <c r="R37" s="14">
        <v>1529</v>
      </c>
      <c r="S37" s="14">
        <v>1488</v>
      </c>
      <c r="T37" s="14">
        <v>1257</v>
      </c>
      <c r="U37" s="14">
        <v>1198</v>
      </c>
    </row>
    <row r="38" spans="1:21">
      <c r="A38" s="13" t="s">
        <v>178</v>
      </c>
      <c r="B38" s="15" t="s">
        <v>179</v>
      </c>
      <c r="M38" s="9"/>
      <c r="N38" s="14">
        <v>1265</v>
      </c>
    </row>
    <row r="39" spans="1:21" ht="24">
      <c r="A39" s="13" t="s">
        <v>180</v>
      </c>
      <c r="B39" s="15" t="s">
        <v>181</v>
      </c>
      <c r="C39" s="14">
        <v>77.2</v>
      </c>
      <c r="D39" s="14">
        <v>0</v>
      </c>
      <c r="E39" s="14">
        <v>0</v>
      </c>
      <c r="F39" s="14">
        <v>59.1</v>
      </c>
      <c r="G39" s="14">
        <v>2243.6</v>
      </c>
      <c r="H39" s="14">
        <v>0</v>
      </c>
      <c r="I39" s="14">
        <v>0</v>
      </c>
      <c r="J39" s="14">
        <v>2192</v>
      </c>
      <c r="K39" s="14">
        <v>0</v>
      </c>
      <c r="M39" s="9"/>
      <c r="N39" s="14">
        <v>596</v>
      </c>
      <c r="O39" s="14">
        <v>0</v>
      </c>
      <c r="P39" s="14">
        <v>80</v>
      </c>
      <c r="Q39" s="14">
        <v>602</v>
      </c>
      <c r="R39" s="14">
        <v>1800</v>
      </c>
    </row>
    <row r="40" spans="1:21">
      <c r="A40" s="13" t="s">
        <v>182</v>
      </c>
      <c r="C40" s="14">
        <v>694.8</v>
      </c>
      <c r="D40" s="14">
        <v>0</v>
      </c>
      <c r="M40" s="9"/>
    </row>
    <row r="41" spans="1:21">
      <c r="A41" s="10" t="s">
        <v>183</v>
      </c>
      <c r="C41" s="16">
        <v>3468.3</v>
      </c>
      <c r="D41" s="16">
        <v>2890.6</v>
      </c>
      <c r="E41" s="16">
        <v>2973.5</v>
      </c>
      <c r="F41" s="16">
        <v>3621</v>
      </c>
      <c r="G41" s="16">
        <v>6181.2</v>
      </c>
      <c r="H41" s="16">
        <v>4020</v>
      </c>
      <c r="I41" s="16">
        <v>3802.1</v>
      </c>
      <c r="J41" s="16">
        <v>6859</v>
      </c>
      <c r="K41" s="16">
        <v>3861</v>
      </c>
      <c r="L41" s="16">
        <v>4361</v>
      </c>
      <c r="M41" s="17"/>
      <c r="N41" s="16">
        <v>6308</v>
      </c>
      <c r="O41" s="16">
        <v>3861</v>
      </c>
      <c r="P41" s="16">
        <v>4008</v>
      </c>
      <c r="Q41" s="16">
        <v>4298</v>
      </c>
      <c r="R41" s="16">
        <v>6079</v>
      </c>
      <c r="S41" s="16">
        <v>4361</v>
      </c>
      <c r="T41" s="16">
        <v>4146</v>
      </c>
      <c r="U41" s="16">
        <v>4018</v>
      </c>
    </row>
    <row r="42" spans="1:21">
      <c r="A42" s="5" t="s">
        <v>184</v>
      </c>
      <c r="C42" s="14">
        <v>25878.5</v>
      </c>
      <c r="D42" s="14">
        <v>29536.400000000001</v>
      </c>
      <c r="E42" s="14">
        <v>31075.3</v>
      </c>
      <c r="F42" s="14">
        <v>34118.1</v>
      </c>
      <c r="G42" s="14">
        <v>35196.800000000003</v>
      </c>
      <c r="H42" s="14">
        <v>35622.699999999997</v>
      </c>
      <c r="I42" s="14">
        <v>35903.5</v>
      </c>
      <c r="J42" s="14">
        <v>37153</v>
      </c>
      <c r="K42" s="14">
        <v>38424</v>
      </c>
      <c r="L42" s="14">
        <v>39973</v>
      </c>
      <c r="M42" s="9"/>
      <c r="N42" s="14">
        <v>38990</v>
      </c>
      <c r="O42" s="14">
        <v>38424</v>
      </c>
      <c r="P42" s="14">
        <v>38845</v>
      </c>
      <c r="Q42" s="14">
        <v>40801</v>
      </c>
      <c r="R42" s="14">
        <v>39483</v>
      </c>
      <c r="S42" s="14">
        <v>39973</v>
      </c>
      <c r="T42" s="14">
        <v>40105</v>
      </c>
      <c r="U42" s="14">
        <v>39863</v>
      </c>
    </row>
    <row r="43" spans="1:21">
      <c r="A43" s="5" t="s">
        <v>185</v>
      </c>
      <c r="E43" s="14">
        <v>0</v>
      </c>
      <c r="F43" s="14">
        <v>12757.8</v>
      </c>
      <c r="G43" s="14">
        <v>13321.3</v>
      </c>
      <c r="H43" s="14">
        <v>13020.9</v>
      </c>
      <c r="I43" s="14">
        <v>12134.4</v>
      </c>
      <c r="J43" s="14">
        <v>13058</v>
      </c>
      <c r="K43" s="14">
        <v>12888</v>
      </c>
      <c r="L43" s="14">
        <v>14147</v>
      </c>
      <c r="M43" s="9"/>
      <c r="N43" s="14">
        <v>13157</v>
      </c>
      <c r="O43" s="14">
        <v>12888</v>
      </c>
      <c r="P43" s="14">
        <v>13175</v>
      </c>
      <c r="Q43" s="14">
        <v>13778</v>
      </c>
      <c r="R43" s="14">
        <v>13837</v>
      </c>
      <c r="S43" s="14">
        <v>14147</v>
      </c>
      <c r="T43" s="14">
        <v>14069</v>
      </c>
      <c r="U43" s="14">
        <v>14039</v>
      </c>
    </row>
    <row r="44" spans="1:21" ht="24">
      <c r="A44" s="5" t="s">
        <v>186</v>
      </c>
      <c r="B44" s="15" t="s">
        <v>187</v>
      </c>
      <c r="C44" s="14">
        <v>1010.6</v>
      </c>
      <c r="D44" s="14">
        <v>2370.9</v>
      </c>
      <c r="E44" s="14">
        <v>2081.1999999999998</v>
      </c>
      <c r="F44" s="14">
        <v>2265.9</v>
      </c>
      <c r="G44" s="14">
        <v>1970.7</v>
      </c>
      <c r="H44" s="14">
        <v>1896.8</v>
      </c>
      <c r="I44" s="14">
        <v>791.9</v>
      </c>
      <c r="J44" s="14">
        <v>363</v>
      </c>
      <c r="K44" s="14">
        <v>344</v>
      </c>
      <c r="L44" s="14">
        <v>139</v>
      </c>
      <c r="M44" s="9"/>
      <c r="N44" s="14">
        <v>74</v>
      </c>
      <c r="O44" s="14">
        <v>344</v>
      </c>
      <c r="P44" s="14">
        <v>365</v>
      </c>
      <c r="Q44" s="14">
        <v>292</v>
      </c>
      <c r="R44" s="14">
        <v>285</v>
      </c>
      <c r="S44" s="14">
        <v>139</v>
      </c>
      <c r="T44" s="14">
        <v>151</v>
      </c>
      <c r="U44" s="14">
        <v>176</v>
      </c>
    </row>
    <row r="45" spans="1:21">
      <c r="A45" s="5" t="s">
        <v>188</v>
      </c>
      <c r="B45" s="15" t="s">
        <v>189</v>
      </c>
      <c r="D45" s="14">
        <v>0</v>
      </c>
      <c r="E45" s="14">
        <v>627.79999999999995</v>
      </c>
      <c r="F45" s="14">
        <v>660.6</v>
      </c>
      <c r="G45" s="14">
        <v>702</v>
      </c>
      <c r="H45" s="14">
        <v>738.3</v>
      </c>
      <c r="I45" s="14">
        <v>757.8</v>
      </c>
      <c r="J45" s="14">
        <v>790</v>
      </c>
      <c r="K45" s="14">
        <v>778</v>
      </c>
      <c r="L45" s="14">
        <v>945</v>
      </c>
      <c r="M45" s="9"/>
      <c r="N45" s="14">
        <v>800</v>
      </c>
      <c r="O45" s="14">
        <v>778</v>
      </c>
      <c r="P45" s="14">
        <v>914</v>
      </c>
      <c r="Q45" s="14">
        <v>933</v>
      </c>
      <c r="R45" s="14">
        <v>936</v>
      </c>
      <c r="S45" s="14">
        <v>945</v>
      </c>
      <c r="T45" s="14">
        <v>946</v>
      </c>
      <c r="U45" s="14">
        <v>946</v>
      </c>
    </row>
    <row r="46" spans="1:21">
      <c r="A46" s="5" t="s">
        <v>190</v>
      </c>
      <c r="C46" s="14">
        <v>1053.7</v>
      </c>
      <c r="D46" s="14">
        <v>1154.4000000000001</v>
      </c>
      <c r="E46" s="14">
        <v>1096.3</v>
      </c>
      <c r="F46" s="14">
        <v>979.6</v>
      </c>
      <c r="G46" s="14">
        <v>1054.0999999999999</v>
      </c>
      <c r="H46" s="14">
        <v>1081</v>
      </c>
      <c r="I46" s="14">
        <v>1051.8</v>
      </c>
      <c r="J46" s="14">
        <v>950</v>
      </c>
      <c r="K46" s="14">
        <v>771</v>
      </c>
      <c r="L46" s="14">
        <v>704</v>
      </c>
      <c r="M46" s="9"/>
      <c r="N46" s="14">
        <v>855</v>
      </c>
      <c r="O46" s="14">
        <v>771</v>
      </c>
      <c r="P46" s="14">
        <v>755</v>
      </c>
      <c r="Q46" s="14">
        <v>790</v>
      </c>
      <c r="R46" s="14">
        <v>694</v>
      </c>
      <c r="S46" s="14">
        <v>704</v>
      </c>
      <c r="T46" s="14">
        <v>686</v>
      </c>
      <c r="U46" s="14">
        <v>677</v>
      </c>
    </row>
    <row r="47" spans="1:21">
      <c r="A47" s="5" t="s">
        <v>191</v>
      </c>
      <c r="C47" s="14">
        <v>1817.1</v>
      </c>
      <c r="D47" s="14">
        <v>1119.4000000000001</v>
      </c>
      <c r="E47" s="14">
        <v>1215.5</v>
      </c>
      <c r="F47" s="14">
        <v>1318.1</v>
      </c>
      <c r="G47" s="14">
        <v>2025.6</v>
      </c>
      <c r="H47" s="14">
        <v>2075.6</v>
      </c>
      <c r="I47" s="14">
        <v>1997.5</v>
      </c>
      <c r="J47" s="14">
        <v>1681</v>
      </c>
      <c r="K47" s="14">
        <v>1914</v>
      </c>
      <c r="L47" s="14">
        <v>1038</v>
      </c>
      <c r="M47" s="9"/>
      <c r="N47" s="14">
        <v>1166</v>
      </c>
      <c r="O47" s="14">
        <v>1914</v>
      </c>
      <c r="P47" s="14">
        <v>1721</v>
      </c>
      <c r="Q47" s="14">
        <v>1423</v>
      </c>
      <c r="R47" s="14">
        <v>1457</v>
      </c>
      <c r="S47" s="14">
        <v>1038</v>
      </c>
      <c r="T47" s="14">
        <v>1220</v>
      </c>
      <c r="U47" s="14">
        <v>1222</v>
      </c>
    </row>
    <row r="48" spans="1:21" ht="8" customHeight="1">
      <c r="M48" s="9"/>
    </row>
    <row r="49" spans="1:21" ht="20" customHeight="1">
      <c r="A49" s="12" t="s">
        <v>192</v>
      </c>
      <c r="B49" s="2"/>
      <c r="C49" s="2"/>
      <c r="D49" s="2"/>
      <c r="E49" s="2"/>
      <c r="F49" s="2"/>
      <c r="G49" s="2"/>
      <c r="H49" s="2"/>
      <c r="I49" s="2"/>
      <c r="J49" s="2"/>
      <c r="K49" s="2"/>
      <c r="L49" s="2"/>
      <c r="M49" s="9"/>
      <c r="N49" s="2"/>
      <c r="O49" s="2"/>
      <c r="P49" s="2"/>
      <c r="Q49" s="2"/>
      <c r="R49" s="2"/>
      <c r="S49" s="2"/>
      <c r="T49" s="2"/>
      <c r="U49" s="2"/>
    </row>
    <row r="50" spans="1:21">
      <c r="A50" s="13" t="s">
        <v>193</v>
      </c>
      <c r="C50" s="14">
        <v>0</v>
      </c>
      <c r="D50" s="14">
        <v>0</v>
      </c>
      <c r="E50" s="14">
        <v>0</v>
      </c>
      <c r="F50" s="14">
        <v>0</v>
      </c>
      <c r="G50" s="14">
        <v>0</v>
      </c>
      <c r="H50" s="14">
        <v>0</v>
      </c>
      <c r="I50" s="14">
        <v>0</v>
      </c>
      <c r="J50" s="14">
        <v>0</v>
      </c>
      <c r="K50" s="14">
        <v>0</v>
      </c>
      <c r="L50" s="14">
        <v>0</v>
      </c>
      <c r="M50" s="9"/>
      <c r="N50" s="14">
        <v>0</v>
      </c>
      <c r="O50" s="14">
        <v>0</v>
      </c>
      <c r="P50" s="14">
        <v>0</v>
      </c>
      <c r="Q50" s="14">
        <v>0</v>
      </c>
      <c r="R50" s="14">
        <v>0</v>
      </c>
      <c r="S50" s="14">
        <v>0</v>
      </c>
      <c r="T50" s="14">
        <v>0</v>
      </c>
      <c r="U50" s="14">
        <v>0</v>
      </c>
    </row>
    <row r="51" spans="1:21">
      <c r="A51" s="13" t="s">
        <v>194</v>
      </c>
      <c r="C51" s="14">
        <v>16.600000000000001</v>
      </c>
      <c r="D51" s="14">
        <v>16.600000000000001</v>
      </c>
      <c r="E51" s="14">
        <v>16.600000000000001</v>
      </c>
      <c r="F51" s="14">
        <v>16.600000000000001</v>
      </c>
      <c r="G51" s="14">
        <v>16.600000000000001</v>
      </c>
      <c r="H51" s="14">
        <v>16.600000000000001</v>
      </c>
      <c r="I51" s="14">
        <v>16.600000000000001</v>
      </c>
      <c r="J51" s="14">
        <v>17</v>
      </c>
      <c r="K51" s="14">
        <v>17</v>
      </c>
      <c r="L51" s="14">
        <v>17</v>
      </c>
      <c r="M51" s="9"/>
      <c r="N51" s="14">
        <v>17</v>
      </c>
      <c r="O51" s="14">
        <v>17</v>
      </c>
      <c r="P51" s="14">
        <v>17</v>
      </c>
      <c r="Q51" s="14">
        <v>17</v>
      </c>
      <c r="R51" s="14">
        <v>17</v>
      </c>
      <c r="S51" s="14">
        <v>17</v>
      </c>
      <c r="T51" s="14">
        <v>17</v>
      </c>
      <c r="U51" s="14">
        <v>17</v>
      </c>
    </row>
    <row r="52" spans="1:21">
      <c r="A52" s="13" t="s">
        <v>195</v>
      </c>
      <c r="C52" s="14">
        <v>6757.9</v>
      </c>
      <c r="D52" s="14">
        <v>7072.4</v>
      </c>
      <c r="E52" s="14">
        <v>7376</v>
      </c>
      <c r="F52" s="14">
        <v>7653.9</v>
      </c>
      <c r="G52" s="14">
        <v>7903.6</v>
      </c>
      <c r="H52" s="14">
        <v>8231.6</v>
      </c>
      <c r="I52" s="14">
        <v>8547.1</v>
      </c>
      <c r="J52" s="14">
        <v>8893</v>
      </c>
      <c r="K52" s="14">
        <v>9281</v>
      </c>
      <c r="L52" s="14">
        <v>9641</v>
      </c>
      <c r="M52" s="9"/>
      <c r="N52" s="14">
        <v>9194</v>
      </c>
      <c r="O52" s="14">
        <v>9281</v>
      </c>
      <c r="P52" s="14">
        <v>9423</v>
      </c>
      <c r="Q52" s="14">
        <v>9500</v>
      </c>
      <c r="R52" s="14">
        <v>9560</v>
      </c>
      <c r="S52" s="14">
        <v>9641</v>
      </c>
      <c r="T52" s="14">
        <v>9792</v>
      </c>
      <c r="U52" s="14">
        <v>9841</v>
      </c>
    </row>
    <row r="53" spans="1:21">
      <c r="A53" s="13" t="s">
        <v>196</v>
      </c>
      <c r="C53" s="14">
        <v>46222.7</v>
      </c>
      <c r="D53" s="14">
        <v>48325.8</v>
      </c>
      <c r="E53" s="14">
        <v>50487</v>
      </c>
      <c r="F53" s="14">
        <v>52930.5</v>
      </c>
      <c r="G53" s="14">
        <v>53908.1</v>
      </c>
      <c r="H53" s="14">
        <v>57534.7</v>
      </c>
      <c r="I53" s="14">
        <v>59543.9</v>
      </c>
      <c r="J53" s="14">
        <v>63480</v>
      </c>
      <c r="K53" s="14">
        <v>66834</v>
      </c>
      <c r="L53" s="14">
        <v>70282</v>
      </c>
      <c r="M53" s="9"/>
      <c r="N53" s="14">
        <v>64819</v>
      </c>
      <c r="O53" s="14">
        <v>66834</v>
      </c>
      <c r="P53" s="14">
        <v>67436</v>
      </c>
      <c r="Q53" s="14">
        <v>68424</v>
      </c>
      <c r="R53" s="14">
        <v>69440</v>
      </c>
      <c r="S53" s="14">
        <v>70282</v>
      </c>
      <c r="T53" s="14">
        <v>70942</v>
      </c>
      <c r="U53" s="14">
        <v>71987</v>
      </c>
    </row>
    <row r="54" spans="1:21">
      <c r="A54" s="13" t="s">
        <v>197</v>
      </c>
      <c r="C54" s="14">
        <v>-3092.9</v>
      </c>
      <c r="D54" s="14">
        <v>-2178.4</v>
      </c>
      <c r="E54" s="14">
        <v>-2609.5</v>
      </c>
      <c r="F54" s="14">
        <v>-2482.6999999999998</v>
      </c>
      <c r="G54" s="14">
        <v>-2586.8000000000002</v>
      </c>
      <c r="H54" s="14">
        <v>-2573.6999999999998</v>
      </c>
      <c r="I54" s="14">
        <v>-2486.6</v>
      </c>
      <c r="J54" s="14">
        <v>-2456</v>
      </c>
      <c r="K54" s="14">
        <v>-2553</v>
      </c>
      <c r="L54" s="14">
        <v>-2414</v>
      </c>
      <c r="M54" s="9"/>
      <c r="N54" s="14">
        <v>-2337</v>
      </c>
      <c r="O54" s="14">
        <v>-2553</v>
      </c>
      <c r="P54" s="14">
        <v>-2557</v>
      </c>
      <c r="Q54" s="14">
        <v>-2430</v>
      </c>
      <c r="R54" s="14">
        <v>-2414</v>
      </c>
      <c r="S54" s="14">
        <v>-2414</v>
      </c>
      <c r="T54" s="14">
        <v>-2363</v>
      </c>
      <c r="U54" s="14">
        <v>-2340</v>
      </c>
    </row>
    <row r="55" spans="1:21">
      <c r="A55" s="13" t="s">
        <v>198</v>
      </c>
      <c r="C55" s="14">
        <v>-52108.6</v>
      </c>
      <c r="D55" s="14">
        <v>-56504.4</v>
      </c>
      <c r="E55" s="14">
        <v>-61528.5</v>
      </c>
      <c r="F55" s="14">
        <v>-66328.600000000006</v>
      </c>
      <c r="G55" s="14">
        <v>-67066.399999999994</v>
      </c>
      <c r="H55" s="14">
        <v>-67810.2</v>
      </c>
      <c r="I55" s="14">
        <v>-71624.399999999994</v>
      </c>
      <c r="J55" s="14">
        <v>-74640</v>
      </c>
      <c r="K55" s="14">
        <v>-77375</v>
      </c>
      <c r="L55" s="14">
        <v>-79316</v>
      </c>
      <c r="M55" s="9"/>
      <c r="N55" s="14">
        <v>-76870</v>
      </c>
      <c r="O55" s="14">
        <v>-77375</v>
      </c>
      <c r="P55" s="14">
        <v>-77773</v>
      </c>
      <c r="Q55" s="14">
        <v>-78271</v>
      </c>
      <c r="R55" s="14">
        <v>-78766</v>
      </c>
      <c r="S55" s="14">
        <v>-79316</v>
      </c>
      <c r="T55" s="14">
        <v>-79673</v>
      </c>
      <c r="U55" s="14">
        <v>-80527</v>
      </c>
    </row>
    <row r="56" spans="1:21">
      <c r="A56" s="10" t="s">
        <v>199</v>
      </c>
      <c r="C56" s="16">
        <v>-2204.3000000000002</v>
      </c>
      <c r="D56" s="16">
        <v>-3268</v>
      </c>
      <c r="E56" s="16">
        <v>-6258.4</v>
      </c>
      <c r="F56" s="16">
        <v>-8210.2999999999993</v>
      </c>
      <c r="G56" s="16">
        <v>-7824.9</v>
      </c>
      <c r="H56" s="16">
        <v>-4601</v>
      </c>
      <c r="I56" s="16">
        <v>-6003.4</v>
      </c>
      <c r="J56" s="16">
        <v>-4707</v>
      </c>
      <c r="K56" s="16">
        <v>-3797</v>
      </c>
      <c r="L56" s="16">
        <v>-1791</v>
      </c>
      <c r="M56" s="17"/>
      <c r="N56" s="16">
        <v>-5177</v>
      </c>
      <c r="O56" s="16">
        <v>-3797</v>
      </c>
      <c r="P56" s="16">
        <v>-3454</v>
      </c>
      <c r="Q56" s="16">
        <v>-2760</v>
      </c>
      <c r="R56" s="16">
        <v>-2163</v>
      </c>
      <c r="S56" s="16">
        <v>-1791</v>
      </c>
      <c r="T56" s="16">
        <v>-1286</v>
      </c>
      <c r="U56" s="16">
        <v>-1023</v>
      </c>
    </row>
    <row r="57" spans="1:21">
      <c r="A57" s="10" t="s">
        <v>200</v>
      </c>
      <c r="C57" s="16">
        <v>31023.9</v>
      </c>
      <c r="D57" s="16">
        <v>33803.699999999997</v>
      </c>
      <c r="E57" s="16">
        <v>32811.199999999997</v>
      </c>
      <c r="F57" s="16">
        <v>47510.8</v>
      </c>
      <c r="G57" s="16">
        <v>52626.8</v>
      </c>
      <c r="H57" s="16">
        <v>53854.3</v>
      </c>
      <c r="I57" s="16">
        <v>50435.6</v>
      </c>
      <c r="J57" s="16">
        <v>56147</v>
      </c>
      <c r="K57" s="16">
        <v>55182</v>
      </c>
      <c r="L57" s="16">
        <v>59515</v>
      </c>
      <c r="M57" s="17"/>
      <c r="N57" s="16">
        <v>56172</v>
      </c>
      <c r="O57" s="16">
        <v>55182</v>
      </c>
      <c r="P57" s="16">
        <v>56329</v>
      </c>
      <c r="Q57" s="16">
        <v>59555</v>
      </c>
      <c r="R57" s="16">
        <v>60608</v>
      </c>
      <c r="S57" s="16">
        <v>59515</v>
      </c>
      <c r="T57" s="16">
        <v>60037</v>
      </c>
      <c r="U57" s="16">
        <v>59920</v>
      </c>
    </row>
    <row r="58" spans="1:21">
      <c r="A58" s="18" t="s">
        <v>201</v>
      </c>
      <c r="C58" s="26">
        <f t="shared" ref="C58:L58" si="0">C57-C56</f>
        <v>33228.200000000004</v>
      </c>
      <c r="D58" s="26">
        <f t="shared" si="0"/>
        <v>37071.699999999997</v>
      </c>
      <c r="E58" s="26">
        <f t="shared" si="0"/>
        <v>39069.599999999999</v>
      </c>
      <c r="F58" s="26">
        <f t="shared" si="0"/>
        <v>55721.100000000006</v>
      </c>
      <c r="G58" s="26">
        <f t="shared" si="0"/>
        <v>60451.700000000004</v>
      </c>
      <c r="H58" s="26">
        <f t="shared" si="0"/>
        <v>58455.3</v>
      </c>
      <c r="I58" s="26">
        <f t="shared" si="0"/>
        <v>56439</v>
      </c>
      <c r="J58" s="26">
        <f t="shared" si="0"/>
        <v>60854</v>
      </c>
      <c r="K58" s="26">
        <f t="shared" si="0"/>
        <v>58979</v>
      </c>
      <c r="L58" s="26">
        <f t="shared" si="0"/>
        <v>61306</v>
      </c>
      <c r="M58" s="9"/>
      <c r="N58" s="26">
        <f t="shared" ref="N58:U58" si="1">N57-N56</f>
        <v>61349</v>
      </c>
      <c r="O58" s="26">
        <f t="shared" si="1"/>
        <v>58979</v>
      </c>
      <c r="P58" s="26">
        <f t="shared" si="1"/>
        <v>59783</v>
      </c>
      <c r="Q58" s="26">
        <f t="shared" si="1"/>
        <v>62315</v>
      </c>
      <c r="R58" s="26">
        <f t="shared" si="1"/>
        <v>62771</v>
      </c>
      <c r="S58" s="26">
        <f t="shared" si="1"/>
        <v>61306</v>
      </c>
      <c r="T58" s="26">
        <f t="shared" si="1"/>
        <v>61323</v>
      </c>
      <c r="U58" s="26">
        <f t="shared" si="1"/>
        <v>60943</v>
      </c>
    </row>
    <row r="59" spans="1:21" ht="8" customHeight="1">
      <c r="M59" s="9"/>
    </row>
    <row r="60" spans="1:21" ht="20" customHeight="1">
      <c r="A60" s="12" t="s">
        <v>202</v>
      </c>
      <c r="B60" s="2"/>
      <c r="C60" s="2"/>
      <c r="D60" s="2"/>
      <c r="E60" s="2"/>
      <c r="F60" s="2"/>
      <c r="G60" s="2"/>
      <c r="H60" s="2"/>
      <c r="I60" s="2"/>
      <c r="J60" s="2"/>
      <c r="K60" s="2"/>
      <c r="L60" s="2"/>
      <c r="M60" s="9"/>
      <c r="N60" s="2"/>
      <c r="O60" s="2"/>
      <c r="P60" s="2"/>
      <c r="Q60" s="2"/>
      <c r="R60" s="2"/>
      <c r="S60" s="2"/>
      <c r="T60" s="2"/>
      <c r="U60" s="2"/>
    </row>
    <row r="61" spans="1:21">
      <c r="A61" s="18" t="s">
        <v>203</v>
      </c>
      <c r="C61" s="26">
        <f t="shared" ref="C61:L61" si="2">C29-C57</f>
        <v>0</v>
      </c>
      <c r="D61" s="26">
        <f t="shared" si="2"/>
        <v>0</v>
      </c>
      <c r="E61" s="26">
        <f t="shared" si="2"/>
        <v>0</v>
      </c>
      <c r="F61" s="26">
        <f t="shared" si="2"/>
        <v>0</v>
      </c>
      <c r="G61" s="26">
        <f t="shared" si="2"/>
        <v>0</v>
      </c>
      <c r="H61" s="26">
        <f t="shared" si="2"/>
        <v>0</v>
      </c>
      <c r="I61" s="26">
        <f t="shared" si="2"/>
        <v>0</v>
      </c>
      <c r="J61" s="26">
        <f t="shared" si="2"/>
        <v>0</v>
      </c>
      <c r="K61" s="26">
        <f t="shared" si="2"/>
        <v>0</v>
      </c>
      <c r="L61" s="26">
        <f t="shared" si="2"/>
        <v>0</v>
      </c>
      <c r="M61" s="9"/>
      <c r="N61" s="26">
        <f t="shared" ref="N61:U61" si="3">N29-N57</f>
        <v>0</v>
      </c>
      <c r="O61" s="26">
        <f t="shared" si="3"/>
        <v>0</v>
      </c>
      <c r="P61" s="26">
        <f t="shared" si="3"/>
        <v>0</v>
      </c>
      <c r="Q61" s="26">
        <f t="shared" si="3"/>
        <v>0</v>
      </c>
      <c r="R61" s="26">
        <f t="shared" si="3"/>
        <v>0</v>
      </c>
      <c r="S61" s="26">
        <f t="shared" si="3"/>
        <v>0</v>
      </c>
      <c r="T61" s="26">
        <f t="shared" si="3"/>
        <v>0</v>
      </c>
      <c r="U61" s="26">
        <f t="shared" si="3"/>
        <v>0</v>
      </c>
    </row>
    <row r="62" spans="1:21">
      <c r="A62" s="18" t="s">
        <v>204</v>
      </c>
      <c r="C62" s="25">
        <f t="shared" ref="C62:L62" si="4">C19+C24+C25+C28-C29</f>
        <v>0</v>
      </c>
      <c r="D62" s="25">
        <f t="shared" si="4"/>
        <v>0</v>
      </c>
      <c r="E62" s="25">
        <f t="shared" si="4"/>
        <v>0</v>
      </c>
      <c r="F62" s="25">
        <f t="shared" si="4"/>
        <v>0</v>
      </c>
      <c r="G62" s="25">
        <f t="shared" si="4"/>
        <v>0</v>
      </c>
      <c r="H62" s="25">
        <f t="shared" si="4"/>
        <v>0</v>
      </c>
      <c r="I62" s="25">
        <f t="shared" si="4"/>
        <v>0</v>
      </c>
      <c r="J62" s="25">
        <f t="shared" si="4"/>
        <v>-1</v>
      </c>
      <c r="K62" s="25">
        <f t="shared" si="4"/>
        <v>1</v>
      </c>
      <c r="L62" s="25">
        <f t="shared" si="4"/>
        <v>0</v>
      </c>
      <c r="M62" s="9"/>
      <c r="N62" s="25">
        <f t="shared" ref="N62:U62" si="5">N19+N24+N25+N28-N29</f>
        <v>0</v>
      </c>
      <c r="O62" s="25">
        <f t="shared" si="5"/>
        <v>1</v>
      </c>
      <c r="P62" s="25">
        <f t="shared" si="5"/>
        <v>-1</v>
      </c>
      <c r="Q62" s="25">
        <f t="shared" si="5"/>
        <v>-1</v>
      </c>
      <c r="R62" s="25">
        <f t="shared" si="5"/>
        <v>0</v>
      </c>
      <c r="S62" s="25">
        <f t="shared" si="5"/>
        <v>0</v>
      </c>
      <c r="T62" s="25">
        <f t="shared" si="5"/>
        <v>1</v>
      </c>
      <c r="U62" s="25">
        <f t="shared" si="5"/>
        <v>0</v>
      </c>
    </row>
    <row r="63" spans="1:21">
      <c r="A63" s="18" t="s">
        <v>205</v>
      </c>
      <c r="C63" s="25">
        <f t="shared" ref="C63:L63" si="6">C26+C27-C28</f>
        <v>0</v>
      </c>
      <c r="D63" s="25">
        <f t="shared" si="6"/>
        <v>0</v>
      </c>
      <c r="E63" s="25">
        <f t="shared" si="6"/>
        <v>0</v>
      </c>
      <c r="F63" s="25">
        <f t="shared" si="6"/>
        <v>0</v>
      </c>
      <c r="G63" s="25">
        <f t="shared" si="6"/>
        <v>0</v>
      </c>
      <c r="H63" s="25">
        <f t="shared" si="6"/>
        <v>0</v>
      </c>
      <c r="I63" s="25">
        <f t="shared" si="6"/>
        <v>0</v>
      </c>
      <c r="J63" s="25">
        <f t="shared" si="6"/>
        <v>0</v>
      </c>
      <c r="K63" s="25">
        <f t="shared" si="6"/>
        <v>0</v>
      </c>
      <c r="L63" s="25">
        <f t="shared" si="6"/>
        <v>0</v>
      </c>
      <c r="M63" s="9"/>
      <c r="N63" s="25">
        <f t="shared" ref="N63:U63" si="7">N26+N27-N28</f>
        <v>0</v>
      </c>
      <c r="O63" s="25">
        <f t="shared" si="7"/>
        <v>0</v>
      </c>
      <c r="P63" s="25">
        <f t="shared" si="7"/>
        <v>0</v>
      </c>
      <c r="Q63" s="25">
        <f t="shared" si="7"/>
        <v>0</v>
      </c>
      <c r="R63" s="25">
        <f t="shared" si="7"/>
        <v>0</v>
      </c>
      <c r="S63" s="25">
        <f t="shared" si="7"/>
        <v>0</v>
      </c>
      <c r="T63" s="25">
        <f t="shared" si="7"/>
        <v>0</v>
      </c>
      <c r="U63" s="25">
        <f t="shared" si="7"/>
        <v>0</v>
      </c>
    </row>
    <row r="64" spans="1:21">
      <c r="A64" s="18" t="s">
        <v>206</v>
      </c>
      <c r="C64" s="25">
        <f t="shared" ref="C64:L64" si="8">C32+C33+C34+C35+C36+C37+C38+C39+C40-C41</f>
        <v>0</v>
      </c>
      <c r="D64" s="25">
        <f t="shared" si="8"/>
        <v>0</v>
      </c>
      <c r="E64" s="25">
        <f t="shared" si="8"/>
        <v>0</v>
      </c>
      <c r="F64" s="25">
        <f t="shared" si="8"/>
        <v>0</v>
      </c>
      <c r="G64" s="25">
        <f t="shared" si="8"/>
        <v>0</v>
      </c>
      <c r="H64" s="25">
        <f t="shared" si="8"/>
        <v>0</v>
      </c>
      <c r="I64" s="25">
        <f t="shared" si="8"/>
        <v>0</v>
      </c>
      <c r="J64" s="25">
        <f t="shared" si="8"/>
        <v>0</v>
      </c>
      <c r="K64" s="25">
        <f t="shared" si="8"/>
        <v>0</v>
      </c>
      <c r="L64" s="25">
        <f t="shared" si="8"/>
        <v>0</v>
      </c>
      <c r="M64" s="9"/>
      <c r="N64" s="25">
        <f t="shared" ref="N64:U64" si="9">N32+N33+N34+N35+N36+N37+N38+N39+N40-N41</f>
        <v>0</v>
      </c>
      <c r="O64" s="25">
        <f t="shared" si="9"/>
        <v>0</v>
      </c>
      <c r="P64" s="25">
        <f t="shared" si="9"/>
        <v>0</v>
      </c>
      <c r="Q64" s="25">
        <f t="shared" si="9"/>
        <v>0</v>
      </c>
      <c r="R64" s="25">
        <f t="shared" si="9"/>
        <v>0</v>
      </c>
      <c r="S64" s="25">
        <f t="shared" si="9"/>
        <v>0</v>
      </c>
      <c r="T64" s="25">
        <f t="shared" si="9"/>
        <v>1</v>
      </c>
      <c r="U64" s="25">
        <f t="shared" si="9"/>
        <v>0</v>
      </c>
    </row>
    <row r="65" spans="1:21">
      <c r="A65" s="18" t="s">
        <v>207</v>
      </c>
      <c r="C65" s="25">
        <f t="shared" ref="C65:L65" si="10">C50+C51+C52+C53+C54+C55-C56</f>
        <v>0</v>
      </c>
      <c r="D65" s="25">
        <f t="shared" si="10"/>
        <v>0</v>
      </c>
      <c r="E65" s="25">
        <f t="shared" si="10"/>
        <v>0</v>
      </c>
      <c r="F65" s="25">
        <f t="shared" si="10"/>
        <v>0</v>
      </c>
      <c r="G65" s="25">
        <f t="shared" si="10"/>
        <v>0</v>
      </c>
      <c r="H65" s="25">
        <f t="shared" si="10"/>
        <v>0</v>
      </c>
      <c r="I65" s="25">
        <f t="shared" si="10"/>
        <v>0</v>
      </c>
      <c r="J65" s="25">
        <f t="shared" si="10"/>
        <v>1</v>
      </c>
      <c r="K65" s="25">
        <f t="shared" si="10"/>
        <v>1</v>
      </c>
      <c r="L65" s="25">
        <f t="shared" si="10"/>
        <v>1</v>
      </c>
      <c r="M65" s="9"/>
      <c r="N65" s="25">
        <f t="shared" ref="N65:U65" si="11">N50+N51+N52+N53+N54+N55-N56</f>
        <v>0</v>
      </c>
      <c r="O65" s="25">
        <f t="shared" si="11"/>
        <v>1</v>
      </c>
      <c r="P65" s="25">
        <f t="shared" si="11"/>
        <v>0</v>
      </c>
      <c r="Q65" s="25">
        <f t="shared" si="11"/>
        <v>0</v>
      </c>
      <c r="R65" s="25">
        <f t="shared" si="11"/>
        <v>0</v>
      </c>
      <c r="S65" s="25">
        <f t="shared" si="11"/>
        <v>1</v>
      </c>
      <c r="T65" s="25">
        <f t="shared" si="11"/>
        <v>1</v>
      </c>
      <c r="U65" s="25">
        <f t="shared" si="11"/>
        <v>1</v>
      </c>
    </row>
    <row r="66" spans="1:21">
      <c r="A66" s="18" t="s">
        <v>208</v>
      </c>
      <c r="C66" s="25">
        <f t="shared" ref="C66:L66" si="12">C14+C15+C16+C17+C18-C19</f>
        <v>0</v>
      </c>
      <c r="D66" s="25">
        <f t="shared" si="12"/>
        <v>0</v>
      </c>
      <c r="E66" s="25">
        <f t="shared" si="12"/>
        <v>0</v>
      </c>
      <c r="F66" s="25">
        <f t="shared" si="12"/>
        <v>0</v>
      </c>
      <c r="G66" s="25">
        <f t="shared" si="12"/>
        <v>0</v>
      </c>
      <c r="H66" s="25">
        <f t="shared" si="12"/>
        <v>0</v>
      </c>
      <c r="I66" s="25">
        <f t="shared" si="12"/>
        <v>0</v>
      </c>
      <c r="J66" s="25">
        <f t="shared" si="12"/>
        <v>0</v>
      </c>
      <c r="K66" s="25">
        <f t="shared" si="12"/>
        <v>-1</v>
      </c>
      <c r="L66" s="25">
        <f t="shared" si="12"/>
        <v>1</v>
      </c>
      <c r="M66" s="9"/>
      <c r="N66" s="25">
        <f t="shared" ref="N66:U66" si="13">N14+N15+N16+N17+N18-N19</f>
        <v>-1</v>
      </c>
      <c r="O66" s="25">
        <f t="shared" si="13"/>
        <v>-1</v>
      </c>
      <c r="P66" s="25">
        <f t="shared" si="13"/>
        <v>1</v>
      </c>
      <c r="Q66" s="25">
        <f t="shared" si="13"/>
        <v>0</v>
      </c>
      <c r="R66" s="25">
        <f t="shared" si="13"/>
        <v>0</v>
      </c>
      <c r="S66" s="25">
        <f t="shared" si="13"/>
        <v>1</v>
      </c>
      <c r="T66" s="25">
        <f t="shared" si="13"/>
        <v>0</v>
      </c>
      <c r="U66" s="25">
        <f t="shared" si="13"/>
        <v>0</v>
      </c>
    </row>
    <row r="67" spans="1:21" ht="8" customHeight="1">
      <c r="M67" s="9"/>
    </row>
    <row r="68" spans="1:21" ht="20" customHeight="1">
      <c r="A68" s="12" t="s">
        <v>209</v>
      </c>
      <c r="B68" s="2"/>
      <c r="C68" s="2"/>
      <c r="D68" s="2"/>
      <c r="E68" s="2"/>
      <c r="F68" s="2"/>
      <c r="G68" s="2"/>
      <c r="H68" s="2"/>
      <c r="I68" s="2"/>
      <c r="J68" s="2"/>
      <c r="K68" s="2"/>
      <c r="L68" s="2"/>
      <c r="M68" s="9"/>
      <c r="N68" s="2"/>
      <c r="O68" s="2"/>
      <c r="P68" s="2"/>
      <c r="Q68" s="2"/>
      <c r="R68" s="2"/>
      <c r="S68" s="2"/>
      <c r="T68" s="2"/>
      <c r="U68" s="2"/>
    </row>
    <row r="69" spans="1:21">
      <c r="A69" s="10" t="s">
        <v>210</v>
      </c>
      <c r="C69" s="27">
        <f t="shared" ref="C69:L69" si="14">C39+C42</f>
        <v>25955.7</v>
      </c>
      <c r="D69" s="27">
        <f t="shared" si="14"/>
        <v>29536.400000000001</v>
      </c>
      <c r="E69" s="27">
        <f t="shared" si="14"/>
        <v>31075.3</v>
      </c>
      <c r="F69" s="27">
        <f t="shared" si="14"/>
        <v>34177.199999999997</v>
      </c>
      <c r="G69" s="27">
        <f t="shared" si="14"/>
        <v>37440.400000000001</v>
      </c>
      <c r="H69" s="27">
        <f t="shared" si="14"/>
        <v>35622.699999999997</v>
      </c>
      <c r="I69" s="27">
        <f t="shared" si="14"/>
        <v>35903.5</v>
      </c>
      <c r="J69" s="27">
        <f t="shared" si="14"/>
        <v>39345</v>
      </c>
      <c r="K69" s="27">
        <f t="shared" si="14"/>
        <v>38424</v>
      </c>
      <c r="L69" s="27">
        <f t="shared" si="14"/>
        <v>39973</v>
      </c>
      <c r="M69" s="9"/>
      <c r="N69" s="27">
        <f t="shared" ref="N69:U69" si="15">N39+N42</f>
        <v>39586</v>
      </c>
      <c r="O69" s="27">
        <f t="shared" si="15"/>
        <v>38424</v>
      </c>
      <c r="P69" s="27">
        <f t="shared" si="15"/>
        <v>38925</v>
      </c>
      <c r="Q69" s="27">
        <f t="shared" si="15"/>
        <v>41403</v>
      </c>
      <c r="R69" s="27">
        <f t="shared" si="15"/>
        <v>41283</v>
      </c>
      <c r="S69" s="27">
        <f t="shared" si="15"/>
        <v>39973</v>
      </c>
      <c r="T69" s="27">
        <f t="shared" si="15"/>
        <v>40105</v>
      </c>
      <c r="U69" s="27">
        <f t="shared" si="15"/>
        <v>39863</v>
      </c>
    </row>
    <row r="70" spans="1:21">
      <c r="A70" s="5" t="s">
        <v>211</v>
      </c>
      <c r="C70" s="21">
        <f t="shared" ref="C70:L70" si="16">C33+C43</f>
        <v>0</v>
      </c>
      <c r="D70" s="21">
        <f t="shared" si="16"/>
        <v>0</v>
      </c>
      <c r="E70" s="21">
        <f t="shared" si="16"/>
        <v>0</v>
      </c>
      <c r="F70" s="21">
        <f t="shared" si="16"/>
        <v>13378.8</v>
      </c>
      <c r="G70" s="21">
        <f t="shared" si="16"/>
        <v>14022.8</v>
      </c>
      <c r="H70" s="21">
        <f t="shared" si="16"/>
        <v>13726.4</v>
      </c>
      <c r="I70" s="21">
        <f t="shared" si="16"/>
        <v>12795.5</v>
      </c>
      <c r="J70" s="21">
        <f t="shared" si="16"/>
        <v>13746</v>
      </c>
      <c r="K70" s="21">
        <f t="shared" si="16"/>
        <v>13524</v>
      </c>
      <c r="L70" s="21">
        <f t="shared" si="16"/>
        <v>14841</v>
      </c>
      <c r="M70" s="9"/>
      <c r="N70" s="21">
        <f t="shared" ref="N70:U70" si="17">N33+N43</f>
        <v>13825</v>
      </c>
      <c r="O70" s="21">
        <f t="shared" si="17"/>
        <v>13524</v>
      </c>
      <c r="P70" s="21">
        <f t="shared" si="17"/>
        <v>13838</v>
      </c>
      <c r="Q70" s="21">
        <f t="shared" si="17"/>
        <v>14464</v>
      </c>
      <c r="R70" s="21">
        <f t="shared" si="17"/>
        <v>14535</v>
      </c>
      <c r="S70" s="21">
        <f t="shared" si="17"/>
        <v>14841</v>
      </c>
      <c r="T70" s="21">
        <f t="shared" si="17"/>
        <v>14776</v>
      </c>
      <c r="U70" s="21">
        <f t="shared" si="17"/>
        <v>14729</v>
      </c>
    </row>
    <row r="71" spans="1:21">
      <c r="A71" s="10" t="s">
        <v>212</v>
      </c>
      <c r="C71" s="27">
        <f t="shared" ref="C71:L71" si="18">C69-C14</f>
        <v>24732.3</v>
      </c>
      <c r="D71" s="27">
        <f t="shared" si="18"/>
        <v>27072.600000000002</v>
      </c>
      <c r="E71" s="27">
        <f t="shared" si="18"/>
        <v>30209.3</v>
      </c>
      <c r="F71" s="27">
        <f t="shared" si="18"/>
        <v>33278.699999999997</v>
      </c>
      <c r="G71" s="27">
        <f t="shared" si="18"/>
        <v>33991.300000000003</v>
      </c>
      <c r="H71" s="27">
        <f t="shared" si="18"/>
        <v>30913.499999999996</v>
      </c>
      <c r="I71" s="27">
        <f t="shared" si="18"/>
        <v>33319.699999999997</v>
      </c>
      <c r="J71" s="27">
        <f t="shared" si="18"/>
        <v>34766</v>
      </c>
      <c r="K71" s="27">
        <f t="shared" si="18"/>
        <v>37339</v>
      </c>
      <c r="L71" s="27">
        <f t="shared" si="18"/>
        <v>39199</v>
      </c>
      <c r="M71" s="9"/>
      <c r="N71" s="27">
        <f t="shared" ref="N71:U71" si="19">N69-N14</f>
        <v>38365</v>
      </c>
      <c r="O71" s="27">
        <f t="shared" si="19"/>
        <v>37339</v>
      </c>
      <c r="P71" s="27">
        <f t="shared" si="19"/>
        <v>37687</v>
      </c>
      <c r="Q71" s="27">
        <f t="shared" si="19"/>
        <v>39527</v>
      </c>
      <c r="R71" s="27">
        <f t="shared" si="19"/>
        <v>38870</v>
      </c>
      <c r="S71" s="27">
        <f t="shared" si="19"/>
        <v>39199</v>
      </c>
      <c r="T71" s="27">
        <f t="shared" si="19"/>
        <v>38935</v>
      </c>
      <c r="U71" s="27">
        <f t="shared" si="19"/>
        <v>39041</v>
      </c>
    </row>
    <row r="72" spans="1:21">
      <c r="A72" s="5" t="s">
        <v>213</v>
      </c>
      <c r="C72" s="21">
        <f t="shared" ref="C72:L72" si="20">C71+C70</f>
        <v>24732.3</v>
      </c>
      <c r="D72" s="21">
        <f t="shared" si="20"/>
        <v>27072.600000000002</v>
      </c>
      <c r="E72" s="21">
        <f t="shared" si="20"/>
        <v>30209.3</v>
      </c>
      <c r="F72" s="21">
        <f t="shared" si="20"/>
        <v>46657.5</v>
      </c>
      <c r="G72" s="21">
        <f t="shared" si="20"/>
        <v>48014.100000000006</v>
      </c>
      <c r="H72" s="21">
        <f t="shared" si="20"/>
        <v>44639.899999999994</v>
      </c>
      <c r="I72" s="21">
        <f t="shared" si="20"/>
        <v>46115.199999999997</v>
      </c>
      <c r="J72" s="21">
        <f t="shared" si="20"/>
        <v>48512</v>
      </c>
      <c r="K72" s="21">
        <f t="shared" si="20"/>
        <v>50863</v>
      </c>
      <c r="L72" s="21">
        <f t="shared" si="20"/>
        <v>54040</v>
      </c>
      <c r="M72" s="9"/>
      <c r="N72" s="21">
        <f t="shared" ref="N72:U72" si="21">N71+N70</f>
        <v>52190</v>
      </c>
      <c r="O72" s="21">
        <f t="shared" si="21"/>
        <v>50863</v>
      </c>
      <c r="P72" s="21">
        <f t="shared" si="21"/>
        <v>51525</v>
      </c>
      <c r="Q72" s="21">
        <f t="shared" si="21"/>
        <v>53991</v>
      </c>
      <c r="R72" s="21">
        <f t="shared" si="21"/>
        <v>53405</v>
      </c>
      <c r="S72" s="21">
        <f t="shared" si="21"/>
        <v>54040</v>
      </c>
      <c r="T72" s="21">
        <f t="shared" si="21"/>
        <v>53711</v>
      </c>
      <c r="U72" s="21">
        <f t="shared" si="21"/>
        <v>53770</v>
      </c>
    </row>
    <row r="73" spans="1:21">
      <c r="M73" s="9"/>
    </row>
  </sheetData>
  <phoneticPr fontId="15" type="noConversion"/>
  <conditionalFormatting sqref="C61:U61">
    <cfRule type="cellIs" dxfId="5" priority="1" operator="notBetween">
      <formula>-0.5</formula>
      <formula>0.5</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U78"/>
  <sheetViews>
    <sheetView showGridLines="0" zoomScale="85" workbookViewId="0">
      <pane xSplit="2" ySplit="5" topLeftCell="C6" activePane="bottomRight" state="frozen"/>
      <selection pane="topRight"/>
      <selection pane="bottomLeft"/>
      <selection pane="bottomRight" activeCell="L31" sqref="L31"/>
    </sheetView>
  </sheetViews>
  <sheetFormatPr baseColWidth="10" defaultColWidth="8.83203125" defaultRowHeight="14" outlineLevelRow="1" outlineLevelCol="1"/>
  <cols>
    <col min="1" max="1" width="46" customWidth="1"/>
    <col min="2" max="2" width="34" hidden="1" customWidth="1" outlineLevel="1"/>
    <col min="3" max="3" width="12" customWidth="1" collapsed="1"/>
    <col min="4" max="12" width="12" customWidth="1"/>
    <col min="13" max="13" width="9" customWidth="1"/>
    <col min="14" max="21" width="12" customWidth="1"/>
  </cols>
  <sheetData>
    <row r="1" spans="1:21" ht="28" customHeight="1">
      <c r="A1" s="1" t="s">
        <v>214</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HYPERLINK("#'Cash Flow'!A14","1. OPERATING ACTIVITIES")</f>
        <v>1. OPERATING ACTIVITIES</v>
      </c>
      <c r="M7" s="9"/>
    </row>
    <row r="8" spans="1:21">
      <c r="A8" s="11" t="str">
        <f>HYPERLINK("#'Cash Flow'!A30","2. INVESTING ACTIVITIES")</f>
        <v>2. INVESTING ACTIVITIES</v>
      </c>
      <c r="M8" s="9"/>
    </row>
    <row r="9" spans="1:21">
      <c r="A9" s="11" t="str">
        <f>HYPERLINK("#'Cash Flow'!A40","3. FINANCING ACTIVITIES")</f>
        <v>3. FINANCING ACTIVITIES</v>
      </c>
      <c r="M9" s="9"/>
    </row>
    <row r="10" spans="1:21">
      <c r="A10" s="11" t="str">
        <f>HYPERLINK("#'Cash Flow'!A51","4. CASH RECONCILIATION AND SUPPLEMENTAL")</f>
        <v>4. CASH RECONCILIATION AND SUPPLEMENTAL</v>
      </c>
      <c r="M10" s="9"/>
    </row>
    <row r="11" spans="1:21">
      <c r="A11" s="11" t="str">
        <f>HYPERLINK("#'Cash Flow'!A61","5. TIE-OUT CHECKS")</f>
        <v>5. TIE-OUT CHECKS</v>
      </c>
      <c r="M11" s="9"/>
    </row>
    <row r="12" spans="1:21">
      <c r="A12" s="11" t="str">
        <f>HYPERLINK("#'Cash Flow'!A70","6. FREE CASH FLOW ANALYTICS (ANALYST CALCULATION)")</f>
        <v>6. FREE CASH FLOW ANALYTICS (ANALYST CALCULATION)</v>
      </c>
      <c r="M12" s="9"/>
    </row>
    <row r="13" spans="1:21" ht="8" customHeight="1">
      <c r="M13" s="9"/>
    </row>
    <row r="14" spans="1:21" ht="20" customHeight="1">
      <c r="A14" s="12" t="s">
        <v>215</v>
      </c>
      <c r="B14" s="2"/>
      <c r="C14" s="2"/>
      <c r="D14" s="2"/>
      <c r="E14" s="2"/>
      <c r="F14" s="2"/>
      <c r="G14" s="2"/>
      <c r="H14" s="2"/>
      <c r="I14" s="2"/>
      <c r="J14" s="2"/>
      <c r="K14" s="2"/>
      <c r="L14" s="2"/>
      <c r="M14" s="9"/>
      <c r="N14" s="2"/>
      <c r="O14" s="2"/>
      <c r="P14" s="2"/>
      <c r="Q14" s="2"/>
      <c r="R14" s="2"/>
      <c r="S14" s="2"/>
      <c r="T14" s="2"/>
      <c r="U14" s="2"/>
    </row>
    <row r="15" spans="1:21">
      <c r="A15" s="10" t="s">
        <v>139</v>
      </c>
      <c r="C15" s="28">
        <v>4686.5</v>
      </c>
      <c r="D15" s="28">
        <v>5192.3</v>
      </c>
      <c r="E15" s="28">
        <v>5924.3</v>
      </c>
      <c r="F15" s="28">
        <v>6025.4</v>
      </c>
      <c r="G15" s="28">
        <v>4730.5</v>
      </c>
      <c r="H15" s="28">
        <v>7545.2</v>
      </c>
      <c r="I15" s="28">
        <v>6177</v>
      </c>
      <c r="J15" s="28">
        <v>8469</v>
      </c>
      <c r="K15" s="28">
        <v>8223</v>
      </c>
      <c r="L15" s="28">
        <v>8563</v>
      </c>
      <c r="M15" s="9"/>
      <c r="N15" s="28">
        <v>2255</v>
      </c>
      <c r="O15" s="28">
        <v>2016</v>
      </c>
      <c r="P15" s="28">
        <v>1868</v>
      </c>
      <c r="Q15" s="28">
        <v>2253</v>
      </c>
      <c r="R15" s="28">
        <v>2278</v>
      </c>
      <c r="S15" s="28">
        <v>2164</v>
      </c>
      <c r="T15" s="28">
        <v>1983</v>
      </c>
      <c r="U15" s="28">
        <v>2362</v>
      </c>
    </row>
    <row r="16" spans="1:21" outlineLevel="1">
      <c r="A16" s="13" t="s">
        <v>216</v>
      </c>
      <c r="C16" s="14">
        <v>1516.5</v>
      </c>
      <c r="D16" s="14">
        <v>1363.4</v>
      </c>
      <c r="E16" s="14">
        <v>1482</v>
      </c>
      <c r="F16" s="14">
        <v>1617.9</v>
      </c>
      <c r="G16" s="14">
        <v>1751.4</v>
      </c>
      <c r="H16" s="14">
        <v>1868.1</v>
      </c>
      <c r="I16" s="14">
        <v>1871</v>
      </c>
      <c r="J16" s="14">
        <v>1978</v>
      </c>
      <c r="K16" s="14">
        <v>2097</v>
      </c>
      <c r="L16" s="14">
        <v>2199</v>
      </c>
      <c r="M16" s="9"/>
      <c r="N16" s="14">
        <v>532</v>
      </c>
      <c r="O16" s="14">
        <v>553</v>
      </c>
      <c r="P16" s="14">
        <v>520</v>
      </c>
      <c r="Q16" s="14">
        <v>544</v>
      </c>
      <c r="R16" s="14">
        <v>559</v>
      </c>
      <c r="S16" s="14">
        <v>576</v>
      </c>
      <c r="T16" s="14">
        <v>566</v>
      </c>
      <c r="U16" s="14">
        <v>565</v>
      </c>
    </row>
    <row r="17" spans="1:21" outlineLevel="1">
      <c r="A17" s="13" t="s">
        <v>191</v>
      </c>
      <c r="C17" s="14">
        <v>-538.6</v>
      </c>
      <c r="D17" s="14">
        <v>-36.4</v>
      </c>
      <c r="E17" s="14">
        <v>102.6</v>
      </c>
      <c r="F17" s="14">
        <v>149.69999999999999</v>
      </c>
      <c r="G17" s="14">
        <v>6.4</v>
      </c>
      <c r="H17" s="14">
        <v>-428.3</v>
      </c>
      <c r="I17" s="14">
        <v>-346</v>
      </c>
      <c r="J17" s="14">
        <v>-686</v>
      </c>
      <c r="K17" s="14">
        <v>-574</v>
      </c>
      <c r="L17" s="14">
        <v>-126</v>
      </c>
      <c r="M17" s="9"/>
      <c r="N17" s="14">
        <v>-137</v>
      </c>
      <c r="O17" s="14">
        <v>-73</v>
      </c>
      <c r="P17" s="14">
        <v>-44</v>
      </c>
      <c r="Q17" s="14">
        <v>-41</v>
      </c>
      <c r="R17" s="14">
        <v>35</v>
      </c>
      <c r="S17" s="14">
        <v>-77</v>
      </c>
      <c r="T17" s="14">
        <v>63</v>
      </c>
      <c r="U17" s="14">
        <v>-58</v>
      </c>
    </row>
    <row r="18" spans="1:21" outlineLevel="1">
      <c r="A18" s="13" t="s">
        <v>217</v>
      </c>
      <c r="C18" s="14">
        <v>131.30000000000001</v>
      </c>
      <c r="D18" s="14">
        <v>117.5</v>
      </c>
      <c r="E18" s="14">
        <v>125.1</v>
      </c>
      <c r="F18" s="14">
        <v>109.6</v>
      </c>
      <c r="G18" s="14">
        <v>92.4</v>
      </c>
      <c r="H18" s="14">
        <v>139.19999999999999</v>
      </c>
      <c r="I18" s="14">
        <v>167</v>
      </c>
      <c r="J18" s="14">
        <v>175</v>
      </c>
      <c r="K18" s="14">
        <v>172</v>
      </c>
      <c r="L18" s="14">
        <v>165</v>
      </c>
      <c r="M18" s="9"/>
      <c r="N18" s="14">
        <v>40</v>
      </c>
      <c r="O18" s="14">
        <v>44</v>
      </c>
      <c r="P18" s="14">
        <v>45</v>
      </c>
      <c r="Q18" s="14">
        <v>44</v>
      </c>
      <c r="R18" s="14">
        <v>39</v>
      </c>
      <c r="S18" s="14">
        <v>37</v>
      </c>
      <c r="T18" s="14">
        <v>60</v>
      </c>
      <c r="U18" s="14">
        <v>39</v>
      </c>
    </row>
    <row r="19" spans="1:21" ht="24" outlineLevel="1">
      <c r="A19" s="13" t="s">
        <v>218</v>
      </c>
      <c r="B19" s="15" t="s">
        <v>219</v>
      </c>
      <c r="C19" s="14">
        <v>-310.7</v>
      </c>
      <c r="D19" s="14">
        <v>-1155.8</v>
      </c>
      <c r="E19" s="14">
        <v>-308.8</v>
      </c>
      <c r="F19" s="14">
        <v>-128.19999999999999</v>
      </c>
      <c r="G19" s="14">
        <v>-28.2</v>
      </c>
      <c r="H19" s="14">
        <v>-97.8</v>
      </c>
      <c r="I19" s="14">
        <v>733</v>
      </c>
      <c r="J19" s="14">
        <v>-103</v>
      </c>
      <c r="K19" s="14">
        <v>-37</v>
      </c>
      <c r="L19" s="14">
        <v>-149</v>
      </c>
      <c r="M19" s="9"/>
    </row>
    <row r="20" spans="1:21" outlineLevel="1">
      <c r="A20" s="13" t="s">
        <v>220</v>
      </c>
      <c r="B20" s="15" t="s">
        <v>221</v>
      </c>
      <c r="C20" s="14">
        <v>407.6</v>
      </c>
      <c r="D20" s="14">
        <v>1050.7</v>
      </c>
      <c r="E20" s="14">
        <v>114.2</v>
      </c>
      <c r="F20" s="14">
        <v>49.2</v>
      </c>
      <c r="G20" s="14">
        <v>-75.2</v>
      </c>
      <c r="H20" s="14">
        <v>-339.1</v>
      </c>
      <c r="I20" s="14">
        <v>-570</v>
      </c>
      <c r="J20" s="14">
        <v>-113</v>
      </c>
      <c r="K20" s="14">
        <v>3</v>
      </c>
      <c r="L20" s="14">
        <v>-207</v>
      </c>
      <c r="M20" s="9"/>
      <c r="N20" s="14">
        <v>-33</v>
      </c>
      <c r="O20" s="14">
        <v>14</v>
      </c>
      <c r="P20" s="14">
        <v>-73</v>
      </c>
      <c r="Q20" s="14">
        <v>-71</v>
      </c>
      <c r="R20" s="14">
        <v>-53</v>
      </c>
      <c r="S20" s="14">
        <v>-159</v>
      </c>
      <c r="T20" s="14">
        <v>-92</v>
      </c>
      <c r="U20" s="14">
        <v>-51</v>
      </c>
    </row>
    <row r="21" spans="1:21" outlineLevel="1">
      <c r="A21" s="20" t="s">
        <v>222</v>
      </c>
      <c r="C21" s="14">
        <v>-159</v>
      </c>
      <c r="D21" s="14">
        <v>-340.7</v>
      </c>
      <c r="E21" s="14">
        <v>-479.4</v>
      </c>
      <c r="F21" s="14">
        <v>27</v>
      </c>
      <c r="G21" s="14">
        <v>-6.8</v>
      </c>
      <c r="H21" s="14">
        <v>309.89999999999998</v>
      </c>
      <c r="I21" s="14">
        <v>-264</v>
      </c>
      <c r="J21" s="14">
        <v>-161</v>
      </c>
      <c r="K21" s="14">
        <v>10</v>
      </c>
      <c r="L21" s="14">
        <v>231</v>
      </c>
      <c r="M21" s="9"/>
    </row>
    <row r="22" spans="1:21" outlineLevel="1">
      <c r="A22" s="20" t="s">
        <v>223</v>
      </c>
      <c r="C22" s="14">
        <v>28.1</v>
      </c>
      <c r="D22" s="14">
        <v>-37.299999999999997</v>
      </c>
      <c r="E22" s="14">
        <v>-1.9</v>
      </c>
      <c r="F22" s="14">
        <v>128.80000000000001</v>
      </c>
      <c r="G22" s="14">
        <v>-68.599999999999994</v>
      </c>
      <c r="H22" s="14">
        <v>-62.2</v>
      </c>
      <c r="I22" s="14">
        <v>6</v>
      </c>
      <c r="J22" s="14">
        <v>17</v>
      </c>
      <c r="K22" s="14">
        <v>71</v>
      </c>
      <c r="L22" s="14">
        <v>-140</v>
      </c>
      <c r="M22" s="9"/>
    </row>
    <row r="23" spans="1:21" outlineLevel="1">
      <c r="A23" s="20" t="s">
        <v>224</v>
      </c>
      <c r="C23" s="14">
        <v>89.8</v>
      </c>
      <c r="D23" s="14">
        <v>-59.7</v>
      </c>
      <c r="E23" s="14">
        <v>129.4</v>
      </c>
      <c r="F23" s="14">
        <v>-26.8</v>
      </c>
      <c r="G23" s="14">
        <v>-137.5</v>
      </c>
      <c r="H23" s="14">
        <v>225</v>
      </c>
      <c r="I23" s="14">
        <v>31</v>
      </c>
      <c r="J23" s="14">
        <v>50</v>
      </c>
      <c r="K23" s="14">
        <v>-10</v>
      </c>
      <c r="L23" s="14">
        <v>100</v>
      </c>
      <c r="M23" s="9"/>
    </row>
    <row r="24" spans="1:21" outlineLevel="1">
      <c r="A24" s="20" t="s">
        <v>225</v>
      </c>
      <c r="C24" s="14">
        <v>169.7</v>
      </c>
      <c r="D24" s="14">
        <v>-396.4</v>
      </c>
      <c r="E24" s="14">
        <v>-33.4</v>
      </c>
      <c r="F24" s="14">
        <v>173.4</v>
      </c>
      <c r="G24" s="14">
        <v>-43.6</v>
      </c>
      <c r="H24" s="14">
        <v>-302.5</v>
      </c>
      <c r="I24" s="14">
        <v>-547</v>
      </c>
      <c r="J24" s="14">
        <v>-220</v>
      </c>
      <c r="K24" s="14">
        <v>-292</v>
      </c>
      <c r="L24" s="14">
        <v>-239</v>
      </c>
      <c r="M24" s="9"/>
    </row>
    <row r="25" spans="1:21" outlineLevel="1">
      <c r="A25" s="20" t="s">
        <v>226</v>
      </c>
      <c r="C25" s="14">
        <v>38.4</v>
      </c>
      <c r="D25" s="14">
        <v>-146.4</v>
      </c>
      <c r="E25" s="14">
        <v>-87.4</v>
      </c>
      <c r="F25" s="14">
        <v>-3.9</v>
      </c>
      <c r="G25" s="14">
        <v>44.4</v>
      </c>
      <c r="H25" s="14">
        <v>284</v>
      </c>
      <c r="I25" s="14">
        <v>129</v>
      </c>
      <c r="J25" s="14">
        <v>206</v>
      </c>
      <c r="K25" s="14">
        <v>-217</v>
      </c>
      <c r="L25" s="14">
        <v>154</v>
      </c>
      <c r="M25" s="9"/>
    </row>
    <row r="26" spans="1:21" ht="24" outlineLevel="1">
      <c r="A26" s="20" t="s">
        <v>227</v>
      </c>
      <c r="B26" s="15" t="s">
        <v>228</v>
      </c>
      <c r="M26" s="9"/>
      <c r="N26" s="14">
        <v>79</v>
      </c>
      <c r="O26" s="14">
        <v>76</v>
      </c>
      <c r="P26" s="14">
        <v>111</v>
      </c>
      <c r="Q26" s="14">
        <v>-731</v>
      </c>
      <c r="R26" s="14">
        <v>570</v>
      </c>
      <c r="S26" s="14">
        <v>156</v>
      </c>
      <c r="T26" s="14">
        <v>-168</v>
      </c>
      <c r="U26" s="14">
        <v>-50</v>
      </c>
    </row>
    <row r="27" spans="1:21">
      <c r="A27" s="13" t="s">
        <v>229</v>
      </c>
      <c r="C27" s="21">
        <f t="shared" ref="C27:L27" si="0">C21+C22+C23+C24+C25</f>
        <v>166.99999999999997</v>
      </c>
      <c r="D27" s="21">
        <f t="shared" si="0"/>
        <v>-980.49999999999989</v>
      </c>
      <c r="E27" s="21">
        <f t="shared" si="0"/>
        <v>-472.69999999999993</v>
      </c>
      <c r="F27" s="21">
        <f t="shared" si="0"/>
        <v>298.5</v>
      </c>
      <c r="G27" s="21">
        <f t="shared" si="0"/>
        <v>-212.1</v>
      </c>
      <c r="H27" s="21">
        <f t="shared" si="0"/>
        <v>454.2</v>
      </c>
      <c r="I27" s="21">
        <f t="shared" si="0"/>
        <v>-645</v>
      </c>
      <c r="J27" s="21">
        <f t="shared" si="0"/>
        <v>-108</v>
      </c>
      <c r="K27" s="21">
        <f t="shared" si="0"/>
        <v>-438</v>
      </c>
      <c r="L27" s="21">
        <f t="shared" si="0"/>
        <v>106</v>
      </c>
      <c r="M27" s="9"/>
      <c r="N27" s="21">
        <f t="shared" ref="N27:U27" si="1">N26</f>
        <v>79</v>
      </c>
      <c r="O27" s="21">
        <f t="shared" si="1"/>
        <v>76</v>
      </c>
      <c r="P27" s="21">
        <f t="shared" si="1"/>
        <v>111</v>
      </c>
      <c r="Q27" s="21">
        <f t="shared" si="1"/>
        <v>-731</v>
      </c>
      <c r="R27" s="21">
        <f t="shared" si="1"/>
        <v>570</v>
      </c>
      <c r="S27" s="21">
        <f t="shared" si="1"/>
        <v>156</v>
      </c>
      <c r="T27" s="21">
        <f t="shared" si="1"/>
        <v>-168</v>
      </c>
      <c r="U27" s="21">
        <f t="shared" si="1"/>
        <v>-50</v>
      </c>
    </row>
    <row r="28" spans="1:21">
      <c r="A28" s="10" t="s">
        <v>230</v>
      </c>
      <c r="C28" s="16">
        <v>6059.6</v>
      </c>
      <c r="D28" s="16">
        <v>5551.2</v>
      </c>
      <c r="E28" s="16">
        <v>6966.7</v>
      </c>
      <c r="F28" s="16">
        <v>8122.1</v>
      </c>
      <c r="G28" s="16">
        <v>6265.2</v>
      </c>
      <c r="H28" s="16">
        <v>9141.5</v>
      </c>
      <c r="I28" s="16">
        <v>7387</v>
      </c>
      <c r="J28" s="16">
        <v>9612</v>
      </c>
      <c r="K28" s="16">
        <v>9447</v>
      </c>
      <c r="L28" s="16">
        <v>10551</v>
      </c>
      <c r="M28" s="17"/>
      <c r="N28" s="16">
        <v>2736</v>
      </c>
      <c r="O28" s="16">
        <v>2631</v>
      </c>
      <c r="P28" s="16">
        <v>2428</v>
      </c>
      <c r="Q28" s="16">
        <v>1998</v>
      </c>
      <c r="R28" s="16">
        <v>3428</v>
      </c>
      <c r="S28" s="16">
        <v>2697</v>
      </c>
      <c r="T28" s="16">
        <v>2412</v>
      </c>
      <c r="U28" s="16">
        <v>2807</v>
      </c>
    </row>
    <row r="29" spans="1:21" ht="8" customHeight="1">
      <c r="M29" s="9"/>
    </row>
    <row r="30" spans="1:21" ht="20" customHeight="1">
      <c r="A30" s="12" t="s">
        <v>231</v>
      </c>
      <c r="B30" s="2"/>
      <c r="C30" s="2"/>
      <c r="D30" s="2"/>
      <c r="E30" s="2"/>
      <c r="F30" s="2"/>
      <c r="G30" s="2"/>
      <c r="H30" s="2"/>
      <c r="I30" s="2"/>
      <c r="J30" s="2"/>
      <c r="K30" s="2"/>
      <c r="L30" s="2"/>
      <c r="M30" s="9"/>
      <c r="N30" s="2"/>
      <c r="O30" s="2"/>
      <c r="P30" s="2"/>
      <c r="Q30" s="2"/>
      <c r="R30" s="2"/>
      <c r="S30" s="2"/>
      <c r="T30" s="2"/>
      <c r="U30" s="2"/>
    </row>
    <row r="31" spans="1:21">
      <c r="A31" s="13" t="s">
        <v>232</v>
      </c>
      <c r="C31" s="14">
        <v>-1821.1</v>
      </c>
      <c r="D31" s="14">
        <v>-1853.7</v>
      </c>
      <c r="E31" s="14">
        <v>-2741.7</v>
      </c>
      <c r="F31" s="14">
        <v>-2393.6999999999998</v>
      </c>
      <c r="G31" s="14">
        <v>-1640.8</v>
      </c>
      <c r="H31" s="14">
        <v>-2040</v>
      </c>
      <c r="I31" s="14">
        <v>-1899</v>
      </c>
      <c r="J31" s="14">
        <v>-2357</v>
      </c>
      <c r="K31" s="14">
        <v>-2775</v>
      </c>
      <c r="L31" s="14">
        <v>-3365</v>
      </c>
      <c r="M31" s="9"/>
      <c r="N31" s="14">
        <v>-794</v>
      </c>
      <c r="O31" s="14">
        <v>-807</v>
      </c>
      <c r="P31" s="14">
        <v>-551</v>
      </c>
      <c r="Q31" s="14">
        <v>-744</v>
      </c>
      <c r="R31" s="14">
        <v>-1011</v>
      </c>
      <c r="S31" s="14">
        <v>-1059</v>
      </c>
      <c r="T31" s="14">
        <v>-682</v>
      </c>
      <c r="U31" s="14">
        <v>-831</v>
      </c>
    </row>
    <row r="32" spans="1:21">
      <c r="A32" s="13" t="s">
        <v>233</v>
      </c>
      <c r="C32" s="14">
        <v>-109.5</v>
      </c>
      <c r="D32" s="14">
        <v>-77</v>
      </c>
      <c r="E32" s="14">
        <v>-101.7</v>
      </c>
      <c r="F32" s="14">
        <v>-540.9</v>
      </c>
      <c r="G32" s="14">
        <v>-66.099999999999994</v>
      </c>
      <c r="H32" s="14">
        <v>-374.2</v>
      </c>
      <c r="I32" s="14">
        <v>-807</v>
      </c>
      <c r="J32" s="14">
        <v>-441</v>
      </c>
      <c r="K32" s="14">
        <v>-669</v>
      </c>
      <c r="L32" s="14">
        <v>-354</v>
      </c>
      <c r="M32" s="9"/>
      <c r="N32" s="14">
        <v>-433</v>
      </c>
      <c r="O32" s="14">
        <v>-74</v>
      </c>
      <c r="P32" s="14">
        <v>-75</v>
      </c>
      <c r="Q32" s="14">
        <v>-56</v>
      </c>
      <c r="R32" s="14">
        <v>-109</v>
      </c>
      <c r="S32" s="14">
        <v>-114</v>
      </c>
      <c r="T32" s="14">
        <v>-79</v>
      </c>
      <c r="U32" s="14">
        <v>-74</v>
      </c>
    </row>
    <row r="33" spans="1:21">
      <c r="A33" s="13" t="s">
        <v>234</v>
      </c>
      <c r="I33" s="14">
        <v>0</v>
      </c>
      <c r="J33" s="14">
        <v>0</v>
      </c>
      <c r="K33" s="14">
        <v>-1837</v>
      </c>
      <c r="L33" s="14">
        <v>0</v>
      </c>
      <c r="M33" s="9"/>
      <c r="N33" s="14">
        <v>0</v>
      </c>
      <c r="O33" s="14">
        <v>0</v>
      </c>
      <c r="P33" s="14">
        <v>0</v>
      </c>
      <c r="Q33" s="14">
        <v>0</v>
      </c>
      <c r="R33" s="14">
        <v>0</v>
      </c>
      <c r="S33" s="14">
        <v>0</v>
      </c>
    </row>
    <row r="34" spans="1:21">
      <c r="A34" s="13" t="s">
        <v>235</v>
      </c>
      <c r="C34" s="14">
        <v>975.6</v>
      </c>
      <c r="D34" s="14">
        <v>974.8</v>
      </c>
      <c r="E34" s="14">
        <v>530.79999999999995</v>
      </c>
      <c r="F34" s="14">
        <v>340.8</v>
      </c>
      <c r="G34" s="14">
        <v>76.3</v>
      </c>
      <c r="H34" s="14">
        <v>196.2</v>
      </c>
      <c r="I34" s="14">
        <v>446</v>
      </c>
      <c r="J34" s="14">
        <v>195</v>
      </c>
      <c r="K34" s="14">
        <v>311</v>
      </c>
      <c r="L34" s="14">
        <v>346</v>
      </c>
      <c r="M34" s="9"/>
      <c r="N34" s="14">
        <v>54</v>
      </c>
      <c r="O34" s="14">
        <v>155</v>
      </c>
      <c r="P34" s="14">
        <v>49</v>
      </c>
      <c r="Q34" s="14">
        <v>34</v>
      </c>
      <c r="R34" s="14">
        <v>102</v>
      </c>
      <c r="S34" s="14">
        <v>161</v>
      </c>
      <c r="T34" s="14">
        <v>72</v>
      </c>
      <c r="U34" s="14">
        <v>137</v>
      </c>
    </row>
    <row r="35" spans="1:21">
      <c r="A35" s="13" t="s">
        <v>236</v>
      </c>
      <c r="C35" s="14">
        <v>0</v>
      </c>
      <c r="D35" s="14">
        <v>1597</v>
      </c>
      <c r="E35" s="14">
        <v>0</v>
      </c>
      <c r="F35" s="14">
        <v>0</v>
      </c>
      <c r="M35" s="9"/>
    </row>
    <row r="36" spans="1:21">
      <c r="A36" s="13" t="s">
        <v>237</v>
      </c>
      <c r="C36" s="14">
        <v>82.9</v>
      </c>
      <c r="D36" s="14">
        <v>166.8</v>
      </c>
      <c r="E36" s="14">
        <v>160.4</v>
      </c>
      <c r="F36" s="14">
        <v>151.19999999999999</v>
      </c>
      <c r="G36" s="14">
        <v>27.4</v>
      </c>
      <c r="H36" s="14">
        <v>106.2</v>
      </c>
      <c r="I36" s="14">
        <v>39</v>
      </c>
      <c r="J36" s="14">
        <v>95</v>
      </c>
      <c r="K36" s="14">
        <v>122</v>
      </c>
      <c r="L36" s="14">
        <v>130</v>
      </c>
      <c r="M36" s="9"/>
      <c r="N36" s="14">
        <v>10</v>
      </c>
      <c r="O36" s="14">
        <v>90</v>
      </c>
      <c r="P36" s="14">
        <v>5</v>
      </c>
      <c r="Q36" s="14">
        <v>11</v>
      </c>
      <c r="R36" s="14">
        <v>22</v>
      </c>
      <c r="S36" s="14">
        <v>92</v>
      </c>
      <c r="T36" s="14">
        <v>34</v>
      </c>
      <c r="U36" s="14">
        <v>21</v>
      </c>
    </row>
    <row r="37" spans="1:21">
      <c r="A37" s="13" t="s">
        <v>238</v>
      </c>
      <c r="C37" s="14">
        <v>-109.5</v>
      </c>
      <c r="D37" s="14">
        <v>-245.9</v>
      </c>
      <c r="E37" s="14">
        <v>-302.89999999999998</v>
      </c>
      <c r="F37" s="14">
        <v>-628.5</v>
      </c>
      <c r="G37" s="14">
        <v>57.4</v>
      </c>
      <c r="H37" s="14">
        <v>-53.9</v>
      </c>
      <c r="I37" s="14">
        <v>-457</v>
      </c>
      <c r="J37" s="14">
        <v>-676</v>
      </c>
      <c r="K37" s="14">
        <v>-498</v>
      </c>
      <c r="L37" s="14">
        <v>-579</v>
      </c>
      <c r="M37" s="9"/>
      <c r="N37" s="14">
        <v>-103</v>
      </c>
      <c r="O37" s="14">
        <v>-106</v>
      </c>
      <c r="P37" s="14">
        <v>-200</v>
      </c>
      <c r="Q37" s="14">
        <v>-114</v>
      </c>
      <c r="R37" s="14">
        <v>-116</v>
      </c>
      <c r="S37" s="14">
        <v>-149</v>
      </c>
      <c r="T37" s="14">
        <v>-122</v>
      </c>
      <c r="U37" s="14">
        <v>-121</v>
      </c>
    </row>
    <row r="38" spans="1:21">
      <c r="A38" s="10" t="s">
        <v>239</v>
      </c>
      <c r="C38" s="16">
        <v>-981.6</v>
      </c>
      <c r="D38" s="16">
        <v>562</v>
      </c>
      <c r="E38" s="16">
        <v>-2455.1</v>
      </c>
      <c r="F38" s="16">
        <v>-3071.1</v>
      </c>
      <c r="G38" s="16">
        <v>-1545.8</v>
      </c>
      <c r="H38" s="16">
        <v>-2165.6999999999998</v>
      </c>
      <c r="I38" s="16">
        <v>-2678</v>
      </c>
      <c r="J38" s="16">
        <v>-3185</v>
      </c>
      <c r="K38" s="16">
        <v>-5346</v>
      </c>
      <c r="L38" s="16">
        <v>-3822</v>
      </c>
      <c r="M38" s="17"/>
      <c r="N38" s="16">
        <v>-1266</v>
      </c>
      <c r="O38" s="16">
        <v>-742</v>
      </c>
      <c r="P38" s="16">
        <v>-771</v>
      </c>
      <c r="Q38" s="16">
        <v>-869</v>
      </c>
      <c r="R38" s="16">
        <v>-1112</v>
      </c>
      <c r="S38" s="16">
        <v>-1069</v>
      </c>
      <c r="T38" s="16">
        <v>-777</v>
      </c>
      <c r="U38" s="16">
        <v>-868</v>
      </c>
    </row>
    <row r="39" spans="1:21" ht="8" customHeight="1">
      <c r="M39" s="9"/>
    </row>
    <row r="40" spans="1:21" ht="20" customHeight="1">
      <c r="A40" s="12" t="s">
        <v>240</v>
      </c>
      <c r="B40" s="2"/>
      <c r="C40" s="2"/>
      <c r="D40" s="2"/>
      <c r="E40" s="2"/>
      <c r="F40" s="2"/>
      <c r="G40" s="2"/>
      <c r="H40" s="2"/>
      <c r="I40" s="2"/>
      <c r="J40" s="2"/>
      <c r="K40" s="2"/>
      <c r="L40" s="2"/>
      <c r="M40" s="9"/>
      <c r="N40" s="2"/>
      <c r="O40" s="2"/>
      <c r="P40" s="2"/>
      <c r="Q40" s="2"/>
      <c r="R40" s="2"/>
      <c r="S40" s="2"/>
      <c r="T40" s="2"/>
      <c r="U40" s="2"/>
    </row>
    <row r="41" spans="1:21">
      <c r="A41" s="13" t="s">
        <v>241</v>
      </c>
      <c r="C41" s="14">
        <v>-286.2</v>
      </c>
      <c r="D41" s="14">
        <v>-1050.3</v>
      </c>
      <c r="E41" s="14">
        <v>95.9</v>
      </c>
      <c r="F41" s="14">
        <v>799.2</v>
      </c>
      <c r="G41" s="14">
        <v>-893.1</v>
      </c>
      <c r="H41" s="14">
        <v>15.1</v>
      </c>
      <c r="I41" s="14">
        <v>26</v>
      </c>
      <c r="J41" s="14">
        <v>213</v>
      </c>
      <c r="K41" s="14">
        <v>326</v>
      </c>
      <c r="L41" s="14">
        <v>6</v>
      </c>
      <c r="M41" s="9"/>
      <c r="N41" s="14">
        <v>474</v>
      </c>
      <c r="O41" s="14">
        <v>193</v>
      </c>
      <c r="P41" s="14">
        <v>-792</v>
      </c>
      <c r="Q41" s="14">
        <v>597</v>
      </c>
      <c r="R41" s="14">
        <v>-599</v>
      </c>
      <c r="S41" s="14">
        <v>800</v>
      </c>
      <c r="T41" s="14">
        <v>-791</v>
      </c>
      <c r="U41" s="14">
        <v>492</v>
      </c>
    </row>
    <row r="42" spans="1:21">
      <c r="A42" s="13" t="s">
        <v>242</v>
      </c>
      <c r="C42" s="14">
        <v>3779.5</v>
      </c>
      <c r="D42" s="14">
        <v>4727.5</v>
      </c>
      <c r="E42" s="14">
        <v>3794.5</v>
      </c>
      <c r="F42" s="14">
        <v>4499</v>
      </c>
      <c r="G42" s="14">
        <v>5543</v>
      </c>
      <c r="H42" s="14">
        <v>1154.4000000000001</v>
      </c>
      <c r="I42" s="14">
        <v>3374</v>
      </c>
      <c r="J42" s="14">
        <v>5221</v>
      </c>
      <c r="K42" s="14">
        <v>2380</v>
      </c>
      <c r="L42" s="14">
        <v>4724</v>
      </c>
      <c r="M42" s="9"/>
      <c r="N42" s="14">
        <v>0</v>
      </c>
      <c r="O42" s="14">
        <v>649</v>
      </c>
      <c r="P42" s="14">
        <v>1498</v>
      </c>
      <c r="Q42" s="14">
        <v>1403</v>
      </c>
      <c r="R42" s="14">
        <v>1833</v>
      </c>
      <c r="S42" s="14">
        <v>-10</v>
      </c>
      <c r="T42" s="14">
        <v>1159</v>
      </c>
      <c r="U42" s="14">
        <v>0</v>
      </c>
    </row>
    <row r="43" spans="1:21">
      <c r="A43" s="13" t="s">
        <v>243</v>
      </c>
      <c r="C43" s="14">
        <v>-822.9</v>
      </c>
      <c r="D43" s="14">
        <v>-1649.4</v>
      </c>
      <c r="E43" s="14">
        <v>-1759.6</v>
      </c>
      <c r="F43" s="14">
        <v>-2061.9</v>
      </c>
      <c r="G43" s="14">
        <v>-2411.6999999999998</v>
      </c>
      <c r="H43" s="14">
        <v>-2240</v>
      </c>
      <c r="I43" s="14">
        <v>-2202</v>
      </c>
      <c r="J43" s="14">
        <v>-2441</v>
      </c>
      <c r="K43" s="14">
        <v>-2777</v>
      </c>
      <c r="L43" s="14">
        <v>-4802</v>
      </c>
      <c r="M43" s="9"/>
      <c r="N43" s="14">
        <v>0</v>
      </c>
      <c r="O43" s="14">
        <v>-992</v>
      </c>
      <c r="P43" s="14">
        <v>-693</v>
      </c>
      <c r="Q43" s="14">
        <v>-700</v>
      </c>
      <c r="R43" s="14">
        <v>-1251</v>
      </c>
      <c r="S43" s="14">
        <v>-2158</v>
      </c>
      <c r="T43" s="14">
        <v>-1</v>
      </c>
      <c r="U43" s="14">
        <v>-580</v>
      </c>
    </row>
    <row r="44" spans="1:21">
      <c r="A44" s="13" t="s">
        <v>244</v>
      </c>
      <c r="C44" s="14">
        <v>-11171</v>
      </c>
      <c r="D44" s="14">
        <v>-4685.7</v>
      </c>
      <c r="E44" s="14">
        <v>-5207.7</v>
      </c>
      <c r="F44" s="14">
        <v>-4976.2</v>
      </c>
      <c r="G44" s="14">
        <v>-907.8</v>
      </c>
      <c r="H44" s="14">
        <v>-845.5</v>
      </c>
      <c r="I44" s="14">
        <v>-3896</v>
      </c>
      <c r="J44" s="14">
        <v>-3054</v>
      </c>
      <c r="K44" s="14">
        <v>-2824</v>
      </c>
      <c r="L44" s="14">
        <v>-2056</v>
      </c>
      <c r="M44" s="9"/>
      <c r="N44" s="14">
        <v>-469</v>
      </c>
      <c r="O44" s="14">
        <v>-503</v>
      </c>
      <c r="P44" s="14">
        <v>-477</v>
      </c>
      <c r="Q44" s="14">
        <v>-505</v>
      </c>
      <c r="R44" s="14">
        <v>-501</v>
      </c>
      <c r="S44" s="14">
        <v>-573</v>
      </c>
      <c r="T44" s="14">
        <v>-396</v>
      </c>
      <c r="U44" s="14">
        <v>-856</v>
      </c>
    </row>
    <row r="45" spans="1:21">
      <c r="A45" s="13" t="s">
        <v>245</v>
      </c>
      <c r="C45" s="14">
        <v>-3058.2</v>
      </c>
      <c r="D45" s="14">
        <v>-3089.2</v>
      </c>
      <c r="E45" s="14">
        <v>-3255.9</v>
      </c>
      <c r="F45" s="14">
        <v>-3581.9</v>
      </c>
      <c r="G45" s="14">
        <v>-3752.9</v>
      </c>
      <c r="H45" s="14">
        <v>-3918.6</v>
      </c>
      <c r="I45" s="14">
        <v>-4168</v>
      </c>
      <c r="J45" s="14">
        <v>-4533</v>
      </c>
      <c r="K45" s="14">
        <v>-4870</v>
      </c>
      <c r="L45" s="14">
        <v>-5115</v>
      </c>
      <c r="M45" s="9"/>
      <c r="N45" s="14">
        <v>-1197</v>
      </c>
      <c r="O45" s="14">
        <v>-1268</v>
      </c>
      <c r="P45" s="14">
        <v>-1266</v>
      </c>
      <c r="Q45" s="14">
        <v>-1265</v>
      </c>
      <c r="R45" s="14">
        <v>-1262</v>
      </c>
      <c r="S45" s="14">
        <v>-1323</v>
      </c>
      <c r="T45" s="14">
        <v>-1323</v>
      </c>
      <c r="U45" s="14">
        <v>-1317</v>
      </c>
    </row>
    <row r="46" spans="1:21">
      <c r="A46" s="13" t="s">
        <v>246</v>
      </c>
      <c r="C46" s="14">
        <v>299.39999999999998</v>
      </c>
      <c r="D46" s="14">
        <v>456.8</v>
      </c>
      <c r="E46" s="14">
        <v>403.2</v>
      </c>
      <c r="F46" s="14">
        <v>350.5</v>
      </c>
      <c r="G46" s="14">
        <v>295.5</v>
      </c>
      <c r="H46" s="14">
        <v>285.7</v>
      </c>
      <c r="I46" s="14">
        <v>248</v>
      </c>
      <c r="J46" s="14">
        <v>260</v>
      </c>
      <c r="K46" s="14">
        <v>328</v>
      </c>
      <c r="L46" s="14">
        <v>285</v>
      </c>
      <c r="M46" s="9"/>
      <c r="N46" s="14">
        <v>132</v>
      </c>
      <c r="O46" s="14">
        <v>75</v>
      </c>
      <c r="P46" s="14">
        <v>147</v>
      </c>
      <c r="Q46" s="14">
        <v>41</v>
      </c>
      <c r="R46" s="14">
        <v>29</v>
      </c>
      <c r="S46" s="14">
        <v>69</v>
      </c>
      <c r="T46" s="14">
        <v>128</v>
      </c>
      <c r="U46" s="14">
        <v>14</v>
      </c>
    </row>
    <row r="47" spans="1:21">
      <c r="A47" s="13" t="s">
        <v>247</v>
      </c>
      <c r="C47" s="14">
        <v>0</v>
      </c>
      <c r="D47" s="14">
        <v>0</v>
      </c>
      <c r="M47" s="9"/>
    </row>
    <row r="48" spans="1:21">
      <c r="A48" s="13" t="s">
        <v>248</v>
      </c>
      <c r="C48" s="14">
        <v>-3</v>
      </c>
      <c r="D48" s="14">
        <v>-20.5</v>
      </c>
      <c r="E48" s="14">
        <v>-20</v>
      </c>
      <c r="F48" s="14">
        <v>-23.5</v>
      </c>
      <c r="G48" s="14">
        <v>-122</v>
      </c>
      <c r="H48" s="14">
        <v>-46.7</v>
      </c>
      <c r="I48" s="14">
        <v>38</v>
      </c>
      <c r="J48" s="14">
        <v>-40</v>
      </c>
      <c r="K48" s="14">
        <v>-56</v>
      </c>
      <c r="L48" s="14">
        <v>-167</v>
      </c>
      <c r="M48" s="9"/>
      <c r="N48" s="14">
        <v>-27</v>
      </c>
      <c r="O48" s="14">
        <v>-30</v>
      </c>
      <c r="P48" s="14">
        <v>40</v>
      </c>
      <c r="Q48" s="14">
        <v>-126</v>
      </c>
      <c r="R48" s="14">
        <v>-35</v>
      </c>
      <c r="S48" s="14">
        <v>-46</v>
      </c>
      <c r="T48" s="14">
        <v>-2</v>
      </c>
      <c r="U48" s="14">
        <v>-140</v>
      </c>
    </row>
    <row r="49" spans="1:21">
      <c r="A49" s="10" t="s">
        <v>249</v>
      </c>
      <c r="C49" s="16">
        <v>-11262.4</v>
      </c>
      <c r="D49" s="16">
        <v>-5310.8</v>
      </c>
      <c r="E49" s="16">
        <v>-5949.6</v>
      </c>
      <c r="F49" s="16">
        <v>-4994.8</v>
      </c>
      <c r="G49" s="16">
        <v>-2249</v>
      </c>
      <c r="H49" s="16">
        <v>-5595.6</v>
      </c>
      <c r="I49" s="16">
        <v>-6580</v>
      </c>
      <c r="J49" s="16">
        <v>-4374</v>
      </c>
      <c r="K49" s="16">
        <v>-7495</v>
      </c>
      <c r="L49" s="16">
        <v>-7125</v>
      </c>
      <c r="M49" s="17"/>
      <c r="N49" s="16">
        <v>-1087</v>
      </c>
      <c r="O49" s="16">
        <v>-1878</v>
      </c>
      <c r="P49" s="16">
        <v>-1543</v>
      </c>
      <c r="Q49" s="16">
        <v>-555</v>
      </c>
      <c r="R49" s="16">
        <v>-1786</v>
      </c>
      <c r="S49" s="16">
        <v>-3241</v>
      </c>
      <c r="T49" s="16">
        <v>-1225</v>
      </c>
      <c r="U49" s="16">
        <v>-2387</v>
      </c>
    </row>
    <row r="50" spans="1:21" ht="8" customHeight="1">
      <c r="M50" s="9"/>
    </row>
    <row r="51" spans="1:21" ht="20" customHeight="1">
      <c r="A51" s="12" t="s">
        <v>250</v>
      </c>
      <c r="B51" s="2"/>
      <c r="C51" s="2"/>
      <c r="D51" s="2"/>
      <c r="E51" s="2"/>
      <c r="F51" s="2"/>
      <c r="G51" s="2"/>
      <c r="H51" s="2"/>
      <c r="I51" s="2"/>
      <c r="J51" s="2"/>
      <c r="K51" s="2"/>
      <c r="L51" s="2"/>
      <c r="M51" s="9"/>
      <c r="N51" s="2"/>
      <c r="O51" s="2"/>
      <c r="P51" s="2"/>
      <c r="Q51" s="2"/>
      <c r="R51" s="2"/>
      <c r="S51" s="2"/>
      <c r="T51" s="2"/>
      <c r="U51" s="2"/>
    </row>
    <row r="52" spans="1:21">
      <c r="A52" s="5" t="s">
        <v>251</v>
      </c>
      <c r="C52" s="14">
        <v>-103.7</v>
      </c>
      <c r="D52" s="14">
        <v>264</v>
      </c>
      <c r="E52" s="14">
        <v>-159.80000000000001</v>
      </c>
      <c r="F52" s="14">
        <v>-23.7</v>
      </c>
      <c r="G52" s="14">
        <v>80.2</v>
      </c>
      <c r="H52" s="14">
        <v>-120.1</v>
      </c>
      <c r="I52" s="14">
        <v>-254</v>
      </c>
      <c r="J52" s="14">
        <v>-58</v>
      </c>
      <c r="K52" s="14">
        <v>-101</v>
      </c>
      <c r="L52" s="14">
        <v>86</v>
      </c>
      <c r="M52" s="9"/>
      <c r="N52" s="14">
        <v>46</v>
      </c>
      <c r="O52" s="14">
        <v>-148</v>
      </c>
      <c r="P52" s="14">
        <v>39</v>
      </c>
      <c r="Q52" s="14">
        <v>65</v>
      </c>
      <c r="R52" s="14">
        <v>6</v>
      </c>
      <c r="S52" s="14">
        <v>-24</v>
      </c>
      <c r="T52" s="14">
        <v>-14</v>
      </c>
      <c r="U52" s="14">
        <v>99</v>
      </c>
    </row>
    <row r="53" spans="1:21">
      <c r="A53" s="10" t="s">
        <v>252</v>
      </c>
      <c r="C53" s="28">
        <v>-6288.1</v>
      </c>
      <c r="D53" s="28">
        <v>1066.4000000000001</v>
      </c>
      <c r="E53" s="28">
        <v>-1597.8</v>
      </c>
      <c r="F53" s="28">
        <v>32.5</v>
      </c>
      <c r="G53" s="28">
        <v>2550.6</v>
      </c>
      <c r="H53" s="28">
        <v>1260.0999999999999</v>
      </c>
      <c r="I53" s="28">
        <v>-2126</v>
      </c>
      <c r="J53" s="28">
        <v>1996</v>
      </c>
      <c r="K53" s="28">
        <v>-3494</v>
      </c>
      <c r="L53" s="28">
        <v>-311</v>
      </c>
      <c r="M53" s="9"/>
      <c r="N53" s="28">
        <v>429</v>
      </c>
      <c r="O53" s="28">
        <v>-136</v>
      </c>
      <c r="P53" s="28">
        <v>153</v>
      </c>
      <c r="Q53" s="28">
        <v>638</v>
      </c>
      <c r="R53" s="28">
        <v>537</v>
      </c>
      <c r="S53" s="28">
        <v>-1639</v>
      </c>
      <c r="T53" s="28">
        <v>396</v>
      </c>
      <c r="U53" s="28">
        <v>-348</v>
      </c>
    </row>
    <row r="54" spans="1:21" ht="24">
      <c r="A54" s="5" t="s">
        <v>253</v>
      </c>
      <c r="B54" s="15" t="s">
        <v>254</v>
      </c>
      <c r="C54" s="14">
        <v>-174</v>
      </c>
      <c r="D54" s="14">
        <v>174</v>
      </c>
      <c r="E54" s="14">
        <v>0</v>
      </c>
      <c r="F54" s="14">
        <v>0</v>
      </c>
      <c r="M54" s="9"/>
    </row>
    <row r="55" spans="1:21">
      <c r="A55" s="5" t="s">
        <v>255</v>
      </c>
      <c r="C55" s="14">
        <v>7685.5</v>
      </c>
      <c r="D55" s="14">
        <v>1223.4000000000001</v>
      </c>
      <c r="E55" s="14">
        <v>2463.8000000000002</v>
      </c>
      <c r="F55" s="14">
        <v>866</v>
      </c>
      <c r="G55" s="14">
        <v>898.5</v>
      </c>
      <c r="H55" s="14">
        <v>3449.1</v>
      </c>
      <c r="I55" s="14">
        <v>4709</v>
      </c>
      <c r="J55" s="14">
        <v>2584</v>
      </c>
      <c r="K55" s="14">
        <v>4579</v>
      </c>
      <c r="L55" s="14">
        <v>1085</v>
      </c>
      <c r="M55" s="9"/>
      <c r="N55" s="14">
        <v>792</v>
      </c>
      <c r="O55" s="14">
        <v>1221</v>
      </c>
      <c r="P55" s="14">
        <v>1085</v>
      </c>
      <c r="Q55" s="14">
        <v>1238</v>
      </c>
      <c r="R55" s="14">
        <v>1876</v>
      </c>
      <c r="S55" s="14">
        <v>2413</v>
      </c>
      <c r="T55" s="14">
        <v>774</v>
      </c>
      <c r="U55" s="14">
        <v>1170</v>
      </c>
    </row>
    <row r="56" spans="1:21">
      <c r="A56" s="10" t="s">
        <v>256</v>
      </c>
      <c r="C56" s="16">
        <v>1223.4000000000001</v>
      </c>
      <c r="D56" s="16">
        <v>2463.8000000000002</v>
      </c>
      <c r="E56" s="16">
        <v>866</v>
      </c>
      <c r="F56" s="16">
        <v>898.5</v>
      </c>
      <c r="G56" s="16">
        <v>3449.1</v>
      </c>
      <c r="H56" s="16">
        <v>4709.2</v>
      </c>
      <c r="I56" s="16">
        <v>2584</v>
      </c>
      <c r="J56" s="16">
        <v>4579</v>
      </c>
      <c r="K56" s="16">
        <v>1085</v>
      </c>
      <c r="L56" s="16">
        <v>774</v>
      </c>
      <c r="M56" s="17"/>
      <c r="N56" s="16">
        <v>1221</v>
      </c>
      <c r="O56" s="16">
        <v>1085</v>
      </c>
      <c r="P56" s="16">
        <v>1238</v>
      </c>
      <c r="Q56" s="16">
        <v>1876</v>
      </c>
      <c r="R56" s="16">
        <v>2413</v>
      </c>
      <c r="S56" s="16">
        <v>774</v>
      </c>
      <c r="T56" s="16">
        <v>1170</v>
      </c>
      <c r="U56" s="16">
        <v>822</v>
      </c>
    </row>
    <row r="57" spans="1:21">
      <c r="M57" s="9"/>
    </row>
    <row r="58" spans="1:21">
      <c r="A58" s="13" t="s">
        <v>257</v>
      </c>
      <c r="B58" s="15" t="s">
        <v>258</v>
      </c>
      <c r="C58" s="14">
        <v>873.5</v>
      </c>
      <c r="D58" s="14">
        <v>885.2</v>
      </c>
      <c r="E58" s="14">
        <v>959.6</v>
      </c>
      <c r="F58" s="14">
        <v>1066.5</v>
      </c>
      <c r="G58" s="14">
        <v>1136</v>
      </c>
      <c r="H58" s="14">
        <v>1197.3</v>
      </c>
      <c r="I58" s="14">
        <v>1184</v>
      </c>
      <c r="J58" s="14">
        <v>1287</v>
      </c>
      <c r="K58" s="14">
        <v>1523</v>
      </c>
      <c r="L58" s="14">
        <v>1555</v>
      </c>
      <c r="M58" s="9"/>
    </row>
    <row r="59" spans="1:21" ht="36">
      <c r="A59" s="13" t="s">
        <v>259</v>
      </c>
      <c r="B59" s="15" t="s">
        <v>260</v>
      </c>
      <c r="C59" s="14">
        <v>2387.5</v>
      </c>
      <c r="D59" s="14">
        <v>2786.3</v>
      </c>
      <c r="E59" s="14">
        <v>1734.4</v>
      </c>
      <c r="F59" s="14">
        <v>1589.7</v>
      </c>
      <c r="G59" s="14">
        <v>1441.9</v>
      </c>
      <c r="H59" s="14">
        <v>2403.9</v>
      </c>
      <c r="I59" s="14">
        <v>3024</v>
      </c>
      <c r="J59" s="14">
        <v>2993</v>
      </c>
      <c r="K59" s="14">
        <v>2974</v>
      </c>
      <c r="L59" s="14">
        <v>2688</v>
      </c>
      <c r="M59" s="9"/>
    </row>
    <row r="60" spans="1:21" ht="8" customHeight="1">
      <c r="M60" s="9"/>
    </row>
    <row r="61" spans="1:21" ht="20" customHeight="1">
      <c r="A61" s="12" t="s">
        <v>261</v>
      </c>
      <c r="B61" s="2"/>
      <c r="C61" s="2"/>
      <c r="D61" s="2"/>
      <c r="E61" s="2"/>
      <c r="F61" s="2"/>
      <c r="G61" s="2"/>
      <c r="H61" s="2"/>
      <c r="I61" s="2"/>
      <c r="J61" s="2"/>
      <c r="K61" s="2"/>
      <c r="L61" s="2"/>
      <c r="M61" s="9"/>
      <c r="N61" s="2"/>
      <c r="O61" s="2"/>
      <c r="P61" s="2"/>
      <c r="Q61" s="2"/>
      <c r="R61" s="2"/>
      <c r="S61" s="2"/>
      <c r="T61" s="2"/>
      <c r="U61" s="2"/>
    </row>
    <row r="62" spans="1:21">
      <c r="A62" s="18" t="s">
        <v>262</v>
      </c>
      <c r="C62" s="25">
        <f t="shared" ref="C62:L62" si="2">C55+C53+C54-C56</f>
        <v>0</v>
      </c>
      <c r="D62" s="25">
        <f t="shared" si="2"/>
        <v>0</v>
      </c>
      <c r="E62" s="25">
        <f t="shared" si="2"/>
        <v>0</v>
      </c>
      <c r="F62" s="25">
        <f t="shared" si="2"/>
        <v>0</v>
      </c>
      <c r="G62" s="25">
        <f t="shared" si="2"/>
        <v>0</v>
      </c>
      <c r="H62" s="25">
        <f t="shared" si="2"/>
        <v>0</v>
      </c>
      <c r="I62" s="25">
        <f t="shared" si="2"/>
        <v>-1</v>
      </c>
      <c r="J62" s="25">
        <f t="shared" si="2"/>
        <v>1</v>
      </c>
      <c r="K62" s="25">
        <f t="shared" si="2"/>
        <v>0</v>
      </c>
      <c r="L62" s="25">
        <f t="shared" si="2"/>
        <v>0</v>
      </c>
      <c r="M62" s="9"/>
    </row>
    <row r="63" spans="1:21">
      <c r="A63" s="18" t="s">
        <v>263</v>
      </c>
      <c r="M63" s="9"/>
      <c r="N63" s="26">
        <f t="shared" ref="N63:U63" si="3">N55+N53-N56</f>
        <v>0</v>
      </c>
      <c r="O63" s="26">
        <f t="shared" si="3"/>
        <v>0</v>
      </c>
      <c r="P63" s="26">
        <f t="shared" si="3"/>
        <v>0</v>
      </c>
      <c r="Q63" s="26">
        <f t="shared" si="3"/>
        <v>0</v>
      </c>
      <c r="R63" s="26">
        <f t="shared" si="3"/>
        <v>0</v>
      </c>
      <c r="S63" s="26">
        <f t="shared" si="3"/>
        <v>0</v>
      </c>
      <c r="T63" s="26">
        <f t="shared" si="3"/>
        <v>0</v>
      </c>
      <c r="U63" s="26">
        <f t="shared" si="3"/>
        <v>0</v>
      </c>
    </row>
    <row r="64" spans="1:21">
      <c r="A64" s="18" t="s">
        <v>264</v>
      </c>
      <c r="C64" s="25">
        <f t="shared" ref="C64:L64" si="4">C15+C16+C17+C18+C19+C20+C27-C28</f>
        <v>0</v>
      </c>
      <c r="D64" s="25">
        <f t="shared" si="4"/>
        <v>0</v>
      </c>
      <c r="E64" s="25">
        <f t="shared" si="4"/>
        <v>0</v>
      </c>
      <c r="F64" s="25">
        <f t="shared" si="4"/>
        <v>0</v>
      </c>
      <c r="G64" s="25">
        <f t="shared" si="4"/>
        <v>0</v>
      </c>
      <c r="H64" s="25">
        <f t="shared" si="4"/>
        <v>0</v>
      </c>
      <c r="I64" s="25">
        <f t="shared" si="4"/>
        <v>0</v>
      </c>
      <c r="J64" s="25">
        <f t="shared" si="4"/>
        <v>0</v>
      </c>
      <c r="K64" s="25">
        <f t="shared" si="4"/>
        <v>-1</v>
      </c>
      <c r="L64" s="25">
        <f t="shared" si="4"/>
        <v>0</v>
      </c>
      <c r="M64" s="9"/>
      <c r="N64" s="25">
        <f t="shared" ref="N64:U64" si="5">N15+N16+N17+N18+N19+N20+N27-N28</f>
        <v>0</v>
      </c>
      <c r="O64" s="25">
        <f t="shared" si="5"/>
        <v>-1</v>
      </c>
      <c r="P64" s="25">
        <f t="shared" si="5"/>
        <v>-1</v>
      </c>
      <c r="Q64" s="25">
        <f t="shared" si="5"/>
        <v>0</v>
      </c>
      <c r="R64" s="25">
        <f t="shared" si="5"/>
        <v>0</v>
      </c>
      <c r="S64" s="25">
        <f t="shared" si="5"/>
        <v>0</v>
      </c>
      <c r="T64" s="25">
        <f t="shared" si="5"/>
        <v>0</v>
      </c>
      <c r="U64" s="25">
        <f t="shared" si="5"/>
        <v>0</v>
      </c>
    </row>
    <row r="65" spans="1:21">
      <c r="A65" s="18" t="s">
        <v>265</v>
      </c>
      <c r="C65" s="25">
        <f t="shared" ref="C65:L65" si="6">C31+C32+C33+C34+C35+C36+C37-C38</f>
        <v>0</v>
      </c>
      <c r="D65" s="25">
        <f t="shared" si="6"/>
        <v>0</v>
      </c>
      <c r="E65" s="25">
        <f t="shared" si="6"/>
        <v>0</v>
      </c>
      <c r="F65" s="25">
        <f t="shared" si="6"/>
        <v>0</v>
      </c>
      <c r="G65" s="25">
        <f t="shared" si="6"/>
        <v>0</v>
      </c>
      <c r="H65" s="25">
        <f t="shared" si="6"/>
        <v>0</v>
      </c>
      <c r="I65" s="25">
        <f t="shared" si="6"/>
        <v>0</v>
      </c>
      <c r="J65" s="25">
        <f t="shared" si="6"/>
        <v>1</v>
      </c>
      <c r="K65" s="25">
        <f t="shared" si="6"/>
        <v>0</v>
      </c>
      <c r="L65" s="25">
        <f t="shared" si="6"/>
        <v>0</v>
      </c>
      <c r="M65" s="9"/>
      <c r="N65" s="25">
        <f t="shared" ref="N65:U65" si="7">N31+N32+N33+N34+N35+N36+N37-N38</f>
        <v>0</v>
      </c>
      <c r="O65" s="25">
        <f t="shared" si="7"/>
        <v>0</v>
      </c>
      <c r="P65" s="25">
        <f t="shared" si="7"/>
        <v>-1</v>
      </c>
      <c r="Q65" s="25">
        <f t="shared" si="7"/>
        <v>0</v>
      </c>
      <c r="R65" s="25">
        <f t="shared" si="7"/>
        <v>0</v>
      </c>
      <c r="S65" s="25">
        <f t="shared" si="7"/>
        <v>0</v>
      </c>
      <c r="T65" s="25">
        <f t="shared" si="7"/>
        <v>0</v>
      </c>
      <c r="U65" s="25">
        <f t="shared" si="7"/>
        <v>0</v>
      </c>
    </row>
    <row r="66" spans="1:21">
      <c r="A66" s="18" t="s">
        <v>266</v>
      </c>
      <c r="C66" s="25">
        <f t="shared" ref="C66:L66" si="8">C41+C42+C43+C44+C45+C46+C47+C48-C49</f>
        <v>0</v>
      </c>
      <c r="D66" s="25">
        <f t="shared" si="8"/>
        <v>0</v>
      </c>
      <c r="E66" s="25">
        <f t="shared" si="8"/>
        <v>0</v>
      </c>
      <c r="F66" s="25">
        <f t="shared" si="8"/>
        <v>0</v>
      </c>
      <c r="G66" s="25">
        <f t="shared" si="8"/>
        <v>0</v>
      </c>
      <c r="H66" s="25">
        <f t="shared" si="8"/>
        <v>0</v>
      </c>
      <c r="I66" s="25">
        <f t="shared" si="8"/>
        <v>0</v>
      </c>
      <c r="J66" s="25">
        <f t="shared" si="8"/>
        <v>0</v>
      </c>
      <c r="K66" s="25">
        <f t="shared" si="8"/>
        <v>2</v>
      </c>
      <c r="L66" s="25">
        <f t="shared" si="8"/>
        <v>0</v>
      </c>
      <c r="M66" s="9"/>
      <c r="N66" s="25">
        <f t="shared" ref="N66:U66" si="9">N41+N42+N43+N44+N45+N46+N47+N48-N49</f>
        <v>0</v>
      </c>
      <c r="O66" s="25">
        <f t="shared" si="9"/>
        <v>2</v>
      </c>
      <c r="P66" s="25">
        <f t="shared" si="9"/>
        <v>0</v>
      </c>
      <c r="Q66" s="25">
        <f t="shared" si="9"/>
        <v>0</v>
      </c>
      <c r="R66" s="25">
        <f t="shared" si="9"/>
        <v>0</v>
      </c>
      <c r="S66" s="25">
        <f t="shared" si="9"/>
        <v>0</v>
      </c>
      <c r="T66" s="25">
        <f t="shared" si="9"/>
        <v>-1</v>
      </c>
      <c r="U66" s="25">
        <f t="shared" si="9"/>
        <v>0</v>
      </c>
    </row>
    <row r="67" spans="1:21">
      <c r="A67" s="18" t="s">
        <v>267</v>
      </c>
      <c r="C67" s="25">
        <f t="shared" ref="C67:L67" si="10">C28+C38+C49+C52-C53</f>
        <v>0</v>
      </c>
      <c r="D67" s="25">
        <f t="shared" si="10"/>
        <v>0</v>
      </c>
      <c r="E67" s="25">
        <f t="shared" si="10"/>
        <v>0</v>
      </c>
      <c r="F67" s="25">
        <f t="shared" si="10"/>
        <v>-1.8474111129762605E-13</v>
      </c>
      <c r="G67" s="25">
        <f t="shared" si="10"/>
        <v>0</v>
      </c>
      <c r="H67" s="25">
        <f t="shared" si="10"/>
        <v>0</v>
      </c>
      <c r="I67" s="25">
        <f t="shared" si="10"/>
        <v>1</v>
      </c>
      <c r="J67" s="25">
        <f t="shared" si="10"/>
        <v>-1</v>
      </c>
      <c r="K67" s="25">
        <f t="shared" si="10"/>
        <v>-1</v>
      </c>
      <c r="L67" s="25">
        <f t="shared" si="10"/>
        <v>1</v>
      </c>
      <c r="M67" s="9"/>
      <c r="N67" s="25">
        <f t="shared" ref="N67:U67" si="11">N28+N38+N49+N52-N53</f>
        <v>0</v>
      </c>
      <c r="O67" s="25">
        <f t="shared" si="11"/>
        <v>-1</v>
      </c>
      <c r="P67" s="25">
        <f t="shared" si="11"/>
        <v>0</v>
      </c>
      <c r="Q67" s="25">
        <f t="shared" si="11"/>
        <v>1</v>
      </c>
      <c r="R67" s="25">
        <f t="shared" si="11"/>
        <v>-1</v>
      </c>
      <c r="S67" s="25">
        <f t="shared" si="11"/>
        <v>2</v>
      </c>
      <c r="T67" s="25">
        <f t="shared" si="11"/>
        <v>0</v>
      </c>
      <c r="U67" s="25">
        <f t="shared" si="11"/>
        <v>-1</v>
      </c>
    </row>
    <row r="68" spans="1:21">
      <c r="A68" s="18" t="s">
        <v>268</v>
      </c>
      <c r="C68" s="25">
        <f>C56-'Balance Sheet'!C14</f>
        <v>0</v>
      </c>
      <c r="D68" s="25">
        <f>D56-'Balance Sheet'!D14</f>
        <v>0</v>
      </c>
      <c r="E68" s="25">
        <f>E56-'Balance Sheet'!E14</f>
        <v>0</v>
      </c>
      <c r="F68" s="25">
        <f>F56-'Balance Sheet'!F14</f>
        <v>0</v>
      </c>
      <c r="G68" s="25">
        <f>G56-'Balance Sheet'!G14</f>
        <v>0</v>
      </c>
      <c r="H68" s="25">
        <f>H56-'Balance Sheet'!H14</f>
        <v>0</v>
      </c>
      <c r="I68" s="25">
        <f>I56-'Balance Sheet'!I14</f>
        <v>0.1999999999998181</v>
      </c>
      <c r="J68" s="25">
        <f>J56-'Balance Sheet'!J14</f>
        <v>0</v>
      </c>
      <c r="K68" s="25">
        <f>K56-'Balance Sheet'!K14</f>
        <v>0</v>
      </c>
      <c r="L68" s="25">
        <f>L56-'Balance Sheet'!L14</f>
        <v>0</v>
      </c>
      <c r="M68" s="9"/>
      <c r="N68" s="25">
        <f>N56-'Balance Sheet'!N14</f>
        <v>0</v>
      </c>
      <c r="O68" s="25">
        <f>O56-'Balance Sheet'!O14</f>
        <v>0</v>
      </c>
      <c r="P68" s="25">
        <f>P56-'Balance Sheet'!P14</f>
        <v>0</v>
      </c>
      <c r="Q68" s="25">
        <f>Q56-'Balance Sheet'!Q14</f>
        <v>0</v>
      </c>
      <c r="R68" s="25">
        <f>R56-'Balance Sheet'!R14</f>
        <v>0</v>
      </c>
      <c r="S68" s="25">
        <f>S56-'Balance Sheet'!S14</f>
        <v>0</v>
      </c>
      <c r="T68" s="25">
        <f>T56-'Balance Sheet'!T14</f>
        <v>0</v>
      </c>
      <c r="U68" s="25">
        <f>U56-'Balance Sheet'!U14</f>
        <v>0</v>
      </c>
    </row>
    <row r="69" spans="1:21" ht="8" customHeight="1">
      <c r="M69" s="9"/>
    </row>
    <row r="70" spans="1:21" ht="20" customHeight="1">
      <c r="A70" s="12" t="s">
        <v>269</v>
      </c>
      <c r="B70" s="2"/>
      <c r="C70" s="2"/>
      <c r="D70" s="2"/>
      <c r="E70" s="2"/>
      <c r="F70" s="2"/>
      <c r="G70" s="2"/>
      <c r="H70" s="2"/>
      <c r="I70" s="2"/>
      <c r="J70" s="2"/>
      <c r="K70" s="2"/>
      <c r="L70" s="2"/>
      <c r="M70" s="9"/>
      <c r="N70" s="2"/>
      <c r="O70" s="2"/>
      <c r="P70" s="2"/>
      <c r="Q70" s="2"/>
      <c r="R70" s="2"/>
      <c r="S70" s="2"/>
      <c r="T70" s="2"/>
      <c r="U70" s="2"/>
    </row>
    <row r="71" spans="1:21">
      <c r="A71" s="10" t="s">
        <v>270</v>
      </c>
      <c r="C71" s="27">
        <f t="shared" ref="C71:L71" si="12">C28+C31</f>
        <v>4238.5</v>
      </c>
      <c r="D71" s="27">
        <f t="shared" si="12"/>
        <v>3697.5</v>
      </c>
      <c r="E71" s="27">
        <f t="shared" si="12"/>
        <v>4225</v>
      </c>
      <c r="F71" s="27">
        <f t="shared" si="12"/>
        <v>5728.4000000000005</v>
      </c>
      <c r="G71" s="27">
        <f t="shared" si="12"/>
        <v>4624.3999999999996</v>
      </c>
      <c r="H71" s="27">
        <f t="shared" si="12"/>
        <v>7101.5</v>
      </c>
      <c r="I71" s="27">
        <f t="shared" si="12"/>
        <v>5488</v>
      </c>
      <c r="J71" s="27">
        <f t="shared" si="12"/>
        <v>7255</v>
      </c>
      <c r="K71" s="27">
        <f t="shared" si="12"/>
        <v>6672</v>
      </c>
      <c r="L71" s="27">
        <f t="shared" si="12"/>
        <v>7186</v>
      </c>
      <c r="M71" s="9"/>
      <c r="N71" s="27">
        <f t="shared" ref="N71:U71" si="13">N28+N31</f>
        <v>1942</v>
      </c>
      <c r="O71" s="27">
        <f t="shared" si="13"/>
        <v>1824</v>
      </c>
      <c r="P71" s="27">
        <f t="shared" si="13"/>
        <v>1877</v>
      </c>
      <c r="Q71" s="27">
        <f t="shared" si="13"/>
        <v>1254</v>
      </c>
      <c r="R71" s="27">
        <f t="shared" si="13"/>
        <v>2417</v>
      </c>
      <c r="S71" s="27">
        <f t="shared" si="13"/>
        <v>1638</v>
      </c>
      <c r="T71" s="27">
        <f t="shared" si="13"/>
        <v>1730</v>
      </c>
      <c r="U71" s="27">
        <f t="shared" si="13"/>
        <v>1976</v>
      </c>
    </row>
    <row r="72" spans="1:21">
      <c r="A72" s="18" t="s">
        <v>116</v>
      </c>
      <c r="D72" s="19">
        <f t="shared" ref="D72:L72" si="14">IF(N(C71)=0,"",D71/C71-1)</f>
        <v>-0.12763949510440009</v>
      </c>
      <c r="E72" s="19">
        <f t="shared" si="14"/>
        <v>0.14266396213657884</v>
      </c>
      <c r="F72" s="19">
        <f t="shared" si="14"/>
        <v>0.35583431952662736</v>
      </c>
      <c r="G72" s="19">
        <f t="shared" si="14"/>
        <v>-0.19272397178967959</v>
      </c>
      <c r="H72" s="19">
        <f t="shared" si="14"/>
        <v>0.53565868004497896</v>
      </c>
      <c r="I72" s="19">
        <f t="shared" si="14"/>
        <v>-0.2272055199605717</v>
      </c>
      <c r="J72" s="19">
        <f t="shared" si="14"/>
        <v>0.32197521865889223</v>
      </c>
      <c r="K72" s="19">
        <f t="shared" si="14"/>
        <v>-8.03583735354928E-2</v>
      </c>
      <c r="L72" s="19">
        <f t="shared" si="14"/>
        <v>7.7038369304556431E-2</v>
      </c>
      <c r="M72" s="9"/>
      <c r="R72" s="19">
        <f>IF(N(N71)=0,"",R71/N71-1)</f>
        <v>0.24459320288362507</v>
      </c>
      <c r="S72" s="19">
        <f>IF(N(O71)=0,"",S71/O71-1)</f>
        <v>-0.10197368421052633</v>
      </c>
      <c r="T72" s="19">
        <f>IF(N(P71)=0,"",T71/P71-1)</f>
        <v>-7.8316462440063961E-2</v>
      </c>
      <c r="U72" s="19">
        <f>IF(N(Q71)=0,"",U71/Q71-1)</f>
        <v>0.57575757575757569</v>
      </c>
    </row>
    <row r="73" spans="1:21">
      <c r="A73" s="18" t="s">
        <v>271</v>
      </c>
      <c r="C73" s="19">
        <f>0-C31/'Income Statement'!C17</f>
        <v>7.3962610521527569E-2</v>
      </c>
      <c r="D73" s="19">
        <f>0-D31/'Income Statement'!D17</f>
        <v>8.122995214807803E-2</v>
      </c>
      <c r="E73" s="19">
        <f>0-E31/'Income Statement'!E17</f>
        <v>0.12897322877612558</v>
      </c>
      <c r="F73" s="19">
        <f>0-F31/'Income Statement'!F17</f>
        <v>0.11204152702626798</v>
      </c>
      <c r="G73" s="19">
        <f>0-G31/'Income Statement'!G17</f>
        <v>8.542362998365248E-2</v>
      </c>
      <c r="H73" s="19">
        <f>0-H31/'Income Statement'!H17</f>
        <v>8.7844326074693502E-2</v>
      </c>
      <c r="I73" s="19">
        <f>0-I31/'Income Statement'!I17</f>
        <v>8.1913471077945041E-2</v>
      </c>
      <c r="J73" s="19">
        <f>0-J31/'Income Statement'!J17</f>
        <v>9.2453126225778615E-2</v>
      </c>
      <c r="K73" s="19">
        <f>0-K31/'Income Statement'!K17</f>
        <v>0.10706018518518519</v>
      </c>
      <c r="L73" s="19">
        <f>0-L31/'Income Statement'!L17</f>
        <v>0.12516273014692209</v>
      </c>
      <c r="M73" s="9"/>
      <c r="N73" s="19">
        <f>0-N31/'Income Statement'!N17</f>
        <v>0.11552451622290121</v>
      </c>
      <c r="O73" s="19">
        <f>0-O31/'Income Statement'!O17</f>
        <v>0.12633061991233563</v>
      </c>
      <c r="P73" s="19">
        <f>0-P31/'Income Statement'!P17</f>
        <v>9.2511752854264606E-2</v>
      </c>
      <c r="Q73" s="19">
        <f>0-Q31/'Income Statement'!Q17</f>
        <v>0.10872424375274002</v>
      </c>
      <c r="R73" s="19">
        <f>0-R31/'Income Statement'!R17</f>
        <v>0.14283695959310538</v>
      </c>
      <c r="S73" s="19">
        <f>0-S31/'Income Statement'!S17</f>
        <v>0.15109145384505634</v>
      </c>
      <c r="T73" s="19">
        <f>0-T31/'Income Statement'!T17</f>
        <v>0.10464937854841184</v>
      </c>
      <c r="U73" s="19">
        <f>0-U31/'Income Statement'!U17</f>
        <v>0.11705874066769968</v>
      </c>
    </row>
    <row r="74" spans="1:21">
      <c r="A74" s="18" t="s">
        <v>272</v>
      </c>
      <c r="C74" s="19">
        <f>C71/'Income Statement'!C17</f>
        <v>0.17214349826780223</v>
      </c>
      <c r="D74" s="19">
        <f>D71/'Income Statement'!D17</f>
        <v>0.16202608192669715</v>
      </c>
      <c r="E74" s="19">
        <f>E71/'Income Statement'!E17</f>
        <v>0.19874964130981893</v>
      </c>
      <c r="F74" s="19">
        <f>F71/'Income Statement'!F17</f>
        <v>0.2681282881803374</v>
      </c>
      <c r="G74" s="19">
        <f>G71/'Income Statement'!G17</f>
        <v>0.24075635939566217</v>
      </c>
      <c r="H74" s="19">
        <f>H71/'Income Statement'!H17</f>
        <v>0.30579729491148822</v>
      </c>
      <c r="I74" s="19">
        <f>I71/'Income Statement'!I17</f>
        <v>0.23672518655911659</v>
      </c>
      <c r="J74" s="19">
        <f>J71/'Income Statement'!J17</f>
        <v>0.28457676315995922</v>
      </c>
      <c r="K74" s="19">
        <f>K71/'Income Statement'!K17</f>
        <v>0.25740740740740742</v>
      </c>
      <c r="L74" s="19">
        <f>L71/'Income Statement'!L17</f>
        <v>0.26728659103589364</v>
      </c>
      <c r="M74" s="9"/>
      <c r="N74" s="19">
        <f>N71/'Income Statement'!N17</f>
        <v>0.28255492506911101</v>
      </c>
      <c r="O74" s="19">
        <f>O71/'Income Statement'!O17</f>
        <v>0.28553537883531621</v>
      </c>
      <c r="P74" s="19">
        <f>P71/'Income Statement'!P17</f>
        <v>0.31514439220953661</v>
      </c>
      <c r="Q74" s="19">
        <f>Q71/'Income Statement'!Q17</f>
        <v>0.18325295922840859</v>
      </c>
      <c r="R74" s="19">
        <f>R71/'Income Statement'!R17</f>
        <v>0.34148064424978808</v>
      </c>
      <c r="S74" s="19">
        <f>S71/'Income Statement'!S17</f>
        <v>0.23369952917677272</v>
      </c>
      <c r="T74" s="19">
        <f>T71/'Income Statement'!T17</f>
        <v>0.26545956728556086</v>
      </c>
      <c r="U74" s="19">
        <f>U71/'Income Statement'!U17</f>
        <v>0.27834906324834485</v>
      </c>
    </row>
    <row r="75" spans="1:21">
      <c r="A75" s="18" t="s">
        <v>273</v>
      </c>
      <c r="C75" s="19">
        <f>C71/'Income Statement'!C41</f>
        <v>0.90440627333831214</v>
      </c>
      <c r="D75" s="19">
        <f>D71/'Income Statement'!D41</f>
        <v>0.71211216609209793</v>
      </c>
      <c r="E75" s="19">
        <f>E71/'Income Statement'!E41</f>
        <v>0.71316442448896911</v>
      </c>
      <c r="F75" s="19">
        <f>F71/'Income Statement'!F41</f>
        <v>0.95070866664453824</v>
      </c>
      <c r="G75" s="19">
        <f>G71/'Income Statement'!G41</f>
        <v>0.97757108128104842</v>
      </c>
      <c r="H75" s="19">
        <f>H71/'Income Statement'!H41</f>
        <v>0.94119440173885383</v>
      </c>
      <c r="I75" s="19">
        <f>I71/'Income Statement'!I41</f>
        <v>0.88845717986077388</v>
      </c>
      <c r="J75" s="19">
        <f>J71/'Income Statement'!J41</f>
        <v>0.8566536781202031</v>
      </c>
      <c r="K75" s="19">
        <f>K71/'Income Statement'!K41</f>
        <v>0.81138270704122584</v>
      </c>
      <c r="L75" s="19">
        <f>L71/'Income Statement'!L41</f>
        <v>0.83919187200747403</v>
      </c>
      <c r="M75" s="9"/>
      <c r="N75" s="19">
        <f>N71/'Income Statement'!N41</f>
        <v>0.86119733924611974</v>
      </c>
      <c r="O75" s="19">
        <f>O71/'Income Statement'!O41</f>
        <v>0.90476190476190477</v>
      </c>
      <c r="P75" s="19">
        <f>P71/'Income Statement'!P41</f>
        <v>1.0048179871520342</v>
      </c>
      <c r="Q75" s="19">
        <f>Q71/'Income Statement'!Q41</f>
        <v>0.55659121171770976</v>
      </c>
      <c r="R75" s="19">
        <f>R71/'Income Statement'!R41</f>
        <v>1.0610184372256366</v>
      </c>
      <c r="S75" s="19">
        <f>S71/'Income Statement'!S41</f>
        <v>0.75693160813308691</v>
      </c>
      <c r="T75" s="19">
        <f>T71/'Income Statement'!T41</f>
        <v>0.87241553202218858</v>
      </c>
      <c r="U75" s="19">
        <f>U71/'Income Statement'!U41</f>
        <v>0.83657917019475025</v>
      </c>
    </row>
    <row r="76" spans="1:21">
      <c r="A76" s="5" t="s">
        <v>274</v>
      </c>
      <c r="C76" s="21">
        <f t="shared" ref="C76:L76" si="15">0-C45-C44</f>
        <v>14229.2</v>
      </c>
      <c r="D76" s="21">
        <f t="shared" si="15"/>
        <v>7774.9</v>
      </c>
      <c r="E76" s="21">
        <f t="shared" si="15"/>
        <v>8463.6</v>
      </c>
      <c r="F76" s="21">
        <f t="shared" si="15"/>
        <v>8558.1</v>
      </c>
      <c r="G76" s="21">
        <f t="shared" si="15"/>
        <v>4660.7</v>
      </c>
      <c r="H76" s="21">
        <f t="shared" si="15"/>
        <v>4764.1000000000004</v>
      </c>
      <c r="I76" s="21">
        <f t="shared" si="15"/>
        <v>8064</v>
      </c>
      <c r="J76" s="21">
        <f t="shared" si="15"/>
        <v>7587</v>
      </c>
      <c r="K76" s="21">
        <f t="shared" si="15"/>
        <v>7694</v>
      </c>
      <c r="L76" s="21">
        <f t="shared" si="15"/>
        <v>7171</v>
      </c>
      <c r="M76" s="9"/>
      <c r="N76" s="21">
        <f t="shared" ref="N76:U76" si="16">0-N45-N44</f>
        <v>1666</v>
      </c>
      <c r="O76" s="21">
        <f t="shared" si="16"/>
        <v>1771</v>
      </c>
      <c r="P76" s="21">
        <f t="shared" si="16"/>
        <v>1743</v>
      </c>
      <c r="Q76" s="21">
        <f t="shared" si="16"/>
        <v>1770</v>
      </c>
      <c r="R76" s="21">
        <f t="shared" si="16"/>
        <v>1763</v>
      </c>
      <c r="S76" s="21">
        <f t="shared" si="16"/>
        <v>1896</v>
      </c>
      <c r="T76" s="21">
        <f t="shared" si="16"/>
        <v>1719</v>
      </c>
      <c r="U76" s="21">
        <f t="shared" si="16"/>
        <v>2173</v>
      </c>
    </row>
    <row r="77" spans="1:21">
      <c r="A77" s="18" t="s">
        <v>275</v>
      </c>
      <c r="C77" s="19">
        <f t="shared" ref="C77:L77" si="17">C76/C71</f>
        <v>3.3571310605166924</v>
      </c>
      <c r="D77" s="19">
        <f t="shared" si="17"/>
        <v>2.1027450980392155</v>
      </c>
      <c r="E77" s="19">
        <f t="shared" si="17"/>
        <v>2.0032189349112426</v>
      </c>
      <c r="F77" s="19">
        <f t="shared" si="17"/>
        <v>1.4939773758815724</v>
      </c>
      <c r="G77" s="19">
        <f t="shared" si="17"/>
        <v>1.0078496669838251</v>
      </c>
      <c r="H77" s="19">
        <f t="shared" si="17"/>
        <v>0.6708582693797086</v>
      </c>
      <c r="I77" s="19">
        <f t="shared" si="17"/>
        <v>1.4693877551020409</v>
      </c>
      <c r="J77" s="19">
        <f t="shared" si="17"/>
        <v>1.0457615437629222</v>
      </c>
      <c r="K77" s="19">
        <f t="shared" si="17"/>
        <v>1.1531774580335732</v>
      </c>
      <c r="L77" s="19">
        <f t="shared" si="17"/>
        <v>0.99791260784859448</v>
      </c>
      <c r="M77" s="9"/>
      <c r="N77" s="19">
        <f t="shared" ref="N77:U77" si="18">N76/N71</f>
        <v>0.85787847579814624</v>
      </c>
      <c r="O77" s="19">
        <f t="shared" si="18"/>
        <v>0.9709429824561403</v>
      </c>
      <c r="P77" s="19">
        <f t="shared" si="18"/>
        <v>0.92860948321790093</v>
      </c>
      <c r="Q77" s="19">
        <f t="shared" si="18"/>
        <v>1.4114832535885167</v>
      </c>
      <c r="R77" s="19">
        <f t="shared" si="18"/>
        <v>0.72941663218866359</v>
      </c>
      <c r="S77" s="19">
        <f t="shared" si="18"/>
        <v>1.1575091575091576</v>
      </c>
      <c r="T77" s="19">
        <f t="shared" si="18"/>
        <v>0.99364161849710986</v>
      </c>
      <c r="U77" s="19">
        <f t="shared" si="18"/>
        <v>1.0996963562753037</v>
      </c>
    </row>
    <row r="78" spans="1:21">
      <c r="M78" s="9"/>
    </row>
  </sheetData>
  <phoneticPr fontId="15" type="noConversion"/>
  <conditionalFormatting sqref="C63:U63">
    <cfRule type="cellIs" dxfId="4" priority="1" operator="notBetween">
      <formula>-0.5</formula>
      <formula>0.5</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U175"/>
  <sheetViews>
    <sheetView showGridLines="0" zoomScaleNormal="100" workbookViewId="0">
      <pane xSplit="2" ySplit="5" topLeftCell="D25" activePane="bottomRight" state="frozen"/>
      <selection pane="topRight"/>
      <selection pane="bottomLeft"/>
      <selection pane="bottomRight" activeCell="Q80" sqref="Q80"/>
    </sheetView>
  </sheetViews>
  <sheetFormatPr baseColWidth="10" defaultColWidth="8.83203125" defaultRowHeight="14" outlineLevelCol="1"/>
  <cols>
    <col min="1" max="1" width="46" customWidth="1"/>
    <col min="2" max="2" width="34" hidden="1" customWidth="1" outlineLevel="1"/>
    <col min="3" max="3" width="12" hidden="1" customWidth="1" collapsed="1"/>
    <col min="4" max="12" width="12" customWidth="1"/>
    <col min="13" max="13" width="9" customWidth="1"/>
    <col min="14" max="21" width="12" customWidth="1"/>
  </cols>
  <sheetData>
    <row r="1" spans="1:21" ht="28" customHeight="1">
      <c r="A1" s="1" t="s">
        <v>276</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HYPERLINK("#'Segments'!A18","1. SEGMENT REVENUES (CURRENT REPORTABLE-SEGMENT STRUCTURE, FY2017-FY2025)")</f>
        <v>1. SEGMENT REVENUES (CURRENT REPORTABLE-SEGMENT STRUCTURE, FY2017-FY2025)</v>
      </c>
      <c r="M7" s="9"/>
    </row>
    <row r="8" spans="1:21">
      <c r="A8" s="11" t="str">
        <f>HYPERLINK("#'Segments'!A29","2. SEGMENT OPERATING INCOME")</f>
        <v>2. SEGMENT OPERATING INCOME</v>
      </c>
      <c r="M8" s="9"/>
    </row>
    <row r="9" spans="1:21">
      <c r="A9" s="11" t="str">
        <f>HYPERLINK("#'Segments'!A40","3. SEGMENT TOTAL ASSETS")</f>
        <v>3. SEGMENT TOTAL ASSETS</v>
      </c>
      <c r="M9" s="9"/>
    </row>
    <row r="10" spans="1:21">
      <c r="A10" s="11" t="str">
        <f>HYPERLINK("#'Segments'!A47","4. SEGMENT CAPITAL EXPENDITURES")</f>
        <v>4. SEGMENT CAPITAL EXPENDITURES</v>
      </c>
      <c r="M10" s="9"/>
    </row>
    <row r="11" spans="1:21">
      <c r="A11" s="11" t="str">
        <f>HYPERLINK("#'Segments'!A54","5. SEGMENT DEPRECIATION AND AMORTIZATION")</f>
        <v>5. SEGMENT DEPRECIATION AND AMORTIZATION</v>
      </c>
      <c r="M11" s="9"/>
    </row>
    <row r="12" spans="1:21">
      <c r="A12" s="11" t="str">
        <f>HYPERLINK("#'Segments'!A61","6. SEGMENT EXPENSE DETAIL (DISCLOSED FROM FY2022 10-K, ASU 2023-07 PRESENTATION)")</f>
        <v>6. SEGMENT EXPENSE DETAIL (DISCLOSED FROM FY2022 10-K, ASU 2023-07 PRESENTATION)</v>
      </c>
      <c r="M12" s="9"/>
    </row>
    <row r="13" spans="1:21">
      <c r="A13" s="11" t="str">
        <f>HYPERLINK("#'Segments'!A82","7. REVENUE BY TYPE AND SEGMENT (MD&amp;A REVENUE TABLE)")</f>
        <v>7. REVENUE BY TYPE AND SEGMENT (MD&amp;A REVENUE TABLE)</v>
      </c>
      <c r="M13" s="9"/>
    </row>
    <row r="14" spans="1:21">
      <c r="A14" s="11" t="str">
        <f>HYPERLINK("#'Segments'!A97","8. RESTAURANT MARGINS BY SEGMENT (MD&amp;A, FY2017-FY2025)")</f>
        <v>8. RESTAURANT MARGINS BY SEGMENT (MD&amp;A, FY2017-FY2025)</v>
      </c>
      <c r="M14" s="9"/>
    </row>
    <row r="15" spans="1:21">
      <c r="A15" s="11" t="str">
        <f>HYPERLINK("#'Segments'!A123","9. SELLING, GENERAL &amp; ADMINISTRATIVE EXPENSES BY SEGMENT AND INCENTIVE COMPENSATION (MD&amp;A, FY2017-FY2025)")</f>
        <v>9. SELLING, GENERAL &amp; ADMINISTRATIVE EXPENSES BY SEGMENT AND INCENTIVE COMPENSATION (MD&amp;A, FY2017-FY2025)</v>
      </c>
      <c r="M15" s="9"/>
    </row>
    <row r="16" spans="1:21">
      <c r="A16" s="11" t="str">
        <f>HYPERLINK("#'Segments'!A137","10. SUPERSEDED SEGMENT STRUCTURE (U.S. / INT'L LEAD / HIGH GROWTH / FOUNDATIONAL), FY2016-FY2018 - NOT COMPARABLE WITH BLOCKS ABOVE")</f>
        <v>10. SUPERSEDED SEGMENT STRUCTURE (U.S. / INT'L LEAD / HIGH GROWTH / FOUNDATIONAL), FY2016-FY2018 - NOT COMPARABLE WITH BLOCKS ABOVE</v>
      </c>
      <c r="M16" s="9"/>
    </row>
    <row r="17" spans="1:21" ht="8" customHeight="1">
      <c r="M17" s="9"/>
    </row>
    <row r="18" spans="1:21" ht="20" customHeight="1">
      <c r="A18" s="12" t="s">
        <v>277</v>
      </c>
      <c r="B18" s="2"/>
      <c r="C18" s="2"/>
      <c r="D18" s="2"/>
      <c r="E18" s="2"/>
      <c r="F18" s="2"/>
      <c r="G18" s="2"/>
      <c r="H18" s="2"/>
      <c r="I18" s="2"/>
      <c r="J18" s="2"/>
      <c r="K18" s="2"/>
      <c r="L18" s="2"/>
      <c r="M18" s="9"/>
      <c r="N18" s="2"/>
      <c r="O18" s="2"/>
      <c r="P18" s="2"/>
      <c r="Q18" s="2"/>
      <c r="R18" s="2"/>
      <c r="S18" s="2"/>
      <c r="T18" s="2"/>
      <c r="U18" s="2"/>
    </row>
    <row r="19" spans="1:21">
      <c r="A19" s="13" t="s">
        <v>278</v>
      </c>
      <c r="D19" s="14">
        <v>8006.4</v>
      </c>
      <c r="E19" s="14">
        <v>7798.7</v>
      </c>
      <c r="F19" s="14">
        <v>8002.8</v>
      </c>
      <c r="G19" s="14">
        <v>7828.5</v>
      </c>
      <c r="H19" s="14">
        <v>8865</v>
      </c>
      <c r="I19" s="14">
        <v>9588</v>
      </c>
      <c r="J19" s="14">
        <v>10568</v>
      </c>
      <c r="K19" s="14">
        <v>10631</v>
      </c>
      <c r="L19" s="14">
        <v>10825</v>
      </c>
      <c r="M19" s="9"/>
    </row>
    <row r="20" spans="1:21">
      <c r="A20" s="13" t="s">
        <v>279</v>
      </c>
      <c r="D20" s="14">
        <v>11115.9</v>
      </c>
      <c r="E20" s="14">
        <v>11578.1</v>
      </c>
      <c r="F20" s="14">
        <v>11480.1</v>
      </c>
      <c r="G20" s="14">
        <v>9570.7000000000007</v>
      </c>
      <c r="H20" s="14">
        <v>12219.8</v>
      </c>
      <c r="I20" s="14">
        <v>11297</v>
      </c>
      <c r="J20" s="14">
        <v>12382</v>
      </c>
      <c r="K20" s="14">
        <v>12628</v>
      </c>
      <c r="L20" s="14">
        <v>13633</v>
      </c>
      <c r="M20" s="9"/>
    </row>
    <row r="21" spans="1:21">
      <c r="A21" s="13" t="s">
        <v>280</v>
      </c>
      <c r="D21" s="14">
        <v>3698.1</v>
      </c>
      <c r="E21" s="14">
        <v>1881.1</v>
      </c>
      <c r="F21" s="14">
        <v>1881.5</v>
      </c>
      <c r="G21" s="14">
        <v>1808.6</v>
      </c>
      <c r="H21" s="14">
        <v>2138.1</v>
      </c>
      <c r="I21" s="14">
        <v>2297</v>
      </c>
      <c r="J21" s="14">
        <v>2543</v>
      </c>
      <c r="K21" s="14">
        <v>2661</v>
      </c>
      <c r="L21" s="14">
        <v>2427</v>
      </c>
      <c r="M21" s="9"/>
    </row>
    <row r="22" spans="1:21">
      <c r="A22" s="10" t="s">
        <v>115</v>
      </c>
      <c r="D22" s="29">
        <f t="shared" ref="D22:L22" si="0">D19+D20+D21</f>
        <v>22820.399999999998</v>
      </c>
      <c r="E22" s="29">
        <f t="shared" si="0"/>
        <v>21257.899999999998</v>
      </c>
      <c r="F22" s="29">
        <f t="shared" si="0"/>
        <v>21364.400000000001</v>
      </c>
      <c r="G22" s="29">
        <f t="shared" si="0"/>
        <v>19207.8</v>
      </c>
      <c r="H22" s="29">
        <f t="shared" si="0"/>
        <v>23222.899999999998</v>
      </c>
      <c r="I22" s="29">
        <f t="shared" si="0"/>
        <v>23182</v>
      </c>
      <c r="J22" s="29">
        <f t="shared" si="0"/>
        <v>25493</v>
      </c>
      <c r="K22" s="29">
        <f t="shared" si="0"/>
        <v>25920</v>
      </c>
      <c r="L22" s="29">
        <f t="shared" si="0"/>
        <v>26885</v>
      </c>
      <c r="M22" s="17"/>
    </row>
    <row r="23" spans="1:21">
      <c r="A23" s="18" t="s">
        <v>281</v>
      </c>
      <c r="D23" s="19">
        <f t="shared" ref="D23:L23" si="1">D19/D22</f>
        <v>0.35084398170058373</v>
      </c>
      <c r="E23" s="19">
        <f t="shared" si="1"/>
        <v>0.36686126099003197</v>
      </c>
      <c r="F23" s="19">
        <f t="shared" si="1"/>
        <v>0.37458575948774597</v>
      </c>
      <c r="G23" s="19">
        <f t="shared" si="1"/>
        <v>0.40756880017492897</v>
      </c>
      <c r="H23" s="19">
        <f t="shared" si="1"/>
        <v>0.38173526992752849</v>
      </c>
      <c r="I23" s="19">
        <f t="shared" si="1"/>
        <v>0.4135967561038737</v>
      </c>
      <c r="J23" s="19">
        <f t="shared" si="1"/>
        <v>0.4145451692621504</v>
      </c>
      <c r="K23" s="19">
        <f t="shared" si="1"/>
        <v>0.4101466049382716</v>
      </c>
      <c r="L23" s="19">
        <f t="shared" si="1"/>
        <v>0.40264087781290681</v>
      </c>
      <c r="M23" s="9"/>
    </row>
    <row r="24" spans="1:21">
      <c r="A24" s="18" t="s">
        <v>282</v>
      </c>
      <c r="D24" s="19">
        <f t="shared" ref="D24:L24" si="2">D20/D22</f>
        <v>0.48710364410790347</v>
      </c>
      <c r="E24" s="19">
        <f t="shared" si="2"/>
        <v>0.54464928332525797</v>
      </c>
      <c r="F24" s="19">
        <f t="shared" si="2"/>
        <v>0.53734717567542267</v>
      </c>
      <c r="G24" s="19">
        <f t="shared" si="2"/>
        <v>0.49827153552202758</v>
      </c>
      <c r="H24" s="19">
        <f t="shared" si="2"/>
        <v>0.52619612537624505</v>
      </c>
      <c r="I24" s="19">
        <f t="shared" si="2"/>
        <v>0.48731774652747822</v>
      </c>
      <c r="J24" s="19">
        <f t="shared" si="2"/>
        <v>0.48570195740007061</v>
      </c>
      <c r="K24" s="19">
        <f t="shared" si="2"/>
        <v>0.48719135802469138</v>
      </c>
      <c r="L24" s="19">
        <f t="shared" si="2"/>
        <v>0.50708573554026404</v>
      </c>
      <c r="M24" s="9"/>
    </row>
    <row r="25" spans="1:21">
      <c r="A25" s="18" t="s">
        <v>283</v>
      </c>
      <c r="D25" s="19">
        <f t="shared" ref="D25:L25" si="3">D21/D22</f>
        <v>0.16205237419151286</v>
      </c>
      <c r="E25" s="19">
        <f t="shared" si="3"/>
        <v>8.8489455684710158E-2</v>
      </c>
      <c r="F25" s="19">
        <f t="shared" si="3"/>
        <v>8.8067064836831355E-2</v>
      </c>
      <c r="G25" s="19">
        <f t="shared" si="3"/>
        <v>9.4159664303043553E-2</v>
      </c>
      <c r="H25" s="19">
        <f t="shared" si="3"/>
        <v>9.2068604696226575E-2</v>
      </c>
      <c r="I25" s="19">
        <f t="shared" si="3"/>
        <v>9.9085497368648093E-2</v>
      </c>
      <c r="J25" s="19">
        <f t="shared" si="3"/>
        <v>9.9752873337779005E-2</v>
      </c>
      <c r="K25" s="19">
        <f t="shared" si="3"/>
        <v>0.10266203703703704</v>
      </c>
      <c r="L25" s="19">
        <f t="shared" si="3"/>
        <v>9.0273386646829087E-2</v>
      </c>
      <c r="M25" s="9"/>
    </row>
    <row r="26" spans="1:21">
      <c r="A26" s="18" t="s">
        <v>284</v>
      </c>
      <c r="D26" s="25">
        <f>D22-'Income Statement'!D17</f>
        <v>0</v>
      </c>
      <c r="E26" s="25">
        <f>E22-'Income Statement'!E17</f>
        <v>0</v>
      </c>
      <c r="F26" s="25">
        <f>F22-'Income Statement'!F17</f>
        <v>0</v>
      </c>
      <c r="G26" s="25">
        <f>G22-'Income Statement'!G17</f>
        <v>0</v>
      </c>
      <c r="H26" s="25">
        <f>H22-'Income Statement'!H17</f>
        <v>0</v>
      </c>
      <c r="I26" s="25">
        <f>I22-'Income Statement'!I17</f>
        <v>-1</v>
      </c>
      <c r="J26" s="25">
        <f>J22-'Income Statement'!J17</f>
        <v>-1</v>
      </c>
      <c r="K26" s="25">
        <f>K22-'Income Statement'!K17</f>
        <v>0</v>
      </c>
      <c r="L26" s="25">
        <f>L22-'Income Statement'!L17</f>
        <v>0</v>
      </c>
      <c r="M26" s="9"/>
    </row>
    <row r="27" spans="1:21">
      <c r="A27" s="18" t="s">
        <v>116</v>
      </c>
      <c r="D27" s="19" t="str">
        <f t="shared" ref="D27:L27" si="4">IF(N(C22)=0,"",D22/C22-1)</f>
        <v/>
      </c>
      <c r="E27" s="19">
        <f t="shared" si="4"/>
        <v>-6.8469439624195938E-2</v>
      </c>
      <c r="F27" s="19">
        <f t="shared" si="4"/>
        <v>5.0099022010643424E-3</v>
      </c>
      <c r="G27" s="19">
        <f t="shared" si="4"/>
        <v>-0.10094362584486349</v>
      </c>
      <c r="H27" s="19">
        <f t="shared" si="4"/>
        <v>0.20903487125022124</v>
      </c>
      <c r="I27" s="19">
        <f t="shared" si="4"/>
        <v>-1.761192615909235E-3</v>
      </c>
      <c r="J27" s="19">
        <f t="shared" si="4"/>
        <v>9.968941420067301E-2</v>
      </c>
      <c r="K27" s="19">
        <f t="shared" si="4"/>
        <v>1.6749695994979108E-2</v>
      </c>
      <c r="L27" s="19">
        <f t="shared" si="4"/>
        <v>3.7229938271605034E-2</v>
      </c>
      <c r="M27" s="9"/>
    </row>
    <row r="28" spans="1:21" ht="8" customHeight="1">
      <c r="M28" s="9"/>
    </row>
    <row r="29" spans="1:21" ht="20" customHeight="1">
      <c r="A29" s="12" t="s">
        <v>285</v>
      </c>
      <c r="B29" s="2"/>
      <c r="C29" s="2"/>
      <c r="D29" s="2"/>
      <c r="E29" s="2"/>
      <c r="F29" s="2"/>
      <c r="G29" s="2"/>
      <c r="H29" s="2"/>
      <c r="I29" s="2"/>
      <c r="J29" s="2"/>
      <c r="K29" s="2"/>
      <c r="L29" s="2"/>
      <c r="M29" s="9"/>
      <c r="N29" s="2"/>
      <c r="O29" s="2"/>
      <c r="P29" s="2"/>
      <c r="Q29" s="2"/>
      <c r="R29" s="2"/>
      <c r="S29" s="2"/>
      <c r="T29" s="2"/>
      <c r="U29" s="2"/>
    </row>
    <row r="30" spans="1:21">
      <c r="A30" s="13" t="s">
        <v>278</v>
      </c>
      <c r="D30" s="14">
        <v>4022.4</v>
      </c>
      <c r="E30" s="14">
        <v>4015.6</v>
      </c>
      <c r="F30" s="14">
        <v>4068.7</v>
      </c>
      <c r="G30" s="14">
        <v>3789.1</v>
      </c>
      <c r="H30" s="14">
        <v>4754.7</v>
      </c>
      <c r="I30" s="14">
        <v>5136</v>
      </c>
      <c r="J30" s="14">
        <v>5694</v>
      </c>
      <c r="K30" s="14">
        <v>5733</v>
      </c>
      <c r="L30" s="14">
        <v>5808</v>
      </c>
      <c r="M30" s="9"/>
    </row>
    <row r="31" spans="1:21">
      <c r="A31" s="13" t="s">
        <v>279</v>
      </c>
      <c r="D31" s="14">
        <v>4173.6000000000004</v>
      </c>
      <c r="E31" s="14">
        <v>4643.2</v>
      </c>
      <c r="F31" s="14">
        <v>4789</v>
      </c>
      <c r="G31" s="14">
        <v>3315.1</v>
      </c>
      <c r="H31" s="14">
        <v>5130.6000000000004</v>
      </c>
      <c r="I31" s="14">
        <v>3926</v>
      </c>
      <c r="J31" s="14">
        <v>5831</v>
      </c>
      <c r="K31" s="14">
        <v>5946</v>
      </c>
      <c r="L31" s="14">
        <v>6382</v>
      </c>
      <c r="M31" s="9"/>
    </row>
    <row r="32" spans="1:21">
      <c r="A32" s="13" t="s">
        <v>280</v>
      </c>
      <c r="D32" s="14">
        <v>1356.7</v>
      </c>
      <c r="E32" s="14">
        <v>163.80000000000001</v>
      </c>
      <c r="F32" s="14">
        <v>212.1</v>
      </c>
      <c r="G32" s="14">
        <v>219.8</v>
      </c>
      <c r="H32" s="14">
        <v>470.7</v>
      </c>
      <c r="I32" s="14">
        <v>309</v>
      </c>
      <c r="J32" s="14">
        <v>121</v>
      </c>
      <c r="K32" s="14">
        <v>33</v>
      </c>
      <c r="L32" s="14">
        <v>203</v>
      </c>
      <c r="M32" s="9"/>
    </row>
    <row r="33" spans="1:21">
      <c r="A33" s="10" t="s">
        <v>286</v>
      </c>
      <c r="D33" s="29">
        <f t="shared" ref="D33:L33" si="5">D30+D31+D32</f>
        <v>9552.7000000000007</v>
      </c>
      <c r="E33" s="29">
        <f t="shared" si="5"/>
        <v>8822.5999999999985</v>
      </c>
      <c r="F33" s="29">
        <f t="shared" si="5"/>
        <v>9069.8000000000011</v>
      </c>
      <c r="G33" s="29">
        <f t="shared" si="5"/>
        <v>7324</v>
      </c>
      <c r="H33" s="29">
        <f t="shared" si="5"/>
        <v>10356</v>
      </c>
      <c r="I33" s="29">
        <f t="shared" si="5"/>
        <v>9371</v>
      </c>
      <c r="J33" s="29">
        <f t="shared" si="5"/>
        <v>11646</v>
      </c>
      <c r="K33" s="29">
        <f t="shared" si="5"/>
        <v>11712</v>
      </c>
      <c r="L33" s="29">
        <f t="shared" si="5"/>
        <v>12393</v>
      </c>
      <c r="M33" s="17"/>
    </row>
    <row r="34" spans="1:21">
      <c r="A34" s="18" t="s">
        <v>287</v>
      </c>
      <c r="D34" s="19">
        <f t="shared" ref="D34:L34" si="6">D30/D19</f>
        <v>0.50239808153477217</v>
      </c>
      <c r="E34" s="19">
        <f t="shared" si="6"/>
        <v>0.51490633054226986</v>
      </c>
      <c r="F34" s="19">
        <f t="shared" si="6"/>
        <v>0.50840955665517062</v>
      </c>
      <c r="G34" s="19">
        <f t="shared" si="6"/>
        <v>0.48401354026952798</v>
      </c>
      <c r="H34" s="19">
        <f t="shared" si="6"/>
        <v>0.53634517766497458</v>
      </c>
      <c r="I34" s="19">
        <f t="shared" si="6"/>
        <v>0.53566958698372968</v>
      </c>
      <c r="J34" s="19">
        <f t="shared" si="6"/>
        <v>0.53879636638909911</v>
      </c>
      <c r="K34" s="19">
        <f t="shared" si="6"/>
        <v>0.53927194055121819</v>
      </c>
      <c r="L34" s="19">
        <f t="shared" si="6"/>
        <v>0.53653579676674368</v>
      </c>
      <c r="M34" s="9"/>
    </row>
    <row r="35" spans="1:21">
      <c r="A35" s="18" t="s">
        <v>288</v>
      </c>
      <c r="D35" s="19">
        <f t="shared" ref="D35:L35" si="7">D31/D20</f>
        <v>0.37546217580222929</v>
      </c>
      <c r="E35" s="19">
        <f t="shared" si="7"/>
        <v>0.40103298468660659</v>
      </c>
      <c r="F35" s="19">
        <f t="shared" si="7"/>
        <v>0.41715664497696014</v>
      </c>
      <c r="G35" s="19">
        <f t="shared" si="7"/>
        <v>0.34638009758951799</v>
      </c>
      <c r="H35" s="19">
        <f t="shared" si="7"/>
        <v>0.41985957216975733</v>
      </c>
      <c r="I35" s="19">
        <f t="shared" si="7"/>
        <v>0.34752589182968929</v>
      </c>
      <c r="J35" s="19">
        <f t="shared" si="7"/>
        <v>0.47092553706994023</v>
      </c>
      <c r="K35" s="19">
        <f t="shared" si="7"/>
        <v>0.47085840988280014</v>
      </c>
      <c r="L35" s="19">
        <f t="shared" si="7"/>
        <v>0.46812880510525928</v>
      </c>
      <c r="M35" s="9"/>
    </row>
    <row r="36" spans="1:21">
      <c r="A36" s="18" t="s">
        <v>289</v>
      </c>
      <c r="D36" s="19">
        <f t="shared" ref="D36:L36" si="8">D32/D21</f>
        <v>0.36686406533084559</v>
      </c>
      <c r="E36" s="19">
        <f t="shared" si="8"/>
        <v>8.7076710435383564E-2</v>
      </c>
      <c r="F36" s="19">
        <f t="shared" si="8"/>
        <v>0.11272920542120649</v>
      </c>
      <c r="G36" s="19">
        <f t="shared" si="8"/>
        <v>0.12153046555346678</v>
      </c>
      <c r="H36" s="19">
        <f t="shared" si="8"/>
        <v>0.22014873018100184</v>
      </c>
      <c r="I36" s="19">
        <f t="shared" si="8"/>
        <v>0.13452329124945581</v>
      </c>
      <c r="J36" s="19">
        <f t="shared" si="8"/>
        <v>4.7581596539520252E-2</v>
      </c>
      <c r="K36" s="19">
        <f t="shared" si="8"/>
        <v>1.2401352874859075E-2</v>
      </c>
      <c r="L36" s="19">
        <f t="shared" si="8"/>
        <v>8.3642356819118246E-2</v>
      </c>
      <c r="M36" s="9"/>
    </row>
    <row r="37" spans="1:21">
      <c r="A37" s="18" t="s">
        <v>290</v>
      </c>
      <c r="D37" s="19">
        <f t="shared" ref="D37:L37" si="9">D33/D22</f>
        <v>0.41860353017475599</v>
      </c>
      <c r="E37" s="19">
        <f t="shared" si="9"/>
        <v>0.41502688412307892</v>
      </c>
      <c r="F37" s="19">
        <f t="shared" si="9"/>
        <v>0.42452865514594373</v>
      </c>
      <c r="G37" s="19">
        <f t="shared" si="9"/>
        <v>0.3813034288153771</v>
      </c>
      <c r="H37" s="19">
        <f t="shared" si="9"/>
        <v>0.44593913766153243</v>
      </c>
      <c r="I37" s="19">
        <f t="shared" si="9"/>
        <v>0.40423604520748857</v>
      </c>
      <c r="J37" s="19">
        <f t="shared" si="9"/>
        <v>0.45683128701996628</v>
      </c>
      <c r="K37" s="19">
        <f t="shared" si="9"/>
        <v>0.45185185185185184</v>
      </c>
      <c r="L37" s="19">
        <f t="shared" si="9"/>
        <v>0.4609633624697787</v>
      </c>
      <c r="M37" s="9"/>
    </row>
    <row r="38" spans="1:21">
      <c r="A38" s="18" t="s">
        <v>291</v>
      </c>
      <c r="D38" s="25">
        <f>D33-'Income Statement'!D33</f>
        <v>0</v>
      </c>
      <c r="E38" s="25">
        <f>E33-'Income Statement'!E33</f>
        <v>0</v>
      </c>
      <c r="F38" s="25">
        <f>F33-'Income Statement'!F33</f>
        <v>0</v>
      </c>
      <c r="G38" s="25">
        <f>G33-'Income Statement'!G33</f>
        <v>0</v>
      </c>
      <c r="H38" s="25">
        <f>H33-'Income Statement'!H33</f>
        <v>0</v>
      </c>
      <c r="I38" s="25">
        <f>I33-'Income Statement'!I33</f>
        <v>0</v>
      </c>
      <c r="J38" s="25">
        <f>J33-'Income Statement'!J33</f>
        <v>-1</v>
      </c>
      <c r="K38" s="25">
        <f>K33-'Income Statement'!K33</f>
        <v>0</v>
      </c>
      <c r="L38" s="25">
        <f>L33-'Income Statement'!L33</f>
        <v>0</v>
      </c>
      <c r="M38" s="9"/>
    </row>
    <row r="39" spans="1:21" ht="8" customHeight="1">
      <c r="M39" s="9"/>
    </row>
    <row r="40" spans="1:21" ht="20" customHeight="1">
      <c r="A40" s="12" t="s">
        <v>292</v>
      </c>
      <c r="B40" s="2"/>
      <c r="C40" s="2"/>
      <c r="D40" s="2"/>
      <c r="E40" s="2"/>
      <c r="F40" s="2"/>
      <c r="G40" s="2"/>
      <c r="H40" s="2"/>
      <c r="I40" s="2"/>
      <c r="J40" s="2"/>
      <c r="K40" s="2"/>
      <c r="L40" s="2"/>
      <c r="M40" s="9"/>
      <c r="N40" s="2"/>
      <c r="O40" s="2"/>
      <c r="P40" s="2"/>
      <c r="Q40" s="2"/>
      <c r="R40" s="2"/>
      <c r="S40" s="2"/>
      <c r="T40" s="2"/>
      <c r="U40" s="2"/>
    </row>
    <row r="41" spans="1:21">
      <c r="A41" s="13" t="s">
        <v>278</v>
      </c>
      <c r="D41" s="14">
        <v>12648.6</v>
      </c>
      <c r="E41" s="14">
        <v>14483.8</v>
      </c>
      <c r="F41" s="14">
        <v>21376.9</v>
      </c>
      <c r="G41" s="14">
        <v>21010</v>
      </c>
      <c r="H41" s="14">
        <v>21280.3</v>
      </c>
      <c r="I41" s="14">
        <v>21793</v>
      </c>
      <c r="J41" s="14">
        <v>22477</v>
      </c>
      <c r="K41" s="14">
        <v>22547</v>
      </c>
      <c r="L41" s="14">
        <v>23008</v>
      </c>
      <c r="M41" s="9"/>
    </row>
    <row r="42" spans="1:21">
      <c r="A42" s="13" t="s">
        <v>279</v>
      </c>
      <c r="D42" s="14">
        <v>16254.8</v>
      </c>
      <c r="E42" s="14">
        <v>17302.3</v>
      </c>
      <c r="F42" s="14">
        <v>22847.5</v>
      </c>
      <c r="G42" s="14">
        <v>24744</v>
      </c>
      <c r="H42" s="14">
        <v>24186.1</v>
      </c>
      <c r="I42" s="14">
        <v>21979</v>
      </c>
      <c r="J42" s="14">
        <v>23947</v>
      </c>
      <c r="K42" s="14">
        <v>23491</v>
      </c>
      <c r="L42" s="14">
        <v>27487</v>
      </c>
      <c r="M42" s="9"/>
    </row>
    <row r="43" spans="1:21">
      <c r="A43" s="13" t="s">
        <v>280</v>
      </c>
      <c r="D43" s="14">
        <v>4900.3</v>
      </c>
      <c r="E43" s="14">
        <v>1025.0999999999999</v>
      </c>
      <c r="F43" s="14">
        <v>3286.4</v>
      </c>
      <c r="G43" s="14">
        <v>6872.8</v>
      </c>
      <c r="H43" s="14">
        <v>8387.9</v>
      </c>
      <c r="I43" s="14">
        <v>6663</v>
      </c>
      <c r="J43" s="14">
        <v>9723</v>
      </c>
      <c r="K43" s="14">
        <v>9143</v>
      </c>
      <c r="L43" s="14">
        <v>9020</v>
      </c>
      <c r="M43" s="9"/>
    </row>
    <row r="44" spans="1:21">
      <c r="A44" s="10" t="s">
        <v>170</v>
      </c>
      <c r="D44" s="29">
        <f t="shared" ref="D44:L44" si="10">D41+D42+D43</f>
        <v>33803.700000000004</v>
      </c>
      <c r="E44" s="29">
        <f t="shared" si="10"/>
        <v>32811.199999999997</v>
      </c>
      <c r="F44" s="29">
        <f t="shared" si="10"/>
        <v>47510.8</v>
      </c>
      <c r="G44" s="29">
        <f t="shared" si="10"/>
        <v>52626.8</v>
      </c>
      <c r="H44" s="29">
        <f t="shared" si="10"/>
        <v>53854.299999999996</v>
      </c>
      <c r="I44" s="29">
        <f t="shared" si="10"/>
        <v>50435</v>
      </c>
      <c r="J44" s="29">
        <f t="shared" si="10"/>
        <v>56147</v>
      </c>
      <c r="K44" s="29">
        <f t="shared" si="10"/>
        <v>55181</v>
      </c>
      <c r="L44" s="29">
        <f t="shared" si="10"/>
        <v>59515</v>
      </c>
      <c r="M44" s="17"/>
    </row>
    <row r="45" spans="1:21">
      <c r="A45" s="18" t="s">
        <v>293</v>
      </c>
      <c r="D45" s="25">
        <f>D44-'Balance Sheet'!D29</f>
        <v>0</v>
      </c>
      <c r="E45" s="25">
        <f>E44-'Balance Sheet'!E29</f>
        <v>0</v>
      </c>
      <c r="F45" s="25">
        <f>F44-'Balance Sheet'!F29</f>
        <v>0</v>
      </c>
      <c r="G45" s="25">
        <f>G44-'Balance Sheet'!G29</f>
        <v>0</v>
      </c>
      <c r="H45" s="25">
        <f>H44-'Balance Sheet'!H29</f>
        <v>0</v>
      </c>
      <c r="I45" s="25">
        <f>I44-'Balance Sheet'!I29</f>
        <v>-0.59999999999854481</v>
      </c>
      <c r="J45" s="25">
        <f>J44-'Balance Sheet'!J29</f>
        <v>0</v>
      </c>
      <c r="K45" s="25">
        <f>K44-'Balance Sheet'!K29</f>
        <v>-1</v>
      </c>
      <c r="L45" s="25">
        <f>L44-'Balance Sheet'!L29</f>
        <v>0</v>
      </c>
      <c r="M45" s="9"/>
    </row>
    <row r="46" spans="1:21" ht="8" customHeight="1">
      <c r="M46" s="9"/>
    </row>
    <row r="47" spans="1:21" ht="20" customHeight="1">
      <c r="A47" s="12" t="s">
        <v>294</v>
      </c>
      <c r="B47" s="2"/>
      <c r="C47" s="2"/>
      <c r="D47" s="2"/>
      <c r="E47" s="2"/>
      <c r="F47" s="2"/>
      <c r="G47" s="2"/>
      <c r="H47" s="2"/>
      <c r="I47" s="2"/>
      <c r="J47" s="2"/>
      <c r="K47" s="2"/>
      <c r="L47" s="2"/>
      <c r="M47" s="9"/>
      <c r="N47" s="2"/>
      <c r="O47" s="2"/>
      <c r="P47" s="2"/>
      <c r="Q47" s="2"/>
      <c r="R47" s="2"/>
      <c r="S47" s="2"/>
      <c r="T47" s="2"/>
      <c r="U47" s="2"/>
    </row>
    <row r="48" spans="1:21">
      <c r="A48" s="13" t="s">
        <v>278</v>
      </c>
      <c r="D48" s="14">
        <v>861.2</v>
      </c>
      <c r="E48" s="14">
        <v>1849.8</v>
      </c>
      <c r="F48" s="14">
        <v>1480.5</v>
      </c>
      <c r="G48" s="14">
        <v>890.4</v>
      </c>
      <c r="H48" s="14">
        <v>940.7</v>
      </c>
      <c r="I48" s="14">
        <v>860</v>
      </c>
      <c r="J48" s="14">
        <v>963</v>
      </c>
      <c r="K48" s="14">
        <v>1055</v>
      </c>
      <c r="L48" s="14">
        <v>1277</v>
      </c>
      <c r="M48" s="9"/>
    </row>
    <row r="49" spans="1:21">
      <c r="A49" s="13" t="s">
        <v>279</v>
      </c>
      <c r="D49" s="14">
        <v>808</v>
      </c>
      <c r="E49" s="14">
        <v>762.4</v>
      </c>
      <c r="F49" s="14">
        <v>886.6</v>
      </c>
      <c r="G49" s="14">
        <v>731.5</v>
      </c>
      <c r="H49" s="14">
        <v>1050.5999999999999</v>
      </c>
      <c r="I49" s="14">
        <v>1015</v>
      </c>
      <c r="J49" s="14">
        <v>1340</v>
      </c>
      <c r="K49" s="14">
        <v>1661</v>
      </c>
      <c r="L49" s="14">
        <v>2048</v>
      </c>
      <c r="M49" s="9"/>
    </row>
    <row r="50" spans="1:21">
      <c r="A50" s="13" t="s">
        <v>280</v>
      </c>
      <c r="D50" s="14">
        <v>184.5</v>
      </c>
      <c r="E50" s="14">
        <v>129.5</v>
      </c>
      <c r="F50" s="14">
        <v>26.6</v>
      </c>
      <c r="G50" s="14">
        <v>18.899999999999999</v>
      </c>
      <c r="H50" s="14">
        <v>48.7</v>
      </c>
      <c r="I50" s="14">
        <v>24</v>
      </c>
      <c r="J50" s="14">
        <v>54</v>
      </c>
      <c r="K50" s="14">
        <v>58</v>
      </c>
      <c r="L50" s="14">
        <v>40</v>
      </c>
      <c r="M50" s="9"/>
    </row>
    <row r="51" spans="1:21">
      <c r="A51" s="10" t="s">
        <v>295</v>
      </c>
      <c r="D51" s="29">
        <f t="shared" ref="D51:L51" si="11">D48+D49+D50</f>
        <v>1853.7</v>
      </c>
      <c r="E51" s="29">
        <f t="shared" si="11"/>
        <v>2741.7</v>
      </c>
      <c r="F51" s="29">
        <f t="shared" si="11"/>
        <v>2393.6999999999998</v>
      </c>
      <c r="G51" s="29">
        <f t="shared" si="11"/>
        <v>1640.8000000000002</v>
      </c>
      <c r="H51" s="29">
        <f t="shared" si="11"/>
        <v>2040</v>
      </c>
      <c r="I51" s="29">
        <f t="shared" si="11"/>
        <v>1899</v>
      </c>
      <c r="J51" s="29">
        <f t="shared" si="11"/>
        <v>2357</v>
      </c>
      <c r="K51" s="29">
        <f t="shared" si="11"/>
        <v>2774</v>
      </c>
      <c r="L51" s="29">
        <f t="shared" si="11"/>
        <v>3365</v>
      </c>
      <c r="M51" s="17"/>
    </row>
    <row r="52" spans="1:21">
      <c r="A52" s="18" t="s">
        <v>296</v>
      </c>
      <c r="D52" s="25">
        <f>D51+'Cash Flow'!D31</f>
        <v>0</v>
      </c>
      <c r="E52" s="25">
        <f>E51+'Cash Flow'!E31</f>
        <v>0</v>
      </c>
      <c r="F52" s="25">
        <f>F51+'Cash Flow'!F31</f>
        <v>0</v>
      </c>
      <c r="G52" s="25">
        <f>G51+'Cash Flow'!G31</f>
        <v>0</v>
      </c>
      <c r="H52" s="25">
        <f>H51+'Cash Flow'!H31</f>
        <v>0</v>
      </c>
      <c r="I52" s="25">
        <f>I51+'Cash Flow'!I31</f>
        <v>0</v>
      </c>
      <c r="J52" s="25">
        <f>J51+'Cash Flow'!J31</f>
        <v>0</v>
      </c>
      <c r="K52" s="25">
        <f>K51+'Cash Flow'!K31</f>
        <v>-1</v>
      </c>
      <c r="L52" s="25">
        <f>L51+'Cash Flow'!L31</f>
        <v>0</v>
      </c>
      <c r="M52" s="9"/>
    </row>
    <row r="53" spans="1:21" ht="8" customHeight="1">
      <c r="M53" s="9"/>
    </row>
    <row r="54" spans="1:21" ht="20" customHeight="1">
      <c r="A54" s="12" t="s">
        <v>297</v>
      </c>
      <c r="B54" s="2"/>
      <c r="C54" s="2"/>
      <c r="D54" s="2"/>
      <c r="E54" s="2"/>
      <c r="F54" s="2"/>
      <c r="G54" s="2"/>
      <c r="H54" s="2"/>
      <c r="I54" s="2"/>
      <c r="J54" s="2"/>
      <c r="K54" s="2"/>
      <c r="L54" s="2"/>
      <c r="M54" s="9"/>
      <c r="N54" s="2"/>
      <c r="O54" s="2"/>
      <c r="P54" s="2"/>
      <c r="Q54" s="2"/>
      <c r="R54" s="2"/>
      <c r="S54" s="2"/>
      <c r="T54" s="2"/>
      <c r="U54" s="2"/>
    </row>
    <row r="55" spans="1:21">
      <c r="A55" s="13" t="s">
        <v>278</v>
      </c>
      <c r="D55" s="14">
        <v>524.1</v>
      </c>
      <c r="E55" s="14">
        <v>598.4</v>
      </c>
      <c r="F55" s="14">
        <v>730.2</v>
      </c>
      <c r="G55" s="14">
        <v>813.8</v>
      </c>
      <c r="H55" s="14">
        <v>840.7</v>
      </c>
      <c r="I55" s="14">
        <v>912</v>
      </c>
      <c r="J55" s="14">
        <v>969</v>
      </c>
      <c r="K55" s="14">
        <v>980</v>
      </c>
      <c r="L55" s="14">
        <v>995</v>
      </c>
      <c r="M55" s="9"/>
    </row>
    <row r="56" spans="1:21">
      <c r="A56" s="13" t="s">
        <v>279</v>
      </c>
      <c r="D56" s="14">
        <v>687.1</v>
      </c>
      <c r="E56" s="14">
        <v>703.9</v>
      </c>
      <c r="F56" s="14">
        <v>669.3</v>
      </c>
      <c r="G56" s="14">
        <v>678.5</v>
      </c>
      <c r="H56" s="14">
        <v>726.4</v>
      </c>
      <c r="I56" s="14">
        <v>641</v>
      </c>
      <c r="J56" s="14">
        <v>679</v>
      </c>
      <c r="K56" s="14">
        <v>730</v>
      </c>
      <c r="L56" s="14">
        <v>789</v>
      </c>
      <c r="M56" s="9"/>
    </row>
    <row r="57" spans="1:21">
      <c r="A57" s="13" t="s">
        <v>280</v>
      </c>
      <c r="D57" s="14">
        <v>152.19999999999999</v>
      </c>
      <c r="E57" s="14">
        <v>179.7</v>
      </c>
      <c r="F57" s="14">
        <v>218.4</v>
      </c>
      <c r="G57" s="14">
        <v>259.10000000000002</v>
      </c>
      <c r="H57" s="14">
        <v>301</v>
      </c>
      <c r="I57" s="14">
        <v>318</v>
      </c>
      <c r="J57" s="14">
        <v>330</v>
      </c>
      <c r="K57" s="14">
        <v>387</v>
      </c>
      <c r="L57" s="14">
        <v>415</v>
      </c>
      <c r="M57" s="9"/>
    </row>
    <row r="58" spans="1:21">
      <c r="A58" s="10" t="s">
        <v>298</v>
      </c>
      <c r="D58" s="29">
        <f t="shared" ref="D58:L58" si="12">D55+D56+D57</f>
        <v>1363.4</v>
      </c>
      <c r="E58" s="29">
        <f t="shared" si="12"/>
        <v>1482</v>
      </c>
      <c r="F58" s="29">
        <f t="shared" si="12"/>
        <v>1617.9</v>
      </c>
      <c r="G58" s="29">
        <f t="shared" si="12"/>
        <v>1751.4</v>
      </c>
      <c r="H58" s="29">
        <f t="shared" si="12"/>
        <v>1868.1</v>
      </c>
      <c r="I58" s="29">
        <f t="shared" si="12"/>
        <v>1871</v>
      </c>
      <c r="J58" s="29">
        <f t="shared" si="12"/>
        <v>1978</v>
      </c>
      <c r="K58" s="29">
        <f t="shared" si="12"/>
        <v>2097</v>
      </c>
      <c r="L58" s="29">
        <f t="shared" si="12"/>
        <v>2199</v>
      </c>
      <c r="M58" s="17"/>
    </row>
    <row r="59" spans="1:21">
      <c r="A59" s="18" t="s">
        <v>299</v>
      </c>
      <c r="D59" s="25">
        <f>D58-'Cash Flow'!D16</f>
        <v>0</v>
      </c>
      <c r="E59" s="25">
        <f>E58-'Cash Flow'!E16</f>
        <v>0</v>
      </c>
      <c r="F59" s="25">
        <f>F58-'Cash Flow'!F16</f>
        <v>0</v>
      </c>
      <c r="G59" s="25">
        <f>G58-'Cash Flow'!G16</f>
        <v>0</v>
      </c>
      <c r="H59" s="25">
        <f>H58-'Cash Flow'!H16</f>
        <v>0</v>
      </c>
      <c r="I59" s="25">
        <f>I58-'Cash Flow'!I16</f>
        <v>0</v>
      </c>
      <c r="J59" s="25">
        <f>J58-'Cash Flow'!J16</f>
        <v>0</v>
      </c>
      <c r="K59" s="25">
        <f>K58-'Cash Flow'!K16</f>
        <v>0</v>
      </c>
      <c r="L59" s="25">
        <f>L58-'Cash Flow'!L16</f>
        <v>0</v>
      </c>
      <c r="M59" s="9"/>
    </row>
    <row r="60" spans="1:21" ht="8" customHeight="1">
      <c r="M60" s="9"/>
    </row>
    <row r="61" spans="1:21" ht="20" customHeight="1">
      <c r="A61" s="12" t="s">
        <v>300</v>
      </c>
      <c r="B61" s="2"/>
      <c r="C61" s="2"/>
      <c r="D61" s="2"/>
      <c r="E61" s="2"/>
      <c r="F61" s="2"/>
      <c r="G61" s="2"/>
      <c r="H61" s="2"/>
      <c r="I61" s="2"/>
      <c r="J61" s="2"/>
      <c r="K61" s="2"/>
      <c r="L61" s="2"/>
      <c r="M61" s="9"/>
      <c r="N61" s="2"/>
      <c r="O61" s="2"/>
      <c r="P61" s="2"/>
      <c r="Q61" s="2"/>
      <c r="R61" s="2"/>
      <c r="S61" s="2"/>
      <c r="T61" s="2"/>
      <c r="U61" s="2"/>
    </row>
    <row r="62" spans="1:21">
      <c r="A62" s="13" t="s">
        <v>278</v>
      </c>
      <c r="I62" s="14">
        <v>1244</v>
      </c>
      <c r="J62" s="14">
        <v>1286</v>
      </c>
      <c r="K62" s="14">
        <v>1294</v>
      </c>
      <c r="L62" s="14">
        <v>1293</v>
      </c>
      <c r="M62" s="9"/>
    </row>
    <row r="63" spans="1:21">
      <c r="A63" s="13" t="s">
        <v>279</v>
      </c>
      <c r="I63" s="14">
        <v>1086</v>
      </c>
      <c r="J63" s="14">
        <v>1170</v>
      </c>
      <c r="K63" s="14">
        <v>1231</v>
      </c>
      <c r="L63" s="14">
        <v>1324</v>
      </c>
      <c r="M63" s="9"/>
    </row>
    <row r="64" spans="1:21">
      <c r="A64" s="13" t="s">
        <v>280</v>
      </c>
      <c r="I64" s="14">
        <v>20</v>
      </c>
      <c r="J64" s="14">
        <v>19</v>
      </c>
      <c r="K64" s="14">
        <v>11</v>
      </c>
      <c r="L64" s="14">
        <v>1</v>
      </c>
      <c r="M64" s="9"/>
    </row>
    <row r="65" spans="1:13">
      <c r="A65" s="10" t="s">
        <v>301</v>
      </c>
      <c r="D65" s="29">
        <f t="shared" ref="D65:L65" si="13">D62+D63+D64</f>
        <v>0</v>
      </c>
      <c r="E65" s="29">
        <f t="shared" si="13"/>
        <v>0</v>
      </c>
      <c r="F65" s="29">
        <f t="shared" si="13"/>
        <v>0</v>
      </c>
      <c r="G65" s="29">
        <f t="shared" si="13"/>
        <v>0</v>
      </c>
      <c r="H65" s="29">
        <f t="shared" si="13"/>
        <v>0</v>
      </c>
      <c r="I65" s="29">
        <f t="shared" si="13"/>
        <v>2350</v>
      </c>
      <c r="J65" s="29">
        <f t="shared" si="13"/>
        <v>2475</v>
      </c>
      <c r="K65" s="29">
        <f t="shared" si="13"/>
        <v>2536</v>
      </c>
      <c r="L65" s="29">
        <f t="shared" si="13"/>
        <v>2618</v>
      </c>
      <c r="M65" s="17"/>
    </row>
    <row r="66" spans="1:13">
      <c r="M66" s="9"/>
    </row>
    <row r="67" spans="1:13">
      <c r="A67" s="13" t="s">
        <v>278</v>
      </c>
      <c r="I67" s="14">
        <v>2406</v>
      </c>
      <c r="J67" s="14">
        <v>2732</v>
      </c>
      <c r="K67" s="14">
        <v>2780</v>
      </c>
      <c r="L67" s="14">
        <v>2755</v>
      </c>
      <c r="M67" s="9"/>
    </row>
    <row r="68" spans="1:13">
      <c r="A68" s="13" t="s">
        <v>279</v>
      </c>
      <c r="I68" s="14">
        <v>4266</v>
      </c>
      <c r="J68" s="14">
        <v>4707</v>
      </c>
      <c r="K68" s="14">
        <v>4765</v>
      </c>
      <c r="L68" s="14">
        <v>5101</v>
      </c>
      <c r="M68" s="9"/>
    </row>
    <row r="69" spans="1:13">
      <c r="A69" s="13" t="s">
        <v>280</v>
      </c>
      <c r="I69" s="14">
        <v>709</v>
      </c>
      <c r="J69" s="14">
        <v>785</v>
      </c>
      <c r="K69" s="14">
        <v>790</v>
      </c>
      <c r="L69" s="14">
        <v>413</v>
      </c>
      <c r="M69" s="9"/>
    </row>
    <row r="70" spans="1:13">
      <c r="A70" s="10" t="s">
        <v>302</v>
      </c>
      <c r="D70" s="29">
        <f t="shared" ref="D70:L70" si="14">D67+D68+D69</f>
        <v>0</v>
      </c>
      <c r="E70" s="29">
        <f t="shared" si="14"/>
        <v>0</v>
      </c>
      <c r="F70" s="29">
        <f t="shared" si="14"/>
        <v>0</v>
      </c>
      <c r="G70" s="29">
        <f t="shared" si="14"/>
        <v>0</v>
      </c>
      <c r="H70" s="29">
        <f t="shared" si="14"/>
        <v>0</v>
      </c>
      <c r="I70" s="29">
        <f t="shared" si="14"/>
        <v>7381</v>
      </c>
      <c r="J70" s="29">
        <f t="shared" si="14"/>
        <v>8224</v>
      </c>
      <c r="K70" s="29">
        <f t="shared" si="14"/>
        <v>8335</v>
      </c>
      <c r="L70" s="29">
        <f t="shared" si="14"/>
        <v>8269</v>
      </c>
      <c r="M70" s="17"/>
    </row>
    <row r="71" spans="1:13">
      <c r="M71" s="9"/>
    </row>
    <row r="72" spans="1:13">
      <c r="A72" s="13" t="s">
        <v>278</v>
      </c>
      <c r="I72" s="14">
        <v>692</v>
      </c>
      <c r="J72" s="14">
        <v>661</v>
      </c>
      <c r="K72" s="14">
        <v>654</v>
      </c>
      <c r="L72" s="14">
        <v>653</v>
      </c>
      <c r="M72" s="9"/>
    </row>
    <row r="73" spans="1:13">
      <c r="A73" s="13" t="s">
        <v>279</v>
      </c>
      <c r="I73" s="14">
        <v>629</v>
      </c>
      <c r="J73" s="14">
        <v>635</v>
      </c>
      <c r="K73" s="14">
        <v>631</v>
      </c>
      <c r="L73" s="14">
        <v>705</v>
      </c>
      <c r="M73" s="9"/>
    </row>
    <row r="74" spans="1:13">
      <c r="A74" s="13" t="s">
        <v>280</v>
      </c>
      <c r="I74" s="14">
        <v>1541</v>
      </c>
      <c r="J74" s="14">
        <v>1521</v>
      </c>
      <c r="K74" s="14">
        <v>1573</v>
      </c>
      <c r="L74" s="14">
        <v>1682</v>
      </c>
      <c r="M74" s="9"/>
    </row>
    <row r="75" spans="1:13">
      <c r="A75" s="10" t="s">
        <v>303</v>
      </c>
      <c r="D75" s="29">
        <f t="shared" ref="D75:L75" si="15">D72+D73+D74</f>
        <v>0</v>
      </c>
      <c r="E75" s="29">
        <f t="shared" si="15"/>
        <v>0</v>
      </c>
      <c r="F75" s="29">
        <f t="shared" si="15"/>
        <v>0</v>
      </c>
      <c r="G75" s="29">
        <f t="shared" si="15"/>
        <v>0</v>
      </c>
      <c r="H75" s="29">
        <f t="shared" si="15"/>
        <v>0</v>
      </c>
      <c r="I75" s="29">
        <f t="shared" si="15"/>
        <v>2862</v>
      </c>
      <c r="J75" s="29">
        <f t="shared" si="15"/>
        <v>2817</v>
      </c>
      <c r="K75" s="29">
        <f t="shared" si="15"/>
        <v>2858</v>
      </c>
      <c r="L75" s="29">
        <f t="shared" si="15"/>
        <v>3040</v>
      </c>
      <c r="M75" s="17"/>
    </row>
    <row r="76" spans="1:13">
      <c r="M76" s="9"/>
    </row>
    <row r="77" spans="1:13">
      <c r="A77" s="13" t="s">
        <v>278</v>
      </c>
      <c r="I77" s="14">
        <v>110</v>
      </c>
      <c r="J77" s="14">
        <v>195</v>
      </c>
      <c r="K77" s="14">
        <v>170</v>
      </c>
      <c r="L77" s="14">
        <v>316</v>
      </c>
      <c r="M77" s="9"/>
    </row>
    <row r="78" spans="1:13">
      <c r="A78" s="13" t="s">
        <v>279</v>
      </c>
      <c r="I78" s="14">
        <v>1390</v>
      </c>
      <c r="J78" s="14">
        <v>39</v>
      </c>
      <c r="K78" s="14">
        <v>55</v>
      </c>
      <c r="L78" s="14">
        <v>122</v>
      </c>
      <c r="M78" s="9"/>
    </row>
    <row r="79" spans="1:13">
      <c r="A79" s="13" t="s">
        <v>280</v>
      </c>
      <c r="I79" s="14">
        <v>-282</v>
      </c>
      <c r="J79" s="14">
        <v>97</v>
      </c>
      <c r="K79" s="14">
        <v>254</v>
      </c>
      <c r="L79" s="14">
        <v>128</v>
      </c>
      <c r="M79" s="9"/>
    </row>
    <row r="80" spans="1:13">
      <c r="A80" s="10" t="s">
        <v>304</v>
      </c>
      <c r="D80" s="29">
        <f t="shared" ref="D80:L80" si="16">D77+D78+D79</f>
        <v>0</v>
      </c>
      <c r="E80" s="29">
        <f t="shared" si="16"/>
        <v>0</v>
      </c>
      <c r="F80" s="29">
        <f t="shared" si="16"/>
        <v>0</v>
      </c>
      <c r="G80" s="29">
        <f t="shared" si="16"/>
        <v>0</v>
      </c>
      <c r="H80" s="29">
        <f t="shared" si="16"/>
        <v>0</v>
      </c>
      <c r="I80" s="29">
        <f t="shared" si="16"/>
        <v>1218</v>
      </c>
      <c r="J80" s="29">
        <f t="shared" si="16"/>
        <v>331</v>
      </c>
      <c r="K80" s="29">
        <f t="shared" si="16"/>
        <v>479</v>
      </c>
      <c r="L80" s="29">
        <f t="shared" si="16"/>
        <v>566</v>
      </c>
      <c r="M80" s="17"/>
    </row>
    <row r="81" spans="1:21" ht="8" customHeight="1">
      <c r="M81" s="9"/>
    </row>
    <row r="82" spans="1:21" ht="20" customHeight="1">
      <c r="A82" s="37" t="s">
        <v>953</v>
      </c>
      <c r="B82" s="2"/>
      <c r="C82" s="2"/>
      <c r="D82" s="2"/>
      <c r="E82" s="2"/>
      <c r="F82" s="2"/>
      <c r="G82" s="2"/>
      <c r="H82" s="2"/>
      <c r="I82" s="2"/>
      <c r="J82" s="2"/>
      <c r="K82" s="2"/>
      <c r="L82" s="2"/>
      <c r="M82" s="9"/>
      <c r="N82" s="2"/>
      <c r="O82" s="2"/>
      <c r="P82" s="2"/>
      <c r="Q82" s="2"/>
      <c r="R82" s="2"/>
      <c r="S82" s="2"/>
      <c r="T82" s="2"/>
      <c r="U82" s="2"/>
    </row>
    <row r="83" spans="1:21">
      <c r="A83" s="42" t="s">
        <v>954</v>
      </c>
      <c r="D83" s="14">
        <v>4746</v>
      </c>
      <c r="E83" s="14">
        <v>5001</v>
      </c>
      <c r="F83" s="14">
        <v>5353</v>
      </c>
      <c r="G83" s="14">
        <v>5261</v>
      </c>
      <c r="H83" s="14">
        <v>6094</v>
      </c>
      <c r="I83" s="14">
        <v>6585</v>
      </c>
      <c r="J83" s="14">
        <v>7163</v>
      </c>
      <c r="K83" s="14">
        <v>7211</v>
      </c>
      <c r="L83" s="14">
        <v>7371</v>
      </c>
      <c r="M83" s="9"/>
    </row>
    <row r="84" spans="1:21">
      <c r="A84" s="13" t="s">
        <v>305</v>
      </c>
      <c r="D84" s="14">
        <v>4271</v>
      </c>
      <c r="E84" s="14">
        <v>4839</v>
      </c>
      <c r="F84" s="14">
        <v>5064</v>
      </c>
      <c r="G84" s="14">
        <v>4348</v>
      </c>
      <c r="H84" s="14">
        <v>5638</v>
      </c>
      <c r="I84" s="14">
        <v>5985</v>
      </c>
      <c r="J84" s="14">
        <v>6549</v>
      </c>
      <c r="K84" s="14">
        <v>6746</v>
      </c>
      <c r="L84" s="14">
        <v>7279</v>
      </c>
      <c r="M84" s="9"/>
    </row>
    <row r="85" spans="1:21">
      <c r="A85" s="13" t="s">
        <v>306</v>
      </c>
      <c r="D85" s="14">
        <v>1084</v>
      </c>
      <c r="E85" s="14">
        <v>1172</v>
      </c>
      <c r="F85" s="14">
        <v>1239</v>
      </c>
      <c r="G85" s="14">
        <v>1117</v>
      </c>
      <c r="H85" s="14">
        <v>1353</v>
      </c>
      <c r="I85" s="14">
        <v>1536</v>
      </c>
      <c r="J85" s="14">
        <v>1724</v>
      </c>
      <c r="K85" s="14">
        <v>1758</v>
      </c>
      <c r="L85" s="14">
        <v>1898</v>
      </c>
      <c r="M85" s="9"/>
    </row>
    <row r="86" spans="1:21">
      <c r="A86" s="10" t="s">
        <v>307</v>
      </c>
      <c r="D86" s="29">
        <f t="shared" ref="D86:L86" si="17">D83+D84+D85</f>
        <v>10101</v>
      </c>
      <c r="E86" s="29">
        <f t="shared" si="17"/>
        <v>11012</v>
      </c>
      <c r="F86" s="29">
        <f t="shared" si="17"/>
        <v>11656</v>
      </c>
      <c r="G86" s="29">
        <f t="shared" si="17"/>
        <v>10726</v>
      </c>
      <c r="H86" s="29">
        <f t="shared" si="17"/>
        <v>13085</v>
      </c>
      <c r="I86" s="29">
        <f t="shared" si="17"/>
        <v>14106</v>
      </c>
      <c r="J86" s="29">
        <f t="shared" si="17"/>
        <v>15436</v>
      </c>
      <c r="K86" s="29">
        <f t="shared" si="17"/>
        <v>15715</v>
      </c>
      <c r="L86" s="29">
        <f t="shared" si="17"/>
        <v>16548</v>
      </c>
      <c r="M86" s="17"/>
    </row>
    <row r="87" spans="1:21">
      <c r="A87" s="13" t="s">
        <v>308</v>
      </c>
      <c r="D87" s="14">
        <v>3260</v>
      </c>
      <c r="E87" s="14">
        <v>2665</v>
      </c>
      <c r="F87" s="14">
        <v>2490</v>
      </c>
      <c r="G87" s="14">
        <v>2395</v>
      </c>
      <c r="H87" s="14">
        <v>2617</v>
      </c>
      <c r="I87" s="14">
        <v>2836</v>
      </c>
      <c r="J87" s="14">
        <v>3221</v>
      </c>
      <c r="K87" s="14">
        <v>3197</v>
      </c>
      <c r="L87" s="14">
        <v>3115</v>
      </c>
      <c r="M87" s="9"/>
    </row>
    <row r="88" spans="1:21">
      <c r="A88" s="13" t="s">
        <v>309</v>
      </c>
      <c r="D88" s="14">
        <v>6845</v>
      </c>
      <c r="E88" s="14">
        <v>6668</v>
      </c>
      <c r="F88" s="14">
        <v>6334</v>
      </c>
      <c r="G88" s="14">
        <v>5114</v>
      </c>
      <c r="H88" s="14">
        <v>6456</v>
      </c>
      <c r="I88" s="14">
        <v>5179</v>
      </c>
      <c r="J88" s="14">
        <v>5702</v>
      </c>
      <c r="K88" s="14">
        <v>5713</v>
      </c>
      <c r="L88" s="14">
        <v>6131</v>
      </c>
      <c r="M88" s="9"/>
    </row>
    <row r="89" spans="1:21">
      <c r="A89" s="13" t="s">
        <v>310</v>
      </c>
      <c r="D89" s="14">
        <v>2614</v>
      </c>
      <c r="E89" s="14">
        <v>680</v>
      </c>
      <c r="F89" s="14">
        <v>597</v>
      </c>
      <c r="G89" s="14">
        <v>630</v>
      </c>
      <c r="H89" s="14">
        <v>715</v>
      </c>
      <c r="I89" s="14">
        <v>733</v>
      </c>
      <c r="J89" s="14">
        <v>819</v>
      </c>
      <c r="K89" s="14">
        <v>872</v>
      </c>
      <c r="L89" s="14">
        <v>443</v>
      </c>
      <c r="M89" s="9"/>
    </row>
    <row r="90" spans="1:21">
      <c r="A90" s="10" t="s">
        <v>311</v>
      </c>
      <c r="D90" s="29">
        <f t="shared" ref="D90:L90" si="18">D87+D88+D89</f>
        <v>12719</v>
      </c>
      <c r="E90" s="29">
        <f t="shared" si="18"/>
        <v>10013</v>
      </c>
      <c r="F90" s="29">
        <f t="shared" si="18"/>
        <v>9421</v>
      </c>
      <c r="G90" s="29">
        <f t="shared" si="18"/>
        <v>8139</v>
      </c>
      <c r="H90" s="29">
        <f t="shared" si="18"/>
        <v>9788</v>
      </c>
      <c r="I90" s="29">
        <f t="shared" si="18"/>
        <v>8748</v>
      </c>
      <c r="J90" s="29">
        <f t="shared" si="18"/>
        <v>9742</v>
      </c>
      <c r="K90" s="29">
        <f t="shared" si="18"/>
        <v>9782</v>
      </c>
      <c r="L90" s="29">
        <f t="shared" si="18"/>
        <v>9689</v>
      </c>
      <c r="M90" s="17"/>
    </row>
    <row r="91" spans="1:21">
      <c r="A91" s="5" t="s">
        <v>312</v>
      </c>
      <c r="E91" s="14">
        <v>233</v>
      </c>
      <c r="F91" s="14">
        <v>288</v>
      </c>
      <c r="G91" s="14">
        <v>343</v>
      </c>
      <c r="H91" s="14">
        <v>350</v>
      </c>
      <c r="I91" s="14">
        <v>329</v>
      </c>
      <c r="J91" s="14">
        <v>316</v>
      </c>
      <c r="K91" s="14">
        <v>423</v>
      </c>
      <c r="L91" s="14">
        <v>647</v>
      </c>
      <c r="M91" s="9"/>
    </row>
    <row r="92" spans="1:21">
      <c r="A92" s="10" t="s">
        <v>115</v>
      </c>
      <c r="D92" s="29">
        <f t="shared" ref="D92:L92" si="19">D86+D90+D91</f>
        <v>22820</v>
      </c>
      <c r="E92" s="29">
        <f t="shared" si="19"/>
        <v>21258</v>
      </c>
      <c r="F92" s="29">
        <f t="shared" si="19"/>
        <v>21365</v>
      </c>
      <c r="G92" s="29">
        <f t="shared" si="19"/>
        <v>19208</v>
      </c>
      <c r="H92" s="29">
        <f t="shared" si="19"/>
        <v>23223</v>
      </c>
      <c r="I92" s="29">
        <f t="shared" si="19"/>
        <v>23183</v>
      </c>
      <c r="J92" s="29">
        <f t="shared" si="19"/>
        <v>25494</v>
      </c>
      <c r="K92" s="29">
        <f t="shared" si="19"/>
        <v>25920</v>
      </c>
      <c r="L92" s="29">
        <f t="shared" si="19"/>
        <v>26884</v>
      </c>
      <c r="M92" s="17"/>
    </row>
    <row r="93" spans="1:21">
      <c r="A93" s="18" t="s">
        <v>313</v>
      </c>
      <c r="D93" s="25">
        <f>D86-'Income Statement'!D12</f>
        <v>-0.5</v>
      </c>
      <c r="E93" s="25">
        <f>E86-'Income Statement'!E12</f>
        <v>-0.5</v>
      </c>
      <c r="F93" s="25">
        <f>F86-'Income Statement'!F12</f>
        <v>0.2999999999992724</v>
      </c>
      <c r="G93" s="25">
        <f>G86-'Income Statement'!G12</f>
        <v>-0.1000000000003638</v>
      </c>
      <c r="H93" s="25">
        <f>H86-'Income Statement'!H12</f>
        <v>-0.3999999999996362</v>
      </c>
      <c r="I93" s="25">
        <f>I86-'Income Statement'!I12</f>
        <v>0</v>
      </c>
      <c r="J93" s="25">
        <f>J86-'Income Statement'!J12</f>
        <v>-1</v>
      </c>
      <c r="K93" s="25">
        <f>K86-'Income Statement'!K12</f>
        <v>0</v>
      </c>
      <c r="L93" s="25">
        <f>L86-'Income Statement'!L12</f>
        <v>0</v>
      </c>
      <c r="M93" s="9"/>
    </row>
    <row r="94" spans="1:21">
      <c r="A94" s="18" t="s">
        <v>314</v>
      </c>
      <c r="D94" s="25">
        <f>D90-'Income Statement'!D14</f>
        <v>0.1000000000003638</v>
      </c>
      <c r="E94" s="25">
        <f>E90-'Income Statement'!E14</f>
        <v>0.2999999999992724</v>
      </c>
      <c r="F94" s="25">
        <f>F90-'Income Statement'!F14</f>
        <v>0.2000000000007276</v>
      </c>
      <c r="G94" s="25">
        <f>G90-'Income Statement'!G14</f>
        <v>-0.1999999999998181</v>
      </c>
      <c r="H94" s="25">
        <f>H90-'Income Statement'!H14</f>
        <v>0.6000000000003638</v>
      </c>
      <c r="I94" s="25">
        <f>I90-'Income Statement'!I14</f>
        <v>0</v>
      </c>
      <c r="J94" s="25">
        <f>J90-'Income Statement'!J14</f>
        <v>0</v>
      </c>
      <c r="K94" s="25">
        <f>K90-'Income Statement'!K14</f>
        <v>0</v>
      </c>
      <c r="L94" s="25">
        <f>L90-'Income Statement'!L14</f>
        <v>-1</v>
      </c>
      <c r="M94" s="9"/>
    </row>
    <row r="95" spans="1:21">
      <c r="A95" s="18" t="s">
        <v>315</v>
      </c>
      <c r="D95" s="25">
        <f>D92-'Income Statement'!D17</f>
        <v>-0.40000000000145519</v>
      </c>
      <c r="E95" s="25">
        <f>E92-'Income Statement'!E17</f>
        <v>9.9999999998544808E-2</v>
      </c>
      <c r="F95" s="25">
        <f>F92-'Income Statement'!F17</f>
        <v>0.59999999999854481</v>
      </c>
      <c r="G95" s="25">
        <f>G92-'Income Statement'!G17</f>
        <v>0.2000000000007276</v>
      </c>
      <c r="H95" s="25">
        <f>H92-'Income Statement'!H17</f>
        <v>9.9999999998544808E-2</v>
      </c>
      <c r="I95" s="25">
        <f>I92-'Income Statement'!I17</f>
        <v>0</v>
      </c>
      <c r="J95" s="25">
        <f>J92-'Income Statement'!J17</f>
        <v>0</v>
      </c>
      <c r="K95" s="25">
        <f>K92-'Income Statement'!K17</f>
        <v>0</v>
      </c>
      <c r="L95" s="25">
        <f>L92-'Income Statement'!L17</f>
        <v>-1</v>
      </c>
      <c r="M95" s="9"/>
    </row>
    <row r="96" spans="1:21" ht="8" customHeight="1">
      <c r="M96" s="9"/>
    </row>
    <row r="97" spans="1:21" ht="20" customHeight="1">
      <c r="A97" s="12" t="s">
        <v>316</v>
      </c>
      <c r="B97" s="2"/>
      <c r="C97" s="2"/>
      <c r="D97" s="2"/>
      <c r="E97" s="2"/>
      <c r="F97" s="2"/>
      <c r="G97" s="2"/>
      <c r="H97" s="2"/>
      <c r="I97" s="2"/>
      <c r="J97" s="2"/>
      <c r="K97" s="2"/>
      <c r="L97" s="2"/>
      <c r="M97" s="9"/>
      <c r="N97" s="2"/>
      <c r="O97" s="2"/>
      <c r="P97" s="2"/>
      <c r="Q97" s="2"/>
      <c r="R97" s="2"/>
      <c r="S97" s="2"/>
      <c r="T97" s="2"/>
      <c r="U97" s="2"/>
    </row>
    <row r="98" spans="1:21">
      <c r="A98" s="13" t="s">
        <v>317</v>
      </c>
      <c r="D98" s="14">
        <v>3913</v>
      </c>
      <c r="E98" s="14">
        <v>4070</v>
      </c>
      <c r="F98" s="14">
        <v>4227</v>
      </c>
      <c r="G98" s="14">
        <v>4097</v>
      </c>
      <c r="H98" s="14">
        <v>4906</v>
      </c>
      <c r="I98" s="14">
        <v>5341</v>
      </c>
      <c r="J98" s="14">
        <v>5877</v>
      </c>
      <c r="K98" s="14">
        <v>5916</v>
      </c>
      <c r="L98" s="14">
        <v>6078</v>
      </c>
      <c r="M98" s="9"/>
    </row>
    <row r="99" spans="1:21">
      <c r="A99" s="18" t="s">
        <v>116</v>
      </c>
      <c r="D99" s="19" t="str">
        <f t="shared" ref="D99:L99" si="20">IF(N(C98)=0,"",D98/C98-1)</f>
        <v/>
      </c>
      <c r="E99" s="19">
        <f t="shared" si="20"/>
        <v>4.0122668029644704E-2</v>
      </c>
      <c r="F99" s="19">
        <f t="shared" si="20"/>
        <v>3.8574938574938544E-2</v>
      </c>
      <c r="G99" s="19">
        <f t="shared" si="20"/>
        <v>-3.0754672344452283E-2</v>
      </c>
      <c r="H99" s="19">
        <f t="shared" si="20"/>
        <v>0.19746155723700265</v>
      </c>
      <c r="I99" s="19">
        <f t="shared" si="20"/>
        <v>8.866693844272322E-2</v>
      </c>
      <c r="J99" s="19">
        <f t="shared" si="20"/>
        <v>0.10035573862572544</v>
      </c>
      <c r="K99" s="19">
        <f t="shared" si="20"/>
        <v>6.6360387953037225E-3</v>
      </c>
      <c r="L99" s="19">
        <f t="shared" si="20"/>
        <v>2.738336713995948E-2</v>
      </c>
      <c r="M99" s="9"/>
    </row>
    <row r="100" spans="1:21">
      <c r="A100" s="13" t="s">
        <v>318</v>
      </c>
      <c r="D100" s="14">
        <v>3365</v>
      </c>
      <c r="E100" s="14">
        <v>3829</v>
      </c>
      <c r="F100" s="14">
        <v>4018</v>
      </c>
      <c r="G100" s="14">
        <v>3329</v>
      </c>
      <c r="H100" s="14">
        <v>4516</v>
      </c>
      <c r="I100" s="14">
        <v>4899</v>
      </c>
      <c r="J100" s="14">
        <v>5379</v>
      </c>
      <c r="K100" s="14">
        <v>5514</v>
      </c>
      <c r="L100" s="14">
        <v>5954</v>
      </c>
      <c r="M100" s="9"/>
    </row>
    <row r="101" spans="1:21">
      <c r="A101" s="18" t="s">
        <v>116</v>
      </c>
      <c r="D101" s="19" t="str">
        <f t="shared" ref="D101" si="21">IF(N(C100)=0,"",D100/C100-1)</f>
        <v/>
      </c>
      <c r="E101" s="19">
        <f t="shared" ref="E101" si="22">IF(N(D100)=0,"",E100/D100-1)</f>
        <v>0.13789004457652299</v>
      </c>
      <c r="F101" s="19">
        <f t="shared" ref="F101" si="23">IF(N(E100)=0,"",F100/E100-1)</f>
        <v>4.9360146252285242E-2</v>
      </c>
      <c r="G101" s="19">
        <f t="shared" ref="G101" si="24">IF(N(F100)=0,"",G100/F100-1)</f>
        <v>-0.17147834743653556</v>
      </c>
      <c r="H101" s="19">
        <f t="shared" ref="H101" si="25">IF(N(G100)=0,"",H100/G100-1)</f>
        <v>0.35656353259237017</v>
      </c>
      <c r="I101" s="19">
        <f t="shared" ref="I101" si="26">IF(N(H100)=0,"",I100/H100-1)</f>
        <v>8.4809565987599589E-2</v>
      </c>
      <c r="J101" s="19">
        <f t="shared" ref="J101" si="27">IF(N(I100)=0,"",J100/I100-1)</f>
        <v>9.7979179424372287E-2</v>
      </c>
      <c r="K101" s="19">
        <f t="shared" ref="K101" si="28">IF(N(J100)=0,"",K100/J100-1)</f>
        <v>2.5097601784718426E-2</v>
      </c>
      <c r="L101" s="19">
        <f t="shared" ref="L101" si="29">IF(N(K100)=0,"",L100/K100-1)</f>
        <v>7.9796880667392101E-2</v>
      </c>
      <c r="M101" s="9"/>
    </row>
    <row r="102" spans="1:21">
      <c r="A102" s="13" t="s">
        <v>319</v>
      </c>
      <c r="D102" s="14">
        <v>1034</v>
      </c>
      <c r="E102" s="14">
        <v>1140</v>
      </c>
      <c r="F102" s="14">
        <v>1210</v>
      </c>
      <c r="G102" s="14">
        <v>1093</v>
      </c>
      <c r="H102" s="14">
        <v>1328</v>
      </c>
      <c r="I102" s="14">
        <v>1516</v>
      </c>
      <c r="J102" s="14">
        <v>1706</v>
      </c>
      <c r="K102" s="14">
        <v>1748</v>
      </c>
      <c r="L102" s="14">
        <v>1897</v>
      </c>
      <c r="M102" s="9"/>
    </row>
    <row r="103" spans="1:21">
      <c r="A103" s="18" t="s">
        <v>116</v>
      </c>
      <c r="D103" s="19" t="str">
        <f t="shared" ref="D103" si="30">IF(N(C102)=0,"",D102/C102-1)</f>
        <v/>
      </c>
      <c r="E103" s="19">
        <f t="shared" ref="E103" si="31">IF(N(D102)=0,"",E102/D102-1)</f>
        <v>0.10251450676982587</v>
      </c>
      <c r="F103" s="19">
        <f t="shared" ref="F103" si="32">IF(N(E102)=0,"",F102/E102-1)</f>
        <v>6.1403508771929793E-2</v>
      </c>
      <c r="G103" s="19">
        <f t="shared" ref="G103" si="33">IF(N(F102)=0,"",G102/F102-1)</f>
        <v>-9.6694214876033024E-2</v>
      </c>
      <c r="H103" s="19">
        <f t="shared" ref="H103" si="34">IF(N(G102)=0,"",H102/G102-1)</f>
        <v>0.21500457456541633</v>
      </c>
      <c r="I103" s="19">
        <f t="shared" ref="I103" si="35">IF(N(H102)=0,"",I102/H102-1)</f>
        <v>0.14156626506024095</v>
      </c>
      <c r="J103" s="19">
        <f t="shared" ref="J103" si="36">IF(N(I102)=0,"",J102/I102-1)</f>
        <v>0.12532981530343013</v>
      </c>
      <c r="K103" s="19">
        <f t="shared" ref="K103" si="37">IF(N(J102)=0,"",K102/J102-1)</f>
        <v>2.4618991793669442E-2</v>
      </c>
      <c r="L103" s="19">
        <f t="shared" ref="L103" si="38">IF(N(K102)=0,"",L102/K102-1)</f>
        <v>8.524027459954242E-2</v>
      </c>
      <c r="M103" s="9"/>
    </row>
    <row r="104" spans="1:21">
      <c r="A104" s="10" t="s">
        <v>320</v>
      </c>
      <c r="D104" s="16">
        <v>8312</v>
      </c>
      <c r="E104" s="16">
        <v>9039</v>
      </c>
      <c r="F104" s="16">
        <v>9455</v>
      </c>
      <c r="G104" s="16">
        <v>8519</v>
      </c>
      <c r="H104" s="16">
        <v>10750</v>
      </c>
      <c r="I104" s="16">
        <v>11756</v>
      </c>
      <c r="J104" s="16">
        <v>12962</v>
      </c>
      <c r="K104" s="16">
        <v>13178</v>
      </c>
      <c r="L104" s="16">
        <v>13930</v>
      </c>
      <c r="M104" s="17"/>
    </row>
    <row r="105" spans="1:21">
      <c r="A105" s="18" t="s">
        <v>116</v>
      </c>
      <c r="D105" s="19" t="str">
        <f t="shared" ref="D105" si="39">IF(N(C104)=0,"",D104/C104-1)</f>
        <v/>
      </c>
      <c r="E105" s="19">
        <f t="shared" ref="E105" si="40">IF(N(D104)=0,"",E104/D104-1)</f>
        <v>8.7463907603464897E-2</v>
      </c>
      <c r="F105" s="19">
        <f t="shared" ref="F105" si="41">IF(N(E104)=0,"",F104/E104-1)</f>
        <v>4.602279013165167E-2</v>
      </c>
      <c r="G105" s="19">
        <f t="shared" ref="G105" si="42">IF(N(F104)=0,"",G104/F104-1)</f>
        <v>-9.8995240613432012E-2</v>
      </c>
      <c r="H105" s="19">
        <f t="shared" ref="H105" si="43">IF(N(G104)=0,"",H104/G104-1)</f>
        <v>0.26188519779316821</v>
      </c>
      <c r="I105" s="19">
        <f t="shared" ref="I105" si="44">IF(N(H104)=0,"",I104/H104-1)</f>
        <v>9.3581395348837138E-2</v>
      </c>
      <c r="J105" s="19">
        <f t="shared" ref="J105" si="45">IF(N(I104)=0,"",J104/I104-1)</f>
        <v>0.10258591357604629</v>
      </c>
      <c r="K105" s="19">
        <f t="shared" ref="K105" si="46">IF(N(J104)=0,"",K104/J104-1)</f>
        <v>1.6664095047060679E-2</v>
      </c>
      <c r="L105" s="19">
        <f t="shared" ref="L105" si="47">IF(N(K104)=0,"",L104/K104-1)</f>
        <v>5.70648049779936E-2</v>
      </c>
      <c r="M105" s="92"/>
    </row>
    <row r="106" spans="1:21">
      <c r="A106" s="18"/>
      <c r="D106" s="19"/>
      <c r="E106" s="19"/>
      <c r="F106" s="19"/>
      <c r="G106" s="19"/>
      <c r="H106" s="19"/>
      <c r="I106" s="19"/>
      <c r="J106" s="19"/>
      <c r="K106" s="19"/>
      <c r="L106" s="19"/>
      <c r="M106" s="92"/>
    </row>
    <row r="107" spans="1:21" ht="14" customHeight="1">
      <c r="A107" s="13" t="s">
        <v>321</v>
      </c>
      <c r="B107" s="15" t="s">
        <v>322</v>
      </c>
      <c r="D107" s="14">
        <v>523</v>
      </c>
      <c r="E107" s="14">
        <v>397</v>
      </c>
      <c r="F107" s="14">
        <v>388</v>
      </c>
      <c r="G107" s="14">
        <v>405</v>
      </c>
      <c r="H107" s="14">
        <v>511</v>
      </c>
      <c r="I107" s="14">
        <v>429</v>
      </c>
      <c r="J107" s="14">
        <v>488</v>
      </c>
      <c r="K107" s="14">
        <v>417</v>
      </c>
      <c r="L107" s="14">
        <v>360</v>
      </c>
      <c r="M107" s="9"/>
    </row>
    <row r="108" spans="1:21" ht="14" customHeight="1">
      <c r="A108" s="13" t="s">
        <v>323</v>
      </c>
      <c r="B108" s="15" t="s">
        <v>322</v>
      </c>
      <c r="D108" s="14">
        <v>1336</v>
      </c>
      <c r="E108" s="14">
        <v>1327</v>
      </c>
      <c r="F108" s="14">
        <v>1266</v>
      </c>
      <c r="G108" s="14">
        <v>748</v>
      </c>
      <c r="H108" s="14">
        <v>1208</v>
      </c>
      <c r="I108" s="14">
        <v>913</v>
      </c>
      <c r="J108" s="14">
        <v>995</v>
      </c>
      <c r="K108" s="14">
        <v>948</v>
      </c>
      <c r="L108" s="14">
        <v>1031</v>
      </c>
      <c r="M108" s="9"/>
    </row>
    <row r="109" spans="1:21">
      <c r="A109" s="10" t="s">
        <v>324</v>
      </c>
      <c r="D109" s="16">
        <v>2309</v>
      </c>
      <c r="E109" s="16">
        <v>1747</v>
      </c>
      <c r="F109" s="16">
        <v>1660</v>
      </c>
      <c r="G109" s="16">
        <v>1158</v>
      </c>
      <c r="H109" s="16">
        <v>1740</v>
      </c>
      <c r="I109" s="16">
        <v>1368</v>
      </c>
      <c r="J109" s="16">
        <v>1517</v>
      </c>
      <c r="K109" s="16">
        <v>1447</v>
      </c>
      <c r="L109" s="16">
        <v>1422</v>
      </c>
      <c r="M109" s="17"/>
    </row>
    <row r="110" spans="1:21">
      <c r="M110" s="9"/>
    </row>
    <row r="111" spans="1:21">
      <c r="A111" s="13" t="s">
        <v>325</v>
      </c>
      <c r="B111" s="15" t="s">
        <v>326</v>
      </c>
      <c r="E111" s="14">
        <v>4467</v>
      </c>
      <c r="F111" s="14">
        <v>4615</v>
      </c>
      <c r="G111" s="14">
        <v>4502</v>
      </c>
      <c r="H111" s="14">
        <v>5417</v>
      </c>
      <c r="I111" s="14">
        <v>5770</v>
      </c>
      <c r="J111" s="14">
        <v>6366</v>
      </c>
      <c r="K111" s="14">
        <v>6334</v>
      </c>
      <c r="L111" s="14">
        <v>6438</v>
      </c>
      <c r="M111" s="9"/>
    </row>
    <row r="112" spans="1:21">
      <c r="A112" s="13" t="s">
        <v>327</v>
      </c>
      <c r="B112" s="15" t="s">
        <v>326</v>
      </c>
      <c r="E112" s="14">
        <v>5156</v>
      </c>
      <c r="F112" s="14">
        <v>5284</v>
      </c>
      <c r="G112" s="14">
        <v>4077</v>
      </c>
      <c r="H112" s="14">
        <v>5724</v>
      </c>
      <c r="I112" s="14">
        <v>5813</v>
      </c>
      <c r="J112" s="14">
        <v>6374</v>
      </c>
      <c r="K112" s="14">
        <v>6462</v>
      </c>
      <c r="L112" s="14">
        <v>6985</v>
      </c>
      <c r="M112" s="9"/>
    </row>
    <row r="113" spans="1:21">
      <c r="A113" s="10" t="s">
        <v>328</v>
      </c>
      <c r="E113" s="16">
        <v>10786</v>
      </c>
      <c r="F113" s="16">
        <v>11115</v>
      </c>
      <c r="G113" s="16">
        <v>9677</v>
      </c>
      <c r="H113" s="16">
        <v>12490</v>
      </c>
      <c r="I113" s="16">
        <v>13124</v>
      </c>
      <c r="J113" s="16">
        <v>14479</v>
      </c>
      <c r="K113" s="16">
        <v>14625</v>
      </c>
      <c r="L113" s="16">
        <v>15351</v>
      </c>
      <c r="M113" s="17"/>
    </row>
    <row r="114" spans="1:21">
      <c r="M114" s="9"/>
    </row>
    <row r="115" spans="1:21">
      <c r="A115" s="46" t="s">
        <v>329</v>
      </c>
      <c r="B115" s="47"/>
      <c r="C115" s="47"/>
      <c r="D115" s="48">
        <f>D98/D83</f>
        <v>0.82448377581120946</v>
      </c>
      <c r="E115" s="48">
        <f t="shared" ref="E115:L115" si="48">E98/E83</f>
        <v>0.81383723255348928</v>
      </c>
      <c r="F115" s="48">
        <f t="shared" si="48"/>
        <v>0.78965066317952548</v>
      </c>
      <c r="G115" s="48">
        <f t="shared" si="48"/>
        <v>0.77874928720775516</v>
      </c>
      <c r="H115" s="48">
        <f t="shared" si="48"/>
        <v>0.80505415162454874</v>
      </c>
      <c r="I115" s="48">
        <f t="shared" si="48"/>
        <v>0.81108580106302197</v>
      </c>
      <c r="J115" s="48">
        <f t="shared" si="48"/>
        <v>0.82046628507608543</v>
      </c>
      <c r="K115" s="48">
        <f t="shared" si="48"/>
        <v>0.82041325752322836</v>
      </c>
      <c r="L115" s="48">
        <f t="shared" si="48"/>
        <v>0.82458282458282461</v>
      </c>
      <c r="M115" s="9"/>
    </row>
    <row r="116" spans="1:21">
      <c r="A116" s="46" t="s">
        <v>330</v>
      </c>
      <c r="B116" s="47"/>
      <c r="C116" s="47"/>
      <c r="D116" s="48">
        <f>D100/D84</f>
        <v>0.78787169281198788</v>
      </c>
      <c r="E116" s="48">
        <f t="shared" ref="E116:L116" si="49">E100/E84</f>
        <v>0.7912791899152718</v>
      </c>
      <c r="F116" s="48">
        <f t="shared" si="49"/>
        <v>0.79344391785150081</v>
      </c>
      <c r="G116" s="48">
        <f t="shared" si="49"/>
        <v>0.76563937442502294</v>
      </c>
      <c r="H116" s="48">
        <f t="shared" si="49"/>
        <v>0.80099326002128413</v>
      </c>
      <c r="I116" s="48">
        <f t="shared" si="49"/>
        <v>0.81854636591478702</v>
      </c>
      <c r="J116" s="48">
        <f t="shared" si="49"/>
        <v>0.82134677049931282</v>
      </c>
      <c r="K116" s="48">
        <f t="shared" si="49"/>
        <v>0.8173732582270975</v>
      </c>
      <c r="L116" s="48">
        <f t="shared" si="49"/>
        <v>0.81796950130512436</v>
      </c>
      <c r="M116" s="9"/>
    </row>
    <row r="117" spans="1:21">
      <c r="A117" s="46" t="s">
        <v>331</v>
      </c>
      <c r="B117" s="47"/>
      <c r="C117" s="47"/>
      <c r="D117" s="48">
        <f>D102/D85</f>
        <v>0.95387453874538741</v>
      </c>
      <c r="E117" s="48">
        <f t="shared" ref="E117:L117" si="50">E102/E85</f>
        <v>0.97269624573378843</v>
      </c>
      <c r="F117" s="48">
        <f t="shared" si="50"/>
        <v>0.97659402744148505</v>
      </c>
      <c r="G117" s="48">
        <f t="shared" si="50"/>
        <v>0.9785138764547896</v>
      </c>
      <c r="H117" s="48">
        <f t="shared" si="50"/>
        <v>0.9815225424981523</v>
      </c>
      <c r="I117" s="48">
        <f t="shared" si="50"/>
        <v>0.98697916666666663</v>
      </c>
      <c r="J117" s="48">
        <f t="shared" si="50"/>
        <v>0.98955916473317862</v>
      </c>
      <c r="K117" s="48">
        <f t="shared" si="50"/>
        <v>0.99431171786120587</v>
      </c>
      <c r="L117" s="48">
        <f t="shared" si="50"/>
        <v>0.99947312961011592</v>
      </c>
      <c r="M117" s="9"/>
    </row>
    <row r="118" spans="1:21">
      <c r="A118" s="50" t="s">
        <v>332</v>
      </c>
      <c r="B118" s="47"/>
      <c r="C118" s="49"/>
      <c r="D118" s="51">
        <f t="shared" ref="D118:L118" si="51">D104/D86</f>
        <v>0.82288882288882292</v>
      </c>
      <c r="E118" s="51">
        <f t="shared" si="51"/>
        <v>0.82083181983290954</v>
      </c>
      <c r="F118" s="51">
        <f t="shared" si="51"/>
        <v>0.81117021276595747</v>
      </c>
      <c r="G118" s="51">
        <f t="shared" si="51"/>
        <v>0.79423829945925783</v>
      </c>
      <c r="H118" s="51">
        <f t="shared" si="51"/>
        <v>0.8215513947267864</v>
      </c>
      <c r="I118" s="51">
        <f t="shared" si="51"/>
        <v>0.83340422515241741</v>
      </c>
      <c r="J118" s="51">
        <f t="shared" si="51"/>
        <v>0.83972531743975121</v>
      </c>
      <c r="K118" s="51">
        <f t="shared" si="51"/>
        <v>0.83856188355074768</v>
      </c>
      <c r="L118" s="51">
        <f t="shared" si="51"/>
        <v>0.84179357021996615</v>
      </c>
      <c r="M118" s="9"/>
    </row>
    <row r="119" spans="1:21">
      <c r="A119" s="46" t="s">
        <v>961</v>
      </c>
      <c r="B119" s="47"/>
      <c r="C119" s="47"/>
      <c r="D119" s="48">
        <f t="shared" ref="D119:L119" si="52">D107/D87</f>
        <v>0.16042944785276073</v>
      </c>
      <c r="E119" s="48">
        <f t="shared" si="52"/>
        <v>0.14896810506566605</v>
      </c>
      <c r="F119" s="48">
        <f t="shared" si="52"/>
        <v>0.15582329317269075</v>
      </c>
      <c r="G119" s="48">
        <f t="shared" si="52"/>
        <v>0.16910229645093947</v>
      </c>
      <c r="H119" s="48">
        <f t="shared" si="52"/>
        <v>0.19526175009552924</v>
      </c>
      <c r="I119" s="48">
        <f t="shared" si="52"/>
        <v>0.1512693935119887</v>
      </c>
      <c r="J119" s="48">
        <f t="shared" si="52"/>
        <v>0.15150574355790128</v>
      </c>
      <c r="K119" s="48">
        <f t="shared" si="52"/>
        <v>0.13043478260869565</v>
      </c>
      <c r="L119" s="48">
        <f t="shared" si="52"/>
        <v>0.11556982343499198</v>
      </c>
      <c r="M119" s="9"/>
    </row>
    <row r="120" spans="1:21">
      <c r="A120" s="46" t="s">
        <v>333</v>
      </c>
      <c r="B120" s="47"/>
      <c r="C120" s="47"/>
      <c r="D120" s="48">
        <f t="shared" ref="D120:L120" si="53">D108/D88</f>
        <v>0.19517896274653032</v>
      </c>
      <c r="E120" s="48">
        <f t="shared" si="53"/>
        <v>0.19901019796040792</v>
      </c>
      <c r="F120" s="48">
        <f t="shared" si="53"/>
        <v>0.19987369750552572</v>
      </c>
      <c r="G120" s="48">
        <f t="shared" si="53"/>
        <v>0.14626515447790378</v>
      </c>
      <c r="H120" s="48">
        <f t="shared" si="53"/>
        <v>0.18711276332094176</v>
      </c>
      <c r="I120" s="48">
        <f t="shared" si="53"/>
        <v>0.17628885885306045</v>
      </c>
      <c r="J120" s="48">
        <f t="shared" si="53"/>
        <v>0.17450017537706067</v>
      </c>
      <c r="K120" s="48">
        <f t="shared" si="53"/>
        <v>0.16593733590057763</v>
      </c>
      <c r="L120" s="48">
        <f t="shared" si="53"/>
        <v>0.16816180068504322</v>
      </c>
      <c r="M120" s="9"/>
    </row>
    <row r="121" spans="1:21">
      <c r="A121" s="46" t="s">
        <v>334</v>
      </c>
      <c r="B121" s="47"/>
      <c r="C121" s="47"/>
      <c r="D121" s="48">
        <f t="shared" ref="D121:L121" si="54">D109/D90</f>
        <v>0.18153942920040883</v>
      </c>
      <c r="E121" s="48">
        <f t="shared" si="54"/>
        <v>0.17447318485968241</v>
      </c>
      <c r="F121" s="48">
        <f t="shared" si="54"/>
        <v>0.17620210168771894</v>
      </c>
      <c r="G121" s="48">
        <f t="shared" si="54"/>
        <v>0.14227792112053078</v>
      </c>
      <c r="H121" s="48">
        <f t="shared" si="54"/>
        <v>0.17776869636289333</v>
      </c>
      <c r="I121" s="48">
        <f t="shared" si="54"/>
        <v>0.15637860082304528</v>
      </c>
      <c r="J121" s="48">
        <f t="shared" si="54"/>
        <v>0.15571751180455759</v>
      </c>
      <c r="K121" s="48">
        <f t="shared" si="54"/>
        <v>0.14792475976282968</v>
      </c>
      <c r="L121" s="48">
        <f t="shared" si="54"/>
        <v>0.14676437196821138</v>
      </c>
      <c r="M121" s="9"/>
    </row>
    <row r="122" spans="1:21">
      <c r="A122" s="50" t="s">
        <v>335</v>
      </c>
      <c r="B122" s="47"/>
      <c r="C122" s="47"/>
      <c r="D122" s="52">
        <f t="shared" ref="D122:L122" si="55">D104/(D104+D109)</f>
        <v>0.78260050842670181</v>
      </c>
      <c r="E122" s="52">
        <f t="shared" si="55"/>
        <v>0.83803078064157244</v>
      </c>
      <c r="F122" s="52">
        <f t="shared" si="55"/>
        <v>0.85065227170490332</v>
      </c>
      <c r="G122" s="52">
        <f t="shared" si="55"/>
        <v>0.88033481450862872</v>
      </c>
      <c r="H122" s="52">
        <f t="shared" si="55"/>
        <v>0.86068855084067253</v>
      </c>
      <c r="I122" s="52">
        <f t="shared" si="55"/>
        <v>0.89576348674184703</v>
      </c>
      <c r="J122" s="52">
        <f t="shared" si="55"/>
        <v>0.89522757096484562</v>
      </c>
      <c r="K122" s="52">
        <f t="shared" si="55"/>
        <v>0.90105982905982906</v>
      </c>
      <c r="L122" s="52">
        <f t="shared" si="55"/>
        <v>0.90737363210005206</v>
      </c>
      <c r="M122" s="9"/>
    </row>
    <row r="123" spans="1:21">
      <c r="A123" s="18" t="s">
        <v>336</v>
      </c>
      <c r="D123" s="25">
        <f>D104-('Income Statement'!D12-'Income Statement'!D20)</f>
        <v>0.5</v>
      </c>
      <c r="E123" s="25">
        <f>E104-('Income Statement'!E12-'Income Statement'!E20)</f>
        <v>-0.2000000000007276</v>
      </c>
      <c r="F123" s="25">
        <f>F104-('Income Statement'!F12-'Income Statement'!F20)</f>
        <v>-0.1000000000003638</v>
      </c>
      <c r="G123" s="25">
        <f>G104-('Income Statement'!G12-'Income Statement'!G20)</f>
        <v>0.3999999999996362</v>
      </c>
      <c r="H123" s="25">
        <f>H104-('Income Statement'!H12-'Income Statement'!H20)</f>
        <v>-0.3999999999996362</v>
      </c>
      <c r="I123" s="25">
        <f>I104-('Income Statement'!I12-'Income Statement'!I20)</f>
        <v>0</v>
      </c>
      <c r="J123" s="25">
        <f>J104-('Income Statement'!J12-'Income Statement'!J20)</f>
        <v>0</v>
      </c>
      <c r="K123" s="25">
        <f>K104-('Income Statement'!K12-'Income Statement'!K20)</f>
        <v>-1</v>
      </c>
      <c r="L123" s="25">
        <f>L104-('Income Statement'!L12-'Income Statement'!L20)</f>
        <v>0</v>
      </c>
      <c r="M123" s="9"/>
    </row>
    <row r="124" spans="1:21">
      <c r="A124" s="18" t="s">
        <v>337</v>
      </c>
      <c r="D124" s="25">
        <f t="shared" ref="D124:L124" si="56">D98+D100+D102-D104</f>
        <v>0</v>
      </c>
      <c r="E124" s="25">
        <f t="shared" si="56"/>
        <v>0</v>
      </c>
      <c r="F124" s="25">
        <f t="shared" si="56"/>
        <v>0</v>
      </c>
      <c r="G124" s="25">
        <f t="shared" si="56"/>
        <v>0</v>
      </c>
      <c r="H124" s="25">
        <f t="shared" si="56"/>
        <v>0</v>
      </c>
      <c r="I124" s="25">
        <f t="shared" si="56"/>
        <v>0</v>
      </c>
      <c r="J124" s="25">
        <f t="shared" si="56"/>
        <v>0</v>
      </c>
      <c r="K124" s="25">
        <f t="shared" si="56"/>
        <v>0</v>
      </c>
      <c r="L124" s="25">
        <f t="shared" si="56"/>
        <v>-1</v>
      </c>
      <c r="M124" s="9"/>
    </row>
    <row r="125" spans="1:21">
      <c r="A125" s="18" t="s">
        <v>338</v>
      </c>
      <c r="D125" s="25">
        <f>D109-('Income Statement'!D14-'Income Statement'!D25)</f>
        <v>-0.2999999999992724</v>
      </c>
      <c r="E125" s="25">
        <f>E109-('Income Statement'!E14-'Income Statement'!E25)</f>
        <v>0.2000000000007276</v>
      </c>
      <c r="F125" s="25">
        <f>F109-('Income Statement'!F14-'Income Statement'!F25)</f>
        <v>-0.19999999999890861</v>
      </c>
      <c r="G125" s="25">
        <f>G109-('Income Statement'!G14-'Income Statement'!G25)</f>
        <v>0</v>
      </c>
      <c r="H125" s="25">
        <f>H109-('Income Statement'!H14-'Income Statement'!H25)</f>
        <v>-9.9999999999454303E-2</v>
      </c>
      <c r="I125" s="25">
        <f>I109-('Income Statement'!I14-'Income Statement'!I25)</f>
        <v>0</v>
      </c>
      <c r="J125" s="25">
        <f>J109-('Income Statement'!J14-'Income Statement'!J25)</f>
        <v>-1</v>
      </c>
      <c r="K125" s="25">
        <f>K109-('Income Statement'!K14-'Income Statement'!K25)</f>
        <v>0</v>
      </c>
      <c r="L125" s="25">
        <f>L109-('Income Statement'!L14-'Income Statement'!L25)</f>
        <v>1</v>
      </c>
      <c r="M125" s="9"/>
    </row>
    <row r="126" spans="1:21">
      <c r="A126" s="18" t="s">
        <v>339</v>
      </c>
      <c r="E126" s="25">
        <f t="shared" ref="E126:L126" si="57">E113-E104-E109</f>
        <v>0</v>
      </c>
      <c r="F126" s="25">
        <f t="shared" si="57"/>
        <v>0</v>
      </c>
      <c r="G126" s="25">
        <f t="shared" si="57"/>
        <v>0</v>
      </c>
      <c r="H126" s="25">
        <f t="shared" si="57"/>
        <v>0</v>
      </c>
      <c r="I126" s="25">
        <f t="shared" si="57"/>
        <v>0</v>
      </c>
      <c r="J126" s="25">
        <f t="shared" si="57"/>
        <v>0</v>
      </c>
      <c r="K126" s="25">
        <f t="shared" si="57"/>
        <v>0</v>
      </c>
      <c r="L126" s="25">
        <f t="shared" si="57"/>
        <v>-1</v>
      </c>
      <c r="M126" s="9"/>
    </row>
    <row r="127" spans="1:21" ht="8" customHeight="1">
      <c r="M127" s="9"/>
    </row>
    <row r="128" spans="1:21" ht="20" customHeight="1">
      <c r="A128" s="12" t="s">
        <v>340</v>
      </c>
      <c r="B128" s="2"/>
      <c r="C128" s="2"/>
      <c r="D128" s="2"/>
      <c r="E128" s="2"/>
      <c r="F128" s="2"/>
      <c r="G128" s="2"/>
      <c r="H128" s="2"/>
      <c r="I128" s="2"/>
      <c r="J128" s="2"/>
      <c r="K128" s="2"/>
      <c r="L128" s="2"/>
      <c r="M128" s="9"/>
      <c r="N128" s="2"/>
      <c r="O128" s="2"/>
      <c r="P128" s="2"/>
      <c r="Q128" s="2"/>
      <c r="R128" s="2"/>
      <c r="S128" s="2"/>
      <c r="T128" s="2"/>
      <c r="U128" s="2"/>
    </row>
    <row r="129" spans="1:21">
      <c r="A129" s="13" t="s">
        <v>278</v>
      </c>
      <c r="D129" s="14">
        <v>624</v>
      </c>
      <c r="E129" s="14">
        <v>591</v>
      </c>
      <c r="F129" s="14">
        <v>587</v>
      </c>
      <c r="G129" s="14">
        <v>625</v>
      </c>
      <c r="H129" s="14">
        <v>696</v>
      </c>
      <c r="I129" s="14">
        <v>692</v>
      </c>
      <c r="J129" s="14">
        <v>661</v>
      </c>
      <c r="K129" s="14">
        <v>654</v>
      </c>
      <c r="L129" s="14">
        <v>653</v>
      </c>
      <c r="M129" s="9"/>
    </row>
    <row r="130" spans="1:21">
      <c r="A130" s="13" t="s">
        <v>279</v>
      </c>
      <c r="D130" s="14">
        <v>654</v>
      </c>
      <c r="E130" s="14">
        <v>641</v>
      </c>
      <c r="F130" s="14">
        <v>629</v>
      </c>
      <c r="G130" s="14">
        <v>700</v>
      </c>
      <c r="H130" s="14">
        <v>692</v>
      </c>
      <c r="I130" s="14">
        <v>629</v>
      </c>
      <c r="J130" s="14">
        <v>635</v>
      </c>
      <c r="K130" s="14">
        <v>631</v>
      </c>
      <c r="L130" s="14">
        <v>705</v>
      </c>
      <c r="M130" s="9"/>
    </row>
    <row r="131" spans="1:21">
      <c r="A131" s="13" t="s">
        <v>280</v>
      </c>
      <c r="D131" s="14">
        <v>953</v>
      </c>
      <c r="E131" s="14">
        <v>968</v>
      </c>
      <c r="F131" s="14">
        <v>1013</v>
      </c>
      <c r="G131" s="14">
        <v>1221</v>
      </c>
      <c r="H131" s="14">
        <v>1320</v>
      </c>
      <c r="I131" s="14">
        <v>1541</v>
      </c>
      <c r="J131" s="14">
        <v>1521</v>
      </c>
      <c r="K131" s="14">
        <v>1573</v>
      </c>
      <c r="L131" s="14">
        <v>1682</v>
      </c>
      <c r="M131" s="9"/>
    </row>
    <row r="132" spans="1:21">
      <c r="A132" s="10" t="s">
        <v>303</v>
      </c>
      <c r="D132" s="16">
        <v>2231</v>
      </c>
      <c r="E132" s="16">
        <v>2200</v>
      </c>
      <c r="F132" s="16">
        <v>2229</v>
      </c>
      <c r="G132" s="16">
        <v>2546</v>
      </c>
      <c r="H132" s="16">
        <v>2708</v>
      </c>
      <c r="I132" s="16">
        <v>2863</v>
      </c>
      <c r="J132" s="16">
        <v>2817</v>
      </c>
      <c r="K132" s="16">
        <v>2858</v>
      </c>
      <c r="L132" s="16">
        <v>3039</v>
      </c>
      <c r="M132" s="17"/>
    </row>
    <row r="133" spans="1:21">
      <c r="A133" s="13" t="s">
        <v>341</v>
      </c>
      <c r="D133" s="14">
        <v>336</v>
      </c>
      <c r="E133" s="14">
        <v>284</v>
      </c>
      <c r="F133" s="14">
        <v>289</v>
      </c>
      <c r="G133" s="14">
        <v>158</v>
      </c>
      <c r="H133" s="14">
        <v>439</v>
      </c>
      <c r="I133" s="14">
        <v>404</v>
      </c>
      <c r="J133" s="14">
        <v>424</v>
      </c>
      <c r="K133" s="14">
        <v>268</v>
      </c>
      <c r="L133" s="14">
        <v>370</v>
      </c>
      <c r="M133" s="9"/>
    </row>
    <row r="134" spans="1:21">
      <c r="A134" s="10" t="s">
        <v>342</v>
      </c>
      <c r="D134" s="16">
        <v>1895</v>
      </c>
      <c r="E134" s="16">
        <v>1916</v>
      </c>
      <c r="F134" s="16">
        <v>1940</v>
      </c>
      <c r="G134" s="16">
        <v>2388</v>
      </c>
      <c r="H134" s="16">
        <v>2269</v>
      </c>
      <c r="I134" s="16">
        <v>2459</v>
      </c>
      <c r="J134" s="16">
        <v>2393</v>
      </c>
      <c r="K134" s="16">
        <v>2591</v>
      </c>
      <c r="L134" s="16">
        <v>2670</v>
      </c>
      <c r="M134" s="17"/>
    </row>
    <row r="135" spans="1:21">
      <c r="A135" s="18" t="s">
        <v>343</v>
      </c>
      <c r="D135" s="19">
        <f t="shared" ref="D135:L135" si="58">D133/D132</f>
        <v>0.15060510981622591</v>
      </c>
      <c r="E135" s="19">
        <f t="shared" si="58"/>
        <v>0.12909090909090909</v>
      </c>
      <c r="F135" s="19">
        <f t="shared" si="58"/>
        <v>0.12965455361148498</v>
      </c>
      <c r="G135" s="19">
        <f t="shared" si="58"/>
        <v>6.2058130400628436E-2</v>
      </c>
      <c r="H135" s="19">
        <f t="shared" si="58"/>
        <v>0.16211225997045789</v>
      </c>
      <c r="I135" s="19">
        <f t="shared" si="58"/>
        <v>0.14111072301781349</v>
      </c>
      <c r="J135" s="19">
        <f t="shared" si="58"/>
        <v>0.15051473198438053</v>
      </c>
      <c r="K135" s="19">
        <f t="shared" si="58"/>
        <v>9.3771868439468165E-2</v>
      </c>
      <c r="L135" s="19">
        <f t="shared" si="58"/>
        <v>0.1217505758473182</v>
      </c>
      <c r="M135" s="9"/>
    </row>
    <row r="136" spans="1:21">
      <c r="A136" s="18" t="s">
        <v>116</v>
      </c>
      <c r="D136" s="19" t="str">
        <f t="shared" ref="D136:L136" si="59">IF(N(C132)=0,"",D132/C132-1)</f>
        <v/>
      </c>
      <c r="E136" s="19">
        <f t="shared" si="59"/>
        <v>-1.3895114298520861E-2</v>
      </c>
      <c r="F136" s="19">
        <f t="shared" si="59"/>
        <v>1.3181818181818183E-2</v>
      </c>
      <c r="G136" s="19">
        <f t="shared" si="59"/>
        <v>0.14221624046657699</v>
      </c>
      <c r="H136" s="19">
        <f t="shared" si="59"/>
        <v>6.3629222309505185E-2</v>
      </c>
      <c r="I136" s="19">
        <f t="shared" si="59"/>
        <v>5.7237813884785771E-2</v>
      </c>
      <c r="J136" s="19">
        <f t="shared" si="59"/>
        <v>-1.6067062521830211E-2</v>
      </c>
      <c r="K136" s="19">
        <f t="shared" si="59"/>
        <v>1.4554490592829206E-2</v>
      </c>
      <c r="L136" s="19">
        <f t="shared" si="59"/>
        <v>6.333100069979003E-2</v>
      </c>
      <c r="M136" s="9"/>
    </row>
    <row r="137" spans="1:21">
      <c r="A137" s="18" t="s">
        <v>344</v>
      </c>
      <c r="D137" s="19" t="str">
        <f t="shared" ref="D137:L137" si="60">IF(N(C134)=0,"",D134/C134-1)</f>
        <v/>
      </c>
      <c r="E137" s="19">
        <f t="shared" si="60"/>
        <v>1.1081794195250572E-2</v>
      </c>
      <c r="F137" s="19">
        <f t="shared" si="60"/>
        <v>1.2526096033402823E-2</v>
      </c>
      <c r="G137" s="19">
        <f t="shared" si="60"/>
        <v>0.23092783505154646</v>
      </c>
      <c r="H137" s="19">
        <f t="shared" si="60"/>
        <v>-4.983249581239535E-2</v>
      </c>
      <c r="I137" s="19">
        <f t="shared" si="60"/>
        <v>8.3737329219920609E-2</v>
      </c>
      <c r="J137" s="19">
        <f t="shared" si="60"/>
        <v>-2.6840178934526282E-2</v>
      </c>
      <c r="K137" s="19">
        <f t="shared" si="60"/>
        <v>8.2741328875888032E-2</v>
      </c>
      <c r="L137" s="19">
        <f t="shared" si="60"/>
        <v>3.0490158240061849E-2</v>
      </c>
      <c r="M137" s="9"/>
    </row>
    <row r="138" spans="1:21">
      <c r="A138" s="18" t="s">
        <v>345</v>
      </c>
      <c r="D138" s="25">
        <f>D132-'Income Statement'!D30</f>
        <v>-0.3000000000001819</v>
      </c>
      <c r="E138" s="25">
        <f>E132-'Income Statement'!E30</f>
        <v>-0.20000000000027285</v>
      </c>
      <c r="F138" s="25">
        <f>F132-'Income Statement'!F30</f>
        <v>-0.40000000000009095</v>
      </c>
      <c r="G138" s="25">
        <f>G132-'Income Statement'!G30</f>
        <v>0.40000000000009095</v>
      </c>
      <c r="H138" s="25">
        <f>H132-'Income Statement'!H30</f>
        <v>0.5</v>
      </c>
      <c r="I138" s="25">
        <f>I132-'Income Statement'!I30</f>
        <v>1</v>
      </c>
      <c r="J138" s="25">
        <f>J132-'Income Statement'!J30</f>
        <v>0</v>
      </c>
      <c r="K138" s="25">
        <f>K132-'Income Statement'!K30</f>
        <v>-1</v>
      </c>
      <c r="L138" s="25">
        <f>L132-'Income Statement'!L30</f>
        <v>-1</v>
      </c>
      <c r="M138" s="9"/>
    </row>
    <row r="139" spans="1:21">
      <c r="A139" s="18" t="s">
        <v>346</v>
      </c>
      <c r="D139" s="25">
        <f t="shared" ref="D139:L139" si="61">D129+D130+D131-D132</f>
        <v>0</v>
      </c>
      <c r="E139" s="25">
        <f t="shared" si="61"/>
        <v>0</v>
      </c>
      <c r="F139" s="25">
        <f t="shared" si="61"/>
        <v>0</v>
      </c>
      <c r="G139" s="25">
        <f t="shared" si="61"/>
        <v>0</v>
      </c>
      <c r="H139" s="25">
        <f t="shared" si="61"/>
        <v>0</v>
      </c>
      <c r="I139" s="25">
        <f t="shared" si="61"/>
        <v>-1</v>
      </c>
      <c r="J139" s="25">
        <f t="shared" si="61"/>
        <v>0</v>
      </c>
      <c r="K139" s="25">
        <f t="shared" si="61"/>
        <v>0</v>
      </c>
      <c r="L139" s="25">
        <f t="shared" si="61"/>
        <v>1</v>
      </c>
      <c r="M139" s="9"/>
    </row>
    <row r="140" spans="1:21">
      <c r="A140" s="18" t="s">
        <v>347</v>
      </c>
      <c r="D140" s="25">
        <f t="shared" ref="D140:L140" si="62">D132-D133-D134</f>
        <v>0</v>
      </c>
      <c r="E140" s="25">
        <f t="shared" si="62"/>
        <v>0</v>
      </c>
      <c r="F140" s="25">
        <f t="shared" si="62"/>
        <v>0</v>
      </c>
      <c r="G140" s="25">
        <f t="shared" si="62"/>
        <v>0</v>
      </c>
      <c r="H140" s="25">
        <f t="shared" si="62"/>
        <v>0</v>
      </c>
      <c r="I140" s="25">
        <f t="shared" si="62"/>
        <v>0</v>
      </c>
      <c r="J140" s="25">
        <f t="shared" si="62"/>
        <v>0</v>
      </c>
      <c r="K140" s="25">
        <f t="shared" si="62"/>
        <v>-1</v>
      </c>
      <c r="L140" s="25">
        <f t="shared" si="62"/>
        <v>-1</v>
      </c>
      <c r="M140" s="9"/>
    </row>
    <row r="141" spans="1:21" ht="8" customHeight="1">
      <c r="M141" s="9"/>
    </row>
    <row r="142" spans="1:21" ht="20" customHeight="1">
      <c r="A142" s="12" t="s">
        <v>348</v>
      </c>
      <c r="B142" s="2"/>
      <c r="C142" s="2"/>
      <c r="D142" s="2"/>
      <c r="E142" s="2"/>
      <c r="F142" s="2"/>
      <c r="G142" s="2"/>
      <c r="H142" s="2"/>
      <c r="I142" s="2"/>
      <c r="J142" s="2"/>
      <c r="K142" s="2"/>
      <c r="L142" s="2"/>
      <c r="M142" s="9"/>
      <c r="N142" s="2"/>
      <c r="O142" s="2"/>
      <c r="P142" s="2"/>
      <c r="Q142" s="2"/>
      <c r="R142" s="2"/>
      <c r="S142" s="2"/>
      <c r="T142" s="2"/>
      <c r="U142" s="2"/>
    </row>
    <row r="143" spans="1:21">
      <c r="A143" s="13" t="s">
        <v>349</v>
      </c>
      <c r="C143" s="14">
        <v>8252.7000000000007</v>
      </c>
      <c r="D143" s="14">
        <v>8006.4</v>
      </c>
      <c r="E143" s="14">
        <v>7665.8</v>
      </c>
      <c r="M143" s="9"/>
    </row>
    <row r="144" spans="1:21">
      <c r="A144" s="13" t="s">
        <v>350</v>
      </c>
      <c r="C144" s="14">
        <v>7223.4</v>
      </c>
      <c r="D144" s="14">
        <v>7340.3</v>
      </c>
      <c r="E144" s="14">
        <v>7600.1</v>
      </c>
      <c r="M144" s="9"/>
    </row>
    <row r="145" spans="1:13">
      <c r="A145" s="13" t="s">
        <v>351</v>
      </c>
      <c r="C145" s="14">
        <v>6160.7</v>
      </c>
      <c r="D145" s="14">
        <v>5533.2</v>
      </c>
      <c r="E145" s="14">
        <v>3988.7</v>
      </c>
      <c r="M145" s="9"/>
    </row>
    <row r="146" spans="1:13">
      <c r="A146" s="13" t="s">
        <v>352</v>
      </c>
      <c r="C146" s="14">
        <v>2985.1</v>
      </c>
      <c r="D146" s="14">
        <v>1940.5</v>
      </c>
      <c r="E146" s="14">
        <v>1770.6</v>
      </c>
      <c r="M146" s="9"/>
    </row>
    <row r="147" spans="1:13">
      <c r="A147" s="10" t="s">
        <v>353</v>
      </c>
      <c r="C147" s="16">
        <v>24621.9</v>
      </c>
      <c r="D147" s="16">
        <v>22820.400000000001</v>
      </c>
      <c r="E147" s="16">
        <v>21025.200000000001</v>
      </c>
      <c r="M147" s="17"/>
    </row>
    <row r="148" spans="1:13">
      <c r="M148" s="9"/>
    </row>
    <row r="149" spans="1:13">
      <c r="A149" s="13" t="s">
        <v>354</v>
      </c>
      <c r="C149" s="14">
        <v>3768.7</v>
      </c>
      <c r="D149" s="14">
        <v>4022.4</v>
      </c>
      <c r="E149" s="14">
        <v>4015.6</v>
      </c>
      <c r="M149" s="9"/>
    </row>
    <row r="150" spans="1:13">
      <c r="A150" s="13" t="s">
        <v>355</v>
      </c>
      <c r="C150" s="14">
        <v>2838.4</v>
      </c>
      <c r="D150" s="14">
        <v>3166.5</v>
      </c>
      <c r="E150" s="14">
        <v>3485.7</v>
      </c>
      <c r="M150" s="9"/>
    </row>
    <row r="151" spans="1:13">
      <c r="A151" s="13" t="s">
        <v>356</v>
      </c>
      <c r="C151" s="14">
        <v>1048.8</v>
      </c>
      <c r="D151" s="14">
        <v>2001.4</v>
      </c>
      <c r="E151" s="14">
        <v>1001.2</v>
      </c>
      <c r="M151" s="9"/>
    </row>
    <row r="152" spans="1:13">
      <c r="A152" s="13" t="s">
        <v>357</v>
      </c>
      <c r="C152" s="14">
        <v>88.6</v>
      </c>
      <c r="D152" s="14">
        <v>362.4</v>
      </c>
      <c r="E152" s="14">
        <v>320.10000000000002</v>
      </c>
      <c r="M152" s="9"/>
    </row>
    <row r="153" spans="1:13">
      <c r="A153" s="10" t="s">
        <v>358</v>
      </c>
      <c r="C153" s="16">
        <v>7744.5</v>
      </c>
      <c r="D153" s="16">
        <v>9552.7000000000007</v>
      </c>
      <c r="E153" s="16">
        <v>8822.6</v>
      </c>
      <c r="M153" s="17"/>
    </row>
    <row r="154" spans="1:13">
      <c r="M154" s="9"/>
    </row>
    <row r="155" spans="1:13">
      <c r="A155" s="13" t="s">
        <v>359</v>
      </c>
      <c r="C155" s="14">
        <v>11960.6</v>
      </c>
      <c r="D155" s="14">
        <v>12648.6</v>
      </c>
      <c r="E155" s="14">
        <v>14483.8</v>
      </c>
      <c r="M155" s="9"/>
    </row>
    <row r="156" spans="1:13">
      <c r="A156" s="13" t="s">
        <v>360</v>
      </c>
      <c r="C156" s="14">
        <v>9112.5</v>
      </c>
      <c r="D156" s="14">
        <v>11844.3</v>
      </c>
      <c r="E156" s="14">
        <v>12713</v>
      </c>
      <c r="M156" s="9"/>
    </row>
    <row r="157" spans="1:13">
      <c r="A157" s="13" t="s">
        <v>361</v>
      </c>
      <c r="C157" s="14">
        <v>5208.6000000000004</v>
      </c>
      <c r="D157" s="14">
        <v>4480.7</v>
      </c>
      <c r="E157" s="14">
        <v>4404.8999999999996</v>
      </c>
      <c r="M157" s="9"/>
    </row>
    <row r="158" spans="1:13">
      <c r="A158" s="13" t="s">
        <v>362</v>
      </c>
      <c r="C158" s="14">
        <v>4742.2</v>
      </c>
      <c r="D158" s="14">
        <v>4830.1000000000004</v>
      </c>
      <c r="E158" s="14">
        <v>1209.5</v>
      </c>
      <c r="M158" s="9"/>
    </row>
    <row r="159" spans="1:13">
      <c r="A159" s="10" t="s">
        <v>363</v>
      </c>
      <c r="C159" s="16">
        <v>31023.9</v>
      </c>
      <c r="D159" s="16">
        <v>33803.699999999997</v>
      </c>
      <c r="E159" s="16">
        <v>32811.199999999997</v>
      </c>
      <c r="M159" s="17"/>
    </row>
    <row r="160" spans="1:13">
      <c r="M160" s="9"/>
    </row>
    <row r="161" spans="1:13">
      <c r="A161" s="13" t="s">
        <v>364</v>
      </c>
      <c r="C161" s="14">
        <v>586.70000000000005</v>
      </c>
      <c r="D161" s="14">
        <v>861.2</v>
      </c>
      <c r="E161" s="14">
        <v>1849.8</v>
      </c>
      <c r="M161" s="9"/>
    </row>
    <row r="162" spans="1:13">
      <c r="A162" s="13" t="s">
        <v>365</v>
      </c>
      <c r="C162" s="14">
        <v>635.6</v>
      </c>
      <c r="D162" s="14">
        <v>515.29999999999995</v>
      </c>
      <c r="E162" s="14">
        <v>436.4</v>
      </c>
      <c r="M162" s="9"/>
    </row>
    <row r="163" spans="1:13">
      <c r="A163" s="13" t="s">
        <v>366</v>
      </c>
      <c r="C163" s="14">
        <v>493.2</v>
      </c>
      <c r="D163" s="14">
        <v>378.5</v>
      </c>
      <c r="E163" s="14">
        <v>285.60000000000002</v>
      </c>
      <c r="M163" s="9"/>
    </row>
    <row r="164" spans="1:13">
      <c r="A164" s="13" t="s">
        <v>367</v>
      </c>
      <c r="C164" s="14">
        <v>105.6</v>
      </c>
      <c r="D164" s="14">
        <v>98.7</v>
      </c>
      <c r="E164" s="14">
        <v>169.9</v>
      </c>
      <c r="M164" s="9"/>
    </row>
    <row r="165" spans="1:13">
      <c r="A165" s="10" t="s">
        <v>368</v>
      </c>
      <c r="C165" s="16">
        <v>1821.1</v>
      </c>
      <c r="D165" s="16">
        <v>1853.7</v>
      </c>
      <c r="E165" s="16">
        <v>2741.7</v>
      </c>
      <c r="M165" s="17"/>
    </row>
    <row r="166" spans="1:13">
      <c r="M166" s="9"/>
    </row>
    <row r="167" spans="1:13">
      <c r="A167" s="13" t="s">
        <v>369</v>
      </c>
      <c r="C167" s="14">
        <v>510.3</v>
      </c>
      <c r="D167" s="14">
        <v>524.1</v>
      </c>
      <c r="E167" s="14">
        <v>598.4</v>
      </c>
      <c r="M167" s="9"/>
    </row>
    <row r="168" spans="1:13">
      <c r="A168" s="13" t="s">
        <v>370</v>
      </c>
      <c r="C168" s="14">
        <v>451.6</v>
      </c>
      <c r="D168" s="14">
        <v>461.1</v>
      </c>
      <c r="E168" s="14">
        <v>472.9</v>
      </c>
      <c r="M168" s="9"/>
    </row>
    <row r="169" spans="1:13">
      <c r="A169" s="13" t="s">
        <v>371</v>
      </c>
      <c r="C169" s="14">
        <v>362</v>
      </c>
      <c r="D169" s="14">
        <v>231.7</v>
      </c>
      <c r="E169" s="14">
        <v>233</v>
      </c>
      <c r="M169" s="9"/>
    </row>
    <row r="170" spans="1:13">
      <c r="A170" s="13" t="s">
        <v>372</v>
      </c>
      <c r="C170" s="14">
        <v>192.6</v>
      </c>
      <c r="D170" s="14">
        <v>146.5</v>
      </c>
      <c r="E170" s="14">
        <v>177.7</v>
      </c>
      <c r="M170" s="9"/>
    </row>
    <row r="171" spans="1:13">
      <c r="A171" s="10" t="s">
        <v>373</v>
      </c>
      <c r="C171" s="16">
        <v>1516.5</v>
      </c>
      <c r="D171" s="16">
        <v>1363.4</v>
      </c>
      <c r="E171" s="16">
        <v>1482</v>
      </c>
      <c r="M171" s="17"/>
    </row>
    <row r="172" spans="1:13">
      <c r="M172" s="9"/>
    </row>
    <row r="173" spans="1:13">
      <c r="A173" s="18" t="s">
        <v>374</v>
      </c>
      <c r="C173" s="25">
        <f>C143+C144+C145+C146-C147</f>
        <v>0</v>
      </c>
      <c r="D173" s="25">
        <f>D143+D144+D145+D146-D147</f>
        <v>0</v>
      </c>
      <c r="E173" s="25">
        <f>E143+E144+E145+E146-E147</f>
        <v>0</v>
      </c>
      <c r="M173" s="9"/>
    </row>
    <row r="174" spans="1:13">
      <c r="A174" s="18" t="s">
        <v>375</v>
      </c>
      <c r="C174" s="25">
        <f>C149+C150+C151+C152-C153</f>
        <v>0</v>
      </c>
      <c r="D174" s="25">
        <f>D149+D150+D151+D152-D153</f>
        <v>0</v>
      </c>
      <c r="E174" s="25">
        <f>E149+E150+E151+E152-E153</f>
        <v>0</v>
      </c>
      <c r="M174" s="9"/>
    </row>
    <row r="175" spans="1:13">
      <c r="M175" s="9"/>
    </row>
  </sheetData>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sheetPr>
  <dimension ref="A1:U182"/>
  <sheetViews>
    <sheetView showGridLines="0" zoomScale="85" workbookViewId="0">
      <pane xSplit="2" ySplit="5" topLeftCell="C50" activePane="bottomRight" state="frozen"/>
      <selection pane="topRight"/>
      <selection pane="bottomLeft"/>
      <selection pane="bottomRight"/>
    </sheetView>
  </sheetViews>
  <sheetFormatPr baseColWidth="10" defaultColWidth="8.83203125" defaultRowHeight="14" outlineLevelCol="1"/>
  <cols>
    <col min="1" max="1" width="46" customWidth="1"/>
    <col min="2" max="2" width="34" hidden="1" customWidth="1" outlineLevel="1"/>
    <col min="3" max="3" width="12" customWidth="1" collapsed="1"/>
    <col min="4" max="12" width="12" customWidth="1"/>
    <col min="13" max="13" width="9" customWidth="1"/>
    <col min="14" max="21" width="12" customWidth="1"/>
  </cols>
  <sheetData>
    <row r="1" spans="1:21" ht="28" customHeight="1">
      <c r="A1" s="1" t="s">
        <v>376</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HYPERLINK("#'Operating Metrics'!A22","1. RESTAURANT COUNT (YEAR END)")</f>
        <v>1. RESTAURANT COUNT (YEAR END)</v>
      </c>
      <c r="M7" s="9"/>
    </row>
    <row r="8" spans="1:21">
      <c r="A8" s="11" t="str">
        <f>HYPERLINK("#'Operating Metrics'!A33","2. FRANCHISED SALES AND SYSTEMWIDE SALES (MD&amp;A; FY2016 TOTAL FROM ITEM 6)")</f>
        <v>2. FRANCHISED SALES AND SYSTEMWIDE SALES (MD&amp;A; FY2016 TOTAL FROM ITEM 6)</v>
      </c>
      <c r="M8" s="9"/>
    </row>
    <row r="9" spans="1:21">
      <c r="A9" s="11" t="str">
        <f>HYPERLINK("#'Operating Metrics'!A51","3. RESTAURANTS BY SEGMENT AND NET ADDITIONS")</f>
        <v>3. RESTAURANTS BY SEGMENT AND NET ADDITIONS</v>
      </c>
      <c r="M9" s="9"/>
    </row>
    <row r="10" spans="1:21">
      <c r="A10" s="11" t="str">
        <f>HYPERLINK("#'Operating Metrics'!A64","4. COMPARABLE SALES GROWTH (U.S. / TOTAL FROM FY2016; SEGMENTS FROM FY2018; SEGMENT DEFINITIONS PER FY2019+ 10-KS)")</f>
        <v>4. COMPARABLE SALES GROWTH (U.S. / TOTAL FROM FY2016; SEGMENTS FROM FY2018; SEGMENT DEFINITIONS PER FY2019+ 10-KS)</v>
      </c>
      <c r="M10" s="9"/>
    </row>
    <row r="11" spans="1:21">
      <c r="A11" s="11" t="str">
        <f>HYPERLINK("#'Operating Metrics'!A75","5. SYSTEMWIDE SALES GROWTH (FY2019-FY2025)")</f>
        <v>5. SYSTEMWIDE SALES GROWTH (FY2019-FY2025)</v>
      </c>
      <c r="M11" s="9"/>
    </row>
    <row r="12" spans="1:21">
      <c r="A12" s="11" t="str">
        <f>HYPERLINK("#'Operating Metrics'!A85","6. MARKET DATA (ITEM 6 SELECTED FINANCIAL DATA, FY2016-FY2021 ONLY)")</f>
        <v>6. MARKET DATA (ITEM 6 SELECTED FINANCIAL DATA, FY2016-FY2021 ONLY)</v>
      </c>
      <c r="M12" s="9"/>
    </row>
    <row r="13" spans="1:21">
      <c r="A13" s="11" t="str">
        <f>HYPERLINK("#'Operating Metrics'!A89","7. FRANCHISED REVENUE COMPOSITION")</f>
        <v>7. FRANCHISED REVENUE COMPOSITION</v>
      </c>
      <c r="M13" s="9"/>
    </row>
    <row r="14" spans="1:21">
      <c r="A14" s="11" t="str">
        <f>HYPERLINK("#'Operating Metrics'!A98","8. SHAREHOLDER RETURNS (MD&amp;A TABLE)")</f>
        <v>8. SHAREHOLDER RETURNS (MD&amp;A TABLE)</v>
      </c>
      <c r="M14" s="9"/>
    </row>
    <row r="15" spans="1:21">
      <c r="A15" s="11" t="str">
        <f>HYPERLINK("#'Operating Metrics'!A108","9. DEBT STRUCTURE STATISTICS (MD&amp;A TABLE)")</f>
        <v>9. DEBT STRUCTURE STATISTICS (MD&amp;A TABLE)</v>
      </c>
      <c r="M15" s="9"/>
    </row>
    <row r="16" spans="1:21">
      <c r="A16" s="11" t="str">
        <f>HYPERLINK("#'Operating Metrics'!A115","10. CURRENCY TRANSLATION IMPACT ON REPORTED RESULTS (COMPANY-DISCLOSED BENEFIT / (COST) VS PRIOR-YEAR RATES)")</f>
        <v>10. CURRENCY TRANSLATION IMPACT ON REPORTED RESULTS (COMPANY-DISCLOSED BENEFIT / (COST) VS PRIOR-YEAR RATES)</v>
      </c>
      <c r="M16" s="9"/>
    </row>
    <row r="17" spans="1:21">
      <c r="A17" s="11" t="str">
        <f>HYPERLINK("#'Operating Metrics'!A126","11. NON-GAAP RECONCILIATION: EARNINGS PER SHARE (ADJUSTMENT LINES AS PRESENTED IN THE FILING SUPPLYING EACH NON-GAAP FIGURE)")</f>
        <v>11. NON-GAAP RECONCILIATION: EARNINGS PER SHARE (ADJUSTMENT LINES AS PRESENTED IN THE FILING SUPPLYING EACH NON-GAAP FIGURE)</v>
      </c>
      <c r="M17" s="9"/>
    </row>
    <row r="18" spans="1:21">
      <c r="A18" s="11" t="str">
        <f>HYPERLINK("#'Operating Metrics'!A135","12. NON-GAAP RECONCILIATION: NET INCOME (FY2021+)")</f>
        <v>12. NON-GAAP RECONCILIATION: NET INCOME (FY2021+)</v>
      </c>
      <c r="M18" s="9"/>
    </row>
    <row r="19" spans="1:21">
      <c r="A19" s="11" t="str">
        <f>HYPERLINK("#'Operating Metrics'!A144","13. NON-GAAP RECONCILIATION: OPERATING INCOME (FY2021+)")</f>
        <v>13. NON-GAAP RECONCILIATION: OPERATING INCOME (FY2021+)</v>
      </c>
      <c r="M19" s="9"/>
    </row>
    <row r="20" spans="1:21">
      <c r="A20" s="11" t="str">
        <f>HYPERLINK("#'Operating Metrics'!A157","14. CAPITAL EXPENDITURES BY PURPOSE (DISCLOSED FY2016-FY2019 ONLY)")</f>
        <v>14. CAPITAL EXPENDITURES BY PURPOSE (DISCLOSED FY2016-FY2019 ONLY)</v>
      </c>
      <c r="M20" s="9"/>
    </row>
    <row r="21" spans="1:21" ht="8" customHeight="1">
      <c r="M21" s="9"/>
    </row>
    <row r="22" spans="1:21" ht="20" customHeight="1">
      <c r="A22" s="12" t="s">
        <v>377</v>
      </c>
      <c r="B22" s="2"/>
      <c r="C22" s="2"/>
      <c r="D22" s="2"/>
      <c r="E22" s="2"/>
      <c r="F22" s="2"/>
      <c r="G22" s="2"/>
      <c r="H22" s="2"/>
      <c r="I22" s="2"/>
      <c r="J22" s="2"/>
      <c r="K22" s="2"/>
      <c r="L22" s="2"/>
      <c r="M22" s="9"/>
      <c r="N22" s="2"/>
      <c r="O22" s="2"/>
      <c r="P22" s="2"/>
      <c r="Q22" s="2"/>
      <c r="R22" s="2"/>
      <c r="S22" s="2"/>
      <c r="T22" s="2"/>
      <c r="U22" s="2"/>
    </row>
    <row r="23" spans="1:21">
      <c r="A23" s="13" t="s">
        <v>378</v>
      </c>
      <c r="D23" s="14">
        <v>21366</v>
      </c>
      <c r="E23" s="14">
        <v>21685</v>
      </c>
      <c r="F23" s="14">
        <v>21837</v>
      </c>
      <c r="G23" s="14">
        <v>21712</v>
      </c>
      <c r="H23" s="14">
        <v>21607</v>
      </c>
      <c r="I23" s="14">
        <v>21720</v>
      </c>
      <c r="J23" s="14">
        <v>21818</v>
      </c>
      <c r="K23" s="14">
        <v>22077</v>
      </c>
      <c r="L23" s="14">
        <v>22570</v>
      </c>
      <c r="M23" s="9"/>
    </row>
    <row r="24" spans="1:21">
      <c r="A24" s="13" t="s">
        <v>379</v>
      </c>
      <c r="D24" s="14">
        <v>6945</v>
      </c>
      <c r="E24" s="14">
        <v>7225</v>
      </c>
      <c r="F24" s="14">
        <v>7648</v>
      </c>
      <c r="G24" s="14">
        <v>7663</v>
      </c>
      <c r="H24" s="14">
        <v>7913</v>
      </c>
      <c r="I24" s="14">
        <v>8229</v>
      </c>
      <c r="J24" s="14">
        <v>8684</v>
      </c>
      <c r="K24" s="14">
        <v>9247</v>
      </c>
      <c r="L24" s="14">
        <v>9675</v>
      </c>
      <c r="M24" s="9"/>
    </row>
    <row r="25" spans="1:21">
      <c r="A25" s="13" t="s">
        <v>380</v>
      </c>
      <c r="D25" s="14">
        <v>5797</v>
      </c>
      <c r="E25" s="14">
        <v>6175</v>
      </c>
      <c r="F25" s="14">
        <v>6574</v>
      </c>
      <c r="G25" s="14">
        <v>7146</v>
      </c>
      <c r="H25" s="14">
        <v>7775</v>
      </c>
      <c r="I25" s="14">
        <v>8220</v>
      </c>
      <c r="J25" s="14">
        <v>9178</v>
      </c>
      <c r="K25" s="14">
        <v>10108</v>
      </c>
      <c r="L25" s="14">
        <v>11072</v>
      </c>
      <c r="M25" s="9"/>
    </row>
    <row r="26" spans="1:21">
      <c r="A26" s="10" t="s">
        <v>381</v>
      </c>
      <c r="B26" s="15" t="s">
        <v>382</v>
      </c>
      <c r="C26" s="16">
        <v>31230</v>
      </c>
      <c r="D26" s="16">
        <v>34108</v>
      </c>
      <c r="E26" s="16">
        <v>35085</v>
      </c>
      <c r="F26" s="16">
        <v>36059</v>
      </c>
      <c r="G26" s="16">
        <v>36521</v>
      </c>
      <c r="H26" s="16">
        <v>37295</v>
      </c>
      <c r="I26" s="16">
        <v>38169</v>
      </c>
      <c r="J26" s="16">
        <v>39680</v>
      </c>
      <c r="K26" s="16">
        <v>41432</v>
      </c>
      <c r="L26" s="16">
        <v>43317</v>
      </c>
      <c r="M26" s="17"/>
    </row>
    <row r="27" spans="1:21">
      <c r="A27" s="13" t="s">
        <v>383</v>
      </c>
      <c r="C27" s="14">
        <v>5669</v>
      </c>
      <c r="D27" s="14">
        <v>3133</v>
      </c>
      <c r="E27" s="14">
        <v>2770</v>
      </c>
      <c r="F27" s="14">
        <v>2636</v>
      </c>
      <c r="G27" s="14">
        <v>2677</v>
      </c>
      <c r="H27" s="14">
        <v>2736</v>
      </c>
      <c r="I27" s="14">
        <v>2106</v>
      </c>
      <c r="J27" s="14">
        <v>2142</v>
      </c>
      <c r="K27" s="14">
        <v>2045</v>
      </c>
      <c r="L27" s="14">
        <v>2039</v>
      </c>
      <c r="M27" s="9"/>
    </row>
    <row r="28" spans="1:21">
      <c r="A28" s="10" t="s">
        <v>384</v>
      </c>
      <c r="C28" s="44">
        <v>36899</v>
      </c>
      <c r="D28" s="44">
        <v>37241</v>
      </c>
      <c r="E28" s="44">
        <v>37855</v>
      </c>
      <c r="F28" s="44">
        <v>38695</v>
      </c>
      <c r="G28" s="44">
        <v>39198</v>
      </c>
      <c r="H28" s="44">
        <v>40031</v>
      </c>
      <c r="I28" s="44">
        <v>40275</v>
      </c>
      <c r="J28" s="44">
        <v>41822</v>
      </c>
      <c r="K28" s="44">
        <v>43477</v>
      </c>
      <c r="L28" s="44">
        <v>45356</v>
      </c>
      <c r="M28" s="17"/>
    </row>
    <row r="29" spans="1:21" ht="16">
      <c r="A29" s="42" t="s">
        <v>955</v>
      </c>
      <c r="C29" s="28"/>
      <c r="D29" s="28"/>
      <c r="E29" s="43">
        <f>E23-D23</f>
        <v>319</v>
      </c>
      <c r="F29" s="43">
        <f t="shared" ref="F29:L29" si="0">F23-E23</f>
        <v>152</v>
      </c>
      <c r="G29" s="43">
        <f t="shared" si="0"/>
        <v>-125</v>
      </c>
      <c r="H29" s="43">
        <f t="shared" si="0"/>
        <v>-105</v>
      </c>
      <c r="I29" s="43">
        <f t="shared" si="0"/>
        <v>113</v>
      </c>
      <c r="J29" s="43">
        <f t="shared" si="0"/>
        <v>98</v>
      </c>
      <c r="K29" s="43">
        <f t="shared" si="0"/>
        <v>259</v>
      </c>
      <c r="L29" s="43">
        <f t="shared" si="0"/>
        <v>493</v>
      </c>
      <c r="M29" s="9"/>
    </row>
    <row r="30" spans="1:21" ht="16">
      <c r="A30" s="42" t="s">
        <v>956</v>
      </c>
      <c r="C30" s="28"/>
      <c r="D30" s="28"/>
      <c r="E30" s="43">
        <f t="shared" ref="E30:L34" si="1">E24-D24</f>
        <v>280</v>
      </c>
      <c r="F30" s="43">
        <f t="shared" si="1"/>
        <v>423</v>
      </c>
      <c r="G30" s="43">
        <f t="shared" si="1"/>
        <v>15</v>
      </c>
      <c r="H30" s="43">
        <f t="shared" si="1"/>
        <v>250</v>
      </c>
      <c r="I30" s="43">
        <f t="shared" si="1"/>
        <v>316</v>
      </c>
      <c r="J30" s="43">
        <f t="shared" si="1"/>
        <v>455</v>
      </c>
      <c r="K30" s="43">
        <f t="shared" si="1"/>
        <v>563</v>
      </c>
      <c r="L30" s="43">
        <f t="shared" si="1"/>
        <v>428</v>
      </c>
      <c r="M30" s="9"/>
    </row>
    <row r="31" spans="1:21" ht="16">
      <c r="A31" s="42" t="s">
        <v>957</v>
      </c>
      <c r="C31" s="28"/>
      <c r="D31" s="28"/>
      <c r="E31" s="43">
        <f t="shared" si="1"/>
        <v>378</v>
      </c>
      <c r="F31" s="43">
        <f t="shared" si="1"/>
        <v>399</v>
      </c>
      <c r="G31" s="43">
        <f t="shared" si="1"/>
        <v>572</v>
      </c>
      <c r="H31" s="43">
        <f t="shared" si="1"/>
        <v>629</v>
      </c>
      <c r="I31" s="43">
        <f t="shared" si="1"/>
        <v>445</v>
      </c>
      <c r="J31" s="43">
        <f t="shared" si="1"/>
        <v>958</v>
      </c>
      <c r="K31" s="43">
        <f t="shared" si="1"/>
        <v>930</v>
      </c>
      <c r="L31" s="43">
        <f t="shared" si="1"/>
        <v>964</v>
      </c>
      <c r="M31" s="9"/>
    </row>
    <row r="32" spans="1:21" ht="16">
      <c r="A32" s="45" t="s">
        <v>958</v>
      </c>
      <c r="C32" s="28"/>
      <c r="D32" s="28"/>
      <c r="E32" s="43">
        <f t="shared" si="1"/>
        <v>977</v>
      </c>
      <c r="F32" s="43">
        <f t="shared" si="1"/>
        <v>974</v>
      </c>
      <c r="G32" s="43">
        <f t="shared" si="1"/>
        <v>462</v>
      </c>
      <c r="H32" s="43">
        <f t="shared" si="1"/>
        <v>774</v>
      </c>
      <c r="I32" s="43">
        <f t="shared" si="1"/>
        <v>874</v>
      </c>
      <c r="J32" s="43">
        <f t="shared" si="1"/>
        <v>1511</v>
      </c>
      <c r="K32" s="43">
        <f t="shared" si="1"/>
        <v>1752</v>
      </c>
      <c r="L32" s="43">
        <f t="shared" si="1"/>
        <v>1885</v>
      </c>
      <c r="M32" s="9"/>
    </row>
    <row r="33" spans="1:21" ht="16">
      <c r="A33" s="42" t="s">
        <v>959</v>
      </c>
      <c r="C33" s="28"/>
      <c r="D33" s="28"/>
      <c r="E33" s="43">
        <f t="shared" si="1"/>
        <v>-363</v>
      </c>
      <c r="F33" s="43">
        <f t="shared" si="1"/>
        <v>-134</v>
      </c>
      <c r="G33" s="43">
        <f t="shared" si="1"/>
        <v>41</v>
      </c>
      <c r="H33" s="43">
        <f t="shared" si="1"/>
        <v>59</v>
      </c>
      <c r="I33" s="43">
        <f t="shared" si="1"/>
        <v>-630</v>
      </c>
      <c r="J33" s="43">
        <f t="shared" si="1"/>
        <v>36</v>
      </c>
      <c r="K33" s="43">
        <f t="shared" si="1"/>
        <v>-97</v>
      </c>
      <c r="L33" s="43">
        <f t="shared" si="1"/>
        <v>-6</v>
      </c>
      <c r="M33" s="9"/>
    </row>
    <row r="34" spans="1:21" ht="16">
      <c r="A34" s="45" t="s">
        <v>960</v>
      </c>
      <c r="C34" s="28"/>
      <c r="D34" s="28"/>
      <c r="E34" s="43">
        <f t="shared" si="1"/>
        <v>614</v>
      </c>
      <c r="F34" s="43">
        <f t="shared" si="1"/>
        <v>840</v>
      </c>
      <c r="G34" s="43">
        <f t="shared" si="1"/>
        <v>503</v>
      </c>
      <c r="H34" s="43">
        <f t="shared" si="1"/>
        <v>833</v>
      </c>
      <c r="I34" s="43">
        <f t="shared" si="1"/>
        <v>244</v>
      </c>
      <c r="J34" s="43">
        <f t="shared" si="1"/>
        <v>1547</v>
      </c>
      <c r="K34" s="43">
        <f t="shared" si="1"/>
        <v>1655</v>
      </c>
      <c r="L34" s="43">
        <f t="shared" si="1"/>
        <v>1879</v>
      </c>
      <c r="M34" s="9"/>
    </row>
    <row r="35" spans="1:21">
      <c r="A35" s="18" t="s">
        <v>116</v>
      </c>
      <c r="D35" s="19">
        <f t="shared" ref="D35:L35" si="2">IF(N(C28)=0,"",D28/C28-1)</f>
        <v>9.2685438629773742E-3</v>
      </c>
      <c r="E35" s="19">
        <f t="shared" si="2"/>
        <v>1.648720496227285E-2</v>
      </c>
      <c r="F35" s="19">
        <f t="shared" si="2"/>
        <v>2.2189935279355533E-2</v>
      </c>
      <c r="G35" s="19">
        <f t="shared" si="2"/>
        <v>1.2999095490373369E-2</v>
      </c>
      <c r="H35" s="19">
        <f t="shared" si="2"/>
        <v>2.1251084238991691E-2</v>
      </c>
      <c r="I35" s="19">
        <f t="shared" si="2"/>
        <v>6.0952761609751605E-3</v>
      </c>
      <c r="J35" s="19">
        <f t="shared" si="2"/>
        <v>3.8410924891371767E-2</v>
      </c>
      <c r="K35" s="19">
        <f t="shared" si="2"/>
        <v>3.9572473817607978E-2</v>
      </c>
      <c r="L35" s="19">
        <f t="shared" si="2"/>
        <v>4.321825332934659E-2</v>
      </c>
      <c r="M35" s="9"/>
    </row>
    <row r="36" spans="1:21">
      <c r="A36" s="18" t="s">
        <v>385</v>
      </c>
      <c r="C36" s="19">
        <f t="shared" ref="C36:L36" si="3">C26/C28</f>
        <v>0.84636440011924441</v>
      </c>
      <c r="D36" s="19">
        <f t="shared" si="3"/>
        <v>0.91587229129185577</v>
      </c>
      <c r="E36" s="19">
        <f t="shared" si="3"/>
        <v>0.92682604675736358</v>
      </c>
      <c r="F36" s="19">
        <f t="shared" si="3"/>
        <v>0.93187750355343069</v>
      </c>
      <c r="G36" s="19">
        <f t="shared" si="3"/>
        <v>0.93170569927037095</v>
      </c>
      <c r="H36" s="19">
        <f t="shared" si="3"/>
        <v>0.93165296894906446</v>
      </c>
      <c r="I36" s="19">
        <f t="shared" si="3"/>
        <v>0.94770949720670394</v>
      </c>
      <c r="J36" s="19">
        <f t="shared" si="3"/>
        <v>0.94878293721008078</v>
      </c>
      <c r="K36" s="19">
        <f t="shared" si="3"/>
        <v>0.95296363594544242</v>
      </c>
      <c r="L36" s="19">
        <f t="shared" si="3"/>
        <v>0.95504453655525179</v>
      </c>
      <c r="M36" s="9"/>
    </row>
    <row r="37" spans="1:21">
      <c r="A37" s="18" t="s">
        <v>386</v>
      </c>
      <c r="C37" s="26">
        <f t="shared" ref="C37:L37" si="4">C26+C27-C28</f>
        <v>0</v>
      </c>
      <c r="D37" s="26">
        <f t="shared" si="4"/>
        <v>0</v>
      </c>
      <c r="E37" s="26">
        <f t="shared" si="4"/>
        <v>0</v>
      </c>
      <c r="F37" s="26">
        <f t="shared" si="4"/>
        <v>0</v>
      </c>
      <c r="G37" s="26">
        <f t="shared" si="4"/>
        <v>0</v>
      </c>
      <c r="H37" s="26">
        <f t="shared" si="4"/>
        <v>0</v>
      </c>
      <c r="I37" s="26">
        <f t="shared" si="4"/>
        <v>0</v>
      </c>
      <c r="J37" s="26">
        <f t="shared" si="4"/>
        <v>0</v>
      </c>
      <c r="K37" s="26">
        <f t="shared" si="4"/>
        <v>0</v>
      </c>
      <c r="L37" s="26">
        <f t="shared" si="4"/>
        <v>0</v>
      </c>
      <c r="M37" s="9"/>
    </row>
    <row r="38" spans="1:21" ht="8" customHeight="1">
      <c r="M38" s="9"/>
    </row>
    <row r="39" spans="1:21" ht="20" customHeight="1">
      <c r="A39" s="37" t="s">
        <v>949</v>
      </c>
      <c r="B39" s="2"/>
      <c r="C39" s="2"/>
      <c r="D39" s="2"/>
      <c r="E39" s="2"/>
      <c r="F39" s="2"/>
      <c r="G39" s="2"/>
      <c r="H39" s="2"/>
      <c r="I39" s="2"/>
      <c r="J39" s="2"/>
      <c r="K39" s="2"/>
      <c r="L39" s="2"/>
      <c r="M39" s="9"/>
      <c r="N39" s="2"/>
      <c r="O39" s="2"/>
      <c r="P39" s="2"/>
      <c r="Q39" s="2"/>
      <c r="R39" s="2"/>
      <c r="S39" s="2"/>
      <c r="T39" s="2"/>
      <c r="U39" s="2"/>
    </row>
    <row r="40" spans="1:21">
      <c r="A40" s="13" t="s">
        <v>278</v>
      </c>
      <c r="D40" s="14">
        <v>34379</v>
      </c>
      <c r="E40" s="14">
        <v>35860</v>
      </c>
      <c r="F40" s="14">
        <v>37923</v>
      </c>
      <c r="G40" s="14">
        <v>38123</v>
      </c>
      <c r="H40" s="14">
        <v>43344</v>
      </c>
      <c r="I40" s="14">
        <v>45898</v>
      </c>
      <c r="J40" s="14">
        <v>49914</v>
      </c>
      <c r="K40" s="14">
        <v>50272</v>
      </c>
      <c r="L40" s="14">
        <v>51946</v>
      </c>
      <c r="M40" s="9"/>
    </row>
    <row r="41" spans="1:21">
      <c r="A41" s="13" t="s">
        <v>279</v>
      </c>
      <c r="D41" s="14">
        <v>24386</v>
      </c>
      <c r="E41" s="14">
        <v>27557</v>
      </c>
      <c r="F41" s="14">
        <v>28853</v>
      </c>
      <c r="G41" s="14">
        <v>25446</v>
      </c>
      <c r="H41" s="14">
        <v>33097</v>
      </c>
      <c r="I41" s="14">
        <v>34537</v>
      </c>
      <c r="J41" s="14">
        <v>38264</v>
      </c>
      <c r="K41" s="14">
        <v>39132</v>
      </c>
      <c r="L41" s="14">
        <v>42440</v>
      </c>
      <c r="M41" s="9"/>
    </row>
    <row r="42" spans="1:21">
      <c r="A42" s="13" t="s">
        <v>387</v>
      </c>
      <c r="D42" s="14">
        <v>19426</v>
      </c>
      <c r="E42" s="14">
        <v>22717</v>
      </c>
      <c r="F42" s="14">
        <v>23981</v>
      </c>
      <c r="G42" s="14">
        <v>21609</v>
      </c>
      <c r="H42" s="14">
        <v>26234</v>
      </c>
      <c r="I42" s="14">
        <v>29038</v>
      </c>
      <c r="J42" s="14">
        <v>31573</v>
      </c>
      <c r="K42" s="14">
        <v>31529</v>
      </c>
      <c r="L42" s="14">
        <v>35289</v>
      </c>
      <c r="M42" s="9"/>
    </row>
    <row r="43" spans="1:21" ht="14" customHeight="1">
      <c r="A43" s="10" t="s">
        <v>388</v>
      </c>
      <c r="B43" s="15" t="s">
        <v>389</v>
      </c>
      <c r="C43" s="16">
        <v>69707</v>
      </c>
      <c r="D43" s="16">
        <v>78191</v>
      </c>
      <c r="E43" s="16">
        <v>86134</v>
      </c>
      <c r="F43" s="16">
        <v>90757</v>
      </c>
      <c r="G43" s="16">
        <v>85178</v>
      </c>
      <c r="H43" s="16">
        <v>102675</v>
      </c>
      <c r="I43" s="16">
        <v>109473</v>
      </c>
      <c r="J43" s="16">
        <v>119750</v>
      </c>
      <c r="K43" s="16">
        <v>120933</v>
      </c>
      <c r="L43" s="16">
        <v>129675</v>
      </c>
      <c r="M43" s="17"/>
    </row>
    <row r="44" spans="1:21">
      <c r="A44" s="18" t="s">
        <v>116</v>
      </c>
      <c r="D44" s="19">
        <f t="shared" ref="D44:L44" si="5">IF(N(C43)=0,"",D43/C43-1)</f>
        <v>0.12170944094567271</v>
      </c>
      <c r="E44" s="19">
        <f t="shared" si="5"/>
        <v>0.10158458134567927</v>
      </c>
      <c r="F44" s="19">
        <f t="shared" si="5"/>
        <v>5.3672185199804989E-2</v>
      </c>
      <c r="G44" s="19">
        <f t="shared" si="5"/>
        <v>-6.1471842392322396E-2</v>
      </c>
      <c r="H44" s="19">
        <f t="shared" si="5"/>
        <v>0.20541689168564647</v>
      </c>
      <c r="I44" s="19">
        <f t="shared" si="5"/>
        <v>6.6208911614316968E-2</v>
      </c>
      <c r="J44" s="19">
        <f t="shared" si="5"/>
        <v>9.3877029039123761E-2</v>
      </c>
      <c r="K44" s="19">
        <f t="shared" si="5"/>
        <v>9.8789144050104305E-3</v>
      </c>
      <c r="L44" s="19">
        <f t="shared" si="5"/>
        <v>7.2287961102428522E-2</v>
      </c>
      <c r="M44" s="9"/>
    </row>
    <row r="45" spans="1:21">
      <c r="A45" s="13" t="s">
        <v>378</v>
      </c>
      <c r="D45" s="14">
        <v>59151</v>
      </c>
      <c r="E45" s="14">
        <v>63251</v>
      </c>
      <c r="F45" s="14">
        <v>66415</v>
      </c>
      <c r="G45" s="14">
        <v>63297</v>
      </c>
      <c r="H45" s="14">
        <v>75956</v>
      </c>
      <c r="I45" s="14">
        <v>80066</v>
      </c>
      <c r="J45" s="14">
        <v>87809</v>
      </c>
      <c r="K45" s="14">
        <v>88934</v>
      </c>
      <c r="L45" s="14">
        <v>93761</v>
      </c>
      <c r="M45" s="9"/>
    </row>
    <row r="46" spans="1:21">
      <c r="A46" s="13" t="s">
        <v>379</v>
      </c>
      <c r="D46" s="14">
        <v>12546</v>
      </c>
      <c r="E46" s="14">
        <v>13519</v>
      </c>
      <c r="F46" s="14">
        <v>14392</v>
      </c>
      <c r="G46" s="14">
        <v>11781</v>
      </c>
      <c r="H46" s="14">
        <v>15151</v>
      </c>
      <c r="I46" s="14">
        <v>18444</v>
      </c>
      <c r="J46" s="14">
        <v>20045</v>
      </c>
      <c r="K46" s="14">
        <v>19736</v>
      </c>
      <c r="L46" s="14">
        <v>22451</v>
      </c>
      <c r="M46" s="9"/>
    </row>
    <row r="47" spans="1:21">
      <c r="A47" s="13" t="s">
        <v>380</v>
      </c>
      <c r="D47" s="14">
        <v>6494</v>
      </c>
      <c r="E47" s="14">
        <v>9364</v>
      </c>
      <c r="F47" s="14">
        <v>9950</v>
      </c>
      <c r="G47" s="14">
        <v>10100</v>
      </c>
      <c r="H47" s="14">
        <v>11568</v>
      </c>
      <c r="I47" s="14">
        <v>10963</v>
      </c>
      <c r="J47" s="14">
        <v>11896</v>
      </c>
      <c r="K47" s="14">
        <v>12263</v>
      </c>
      <c r="L47" s="14">
        <v>13463</v>
      </c>
      <c r="M47" s="9"/>
    </row>
    <row r="48" spans="1:21">
      <c r="M48" s="9"/>
    </row>
    <row r="49" spans="1:21" ht="12" customHeight="1">
      <c r="A49" s="10" t="s">
        <v>390</v>
      </c>
      <c r="B49" s="15" t="s">
        <v>391</v>
      </c>
      <c r="C49" s="27">
        <f>C43+'Income Statement'!C14</f>
        <v>85002</v>
      </c>
      <c r="D49" s="27">
        <f>D43+'Income Statement'!D14</f>
        <v>90909.9</v>
      </c>
      <c r="E49" s="27">
        <f>E43+'Income Statement'!E14</f>
        <v>96146.7</v>
      </c>
      <c r="F49" s="27">
        <f>F43+'Income Statement'!F14</f>
        <v>100177.8</v>
      </c>
      <c r="G49" s="27">
        <f>G43+'Income Statement'!G14</f>
        <v>93317.2</v>
      </c>
      <c r="H49" s="27">
        <f>H43+'Income Statement'!H14</f>
        <v>112462.39999999999</v>
      </c>
      <c r="I49" s="27">
        <f>I43+'Income Statement'!I14</f>
        <v>118221</v>
      </c>
      <c r="J49" s="27">
        <f>J43+'Income Statement'!J14</f>
        <v>129492</v>
      </c>
      <c r="K49" s="27">
        <f>K43+'Income Statement'!K14</f>
        <v>130715</v>
      </c>
      <c r="L49" s="27">
        <f>L43+'Income Statement'!L14</f>
        <v>139365</v>
      </c>
      <c r="M49" s="9"/>
    </row>
    <row r="50" spans="1:21">
      <c r="A50" s="18" t="s">
        <v>116</v>
      </c>
      <c r="D50" s="19">
        <f t="shared" ref="D50:L50" si="6">IF(N(C49)=0,"",D49/C49-1)</f>
        <v>6.9503070515987808E-2</v>
      </c>
      <c r="E50" s="19">
        <f t="shared" si="6"/>
        <v>5.7604287321842973E-2</v>
      </c>
      <c r="F50" s="19">
        <f t="shared" si="6"/>
        <v>4.1926555981640634E-2</v>
      </c>
      <c r="G50" s="19">
        <f t="shared" si="6"/>
        <v>-6.8484235030116469E-2</v>
      </c>
      <c r="H50" s="19">
        <f t="shared" si="6"/>
        <v>0.20516260667915454</v>
      </c>
      <c r="I50" s="19">
        <f t="shared" si="6"/>
        <v>5.1204669293915206E-2</v>
      </c>
      <c r="J50" s="19">
        <f t="shared" si="6"/>
        <v>9.5338391656304644E-2</v>
      </c>
      <c r="K50" s="19">
        <f t="shared" si="6"/>
        <v>9.4445988941402881E-3</v>
      </c>
      <c r="L50" s="19">
        <f t="shared" si="6"/>
        <v>6.6174501778678785E-2</v>
      </c>
      <c r="M50" s="9"/>
    </row>
    <row r="51" spans="1:21">
      <c r="A51" s="38" t="s">
        <v>950</v>
      </c>
      <c r="B51" s="39"/>
      <c r="C51" s="40">
        <f>'Income Statement'!C12/C43</f>
        <v>0.13380148335174372</v>
      </c>
      <c r="D51" s="40">
        <f>'Income Statement'!D12/D43</f>
        <v>0.12919006023711169</v>
      </c>
      <c r="E51" s="40">
        <f>'Income Statement'!E12/E43</f>
        <v>0.12785311259200779</v>
      </c>
      <c r="F51" s="40">
        <f>'Income Statement'!F12/F43</f>
        <v>0.12842755930672015</v>
      </c>
      <c r="G51" s="40">
        <f>'Income Statement'!G12/G43</f>
        <v>0.12592570851628354</v>
      </c>
      <c r="H51" s="40">
        <f>'Income Statement'!H12/H43</f>
        <v>0.12744485025566107</v>
      </c>
      <c r="I51" s="40">
        <f>'Income Statement'!I12/I43</f>
        <v>0.12885368995094681</v>
      </c>
      <c r="J51" s="40">
        <f>'Income Statement'!J12/J43</f>
        <v>0.12891022964509394</v>
      </c>
      <c r="K51" s="40">
        <f>'Income Statement'!K12/K43</f>
        <v>0.12994798772874236</v>
      </c>
      <c r="L51" s="40">
        <f>'Income Statement'!L12/L43</f>
        <v>0.12761133603238867</v>
      </c>
      <c r="M51" s="9"/>
    </row>
    <row r="52" spans="1:21">
      <c r="A52" s="18" t="s">
        <v>392</v>
      </c>
      <c r="C52" s="19">
        <f>'Income Statement'!C30/C49</f>
        <v>2.8052281122797111E-2</v>
      </c>
      <c r="D52" s="19">
        <f>'Income Statement'!D30/D49</f>
        <v>2.4544081557674142E-2</v>
      </c>
      <c r="E52" s="19">
        <f>'Income Statement'!E30/E49</f>
        <v>2.2883780722583305E-2</v>
      </c>
      <c r="F52" s="19">
        <f>'Income Statement'!F30/F49</f>
        <v>2.2254431620578611E-2</v>
      </c>
      <c r="G52" s="19">
        <f>'Income Statement'!G30/G49</f>
        <v>2.7279001084473172E-2</v>
      </c>
      <c r="H52" s="19">
        <f>'Income Statement'!H30/H49</f>
        <v>2.4074712970735108E-2</v>
      </c>
      <c r="I52" s="19">
        <f>'Income Statement'!I30/I49</f>
        <v>2.4208896896490473E-2</v>
      </c>
      <c r="J52" s="19">
        <f>'Income Statement'!J30/J49</f>
        <v>2.17542396441479E-2</v>
      </c>
      <c r="K52" s="19">
        <f>'Income Statement'!K30/K49</f>
        <v>2.1872011628351756E-2</v>
      </c>
      <c r="L52" s="19">
        <f>'Income Statement'!L30/L49</f>
        <v>2.1813224267211998E-2</v>
      </c>
      <c r="M52" s="9"/>
    </row>
    <row r="53" spans="1:21">
      <c r="A53" s="18" t="s">
        <v>393</v>
      </c>
      <c r="D53" s="30">
        <f t="shared" ref="D53:L53" si="7">D43/((D26+C26)/2)</f>
        <v>2.3934310814533655</v>
      </c>
      <c r="E53" s="30">
        <f t="shared" si="7"/>
        <v>2.4896738109346321</v>
      </c>
      <c r="F53" s="30">
        <f t="shared" si="7"/>
        <v>2.5513606207129205</v>
      </c>
      <c r="G53" s="30">
        <f t="shared" si="7"/>
        <v>2.3471479746486636</v>
      </c>
      <c r="H53" s="30">
        <f t="shared" si="7"/>
        <v>2.7819171995231384</v>
      </c>
      <c r="I53" s="30">
        <f t="shared" si="7"/>
        <v>2.901330435704442</v>
      </c>
      <c r="J53" s="30">
        <f t="shared" si="7"/>
        <v>3.0764685480866807</v>
      </c>
      <c r="K53" s="30">
        <f t="shared" si="7"/>
        <v>2.9818769109379621</v>
      </c>
      <c r="L53" s="30">
        <f t="shared" si="7"/>
        <v>3.0602130998595856</v>
      </c>
      <c r="M53" s="9"/>
    </row>
    <row r="54" spans="1:21">
      <c r="A54" s="18" t="s">
        <v>394</v>
      </c>
      <c r="D54" s="25">
        <f t="shared" ref="D54:L54" si="8">D40+D41+D42-D43</f>
        <v>0</v>
      </c>
      <c r="E54" s="25">
        <f t="shared" si="8"/>
        <v>0</v>
      </c>
      <c r="F54" s="25">
        <f t="shared" si="8"/>
        <v>0</v>
      </c>
      <c r="G54" s="25">
        <f t="shared" si="8"/>
        <v>0</v>
      </c>
      <c r="H54" s="25">
        <f t="shared" si="8"/>
        <v>0</v>
      </c>
      <c r="I54" s="25">
        <f t="shared" si="8"/>
        <v>0</v>
      </c>
      <c r="J54" s="25">
        <f t="shared" si="8"/>
        <v>1</v>
      </c>
      <c r="K54" s="25">
        <f t="shared" si="8"/>
        <v>0</v>
      </c>
      <c r="L54" s="25">
        <f t="shared" si="8"/>
        <v>0</v>
      </c>
      <c r="M54" s="9"/>
    </row>
    <row r="55" spans="1:21">
      <c r="A55" s="18" t="s">
        <v>395</v>
      </c>
      <c r="D55" s="25">
        <f t="shared" ref="D55:L55" si="9">D45+D46+D47-D43</f>
        <v>0</v>
      </c>
      <c r="E55" s="25">
        <f t="shared" si="9"/>
        <v>0</v>
      </c>
      <c r="F55" s="25">
        <f t="shared" si="9"/>
        <v>0</v>
      </c>
      <c r="G55" s="25">
        <f t="shared" si="9"/>
        <v>0</v>
      </c>
      <c r="H55" s="25">
        <f t="shared" si="9"/>
        <v>0</v>
      </c>
      <c r="I55" s="25">
        <f t="shared" si="9"/>
        <v>0</v>
      </c>
      <c r="J55" s="25">
        <f t="shared" si="9"/>
        <v>0</v>
      </c>
      <c r="K55" s="25">
        <f t="shared" si="9"/>
        <v>0</v>
      </c>
      <c r="L55" s="25">
        <f t="shared" si="9"/>
        <v>0</v>
      </c>
      <c r="M55" s="9"/>
    </row>
    <row r="56" spans="1:21" ht="8" customHeight="1">
      <c r="M56" s="9"/>
    </row>
    <row r="57" spans="1:21" ht="20" customHeight="1">
      <c r="A57" s="12" t="s">
        <v>396</v>
      </c>
      <c r="B57" s="2"/>
      <c r="C57" s="2"/>
      <c r="D57" s="2"/>
      <c r="E57" s="2"/>
      <c r="F57" s="2"/>
      <c r="G57" s="2"/>
      <c r="H57" s="2"/>
      <c r="I57" s="2"/>
      <c r="J57" s="2"/>
      <c r="K57" s="2"/>
      <c r="L57" s="2"/>
      <c r="M57" s="9"/>
      <c r="N57" s="2"/>
      <c r="O57" s="2"/>
      <c r="P57" s="2"/>
      <c r="Q57" s="2"/>
      <c r="R57" s="2"/>
      <c r="S57" s="2"/>
      <c r="T57" s="2"/>
      <c r="U57" s="2"/>
    </row>
    <row r="58" spans="1:21">
      <c r="A58" s="13" t="s">
        <v>278</v>
      </c>
      <c r="D58" s="14">
        <v>14036</v>
      </c>
      <c r="E58" s="14">
        <v>13914</v>
      </c>
      <c r="F58" s="14">
        <v>13846</v>
      </c>
      <c r="G58" s="14">
        <v>13682</v>
      </c>
      <c r="H58" s="14">
        <v>13438</v>
      </c>
      <c r="I58" s="14">
        <v>13444</v>
      </c>
      <c r="J58" s="14">
        <v>13457</v>
      </c>
      <c r="K58" s="14">
        <v>13557</v>
      </c>
      <c r="L58" s="14">
        <v>13706</v>
      </c>
      <c r="M58" s="9"/>
    </row>
    <row r="59" spans="1:21">
      <c r="A59" s="13" t="s">
        <v>279</v>
      </c>
      <c r="D59" s="14">
        <v>10098</v>
      </c>
      <c r="E59" s="14">
        <v>10263</v>
      </c>
      <c r="F59" s="14">
        <v>10465</v>
      </c>
      <c r="G59" s="14">
        <v>10560</v>
      </c>
      <c r="H59" s="14">
        <v>10785</v>
      </c>
      <c r="I59" s="14">
        <v>10103</v>
      </c>
      <c r="J59" s="14">
        <v>10263</v>
      </c>
      <c r="K59" s="14">
        <v>10512</v>
      </c>
      <c r="L59" s="14">
        <v>10845</v>
      </c>
      <c r="M59" s="9"/>
    </row>
    <row r="60" spans="1:21">
      <c r="A60" s="13" t="s">
        <v>280</v>
      </c>
      <c r="D60" s="14">
        <v>13107</v>
      </c>
      <c r="E60" s="14">
        <v>13678</v>
      </c>
      <c r="F60" s="14">
        <v>14384</v>
      </c>
      <c r="G60" s="14">
        <v>14956</v>
      </c>
      <c r="H60" s="14">
        <v>15808</v>
      </c>
      <c r="I60" s="14">
        <v>16728</v>
      </c>
      <c r="J60" s="14">
        <v>18102</v>
      </c>
      <c r="K60" s="14">
        <v>19408</v>
      </c>
      <c r="L60" s="14">
        <v>20805</v>
      </c>
      <c r="M60" s="9"/>
    </row>
    <row r="61" spans="1:21">
      <c r="A61" s="10" t="s">
        <v>384</v>
      </c>
      <c r="D61" s="16">
        <v>37241</v>
      </c>
      <c r="E61" s="16">
        <v>37855</v>
      </c>
      <c r="F61" s="16">
        <v>38695</v>
      </c>
      <c r="G61" s="16">
        <v>39198</v>
      </c>
      <c r="H61" s="16">
        <v>40031</v>
      </c>
      <c r="I61" s="16">
        <v>40275</v>
      </c>
      <c r="J61" s="16">
        <v>41822</v>
      </c>
      <c r="K61" s="16">
        <v>43477</v>
      </c>
      <c r="L61" s="16">
        <v>45356</v>
      </c>
      <c r="M61" s="17"/>
    </row>
    <row r="62" spans="1:21" ht="16">
      <c r="A62" s="42" t="s">
        <v>955</v>
      </c>
      <c r="C62" s="28"/>
      <c r="D62" s="28"/>
      <c r="E62" s="43">
        <f>E58-D58</f>
        <v>-122</v>
      </c>
      <c r="F62" s="43">
        <f t="shared" ref="F62:L62" si="10">F58-E58</f>
        <v>-68</v>
      </c>
      <c r="G62" s="43">
        <f t="shared" si="10"/>
        <v>-164</v>
      </c>
      <c r="H62" s="43">
        <f t="shared" si="10"/>
        <v>-244</v>
      </c>
      <c r="I62" s="43">
        <f t="shared" si="10"/>
        <v>6</v>
      </c>
      <c r="J62" s="43">
        <f t="shared" si="10"/>
        <v>13</v>
      </c>
      <c r="K62" s="43">
        <f t="shared" si="10"/>
        <v>100</v>
      </c>
      <c r="L62" s="43">
        <f t="shared" si="10"/>
        <v>149</v>
      </c>
      <c r="M62" s="9"/>
    </row>
    <row r="63" spans="1:21" ht="16">
      <c r="A63" s="42" t="s">
        <v>956</v>
      </c>
      <c r="C63" s="28"/>
      <c r="D63" s="28"/>
      <c r="E63" s="43">
        <f t="shared" ref="E63:L64" si="11">E59-D59</f>
        <v>165</v>
      </c>
      <c r="F63" s="43">
        <f t="shared" si="11"/>
        <v>202</v>
      </c>
      <c r="G63" s="43">
        <f t="shared" si="11"/>
        <v>95</v>
      </c>
      <c r="H63" s="43">
        <f t="shared" si="11"/>
        <v>225</v>
      </c>
      <c r="I63" s="43">
        <f t="shared" si="11"/>
        <v>-682</v>
      </c>
      <c r="J63" s="43">
        <f t="shared" si="11"/>
        <v>160</v>
      </c>
      <c r="K63" s="43">
        <f t="shared" si="11"/>
        <v>249</v>
      </c>
      <c r="L63" s="43">
        <f t="shared" si="11"/>
        <v>333</v>
      </c>
      <c r="M63" s="9"/>
    </row>
    <row r="64" spans="1:21" ht="16">
      <c r="A64" s="42" t="s">
        <v>957</v>
      </c>
      <c r="C64" s="28"/>
      <c r="D64" s="28"/>
      <c r="E64" s="43">
        <f t="shared" si="11"/>
        <v>571</v>
      </c>
      <c r="F64" s="43">
        <f t="shared" si="11"/>
        <v>706</v>
      </c>
      <c r="G64" s="43">
        <f t="shared" si="11"/>
        <v>572</v>
      </c>
      <c r="H64" s="43">
        <f t="shared" si="11"/>
        <v>852</v>
      </c>
      <c r="I64" s="43">
        <f t="shared" si="11"/>
        <v>920</v>
      </c>
      <c r="J64" s="43">
        <f t="shared" si="11"/>
        <v>1374</v>
      </c>
      <c r="K64" s="43">
        <f t="shared" si="11"/>
        <v>1306</v>
      </c>
      <c r="L64" s="43">
        <f t="shared" si="11"/>
        <v>1397</v>
      </c>
      <c r="M64" s="9"/>
    </row>
    <row r="65" spans="1:21">
      <c r="A65" s="5" t="s">
        <v>397</v>
      </c>
      <c r="E65" s="21">
        <f t="shared" ref="E65:L65" si="12">E61-D61</f>
        <v>614</v>
      </c>
      <c r="F65" s="21">
        <f t="shared" si="12"/>
        <v>840</v>
      </c>
      <c r="G65" s="21">
        <f t="shared" si="12"/>
        <v>503</v>
      </c>
      <c r="H65" s="21">
        <f t="shared" si="12"/>
        <v>833</v>
      </c>
      <c r="I65" s="21">
        <f t="shared" si="12"/>
        <v>244</v>
      </c>
      <c r="J65" s="21">
        <f t="shared" si="12"/>
        <v>1547</v>
      </c>
      <c r="K65" s="21">
        <f t="shared" si="12"/>
        <v>1655</v>
      </c>
      <c r="L65" s="21">
        <f t="shared" si="12"/>
        <v>1879</v>
      </c>
      <c r="M65" s="9"/>
    </row>
    <row r="66" spans="1:21">
      <c r="A66" s="18" t="s">
        <v>398</v>
      </c>
      <c r="E66" s="19">
        <f t="shared" ref="E66:L66" si="13">E65/D61</f>
        <v>1.6487204962272763E-2</v>
      </c>
      <c r="F66" s="19">
        <f t="shared" si="13"/>
        <v>2.2189935279355436E-2</v>
      </c>
      <c r="G66" s="19">
        <f t="shared" si="13"/>
        <v>1.2999095490373433E-2</v>
      </c>
      <c r="H66" s="19">
        <f t="shared" si="13"/>
        <v>2.1251084238991785E-2</v>
      </c>
      <c r="I66" s="19">
        <f t="shared" si="13"/>
        <v>6.0952761609752446E-3</v>
      </c>
      <c r="J66" s="19">
        <f t="shared" si="13"/>
        <v>3.8410924891371816E-2</v>
      </c>
      <c r="K66" s="19">
        <f t="shared" si="13"/>
        <v>3.9572473817607957E-2</v>
      </c>
      <c r="L66" s="19">
        <f t="shared" si="13"/>
        <v>4.3218253329346548E-2</v>
      </c>
      <c r="M66" s="9"/>
    </row>
    <row r="67" spans="1:21">
      <c r="A67" s="18" t="s">
        <v>399</v>
      </c>
      <c r="E67" s="26">
        <f t="shared" ref="E67:L69" si="14">E58-D58</f>
        <v>-122</v>
      </c>
      <c r="F67" s="26">
        <f t="shared" si="14"/>
        <v>-68</v>
      </c>
      <c r="G67" s="26">
        <f t="shared" si="14"/>
        <v>-164</v>
      </c>
      <c r="H67" s="26">
        <f t="shared" si="14"/>
        <v>-244</v>
      </c>
      <c r="I67" s="26">
        <f t="shared" si="14"/>
        <v>6</v>
      </c>
      <c r="J67" s="26">
        <f t="shared" si="14"/>
        <v>13</v>
      </c>
      <c r="K67" s="26">
        <f t="shared" si="14"/>
        <v>100</v>
      </c>
      <c r="L67" s="26">
        <f t="shared" si="14"/>
        <v>149</v>
      </c>
      <c r="M67" s="9"/>
    </row>
    <row r="68" spans="1:21">
      <c r="A68" s="18" t="s">
        <v>400</v>
      </c>
      <c r="E68" s="26">
        <f t="shared" si="14"/>
        <v>165</v>
      </c>
      <c r="F68" s="26">
        <f t="shared" si="14"/>
        <v>202</v>
      </c>
      <c r="G68" s="26">
        <f t="shared" si="14"/>
        <v>95</v>
      </c>
      <c r="H68" s="26">
        <f t="shared" si="14"/>
        <v>225</v>
      </c>
      <c r="I68" s="26">
        <f t="shared" si="14"/>
        <v>-682</v>
      </c>
      <c r="J68" s="26">
        <f t="shared" si="14"/>
        <v>160</v>
      </c>
      <c r="K68" s="26">
        <f t="shared" si="14"/>
        <v>249</v>
      </c>
      <c r="L68" s="26">
        <f t="shared" si="14"/>
        <v>333</v>
      </c>
      <c r="M68" s="9"/>
    </row>
    <row r="69" spans="1:21">
      <c r="A69" s="18" t="s">
        <v>401</v>
      </c>
      <c r="E69" s="26">
        <f t="shared" si="14"/>
        <v>571</v>
      </c>
      <c r="F69" s="26">
        <f t="shared" si="14"/>
        <v>706</v>
      </c>
      <c r="G69" s="26">
        <f t="shared" si="14"/>
        <v>572</v>
      </c>
      <c r="H69" s="26">
        <f t="shared" si="14"/>
        <v>852</v>
      </c>
      <c r="I69" s="26">
        <f t="shared" si="14"/>
        <v>920</v>
      </c>
      <c r="J69" s="26">
        <f t="shared" si="14"/>
        <v>1374</v>
      </c>
      <c r="K69" s="26">
        <f t="shared" si="14"/>
        <v>1306</v>
      </c>
      <c r="L69" s="26">
        <f t="shared" si="14"/>
        <v>1397</v>
      </c>
      <c r="M69" s="9"/>
    </row>
    <row r="70" spans="1:21">
      <c r="A70" s="18" t="s">
        <v>402</v>
      </c>
      <c r="D70" s="26">
        <f t="shared" ref="D70:L70" si="15">D58+D59+D60-D61</f>
        <v>0</v>
      </c>
      <c r="E70" s="26">
        <f t="shared" si="15"/>
        <v>0</v>
      </c>
      <c r="F70" s="26">
        <f t="shared" si="15"/>
        <v>0</v>
      </c>
      <c r="G70" s="26">
        <f t="shared" si="15"/>
        <v>0</v>
      </c>
      <c r="H70" s="26">
        <f t="shared" si="15"/>
        <v>0</v>
      </c>
      <c r="I70" s="26">
        <f t="shared" si="15"/>
        <v>0</v>
      </c>
      <c r="J70" s="26">
        <f t="shared" si="15"/>
        <v>0</v>
      </c>
      <c r="K70" s="26">
        <f t="shared" si="15"/>
        <v>0</v>
      </c>
      <c r="L70" s="26">
        <f t="shared" si="15"/>
        <v>0</v>
      </c>
      <c r="M70" s="9"/>
    </row>
    <row r="71" spans="1:21">
      <c r="A71" s="18" t="s">
        <v>403</v>
      </c>
      <c r="D71" s="26">
        <f t="shared" ref="D71:L71" si="16">D61-D28</f>
        <v>0</v>
      </c>
      <c r="E71" s="26">
        <f t="shared" si="16"/>
        <v>0</v>
      </c>
      <c r="F71" s="26">
        <f t="shared" si="16"/>
        <v>0</v>
      </c>
      <c r="G71" s="26">
        <f t="shared" si="16"/>
        <v>0</v>
      </c>
      <c r="H71" s="26">
        <f t="shared" si="16"/>
        <v>0</v>
      </c>
      <c r="I71" s="26">
        <f t="shared" si="16"/>
        <v>0</v>
      </c>
      <c r="J71" s="26">
        <f t="shared" si="16"/>
        <v>0</v>
      </c>
      <c r="K71" s="26">
        <f t="shared" si="16"/>
        <v>0</v>
      </c>
      <c r="L71" s="26">
        <f t="shared" si="16"/>
        <v>0</v>
      </c>
      <c r="M71" s="9"/>
    </row>
    <row r="72" spans="1:21" ht="8" customHeight="1">
      <c r="M72" s="9"/>
    </row>
    <row r="73" spans="1:21" ht="20" customHeight="1">
      <c r="A73" s="37" t="s">
        <v>951</v>
      </c>
      <c r="B73" s="2"/>
      <c r="C73" s="2"/>
      <c r="D73" s="2"/>
      <c r="E73" s="2"/>
      <c r="F73" s="2"/>
      <c r="G73" s="2"/>
      <c r="H73" s="2"/>
      <c r="I73" s="2"/>
      <c r="J73" s="2"/>
      <c r="K73" s="2"/>
      <c r="L73" s="2"/>
      <c r="M73" s="9"/>
      <c r="N73" s="2"/>
      <c r="O73" s="2"/>
      <c r="P73" s="2"/>
      <c r="Q73" s="2"/>
      <c r="R73" s="2"/>
      <c r="S73" s="2"/>
      <c r="T73" s="2"/>
      <c r="U73" s="2"/>
    </row>
    <row r="74" spans="1:21" ht="14" customHeight="1">
      <c r="A74" s="5" t="s">
        <v>404</v>
      </c>
      <c r="B74" s="15" t="s">
        <v>405</v>
      </c>
      <c r="C74" s="31">
        <v>1.7000000000000001E-2</v>
      </c>
      <c r="D74" s="31">
        <v>3.5999999999999997E-2</v>
      </c>
      <c r="E74" s="31">
        <v>2.5000000000000001E-2</v>
      </c>
      <c r="F74" s="31">
        <v>0.05</v>
      </c>
      <c r="G74" s="31">
        <v>4.0000000000000001E-3</v>
      </c>
      <c r="H74" s="31">
        <v>0.13800000000000001</v>
      </c>
      <c r="I74" s="31">
        <v>5.8999999999999997E-2</v>
      </c>
      <c r="J74" s="31">
        <v>8.6999999999999994E-2</v>
      </c>
      <c r="K74" s="31">
        <v>2E-3</v>
      </c>
      <c r="L74" s="31">
        <v>2.1000000000000001E-2</v>
      </c>
      <c r="M74" s="9"/>
    </row>
    <row r="75" spans="1:21">
      <c r="A75" s="5" t="s">
        <v>406</v>
      </c>
      <c r="E75" s="31">
        <v>6.0999999999999999E-2</v>
      </c>
      <c r="F75" s="31">
        <v>6.0999999999999999E-2</v>
      </c>
      <c r="G75" s="31">
        <v>-0.15</v>
      </c>
      <c r="H75" s="31">
        <v>0.216</v>
      </c>
      <c r="I75" s="31">
        <v>0.13300000000000001</v>
      </c>
      <c r="J75" s="31">
        <v>9.1999999999999998E-2</v>
      </c>
      <c r="K75" s="31">
        <v>-2E-3</v>
      </c>
      <c r="L75" s="31">
        <v>3.2000000000000001E-2</v>
      </c>
      <c r="M75" s="9"/>
    </row>
    <row r="76" spans="1:21">
      <c r="A76" s="5" t="s">
        <v>407</v>
      </c>
      <c r="E76" s="31">
        <v>5.5999999999999987E-2</v>
      </c>
      <c r="F76" s="31">
        <v>7.2000000000000008E-2</v>
      </c>
      <c r="G76" s="31">
        <v>-0.105</v>
      </c>
      <c r="H76" s="31">
        <v>0.16600000000000001</v>
      </c>
      <c r="I76" s="31">
        <v>0.16</v>
      </c>
      <c r="J76" s="31">
        <v>9.4E-2</v>
      </c>
      <c r="K76" s="31">
        <v>-3.0000000000000001E-3</v>
      </c>
      <c r="L76" s="31">
        <v>4.5999999999999999E-2</v>
      </c>
      <c r="M76" s="9"/>
    </row>
    <row r="77" spans="1:21" ht="14" customHeight="1">
      <c r="A77" s="10" t="s">
        <v>408</v>
      </c>
      <c r="B77" s="15" t="s">
        <v>405</v>
      </c>
      <c r="C77" s="32">
        <v>3.7999999999999999E-2</v>
      </c>
      <c r="D77" s="32">
        <v>5.2999999999999999E-2</v>
      </c>
      <c r="E77" s="32">
        <v>4.4999999999999998E-2</v>
      </c>
      <c r="F77" s="32">
        <v>5.8999999999999997E-2</v>
      </c>
      <c r="G77" s="32">
        <v>-7.6999999999999999E-2</v>
      </c>
      <c r="H77" s="32">
        <v>0.17</v>
      </c>
      <c r="I77" s="32">
        <v>0.109</v>
      </c>
      <c r="J77" s="32">
        <v>0.09</v>
      </c>
      <c r="K77" s="32">
        <v>-1E-3</v>
      </c>
      <c r="L77" s="32">
        <v>3.1E-2</v>
      </c>
      <c r="M77" s="9"/>
    </row>
    <row r="78" spans="1:21">
      <c r="M78" s="9"/>
    </row>
    <row r="79" spans="1:21" ht="14" customHeight="1">
      <c r="A79" s="5" t="s">
        <v>409</v>
      </c>
      <c r="B79" s="15" t="s">
        <v>410</v>
      </c>
      <c r="C79" s="31">
        <v>-2.1000000000000001E-2</v>
      </c>
      <c r="D79" s="31">
        <v>0.01</v>
      </c>
      <c r="E79" s="31">
        <v>-2.1999999999999999E-2</v>
      </c>
      <c r="F79" s="31">
        <v>-1.9E-2</v>
      </c>
      <c r="M79" s="9"/>
    </row>
    <row r="80" spans="1:21" ht="14" customHeight="1">
      <c r="A80" s="5" t="s">
        <v>411</v>
      </c>
      <c r="B80" s="15" t="s">
        <v>410</v>
      </c>
      <c r="D80" s="31">
        <v>2.7E-2</v>
      </c>
      <c r="E80" s="31">
        <v>2.8000000000000001E-2</v>
      </c>
      <c r="F80" s="31">
        <v>3.5000000000000003E-2</v>
      </c>
      <c r="M80" s="9"/>
    </row>
    <row r="81" spans="1:21" ht="14" customHeight="1">
      <c r="A81" s="5" t="s">
        <v>412</v>
      </c>
      <c r="B81" s="15" t="s">
        <v>410</v>
      </c>
      <c r="D81" s="31">
        <v>2.5000000000000001E-2</v>
      </c>
      <c r="E81" s="31">
        <v>0.01</v>
      </c>
      <c r="F81" s="31">
        <v>2.1999999999999999E-2</v>
      </c>
      <c r="M81" s="9"/>
    </row>
    <row r="82" spans="1:21" ht="24">
      <c r="A82" s="10" t="s">
        <v>413</v>
      </c>
      <c r="B82" s="15" t="s">
        <v>410</v>
      </c>
      <c r="C82" s="32">
        <v>-3.0000000000000001E-3</v>
      </c>
      <c r="D82" s="32">
        <v>1.9E-2</v>
      </c>
      <c r="E82" s="32">
        <v>2E-3</v>
      </c>
      <c r="F82" s="32">
        <v>0.01</v>
      </c>
      <c r="M82" s="9"/>
    </row>
    <row r="83" spans="1:21" ht="8" customHeight="1">
      <c r="M83" s="9"/>
    </row>
    <row r="84" spans="1:21" ht="20" customHeight="1">
      <c r="A84" s="12" t="s">
        <v>414</v>
      </c>
      <c r="B84" s="2"/>
      <c r="C84" s="2"/>
      <c r="D84" s="2"/>
      <c r="E84" s="2"/>
      <c r="F84" s="2"/>
      <c r="G84" s="2"/>
      <c r="H84" s="2"/>
      <c r="I84" s="2"/>
      <c r="J84" s="2"/>
      <c r="K84" s="2"/>
      <c r="L84" s="2"/>
      <c r="M84" s="9"/>
      <c r="N84" s="2"/>
      <c r="O84" s="2"/>
      <c r="P84" s="2"/>
      <c r="Q84" s="2"/>
      <c r="R84" s="2"/>
      <c r="S84" s="2"/>
      <c r="T84" s="2"/>
      <c r="U84" s="2"/>
    </row>
    <row r="85" spans="1:21">
      <c r="A85" s="5" t="s">
        <v>415</v>
      </c>
      <c r="F85" s="31">
        <v>0.05</v>
      </c>
      <c r="G85" s="31">
        <v>0</v>
      </c>
      <c r="H85" s="31">
        <v>0.13</v>
      </c>
      <c r="I85" s="31">
        <v>0.06</v>
      </c>
      <c r="J85" s="31">
        <v>0.09</v>
      </c>
      <c r="K85" s="31">
        <v>0.01</v>
      </c>
      <c r="L85" s="31">
        <v>0.03</v>
      </c>
      <c r="M85" s="9"/>
    </row>
    <row r="86" spans="1:21">
      <c r="A86" s="5" t="s">
        <v>416</v>
      </c>
      <c r="F86" s="31">
        <v>0.03</v>
      </c>
      <c r="G86" s="31">
        <v>-0.13</v>
      </c>
      <c r="H86" s="31">
        <v>0.28999999999999998</v>
      </c>
      <c r="I86" s="31">
        <v>0</v>
      </c>
      <c r="J86" s="31">
        <v>0.11</v>
      </c>
      <c r="K86" s="31">
        <v>0.02</v>
      </c>
      <c r="L86" s="31">
        <v>0.08</v>
      </c>
      <c r="M86" s="9"/>
    </row>
    <row r="87" spans="1:21">
      <c r="A87" s="5" t="s">
        <v>417</v>
      </c>
      <c r="F87" s="31">
        <v>0.05</v>
      </c>
      <c r="G87" s="31">
        <v>-0.1</v>
      </c>
      <c r="H87" s="31">
        <v>0.21</v>
      </c>
      <c r="I87" s="31">
        <v>0.1</v>
      </c>
      <c r="J87" s="31">
        <v>0.09</v>
      </c>
      <c r="K87" s="31">
        <v>0</v>
      </c>
      <c r="L87" s="31">
        <v>0.1</v>
      </c>
      <c r="M87" s="9"/>
    </row>
    <row r="88" spans="1:21">
      <c r="A88" s="10" t="s">
        <v>418</v>
      </c>
      <c r="F88" s="32">
        <v>0.04</v>
      </c>
      <c r="G88" s="32">
        <v>-7.0000000000000007E-2</v>
      </c>
      <c r="H88" s="32">
        <v>0.21</v>
      </c>
      <c r="I88" s="32">
        <v>0.05</v>
      </c>
      <c r="J88" s="32">
        <v>0.1</v>
      </c>
      <c r="K88" s="32">
        <v>0.01</v>
      </c>
      <c r="L88" s="32">
        <v>7.0000000000000007E-2</v>
      </c>
      <c r="M88" s="9"/>
    </row>
    <row r="89" spans="1:21">
      <c r="A89" s="5" t="s">
        <v>419</v>
      </c>
      <c r="F89" s="31">
        <v>0.05</v>
      </c>
      <c r="G89" s="31">
        <v>0</v>
      </c>
      <c r="H89" s="31">
        <v>0.13</v>
      </c>
      <c r="I89" s="31">
        <v>0.06</v>
      </c>
      <c r="J89" s="31">
        <v>0.09</v>
      </c>
      <c r="K89" s="31">
        <v>0.01</v>
      </c>
      <c r="L89" s="31">
        <v>0.03</v>
      </c>
      <c r="M89" s="9"/>
    </row>
    <row r="90" spans="1:21">
      <c r="A90" s="5" t="s">
        <v>420</v>
      </c>
      <c r="F90" s="31">
        <v>0.08</v>
      </c>
      <c r="G90" s="31">
        <v>-0.14000000000000001</v>
      </c>
      <c r="H90" s="31">
        <v>0.24</v>
      </c>
      <c r="I90" s="31">
        <v>0.11</v>
      </c>
      <c r="J90" s="31">
        <v>0.1</v>
      </c>
      <c r="K90" s="31">
        <v>0.02</v>
      </c>
      <c r="L90" s="31">
        <v>0.05</v>
      </c>
      <c r="M90" s="9"/>
    </row>
    <row r="91" spans="1:21">
      <c r="A91" s="5" t="s">
        <v>421</v>
      </c>
      <c r="F91" s="31">
        <v>0.1</v>
      </c>
      <c r="G91" s="31">
        <v>-0.08</v>
      </c>
      <c r="H91" s="31">
        <v>0.2</v>
      </c>
      <c r="I91" s="31">
        <v>0.21</v>
      </c>
      <c r="J91" s="31">
        <v>0.12</v>
      </c>
      <c r="K91" s="31">
        <v>0.04</v>
      </c>
      <c r="L91" s="31">
        <v>0.1</v>
      </c>
      <c r="M91" s="9"/>
    </row>
    <row r="92" spans="1:21">
      <c r="A92" s="10" t="s">
        <v>422</v>
      </c>
      <c r="F92" s="32">
        <v>7.0000000000000007E-2</v>
      </c>
      <c r="G92" s="32">
        <v>-7.0000000000000007E-2</v>
      </c>
      <c r="H92" s="32">
        <v>0.18</v>
      </c>
      <c r="I92" s="32">
        <v>0.11</v>
      </c>
      <c r="J92" s="32">
        <v>0.1</v>
      </c>
      <c r="K92" s="32">
        <v>0.02</v>
      </c>
      <c r="L92" s="32">
        <v>0.05</v>
      </c>
      <c r="M92" s="9"/>
    </row>
    <row r="93" spans="1:21" ht="8" customHeight="1">
      <c r="M93" s="9"/>
    </row>
    <row r="94" spans="1:21" ht="20" customHeight="1">
      <c r="A94" s="12" t="s">
        <v>423</v>
      </c>
      <c r="B94" s="2"/>
      <c r="C94" s="2"/>
      <c r="D94" s="2"/>
      <c r="E94" s="2"/>
      <c r="F94" s="2"/>
      <c r="G94" s="2"/>
      <c r="H94" s="2"/>
      <c r="I94" s="2"/>
      <c r="J94" s="2"/>
      <c r="K94" s="2"/>
      <c r="L94" s="2"/>
      <c r="M94" s="9"/>
      <c r="N94" s="2"/>
      <c r="O94" s="2"/>
      <c r="P94" s="2"/>
      <c r="Q94" s="2"/>
      <c r="R94" s="2"/>
      <c r="S94" s="2"/>
      <c r="T94" s="2"/>
      <c r="U94" s="2"/>
    </row>
    <row r="95" spans="1:21">
      <c r="A95" s="5" t="s">
        <v>424</v>
      </c>
      <c r="B95" s="15" t="s">
        <v>425</v>
      </c>
      <c r="C95" s="22">
        <v>121.72</v>
      </c>
      <c r="D95" s="22">
        <v>172.12</v>
      </c>
      <c r="E95" s="22">
        <v>177.57</v>
      </c>
      <c r="F95" s="22">
        <v>197.61</v>
      </c>
      <c r="G95" s="22">
        <v>214.58</v>
      </c>
      <c r="H95" s="22">
        <v>268.07</v>
      </c>
      <c r="M95" s="9"/>
    </row>
    <row r="96" spans="1:21">
      <c r="A96" s="5" t="s">
        <v>426</v>
      </c>
      <c r="C96" s="14">
        <v>25956</v>
      </c>
      <c r="D96" s="14">
        <v>29536</v>
      </c>
      <c r="E96" s="14">
        <v>31075</v>
      </c>
      <c r="F96" s="14">
        <v>34177</v>
      </c>
      <c r="G96" s="14">
        <v>37440</v>
      </c>
      <c r="H96" s="14">
        <v>35623</v>
      </c>
      <c r="M96" s="9"/>
    </row>
    <row r="97" spans="1:21" ht="8" customHeight="1">
      <c r="M97" s="9"/>
    </row>
    <row r="98" spans="1:21" ht="20" customHeight="1">
      <c r="A98" s="12" t="s">
        <v>427</v>
      </c>
      <c r="B98" s="2"/>
      <c r="C98" s="2"/>
      <c r="D98" s="2"/>
      <c r="E98" s="2"/>
      <c r="F98" s="2"/>
      <c r="G98" s="2"/>
      <c r="H98" s="2"/>
      <c r="I98" s="2"/>
      <c r="J98" s="2"/>
      <c r="K98" s="2"/>
      <c r="L98" s="2"/>
      <c r="M98" s="9"/>
      <c r="N98" s="2"/>
      <c r="O98" s="2"/>
      <c r="P98" s="2"/>
      <c r="Q98" s="2"/>
      <c r="R98" s="2"/>
      <c r="S98" s="2"/>
      <c r="T98" s="2"/>
      <c r="U98" s="2"/>
    </row>
    <row r="99" spans="1:21">
      <c r="A99" s="13" t="s">
        <v>428</v>
      </c>
      <c r="C99" s="14">
        <v>6107.6</v>
      </c>
      <c r="D99" s="14">
        <v>6496.3</v>
      </c>
      <c r="E99" s="14">
        <v>7082.2</v>
      </c>
      <c r="F99" s="14">
        <v>7500.2</v>
      </c>
      <c r="G99" s="14">
        <v>6844.7</v>
      </c>
      <c r="H99" s="14">
        <v>8381.1</v>
      </c>
      <c r="I99" s="14">
        <v>9046</v>
      </c>
      <c r="J99" s="14">
        <v>9840</v>
      </c>
      <c r="K99" s="14">
        <v>10017</v>
      </c>
      <c r="L99" s="14">
        <v>10442</v>
      </c>
      <c r="M99" s="9"/>
    </row>
    <row r="100" spans="1:21">
      <c r="A100" s="13" t="s">
        <v>429</v>
      </c>
      <c r="C100" s="14">
        <v>3129.9</v>
      </c>
      <c r="D100" s="14">
        <v>3518.7</v>
      </c>
      <c r="E100" s="14">
        <v>3886.3</v>
      </c>
      <c r="F100" s="14">
        <v>4107.1000000000004</v>
      </c>
      <c r="G100" s="14">
        <v>3831.5</v>
      </c>
      <c r="H100" s="14">
        <v>4645.1000000000004</v>
      </c>
      <c r="I100" s="14">
        <v>5006</v>
      </c>
      <c r="J100" s="14">
        <v>5531</v>
      </c>
      <c r="K100" s="14">
        <v>5606</v>
      </c>
      <c r="L100" s="14">
        <v>6018</v>
      </c>
      <c r="M100" s="9"/>
    </row>
    <row r="101" spans="1:21">
      <c r="A101" s="13" t="s">
        <v>430</v>
      </c>
      <c r="C101" s="14">
        <v>89.4</v>
      </c>
      <c r="D101" s="14">
        <v>86.5</v>
      </c>
      <c r="E101" s="14">
        <v>44</v>
      </c>
      <c r="F101" s="14">
        <v>48.4</v>
      </c>
      <c r="G101" s="14">
        <v>49.9</v>
      </c>
      <c r="H101" s="14">
        <v>59.2</v>
      </c>
      <c r="I101" s="14">
        <v>54</v>
      </c>
      <c r="J101" s="14">
        <v>66</v>
      </c>
      <c r="K101" s="14">
        <v>92</v>
      </c>
      <c r="L101" s="14">
        <v>88</v>
      </c>
      <c r="M101" s="9"/>
    </row>
    <row r="102" spans="1:21">
      <c r="A102" s="10" t="s">
        <v>110</v>
      </c>
      <c r="C102" s="29">
        <f t="shared" ref="C102:L102" si="17">C99+C100+C101</f>
        <v>9326.9</v>
      </c>
      <c r="D102" s="29">
        <f t="shared" si="17"/>
        <v>10101.5</v>
      </c>
      <c r="E102" s="29">
        <f t="shared" si="17"/>
        <v>11012.5</v>
      </c>
      <c r="F102" s="29">
        <f t="shared" si="17"/>
        <v>11655.699999999999</v>
      </c>
      <c r="G102" s="29">
        <f t="shared" si="17"/>
        <v>10726.1</v>
      </c>
      <c r="H102" s="29">
        <f t="shared" si="17"/>
        <v>13085.400000000001</v>
      </c>
      <c r="I102" s="29">
        <f t="shared" si="17"/>
        <v>14106</v>
      </c>
      <c r="J102" s="29">
        <f t="shared" si="17"/>
        <v>15437</v>
      </c>
      <c r="K102" s="29">
        <f t="shared" si="17"/>
        <v>15715</v>
      </c>
      <c r="L102" s="29">
        <f t="shared" si="17"/>
        <v>16548</v>
      </c>
      <c r="M102" s="17"/>
    </row>
    <row r="103" spans="1:21">
      <c r="A103" s="18" t="s">
        <v>431</v>
      </c>
      <c r="C103" s="19">
        <f t="shared" ref="C103:L103" si="18">C99/C102</f>
        <v>0.65483708413299169</v>
      </c>
      <c r="D103" s="19">
        <f t="shared" si="18"/>
        <v>0.64310250952828785</v>
      </c>
      <c r="E103" s="19">
        <f t="shared" si="18"/>
        <v>0.64310556186152101</v>
      </c>
      <c r="F103" s="19">
        <f t="shared" si="18"/>
        <v>0.64347915612103956</v>
      </c>
      <c r="G103" s="19">
        <f t="shared" si="18"/>
        <v>0.63813501645518866</v>
      </c>
      <c r="H103" s="19">
        <f t="shared" si="18"/>
        <v>0.64049245724242276</v>
      </c>
      <c r="I103" s="19">
        <f t="shared" si="18"/>
        <v>0.64128739543456681</v>
      </c>
      <c r="J103" s="19">
        <f t="shared" si="18"/>
        <v>0.63742955237416599</v>
      </c>
      <c r="K103" s="19">
        <f t="shared" si="18"/>
        <v>0.63741648106904236</v>
      </c>
      <c r="L103" s="19">
        <f t="shared" si="18"/>
        <v>0.63101281121585695</v>
      </c>
      <c r="M103" s="9"/>
    </row>
    <row r="104" spans="1:21">
      <c r="A104" s="18" t="s">
        <v>432</v>
      </c>
      <c r="C104" s="19">
        <f t="shared" ref="C104:L104" si="19">C100/C102</f>
        <v>0.33557773751192788</v>
      </c>
      <c r="D104" s="19">
        <f t="shared" si="19"/>
        <v>0.34833440578131958</v>
      </c>
      <c r="E104" s="19">
        <f t="shared" si="19"/>
        <v>0.35289897843359819</v>
      </c>
      <c r="F104" s="19">
        <f t="shared" si="19"/>
        <v>0.35236836912411962</v>
      </c>
      <c r="G104" s="19">
        <f t="shared" si="19"/>
        <v>0.35721278004120788</v>
      </c>
      <c r="H104" s="19">
        <f t="shared" si="19"/>
        <v>0.35498341663227717</v>
      </c>
      <c r="I104" s="19">
        <f t="shared" si="19"/>
        <v>0.35488444633489297</v>
      </c>
      <c r="J104" s="19">
        <f t="shared" si="19"/>
        <v>0.35829500550625121</v>
      </c>
      <c r="K104" s="19">
        <f t="shared" si="19"/>
        <v>0.35672923958001906</v>
      </c>
      <c r="L104" s="19">
        <f t="shared" si="19"/>
        <v>0.3636693255982596</v>
      </c>
      <c r="M104" s="9"/>
    </row>
    <row r="105" spans="1:21">
      <c r="A105" s="18" t="s">
        <v>433</v>
      </c>
      <c r="C105" s="25">
        <f>C102-'Income Statement'!C12</f>
        <v>0</v>
      </c>
      <c r="D105" s="25">
        <f>D102-'Income Statement'!D12</f>
        <v>0</v>
      </c>
      <c r="E105" s="25">
        <f>E102-'Income Statement'!E12</f>
        <v>0</v>
      </c>
      <c r="F105" s="25">
        <f>F102-'Income Statement'!F12</f>
        <v>0</v>
      </c>
      <c r="G105" s="25">
        <f>G102-'Income Statement'!G12</f>
        <v>0</v>
      </c>
      <c r="H105" s="25">
        <f>H102-'Income Statement'!H12</f>
        <v>0</v>
      </c>
      <c r="I105" s="25">
        <f>I102-'Income Statement'!I12</f>
        <v>0</v>
      </c>
      <c r="J105" s="25">
        <f>J102-'Income Statement'!J12</f>
        <v>0</v>
      </c>
      <c r="K105" s="25">
        <f>K102-'Income Statement'!K12</f>
        <v>0</v>
      </c>
      <c r="L105" s="25">
        <f>L102-'Income Statement'!L12</f>
        <v>0</v>
      </c>
      <c r="M105" s="9"/>
    </row>
    <row r="106" spans="1:21" ht="8" customHeight="1">
      <c r="M106" s="9"/>
    </row>
    <row r="107" spans="1:21" ht="20" customHeight="1">
      <c r="A107" s="12" t="s">
        <v>434</v>
      </c>
      <c r="B107" s="2"/>
      <c r="C107" s="2"/>
      <c r="D107" s="2"/>
      <c r="E107" s="2"/>
      <c r="F107" s="2"/>
      <c r="G107" s="2"/>
      <c r="H107" s="2"/>
      <c r="I107" s="2"/>
      <c r="J107" s="2"/>
      <c r="K107" s="2"/>
      <c r="L107" s="2"/>
      <c r="M107" s="9"/>
      <c r="N107" s="2"/>
      <c r="O107" s="2"/>
      <c r="P107" s="2"/>
      <c r="Q107" s="2"/>
      <c r="R107" s="2"/>
      <c r="S107" s="2"/>
      <c r="T107" s="2"/>
      <c r="U107" s="2"/>
    </row>
    <row r="108" spans="1:21">
      <c r="A108" s="5" t="s">
        <v>435</v>
      </c>
      <c r="C108" s="24">
        <v>92.3</v>
      </c>
      <c r="D108" s="24">
        <v>31.4</v>
      </c>
      <c r="E108" s="24">
        <v>32.200000000000003</v>
      </c>
      <c r="F108" s="24">
        <v>25</v>
      </c>
      <c r="G108" s="24">
        <v>4.3</v>
      </c>
      <c r="H108" s="24">
        <v>3.4</v>
      </c>
      <c r="I108" s="24">
        <v>15.8</v>
      </c>
      <c r="J108" s="24">
        <v>11.1</v>
      </c>
      <c r="K108" s="24">
        <v>10.1</v>
      </c>
      <c r="L108" s="24">
        <v>6.7</v>
      </c>
      <c r="M108" s="9"/>
    </row>
    <row r="109" spans="1:21">
      <c r="A109" s="5" t="s">
        <v>436</v>
      </c>
      <c r="C109" s="14">
        <v>819</v>
      </c>
      <c r="D109" s="14">
        <v>794</v>
      </c>
      <c r="E109" s="14">
        <v>767</v>
      </c>
      <c r="F109" s="14">
        <v>746</v>
      </c>
      <c r="G109" s="14">
        <v>745</v>
      </c>
      <c r="H109" s="14">
        <v>745</v>
      </c>
      <c r="I109" s="14">
        <v>731</v>
      </c>
      <c r="J109" s="14">
        <v>723</v>
      </c>
      <c r="K109" s="14">
        <v>715</v>
      </c>
      <c r="L109" s="14">
        <v>711</v>
      </c>
      <c r="M109" s="9"/>
    </row>
    <row r="110" spans="1:21">
      <c r="A110" s="5" t="s">
        <v>437</v>
      </c>
      <c r="C110" s="22">
        <v>3.61</v>
      </c>
      <c r="D110" s="22">
        <v>3.83</v>
      </c>
      <c r="E110" s="22">
        <v>4.1900000000000004</v>
      </c>
      <c r="F110" s="22">
        <v>4.7300000000000004</v>
      </c>
      <c r="G110" s="22">
        <v>5.04</v>
      </c>
      <c r="H110" s="22">
        <v>5.25</v>
      </c>
      <c r="I110" s="22">
        <v>5.66</v>
      </c>
      <c r="J110" s="22">
        <v>6.23</v>
      </c>
      <c r="K110" s="22">
        <v>6.78</v>
      </c>
      <c r="L110" s="22">
        <v>7.17</v>
      </c>
      <c r="M110" s="9"/>
    </row>
    <row r="111" spans="1:21">
      <c r="A111" s="13" t="s">
        <v>438</v>
      </c>
      <c r="C111" s="14">
        <v>11142</v>
      </c>
      <c r="D111" s="14">
        <v>4651</v>
      </c>
      <c r="E111" s="14">
        <v>5247</v>
      </c>
      <c r="F111" s="14">
        <v>4980</v>
      </c>
      <c r="G111" s="14">
        <v>874</v>
      </c>
      <c r="H111" s="14">
        <v>846</v>
      </c>
      <c r="I111" s="14">
        <v>3896</v>
      </c>
      <c r="J111" s="14">
        <v>3105</v>
      </c>
      <c r="K111" s="14">
        <v>2826</v>
      </c>
      <c r="L111" s="14">
        <v>2016</v>
      </c>
      <c r="M111" s="9"/>
    </row>
    <row r="112" spans="1:21">
      <c r="A112" s="13" t="s">
        <v>439</v>
      </c>
      <c r="C112" s="14">
        <v>3058</v>
      </c>
      <c r="D112" s="14">
        <v>3089</v>
      </c>
      <c r="E112" s="14">
        <v>3256</v>
      </c>
      <c r="F112" s="14">
        <v>3582</v>
      </c>
      <c r="G112" s="14">
        <v>3753</v>
      </c>
      <c r="H112" s="14">
        <v>3919</v>
      </c>
      <c r="I112" s="14">
        <v>4168</v>
      </c>
      <c r="J112" s="14">
        <v>4533</v>
      </c>
      <c r="K112" s="14">
        <v>4870</v>
      </c>
      <c r="L112" s="14">
        <v>5115</v>
      </c>
      <c r="M112" s="9"/>
    </row>
    <row r="113" spans="1:21">
      <c r="A113" s="10" t="s">
        <v>440</v>
      </c>
      <c r="C113" s="16">
        <v>14200</v>
      </c>
      <c r="D113" s="16">
        <v>7740</v>
      </c>
      <c r="E113" s="16">
        <v>8503</v>
      </c>
      <c r="F113" s="16">
        <v>8562</v>
      </c>
      <c r="G113" s="16">
        <v>4627</v>
      </c>
      <c r="H113" s="16">
        <v>4765</v>
      </c>
      <c r="I113" s="16">
        <v>8064</v>
      </c>
      <c r="J113" s="16">
        <v>7638</v>
      </c>
      <c r="K113" s="16">
        <v>7696</v>
      </c>
      <c r="L113" s="16">
        <v>7131</v>
      </c>
      <c r="M113" s="17"/>
    </row>
    <row r="114" spans="1:21">
      <c r="A114" s="18" t="s">
        <v>441</v>
      </c>
      <c r="C114" s="25">
        <f t="shared" ref="C114:L114" si="20">C111+C112-C113</f>
        <v>0</v>
      </c>
      <c r="D114" s="25">
        <f t="shared" si="20"/>
        <v>0</v>
      </c>
      <c r="E114" s="25">
        <f t="shared" si="20"/>
        <v>0</v>
      </c>
      <c r="F114" s="25">
        <f t="shared" si="20"/>
        <v>0</v>
      </c>
      <c r="G114" s="25">
        <f t="shared" si="20"/>
        <v>0</v>
      </c>
      <c r="H114" s="25">
        <f t="shared" si="20"/>
        <v>0</v>
      </c>
      <c r="I114" s="25">
        <f t="shared" si="20"/>
        <v>0</v>
      </c>
      <c r="J114" s="25">
        <f t="shared" si="20"/>
        <v>0</v>
      </c>
      <c r="K114" s="25">
        <f t="shared" si="20"/>
        <v>0</v>
      </c>
      <c r="L114" s="25">
        <f t="shared" si="20"/>
        <v>0</v>
      </c>
      <c r="M114" s="9"/>
    </row>
    <row r="115" spans="1:21">
      <c r="A115" s="18" t="s">
        <v>442</v>
      </c>
      <c r="C115" s="25">
        <f>C112+'Cash Flow'!C45</f>
        <v>-0.1999999999998181</v>
      </c>
      <c r="D115" s="25">
        <f>D112+'Cash Flow'!D45</f>
        <v>-0.1999999999998181</v>
      </c>
      <c r="E115" s="25">
        <f>E112+'Cash Flow'!E45</f>
        <v>9.9999999999909051E-2</v>
      </c>
      <c r="F115" s="25">
        <f>F112+'Cash Flow'!F45</f>
        <v>9.9999999999909051E-2</v>
      </c>
      <c r="G115" s="25">
        <f>G112+'Cash Flow'!G45</f>
        <v>9.9999999999909051E-2</v>
      </c>
      <c r="H115" s="25">
        <f>H112+'Cash Flow'!H45</f>
        <v>0.40000000000009095</v>
      </c>
      <c r="I115" s="25">
        <f>I112+'Cash Flow'!I45</f>
        <v>0</v>
      </c>
      <c r="J115" s="25">
        <f>J112+'Cash Flow'!J45</f>
        <v>0</v>
      </c>
      <c r="K115" s="25">
        <f>K112+'Cash Flow'!K45</f>
        <v>0</v>
      </c>
      <c r="L115" s="25">
        <f>L112+'Cash Flow'!L45</f>
        <v>0</v>
      </c>
      <c r="M115" s="9"/>
    </row>
    <row r="116" spans="1:21" ht="8" customHeight="1">
      <c r="M116" s="9"/>
    </row>
    <row r="117" spans="1:21" ht="20" customHeight="1">
      <c r="A117" s="12" t="s">
        <v>443</v>
      </c>
      <c r="B117" s="2"/>
      <c r="C117" s="2"/>
      <c r="D117" s="2"/>
      <c r="E117" s="2"/>
      <c r="F117" s="2"/>
      <c r="G117" s="2"/>
      <c r="H117" s="2"/>
      <c r="I117" s="2"/>
      <c r="J117" s="2"/>
      <c r="K117" s="2"/>
      <c r="L117" s="2"/>
      <c r="M117" s="9"/>
      <c r="N117" s="2"/>
      <c r="O117" s="2"/>
      <c r="P117" s="2"/>
      <c r="Q117" s="2"/>
      <c r="R117" s="2"/>
      <c r="S117" s="2"/>
      <c r="T117" s="2"/>
      <c r="U117" s="2"/>
    </row>
    <row r="118" spans="1:21">
      <c r="A118" s="5" t="s">
        <v>444</v>
      </c>
      <c r="C118" s="31">
        <v>8.199999999999999E-3</v>
      </c>
      <c r="D118" s="31">
        <v>8.8999999999999999E-3</v>
      </c>
      <c r="E118" s="31">
        <v>0.91</v>
      </c>
      <c r="F118" s="31">
        <v>0.92</v>
      </c>
      <c r="G118" s="31">
        <v>0.95</v>
      </c>
      <c r="H118" s="31">
        <v>0.95</v>
      </c>
      <c r="I118" s="31">
        <v>0.96</v>
      </c>
      <c r="J118" s="31">
        <v>0.96</v>
      </c>
      <c r="K118" s="31">
        <v>0.96</v>
      </c>
      <c r="L118" s="31">
        <v>0.97</v>
      </c>
      <c r="M118" s="9"/>
    </row>
    <row r="119" spans="1:21">
      <c r="A119" s="5" t="s">
        <v>445</v>
      </c>
      <c r="C119" s="31">
        <v>3.5000000000000003E-2</v>
      </c>
      <c r="D119" s="31">
        <v>3.3000000000000002E-2</v>
      </c>
      <c r="E119" s="31">
        <v>3.2000000000000001E-2</v>
      </c>
      <c r="F119" s="31">
        <v>3.2000000000000001E-2</v>
      </c>
      <c r="G119" s="31">
        <v>3.2000000000000001E-2</v>
      </c>
      <c r="H119" s="31">
        <v>3.2000000000000001E-2</v>
      </c>
      <c r="I119" s="31">
        <v>3.5000000000000003E-2</v>
      </c>
      <c r="J119" s="31">
        <v>3.7000000000000012E-2</v>
      </c>
      <c r="K119" s="31">
        <v>0.04</v>
      </c>
      <c r="L119" s="31">
        <v>0.04</v>
      </c>
      <c r="M119" s="9"/>
    </row>
    <row r="120" spans="1:21">
      <c r="A120" s="5" t="s">
        <v>446</v>
      </c>
      <c r="C120" s="31">
        <v>0.34</v>
      </c>
      <c r="D120" s="31">
        <v>0.42</v>
      </c>
      <c r="E120" s="31">
        <v>0.38</v>
      </c>
      <c r="F120" s="31">
        <v>0.38</v>
      </c>
      <c r="G120" s="31">
        <v>0.36</v>
      </c>
      <c r="H120" s="31">
        <v>0.36</v>
      </c>
      <c r="I120" s="31">
        <v>0.36</v>
      </c>
      <c r="J120" s="31">
        <v>0.38</v>
      </c>
      <c r="K120" s="31">
        <v>0.34</v>
      </c>
      <c r="L120" s="31">
        <v>0.39</v>
      </c>
      <c r="M120" s="9"/>
    </row>
    <row r="121" spans="1:21">
      <c r="A121" s="5" t="s">
        <v>447</v>
      </c>
      <c r="C121" s="31">
        <v>1.0900000000000001</v>
      </c>
      <c r="D121" s="31">
        <v>1.1200000000000001</v>
      </c>
      <c r="E121" s="31">
        <v>1.25</v>
      </c>
      <c r="F121" s="31">
        <v>1.31</v>
      </c>
      <c r="G121" s="31">
        <v>1.26</v>
      </c>
      <c r="H121" s="31">
        <v>1.1499999999999999</v>
      </c>
      <c r="I121" s="31">
        <v>1.2</v>
      </c>
      <c r="J121" s="31">
        <v>1.1399999999999999</v>
      </c>
      <c r="K121" s="31">
        <v>1.1100000000000001</v>
      </c>
      <c r="L121" s="31">
        <v>1.05</v>
      </c>
      <c r="M121" s="9"/>
    </row>
    <row r="122" spans="1:21">
      <c r="A122" s="5" t="s">
        <v>448</v>
      </c>
      <c r="C122" s="31">
        <v>0.23</v>
      </c>
      <c r="D122" s="31">
        <v>0.19</v>
      </c>
      <c r="E122" s="31">
        <v>0.22</v>
      </c>
      <c r="F122" s="31">
        <v>0.24</v>
      </c>
      <c r="G122" s="31">
        <v>0.17</v>
      </c>
      <c r="H122" s="31">
        <v>0.26</v>
      </c>
      <c r="I122" s="31">
        <v>0.2</v>
      </c>
      <c r="J122" s="31">
        <v>0.24</v>
      </c>
      <c r="K122" s="31">
        <v>0.24</v>
      </c>
      <c r="L122" s="31">
        <v>0.26</v>
      </c>
      <c r="M122" s="9"/>
    </row>
    <row r="123" spans="1:21" ht="8" customHeight="1">
      <c r="M123" s="9"/>
    </row>
    <row r="124" spans="1:21" ht="20" customHeight="1">
      <c r="A124" s="12" t="s">
        <v>449</v>
      </c>
      <c r="B124" s="2"/>
      <c r="C124" s="2"/>
      <c r="D124" s="2"/>
      <c r="E124" s="2"/>
      <c r="F124" s="2"/>
      <c r="G124" s="2"/>
      <c r="H124" s="2"/>
      <c r="I124" s="2"/>
      <c r="J124" s="2"/>
      <c r="K124" s="2"/>
      <c r="L124" s="2"/>
      <c r="M124" s="9"/>
      <c r="N124" s="2"/>
      <c r="O124" s="2"/>
      <c r="P124" s="2"/>
      <c r="Q124" s="2"/>
      <c r="R124" s="2"/>
      <c r="S124" s="2"/>
      <c r="T124" s="2"/>
      <c r="U124" s="2"/>
    </row>
    <row r="125" spans="1:21">
      <c r="A125" s="13" t="s">
        <v>450</v>
      </c>
      <c r="C125" s="14">
        <v>-692</v>
      </c>
      <c r="D125" s="14">
        <v>186</v>
      </c>
      <c r="E125" s="14">
        <v>124</v>
      </c>
      <c r="F125" s="14">
        <v>-610</v>
      </c>
      <c r="G125" s="14">
        <v>-75</v>
      </c>
      <c r="H125" s="14">
        <v>488</v>
      </c>
      <c r="I125" s="14">
        <v>-1419</v>
      </c>
      <c r="J125" s="14">
        <v>22</v>
      </c>
      <c r="K125" s="14">
        <v>-57</v>
      </c>
      <c r="L125" s="14">
        <v>385</v>
      </c>
      <c r="M125" s="9"/>
    </row>
    <row r="126" spans="1:21">
      <c r="A126" s="13" t="s">
        <v>451</v>
      </c>
      <c r="C126" s="14">
        <v>-118</v>
      </c>
      <c r="D126" s="14">
        <v>25</v>
      </c>
      <c r="E126" s="14">
        <v>57</v>
      </c>
      <c r="F126" s="14">
        <v>-256</v>
      </c>
      <c r="G126" s="14">
        <v>32</v>
      </c>
      <c r="H126" s="14">
        <v>223</v>
      </c>
      <c r="I126" s="14">
        <v>-646</v>
      </c>
      <c r="J126" s="14">
        <v>23</v>
      </c>
      <c r="K126" s="14">
        <v>-31</v>
      </c>
      <c r="L126" s="14">
        <v>190</v>
      </c>
      <c r="M126" s="9"/>
    </row>
    <row r="127" spans="1:21">
      <c r="A127" s="13" t="s">
        <v>452</v>
      </c>
      <c r="C127" s="14">
        <v>-89</v>
      </c>
      <c r="D127" s="14">
        <v>17</v>
      </c>
      <c r="E127" s="14">
        <v>4</v>
      </c>
      <c r="F127" s="14">
        <v>-51</v>
      </c>
      <c r="G127" s="14">
        <v>-1</v>
      </c>
      <c r="H127" s="14">
        <v>42</v>
      </c>
      <c r="I127" s="14">
        <v>-99</v>
      </c>
      <c r="J127" s="14">
        <v>1</v>
      </c>
      <c r="K127" s="14">
        <v>-9</v>
      </c>
      <c r="L127" s="14">
        <v>24</v>
      </c>
      <c r="M127" s="9"/>
    </row>
    <row r="128" spans="1:21">
      <c r="A128" s="13" t="s">
        <v>453</v>
      </c>
      <c r="C128" s="14">
        <v>28</v>
      </c>
      <c r="D128" s="14">
        <v>-10</v>
      </c>
      <c r="E128" s="14">
        <v>-13</v>
      </c>
      <c r="F128" s="14">
        <v>29</v>
      </c>
      <c r="G128" s="14">
        <v>-2</v>
      </c>
      <c r="H128" s="14">
        <v>-28</v>
      </c>
      <c r="I128" s="14">
        <v>63</v>
      </c>
      <c r="J128" s="14">
        <v>-3</v>
      </c>
      <c r="K128" s="14">
        <v>0</v>
      </c>
      <c r="L128" s="14">
        <v>-18</v>
      </c>
      <c r="M128" s="9"/>
    </row>
    <row r="129" spans="1:21">
      <c r="A129" s="13" t="s">
        <v>454</v>
      </c>
      <c r="C129" s="14">
        <v>-173</v>
      </c>
      <c r="D129" s="14">
        <v>28</v>
      </c>
      <c r="E129" s="14">
        <v>56</v>
      </c>
      <c r="F129" s="14">
        <v>-280</v>
      </c>
      <c r="G129" s="14">
        <v>35</v>
      </c>
      <c r="H129" s="14">
        <v>231</v>
      </c>
      <c r="I129" s="14">
        <v>-652</v>
      </c>
      <c r="J129" s="14">
        <v>19</v>
      </c>
      <c r="K129" s="14">
        <v>-46</v>
      </c>
      <c r="L129" s="14">
        <v>198</v>
      </c>
      <c r="M129" s="9"/>
    </row>
    <row r="130" spans="1:21">
      <c r="A130" s="13" t="s">
        <v>455</v>
      </c>
      <c r="C130" s="14">
        <v>-97</v>
      </c>
      <c r="D130" s="14">
        <v>2</v>
      </c>
      <c r="E130" s="14">
        <v>33</v>
      </c>
      <c r="F130" s="14">
        <v>-165</v>
      </c>
      <c r="G130" s="14">
        <v>26</v>
      </c>
      <c r="H130" s="14">
        <v>150</v>
      </c>
      <c r="I130" s="14">
        <v>-386</v>
      </c>
      <c r="J130" s="14">
        <v>30</v>
      </c>
      <c r="K130" s="14">
        <v>-41</v>
      </c>
      <c r="L130" s="14">
        <v>114</v>
      </c>
      <c r="M130" s="9"/>
    </row>
    <row r="131" spans="1:21">
      <c r="A131" s="13" t="s">
        <v>456</v>
      </c>
      <c r="C131" s="22">
        <v>-0.11</v>
      </c>
      <c r="D131" s="22">
        <v>0</v>
      </c>
      <c r="E131" s="22">
        <v>0.04</v>
      </c>
      <c r="F131" s="22">
        <v>-0.21</v>
      </c>
      <c r="G131" s="22">
        <v>0.04</v>
      </c>
      <c r="H131" s="22">
        <v>0.2</v>
      </c>
      <c r="I131" s="22">
        <v>-0.52</v>
      </c>
      <c r="J131" s="22">
        <v>0.04</v>
      </c>
      <c r="K131" s="22">
        <v>-0.06</v>
      </c>
      <c r="L131" s="22">
        <v>0.16</v>
      </c>
      <c r="M131" s="9"/>
    </row>
    <row r="132" spans="1:21">
      <c r="A132" s="18" t="s">
        <v>457</v>
      </c>
      <c r="C132" s="19">
        <f>C129/'Income Statement'!C33</f>
        <v>-2.2338433727161211E-2</v>
      </c>
      <c r="D132" s="19">
        <f>D129/'Income Statement'!D33</f>
        <v>2.9311084824185829E-3</v>
      </c>
      <c r="E132" s="19">
        <f>E129/'Income Statement'!E33</f>
        <v>6.3473352526466119E-3</v>
      </c>
      <c r="F132" s="19">
        <f>F129/'Income Statement'!F33</f>
        <v>-3.0871684050364948E-2</v>
      </c>
      <c r="G132" s="19">
        <f>G129/'Income Statement'!G33</f>
        <v>4.7788093937738939E-3</v>
      </c>
      <c r="H132" s="19">
        <f>H129/'Income Statement'!H33</f>
        <v>2.2305909617612977E-2</v>
      </c>
      <c r="I132" s="19">
        <f>I129/'Income Statement'!I33</f>
        <v>-6.9576352577099557E-2</v>
      </c>
      <c r="J132" s="19">
        <f>J129/'Income Statement'!J33</f>
        <v>1.6313213703099511E-3</v>
      </c>
      <c r="K132" s="19">
        <f>K129/'Income Statement'!K33</f>
        <v>-3.9275956284153006E-3</v>
      </c>
      <c r="L132" s="19">
        <f>L129/'Income Statement'!L33</f>
        <v>1.597676107480029E-2</v>
      </c>
      <c r="M132" s="9"/>
    </row>
    <row r="133" spans="1:21">
      <c r="A133" s="18" t="s">
        <v>458</v>
      </c>
      <c r="C133" s="19">
        <f>C125/'Income Statement'!C17</f>
        <v>-2.8105060941681997E-2</v>
      </c>
      <c r="D133" s="19">
        <f>D125/'Income Statement'!D17</f>
        <v>8.1506020928642786E-3</v>
      </c>
      <c r="E133" s="19">
        <f>E125/'Income Statement'!E17</f>
        <v>5.8331255674361057E-3</v>
      </c>
      <c r="F133" s="19">
        <f>F125/'Income Statement'!F17</f>
        <v>-2.8552170901125235E-2</v>
      </c>
      <c r="G133" s="19">
        <f>G125/'Income Statement'!G17</f>
        <v>-3.9046637303595416E-3</v>
      </c>
      <c r="H133" s="19">
        <f>H125/'Income Statement'!H17</f>
        <v>2.1013740747279623E-2</v>
      </c>
      <c r="I133" s="19">
        <f>I125/'Income Statement'!I17</f>
        <v>-6.1208644265194324E-2</v>
      </c>
      <c r="J133" s="19">
        <f>J125/'Income Statement'!J17</f>
        <v>8.6294814466148894E-4</v>
      </c>
      <c r="K133" s="19">
        <f>K125/'Income Statement'!K17</f>
        <v>-2.1990740740740742E-3</v>
      </c>
      <c r="L133" s="19">
        <f>L125/'Income Statement'!L17</f>
        <v>1.4320252929142645E-2</v>
      </c>
      <c r="M133" s="9"/>
    </row>
    <row r="134" spans="1:21" ht="8" customHeight="1">
      <c r="M134" s="9"/>
    </row>
    <row r="135" spans="1:21" ht="20" customHeight="1">
      <c r="A135" s="12" t="s">
        <v>459</v>
      </c>
      <c r="B135" s="2"/>
      <c r="C135" s="2"/>
      <c r="D135" s="2"/>
      <c r="E135" s="2"/>
      <c r="F135" s="2"/>
      <c r="G135" s="2"/>
      <c r="H135" s="2"/>
      <c r="I135" s="2"/>
      <c r="J135" s="2"/>
      <c r="K135" s="2"/>
      <c r="L135" s="2"/>
      <c r="M135" s="9"/>
      <c r="N135" s="2"/>
      <c r="O135" s="2"/>
      <c r="P135" s="2"/>
      <c r="Q135" s="2"/>
      <c r="R135" s="2"/>
      <c r="S135" s="2"/>
      <c r="T135" s="2"/>
      <c r="U135" s="2"/>
    </row>
    <row r="136" spans="1:21">
      <c r="A136" s="10" t="s">
        <v>460</v>
      </c>
      <c r="D136" s="23">
        <v>6.37</v>
      </c>
      <c r="E136" s="23">
        <v>7.54</v>
      </c>
      <c r="F136" s="23">
        <v>7.88</v>
      </c>
      <c r="G136" s="23">
        <v>6.31</v>
      </c>
      <c r="H136" s="23">
        <v>10.039999999999999</v>
      </c>
      <c r="I136" s="23">
        <v>8.33</v>
      </c>
      <c r="J136" s="23">
        <v>11.56</v>
      </c>
      <c r="K136" s="23">
        <v>11.39</v>
      </c>
      <c r="L136" s="23">
        <v>11.95</v>
      </c>
      <c r="M136" s="9"/>
    </row>
    <row r="137" spans="1:21">
      <c r="A137" s="13" t="s">
        <v>461</v>
      </c>
      <c r="D137" s="22">
        <v>-0.53</v>
      </c>
      <c r="E137" s="22">
        <v>0.26</v>
      </c>
      <c r="F137" s="22">
        <v>7.0000000000000007E-2</v>
      </c>
      <c r="G137" s="22">
        <v>-0.26</v>
      </c>
      <c r="H137" s="22">
        <v>-0.28000000000000003</v>
      </c>
      <c r="I137" s="22">
        <v>1.04</v>
      </c>
      <c r="J137" s="22">
        <v>0.38</v>
      </c>
      <c r="K137" s="22">
        <v>0.33</v>
      </c>
      <c r="L137" s="22">
        <v>0.25</v>
      </c>
      <c r="M137" s="9"/>
    </row>
    <row r="138" spans="1:21">
      <c r="A138" s="13" t="s">
        <v>462</v>
      </c>
      <c r="D138" s="22">
        <v>0.82</v>
      </c>
      <c r="E138" s="22">
        <v>0.1</v>
      </c>
      <c r="F138" s="22">
        <v>-0.11</v>
      </c>
      <c r="G138" s="22">
        <v>0</v>
      </c>
      <c r="H138" s="22">
        <v>-0.48</v>
      </c>
      <c r="M138" s="9"/>
    </row>
    <row r="139" spans="1:21">
      <c r="A139" s="13" t="s">
        <v>463</v>
      </c>
      <c r="H139" s="22">
        <v>0</v>
      </c>
      <c r="I139" s="22">
        <v>0.73</v>
      </c>
      <c r="M139" s="9"/>
    </row>
    <row r="140" spans="1:21">
      <c r="A140" s="10" t="s">
        <v>464</v>
      </c>
      <c r="D140" s="33">
        <v>6.66</v>
      </c>
      <c r="E140" s="33">
        <v>7.9</v>
      </c>
      <c r="F140" s="33">
        <v>7.84</v>
      </c>
      <c r="G140" s="33">
        <v>6.05</v>
      </c>
      <c r="H140" s="33">
        <v>9.2799999999999994</v>
      </c>
      <c r="I140" s="33">
        <v>10.1</v>
      </c>
      <c r="J140" s="33">
        <v>11.94</v>
      </c>
      <c r="K140" s="33">
        <v>11.72</v>
      </c>
      <c r="L140" s="33">
        <v>12.2</v>
      </c>
      <c r="M140" s="17"/>
    </row>
    <row r="141" spans="1:21">
      <c r="A141" s="18" t="s">
        <v>465</v>
      </c>
      <c r="D141" s="25">
        <f t="shared" ref="D141:L141" si="21">D136+D137+D138+D139-D140</f>
        <v>0</v>
      </c>
      <c r="E141" s="25">
        <f t="shared" si="21"/>
        <v>0</v>
      </c>
      <c r="F141" s="25">
        <f t="shared" si="21"/>
        <v>0</v>
      </c>
      <c r="G141" s="25">
        <f t="shared" si="21"/>
        <v>0</v>
      </c>
      <c r="H141" s="25">
        <f t="shared" si="21"/>
        <v>0</v>
      </c>
      <c r="I141" s="25">
        <f t="shared" si="21"/>
        <v>0</v>
      </c>
      <c r="J141" s="25">
        <f t="shared" si="21"/>
        <v>0</v>
      </c>
      <c r="K141" s="25">
        <f t="shared" si="21"/>
        <v>0</v>
      </c>
      <c r="L141" s="25">
        <f t="shared" si="21"/>
        <v>0</v>
      </c>
      <c r="M141" s="9"/>
    </row>
    <row r="142" spans="1:21">
      <c r="A142" s="18" t="s">
        <v>466</v>
      </c>
      <c r="D142" s="25">
        <f>D136-'Income Statement'!D47</f>
        <v>0</v>
      </c>
      <c r="E142" s="25">
        <f>E136-'Income Statement'!E47</f>
        <v>0</v>
      </c>
      <c r="F142" s="25">
        <f>F136-'Income Statement'!F47</f>
        <v>0</v>
      </c>
      <c r="G142" s="25">
        <f>G136-'Income Statement'!G47</f>
        <v>0</v>
      </c>
      <c r="H142" s="25">
        <f>H136-'Income Statement'!H47</f>
        <v>0</v>
      </c>
      <c r="I142" s="25">
        <f>I136-'Income Statement'!I47</f>
        <v>0</v>
      </c>
      <c r="J142" s="25">
        <f>J136-'Income Statement'!J47</f>
        <v>0</v>
      </c>
      <c r="K142" s="25">
        <f>K136-'Income Statement'!K47</f>
        <v>0</v>
      </c>
      <c r="L142" s="25">
        <f>L136-'Income Statement'!L47</f>
        <v>0</v>
      </c>
      <c r="M142" s="9"/>
    </row>
    <row r="143" spans="1:21" ht="8" customHeight="1">
      <c r="M143" s="9"/>
    </row>
    <row r="144" spans="1:21" ht="20" customHeight="1">
      <c r="A144" s="12" t="s">
        <v>467</v>
      </c>
      <c r="B144" s="2"/>
      <c r="C144" s="2"/>
      <c r="D144" s="2"/>
      <c r="E144" s="2"/>
      <c r="F144" s="2"/>
      <c r="G144" s="2"/>
      <c r="H144" s="2"/>
      <c r="I144" s="2"/>
      <c r="J144" s="2"/>
      <c r="K144" s="2"/>
      <c r="L144" s="2"/>
      <c r="M144" s="9"/>
      <c r="N144" s="2"/>
      <c r="O144" s="2"/>
      <c r="P144" s="2"/>
      <c r="Q144" s="2"/>
      <c r="R144" s="2"/>
      <c r="S144" s="2"/>
      <c r="T144" s="2"/>
      <c r="U144" s="2"/>
    </row>
    <row r="145" spans="1:21">
      <c r="A145" s="10" t="s">
        <v>468</v>
      </c>
      <c r="H145" s="28">
        <v>7545.2</v>
      </c>
      <c r="I145" s="28">
        <v>6177.4</v>
      </c>
      <c r="J145" s="28">
        <v>8469</v>
      </c>
      <c r="K145" s="28">
        <v>8223</v>
      </c>
      <c r="L145" s="28">
        <v>8563</v>
      </c>
      <c r="M145" s="9"/>
    </row>
    <row r="146" spans="1:21">
      <c r="A146" s="13" t="s">
        <v>461</v>
      </c>
      <c r="H146" s="14">
        <v>-202.7</v>
      </c>
      <c r="I146" s="14">
        <v>770.7</v>
      </c>
      <c r="J146" s="14">
        <v>274</v>
      </c>
      <c r="K146" s="14">
        <v>236</v>
      </c>
      <c r="L146" s="14">
        <v>178</v>
      </c>
      <c r="M146" s="9"/>
    </row>
    <row r="147" spans="1:21">
      <c r="A147" s="13" t="s">
        <v>462</v>
      </c>
      <c r="H147" s="14">
        <v>-363.7</v>
      </c>
      <c r="M147" s="9"/>
    </row>
    <row r="148" spans="1:21">
      <c r="A148" s="13" t="s">
        <v>463</v>
      </c>
      <c r="H148" s="14">
        <v>0</v>
      </c>
      <c r="I148" s="14">
        <v>537.20000000000005</v>
      </c>
      <c r="M148" s="9"/>
    </row>
    <row r="149" spans="1:21">
      <c r="A149" s="10" t="s">
        <v>469</v>
      </c>
      <c r="H149" s="16">
        <v>6978.8</v>
      </c>
      <c r="I149" s="16">
        <v>7485.3</v>
      </c>
      <c r="J149" s="16">
        <v>8742</v>
      </c>
      <c r="K149" s="16">
        <v>8459</v>
      </c>
      <c r="L149" s="16">
        <v>8741</v>
      </c>
      <c r="M149" s="17"/>
    </row>
    <row r="150" spans="1:21">
      <c r="A150" s="18" t="s">
        <v>465</v>
      </c>
      <c r="H150" s="25">
        <f>H145+H146+H147+H148-H149</f>
        <v>0</v>
      </c>
      <c r="I150" s="25">
        <f>I145+I146+I147+I148-I149</f>
        <v>0</v>
      </c>
      <c r="J150" s="25">
        <f>J145+J146+J147+J148-J149</f>
        <v>1</v>
      </c>
      <c r="K150" s="25">
        <f>K145+K146+K147+K148-K149</f>
        <v>0</v>
      </c>
      <c r="L150" s="25">
        <f>L145+L146+L147+L148-L149</f>
        <v>0</v>
      </c>
      <c r="M150" s="9"/>
    </row>
    <row r="151" spans="1:21">
      <c r="A151" s="18" t="s">
        <v>466</v>
      </c>
      <c r="H151" s="25">
        <f>H145-'Income Statement'!H41</f>
        <v>0</v>
      </c>
      <c r="I151" s="25">
        <f>I145-'Income Statement'!I41</f>
        <v>0.3999999999996362</v>
      </c>
      <c r="J151" s="25">
        <f>J145-'Income Statement'!J41</f>
        <v>0</v>
      </c>
      <c r="K151" s="25">
        <f>K145-'Income Statement'!K41</f>
        <v>0</v>
      </c>
      <c r="L151" s="25">
        <f>L145-'Income Statement'!L41</f>
        <v>0</v>
      </c>
      <c r="M151" s="9"/>
    </row>
    <row r="152" spans="1:21" ht="8" customHeight="1">
      <c r="M152" s="9"/>
    </row>
    <row r="153" spans="1:21" ht="20" customHeight="1">
      <c r="A153" s="12" t="s">
        <v>470</v>
      </c>
      <c r="B153" s="2"/>
      <c r="C153" s="2"/>
      <c r="D153" s="2"/>
      <c r="E153" s="2"/>
      <c r="F153" s="2"/>
      <c r="G153" s="2"/>
      <c r="H153" s="2"/>
      <c r="I153" s="2"/>
      <c r="J153" s="2"/>
      <c r="K153" s="2"/>
      <c r="L153" s="2"/>
      <c r="M153" s="9"/>
      <c r="N153" s="2"/>
      <c r="O153" s="2"/>
      <c r="P153" s="2"/>
      <c r="Q153" s="2"/>
      <c r="R153" s="2"/>
      <c r="S153" s="2"/>
      <c r="T153" s="2"/>
      <c r="U153" s="2"/>
    </row>
    <row r="154" spans="1:21">
      <c r="A154" s="10" t="s">
        <v>471</v>
      </c>
      <c r="H154" s="28">
        <v>10356</v>
      </c>
      <c r="I154" s="28">
        <v>9371</v>
      </c>
      <c r="J154" s="28">
        <v>11647</v>
      </c>
      <c r="K154" s="28">
        <v>11712</v>
      </c>
      <c r="L154" s="28">
        <v>12393</v>
      </c>
      <c r="M154" s="9"/>
    </row>
    <row r="155" spans="1:21">
      <c r="A155" s="13" t="s">
        <v>461</v>
      </c>
      <c r="I155" s="14">
        <v>0</v>
      </c>
      <c r="J155" s="14">
        <v>362</v>
      </c>
      <c r="K155" s="14">
        <v>291</v>
      </c>
      <c r="L155" s="14">
        <v>229</v>
      </c>
      <c r="M155" s="9"/>
    </row>
    <row r="156" spans="1:21">
      <c r="A156" s="13" t="s">
        <v>472</v>
      </c>
      <c r="H156" s="14">
        <v>0</v>
      </c>
      <c r="I156" s="14">
        <v>1281</v>
      </c>
      <c r="M156" s="9"/>
    </row>
    <row r="157" spans="1:21">
      <c r="A157" s="13" t="s">
        <v>473</v>
      </c>
      <c r="H157" s="14">
        <v>0</v>
      </c>
      <c r="I157" s="14">
        <v>-271</v>
      </c>
      <c r="M157" s="9"/>
    </row>
    <row r="158" spans="1:21">
      <c r="A158" s="13" t="s">
        <v>474</v>
      </c>
      <c r="H158" s="14">
        <v>-339</v>
      </c>
      <c r="M158" s="9"/>
    </row>
    <row r="159" spans="1:21">
      <c r="A159" s="13" t="s">
        <v>475</v>
      </c>
      <c r="H159" s="14">
        <v>54</v>
      </c>
      <c r="M159" s="9"/>
    </row>
    <row r="160" spans="1:21">
      <c r="A160" s="10" t="s">
        <v>476</v>
      </c>
      <c r="H160" s="16">
        <v>10071</v>
      </c>
      <c r="I160" s="16">
        <v>10381</v>
      </c>
      <c r="J160" s="16">
        <v>12009</v>
      </c>
      <c r="K160" s="16">
        <v>12003</v>
      </c>
      <c r="L160" s="16">
        <v>12621</v>
      </c>
      <c r="M160" s="17"/>
    </row>
    <row r="161" spans="1:21">
      <c r="A161" s="18" t="s">
        <v>477</v>
      </c>
      <c r="H161" s="19">
        <v>0.434</v>
      </c>
      <c r="I161" s="19">
        <v>0.44800000000000001</v>
      </c>
      <c r="J161" s="19">
        <v>0.47099999999999997</v>
      </c>
      <c r="K161" s="19">
        <v>0.46300000000000002</v>
      </c>
      <c r="L161" s="19">
        <v>0.46899999999999997</v>
      </c>
      <c r="M161" s="9"/>
    </row>
    <row r="162" spans="1:21">
      <c r="A162" s="18" t="s">
        <v>478</v>
      </c>
      <c r="C162" s="19">
        <f>C160/'Income Statement'!C17</f>
        <v>0</v>
      </c>
      <c r="D162" s="19">
        <f>D160/'Income Statement'!D17</f>
        <v>0</v>
      </c>
      <c r="E162" s="19">
        <f>E160/'Income Statement'!E17</f>
        <v>0</v>
      </c>
      <c r="F162" s="19">
        <f>F160/'Income Statement'!F17</f>
        <v>0</v>
      </c>
      <c r="G162" s="19">
        <f>G160/'Income Statement'!G17</f>
        <v>0</v>
      </c>
      <c r="H162" s="19">
        <f>H160/'Income Statement'!H17</f>
        <v>0.43366676857756781</v>
      </c>
      <c r="I162" s="19">
        <f>I160/'Income Statement'!I17</f>
        <v>0.44778501488159428</v>
      </c>
      <c r="J162" s="19">
        <f>J160/'Income Statement'!J17</f>
        <v>0.47105201223817367</v>
      </c>
      <c r="K162" s="19">
        <f>K160/'Income Statement'!K17</f>
        <v>0.46307870370370369</v>
      </c>
      <c r="L162" s="19">
        <f>L160/'Income Statement'!L17</f>
        <v>0.46944392784080341</v>
      </c>
      <c r="M162" s="9"/>
    </row>
    <row r="163" spans="1:21">
      <c r="A163" s="18" t="s">
        <v>465</v>
      </c>
      <c r="H163" s="25">
        <f>H154+H155+H156+H157+H158+H159-H160</f>
        <v>0</v>
      </c>
      <c r="I163" s="25">
        <f>I154+I155+I156+I157+I158+I159-I160</f>
        <v>0</v>
      </c>
      <c r="J163" s="25">
        <f>J154+J155+J156+J157+J158+J159-J160</f>
        <v>0</v>
      </c>
      <c r="K163" s="25">
        <f>K154+K155+K156+K157+K158+K159-K160</f>
        <v>0</v>
      </c>
      <c r="L163" s="25">
        <f>L154+L155+L156+L157+L158+L159-L160</f>
        <v>1</v>
      </c>
      <c r="M163" s="9"/>
    </row>
    <row r="164" spans="1:21">
      <c r="A164" s="18" t="s">
        <v>466</v>
      </c>
      <c r="H164" s="25">
        <f>H154-'Income Statement'!H33</f>
        <v>0</v>
      </c>
      <c r="I164" s="25">
        <f>I154-'Income Statement'!I33</f>
        <v>0</v>
      </c>
      <c r="J164" s="25">
        <f>J154-'Income Statement'!J33</f>
        <v>0</v>
      </c>
      <c r="K164" s="25">
        <f>K154-'Income Statement'!K33</f>
        <v>0</v>
      </c>
      <c r="L164" s="25">
        <f>L154-'Income Statement'!L33</f>
        <v>0</v>
      </c>
      <c r="M164" s="9"/>
    </row>
    <row r="165" spans="1:21" ht="8" customHeight="1">
      <c r="M165" s="9"/>
    </row>
    <row r="166" spans="1:21" ht="20" customHeight="1">
      <c r="A166" s="12" t="s">
        <v>479</v>
      </c>
      <c r="B166" s="2"/>
      <c r="C166" s="2"/>
      <c r="D166" s="2"/>
      <c r="E166" s="2"/>
      <c r="F166" s="2"/>
      <c r="G166" s="2"/>
      <c r="H166" s="2"/>
      <c r="I166" s="2"/>
      <c r="J166" s="2"/>
      <c r="K166" s="2"/>
      <c r="L166" s="2"/>
      <c r="M166" s="9"/>
      <c r="N166" s="2"/>
      <c r="O166" s="2"/>
      <c r="P166" s="2"/>
      <c r="Q166" s="2"/>
      <c r="R166" s="2"/>
      <c r="S166" s="2"/>
      <c r="T166" s="2"/>
      <c r="U166" s="2"/>
    </row>
    <row r="167" spans="1:21">
      <c r="A167" s="13" t="s">
        <v>480</v>
      </c>
      <c r="C167" s="14">
        <v>674</v>
      </c>
      <c r="D167" s="14">
        <v>537</v>
      </c>
      <c r="E167" s="14">
        <v>488</v>
      </c>
      <c r="F167" s="14">
        <v>605</v>
      </c>
      <c r="M167" s="9"/>
    </row>
    <row r="168" spans="1:21">
      <c r="A168" s="13" t="s">
        <v>481</v>
      </c>
      <c r="C168" s="14">
        <v>1108</v>
      </c>
      <c r="D168" s="14">
        <v>1236</v>
      </c>
      <c r="E168" s="14">
        <v>2111</v>
      </c>
      <c r="F168" s="14">
        <v>1702</v>
      </c>
      <c r="M168" s="9"/>
    </row>
    <row r="169" spans="1:21">
      <c r="A169" s="13" t="s">
        <v>220</v>
      </c>
      <c r="C169" s="14">
        <v>39</v>
      </c>
      <c r="D169" s="14">
        <v>81</v>
      </c>
      <c r="E169" s="14">
        <v>143</v>
      </c>
      <c r="F169" s="14">
        <v>87</v>
      </c>
      <c r="M169" s="9"/>
    </row>
    <row r="170" spans="1:21">
      <c r="A170" s="10" t="s">
        <v>295</v>
      </c>
      <c r="C170" s="29">
        <f t="shared" ref="C170:L170" si="22">C167+C168+C169</f>
        <v>1821</v>
      </c>
      <c r="D170" s="29">
        <f t="shared" si="22"/>
        <v>1854</v>
      </c>
      <c r="E170" s="29">
        <f t="shared" si="22"/>
        <v>2742</v>
      </c>
      <c r="F170" s="29">
        <f t="shared" si="22"/>
        <v>2394</v>
      </c>
      <c r="G170" s="29">
        <f t="shared" si="22"/>
        <v>0</v>
      </c>
      <c r="H170" s="29">
        <f t="shared" si="22"/>
        <v>0</v>
      </c>
      <c r="I170" s="29">
        <f t="shared" si="22"/>
        <v>0</v>
      </c>
      <c r="J170" s="29">
        <f t="shared" si="22"/>
        <v>0</v>
      </c>
      <c r="K170" s="29">
        <f t="shared" si="22"/>
        <v>0</v>
      </c>
      <c r="L170" s="29">
        <f t="shared" si="22"/>
        <v>0</v>
      </c>
      <c r="M170" s="17"/>
    </row>
    <row r="171" spans="1:21">
      <c r="A171" s="18" t="s">
        <v>482</v>
      </c>
      <c r="C171" s="25">
        <f>C170+'Cash Flow'!C31</f>
        <v>-9.9999999999909051E-2</v>
      </c>
      <c r="D171" s="25">
        <f>D170+'Cash Flow'!D31</f>
        <v>0.29999999999995453</v>
      </c>
      <c r="E171" s="25">
        <f>E170+'Cash Flow'!E31</f>
        <v>0.3000000000001819</v>
      </c>
      <c r="F171" s="25">
        <f>F170+'Cash Flow'!F31</f>
        <v>0.3000000000001819</v>
      </c>
      <c r="M171" s="9"/>
    </row>
    <row r="172" spans="1:21">
      <c r="M172" s="9"/>
    </row>
    <row r="178" spans="1:12">
      <c r="A178" s="12" t="s">
        <v>952</v>
      </c>
    </row>
    <row r="179" spans="1:12">
      <c r="A179" s="13" t="s">
        <v>278</v>
      </c>
      <c r="D179" s="41">
        <f>Segments!D83/'Operating Metrics'!D40</f>
        <v>0.13804939061636465</v>
      </c>
      <c r="E179" s="41">
        <f>Segments!E83/'Operating Metrics'!E40</f>
        <v>0.13945900725041829</v>
      </c>
      <c r="F179" s="41">
        <f>Segments!F83/'Operating Metrics'!F40</f>
        <v>0.14115444453234186</v>
      </c>
      <c r="G179" s="41">
        <f>Segments!G83/'Operating Metrics'!G40</f>
        <v>0.13800068200299032</v>
      </c>
      <c r="H179" s="41">
        <f>Segments!H83/'Operating Metrics'!H40</f>
        <v>0.14059616094499816</v>
      </c>
      <c r="I179" s="41">
        <f>Segments!I83/'Operating Metrics'!I40</f>
        <v>0.14347030371693756</v>
      </c>
      <c r="J179" s="41">
        <f>Segments!J83/'Operating Metrics'!J40</f>
        <v>0.14350683175061105</v>
      </c>
      <c r="K179" s="41">
        <f>Segments!K83/'Operating Metrics'!K40</f>
        <v>0.14343968809675367</v>
      </c>
      <c r="L179" s="41">
        <f>Segments!L83/'Operating Metrics'!L40</f>
        <v>0.14189735494552036</v>
      </c>
    </row>
    <row r="180" spans="1:12">
      <c r="A180" s="13" t="s">
        <v>279</v>
      </c>
      <c r="D180" s="41">
        <f>Segments!D84/'Operating Metrics'!D41</f>
        <v>0.17514147461658328</v>
      </c>
      <c r="E180" s="41">
        <f>Segments!E84/'Operating Metrics'!E41</f>
        <v>0.17559966614653263</v>
      </c>
      <c r="F180" s="41">
        <f>Segments!F84/'Operating Metrics'!F41</f>
        <v>0.17551034554465741</v>
      </c>
      <c r="G180" s="41">
        <f>Segments!G84/'Operating Metrics'!G41</f>
        <v>0.17087164976813646</v>
      </c>
      <c r="H180" s="41">
        <f>Segments!H84/'Operating Metrics'!H41</f>
        <v>0.17034776565851889</v>
      </c>
      <c r="I180" s="41">
        <f>Segments!I84/'Operating Metrics'!I41</f>
        <v>0.17329241103743812</v>
      </c>
      <c r="J180" s="41">
        <f>Segments!J84/'Operating Metrics'!J41</f>
        <v>0.17115304202383441</v>
      </c>
      <c r="K180" s="41">
        <f>Segments!K84/'Operating Metrics'!K41</f>
        <v>0.17239088214249207</v>
      </c>
      <c r="L180" s="41">
        <f>Segments!L84/'Operating Metrics'!L41</f>
        <v>0.17151272384542884</v>
      </c>
    </row>
    <row r="181" spans="1:12">
      <c r="A181" s="13" t="s">
        <v>387</v>
      </c>
      <c r="D181" s="41">
        <f>Segments!D85/'Operating Metrics'!D42</f>
        <v>5.5801503140121486E-2</v>
      </c>
      <c r="E181" s="41">
        <f>Segments!E85/'Operating Metrics'!E42</f>
        <v>5.1591319276312893E-2</v>
      </c>
      <c r="F181" s="41">
        <f>Segments!F85/'Operating Metrics'!F42</f>
        <v>5.166590217255327E-2</v>
      </c>
      <c r="G181" s="41">
        <f>Segments!G85/'Operating Metrics'!G42</f>
        <v>5.1691424869267436E-2</v>
      </c>
      <c r="H181" s="41">
        <f>Segments!H85/'Operating Metrics'!H42</f>
        <v>5.1574292902340474E-2</v>
      </c>
      <c r="I181" s="41">
        <f>Segments!I85/'Operating Metrics'!I42</f>
        <v>5.2896204972794271E-2</v>
      </c>
      <c r="J181" s="41">
        <f>Segments!J85/'Operating Metrics'!J42</f>
        <v>5.4603617014537739E-2</v>
      </c>
      <c r="K181" s="41">
        <f>Segments!K85/'Operating Metrics'!K42</f>
        <v>5.5758190871895714E-2</v>
      </c>
      <c r="L181" s="41">
        <f>Segments!L85/'Operating Metrics'!L42</f>
        <v>5.3784465414151716E-2</v>
      </c>
    </row>
    <row r="182" spans="1:12">
      <c r="A182" s="10" t="s">
        <v>388</v>
      </c>
      <c r="D182" s="41">
        <f>Segments!D86/'Operating Metrics'!D43</f>
        <v>0.12918366563926795</v>
      </c>
      <c r="E182" s="41">
        <f>Segments!E86/'Operating Metrics'!E43</f>
        <v>0.12784730768337707</v>
      </c>
      <c r="F182" s="41">
        <f>Segments!F86/'Operating Metrics'!F43</f>
        <v>0.12843086483687208</v>
      </c>
      <c r="G182" s="41">
        <f>Segments!G86/'Operating Metrics'!G43</f>
        <v>0.1259245345042147</v>
      </c>
      <c r="H182" s="41">
        <f>Segments!H86/'Operating Metrics'!H43</f>
        <v>0.12744095446798148</v>
      </c>
      <c r="I182" s="41">
        <f>Segments!I86/'Operating Metrics'!I43</f>
        <v>0.12885368995094681</v>
      </c>
      <c r="J182" s="41">
        <f>Segments!J86/'Operating Metrics'!J43</f>
        <v>0.12890187891440502</v>
      </c>
      <c r="K182" s="41">
        <f>Segments!K86/'Operating Metrics'!K43</f>
        <v>0.12994798772874236</v>
      </c>
      <c r="L182" s="41">
        <f>Segments!L86/'Operating Metrics'!L43</f>
        <v>0.12761133603238867</v>
      </c>
    </row>
  </sheetData>
  <phoneticPr fontId="15" type="noConversion"/>
  <conditionalFormatting sqref="C37:U37">
    <cfRule type="cellIs" dxfId="3" priority="1" operator="notBetween">
      <formula>-0.5</formula>
      <formula>0.5</formula>
    </cfRule>
  </conditionalFormatting>
  <conditionalFormatting sqref="C70:U71">
    <cfRule type="cellIs" dxfId="2" priority="2" operator="notBetween">
      <formula>-0.5</formula>
      <formula>0.5</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A1:U130"/>
  <sheetViews>
    <sheetView showGridLines="0" zoomScale="85" workbookViewId="0">
      <pane xSplit="2" ySplit="5" topLeftCell="H6" activePane="bottomRight" state="frozen"/>
      <selection pane="topRight"/>
      <selection pane="bottomLeft"/>
      <selection pane="bottomRight"/>
    </sheetView>
  </sheetViews>
  <sheetFormatPr baseColWidth="10" defaultColWidth="8.83203125" defaultRowHeight="14" outlineLevelCol="1"/>
  <cols>
    <col min="1" max="1" width="46" customWidth="1"/>
    <col min="2" max="2" width="34" hidden="1" customWidth="1" outlineLevel="1"/>
    <col min="3" max="3" width="12" customWidth="1" collapsed="1"/>
    <col min="4" max="12" width="12" customWidth="1"/>
    <col min="13" max="13" width="9" customWidth="1"/>
    <col min="14" max="21" width="12" customWidth="1"/>
  </cols>
  <sheetData>
    <row r="1" spans="1:21" ht="28" customHeight="1">
      <c r="A1" s="1" t="s">
        <v>483</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HYPERLINK("#'Note Schedules'!A17","1. PROPERTY AND EQUIPMENT (NOTE)")</f>
        <v>1. PROPERTY AND EQUIPMENT (NOTE)</v>
      </c>
      <c r="M7" s="9"/>
    </row>
    <row r="8" spans="1:21">
      <c r="A8" s="11" t="str">
        <f>HYPERLINK("#'Note Schedules'!A29","2. INCOME TAXES (NOTE)")</f>
        <v>2. INCOME TAXES (NOTE)</v>
      </c>
      <c r="M8" s="9"/>
    </row>
    <row r="9" spans="1:21">
      <c r="A9" s="11" t="str">
        <f>HYPERLINK("#'Note Schedules'!A47","3. OTHER OPERATING (INCOME) EXPENSE, NET - COMPONENTS (MD&amp;A / NOTE)")</f>
        <v>3. OTHER OPERATING (INCOME) EXPENSE, NET - COMPONENTS (MD&amp;A / NOTE)</v>
      </c>
      <c r="M9" s="9"/>
    </row>
    <row r="10" spans="1:21">
      <c r="A10" s="11" t="str">
        <f>HYPERLINK("#'Note Schedules'!A56","4. NONOPERATING (INCOME) EXPENSE, NET - COMPONENTS (MD&amp;A)")</f>
        <v>4. NONOPERATING (INCOME) EXPENSE, NET - COMPONENTS (MD&amp;A)</v>
      </c>
      <c r="M10" s="9"/>
    </row>
    <row r="11" spans="1:21">
      <c r="A11" s="11" t="str">
        <f>HYPERLINK("#'Note Schedules'!A64","5. GOODWILL BY SEGMENT (YEAR END; NOTE)")</f>
        <v>5. GOODWILL BY SEGMENT (YEAR END; NOTE)</v>
      </c>
      <c r="M11" s="9"/>
    </row>
    <row r="12" spans="1:21">
      <c r="A12" s="11" t="str">
        <f>HYPERLINK("#'Note Schedules'!A71","6. DEBT BY CURRENCY, FAIR VALUE AND MATURITY (FINANCING NOTE)")</f>
        <v>6. DEBT BY CURRENCY, FAIR VALUE AND MATURITY (FINANCING NOTE)</v>
      </c>
      <c r="M12" s="9"/>
    </row>
    <row r="13" spans="1:21">
      <c r="A13" s="11" t="str">
        <f>HYPERLINK("#'Note Schedules'!A92","7. RENT, LEASE COMMITMENTS AND MINIMUM RENT RECEIVABLE")</f>
        <v>7. RENT, LEASE COMMITMENTS AND MINIMUM RENT RECEIVABLE</v>
      </c>
      <c r="M13" s="9"/>
    </row>
    <row r="14" spans="1:21">
      <c r="A14" s="11" t="str">
        <f>HYPERLINK("#'Note Schedules'!A106","8. FRANCHISE-ARRANGEMENT ASSETS, ADVERTISING AND SHARE-BASED COMPENSATION")</f>
        <v>8. FRANCHISE-ARRANGEMENT ASSETS, ADVERTISING AND SHARE-BASED COMPENSATION</v>
      </c>
      <c r="M14" s="9"/>
    </row>
    <row r="15" spans="1:21">
      <c r="A15" s="11" t="str">
        <f>HYPERLINK("#'Note Schedules'!A121","9. OTHER OPERATING FACTS DISCLOSED IN TEXT ONLY (APPROXIMATE; NOT TABULATED BY THE COMPANY)")</f>
        <v>9. OTHER OPERATING FACTS DISCLOSED IN TEXT ONLY (APPROXIMATE; NOT TABULATED BY THE COMPANY)</v>
      </c>
      <c r="M15" s="9"/>
    </row>
    <row r="16" spans="1:21" ht="8" customHeight="1">
      <c r="M16" s="9"/>
    </row>
    <row r="17" spans="1:21" ht="20" customHeight="1">
      <c r="A17" s="12" t="s">
        <v>484</v>
      </c>
      <c r="B17" s="2"/>
      <c r="C17" s="2"/>
      <c r="D17" s="2"/>
      <c r="E17" s="2"/>
      <c r="F17" s="2"/>
      <c r="G17" s="2"/>
      <c r="H17" s="2"/>
      <c r="I17" s="2"/>
      <c r="J17" s="2"/>
      <c r="K17" s="2"/>
      <c r="L17" s="2"/>
      <c r="M17" s="9"/>
      <c r="N17" s="2"/>
      <c r="O17" s="2"/>
      <c r="P17" s="2"/>
      <c r="Q17" s="2"/>
      <c r="R17" s="2"/>
      <c r="S17" s="2"/>
      <c r="T17" s="2"/>
      <c r="U17" s="2"/>
    </row>
    <row r="18" spans="1:21">
      <c r="A18" s="13" t="s">
        <v>485</v>
      </c>
      <c r="D18" s="14">
        <v>5662.2</v>
      </c>
      <c r="E18" s="14">
        <v>5521.4</v>
      </c>
      <c r="F18" s="14">
        <v>6026.4</v>
      </c>
      <c r="G18" s="14">
        <v>6349.1</v>
      </c>
      <c r="H18" s="14">
        <v>6487.6</v>
      </c>
      <c r="I18" s="14">
        <v>6686.3</v>
      </c>
      <c r="J18" s="14">
        <v>7081</v>
      </c>
      <c r="K18" s="14">
        <v>7253</v>
      </c>
      <c r="L18" s="14">
        <v>8169</v>
      </c>
      <c r="M18" s="9"/>
    </row>
    <row r="19" spans="1:21">
      <c r="A19" s="13" t="s">
        <v>486</v>
      </c>
      <c r="D19" s="14">
        <v>14776.9</v>
      </c>
      <c r="E19" s="14">
        <v>15377.4</v>
      </c>
      <c r="F19" s="14">
        <v>17003.7</v>
      </c>
      <c r="G19" s="14">
        <v>18218.900000000001</v>
      </c>
      <c r="H19" s="14">
        <v>18666</v>
      </c>
      <c r="I19" s="14">
        <v>18934.2</v>
      </c>
      <c r="J19" s="14">
        <v>20059</v>
      </c>
      <c r="K19" s="14">
        <v>20487</v>
      </c>
      <c r="L19" s="14">
        <v>22202</v>
      </c>
      <c r="M19" s="9"/>
    </row>
    <row r="20" spans="1:21">
      <c r="A20" s="13" t="s">
        <v>487</v>
      </c>
      <c r="D20" s="14">
        <v>12509.2</v>
      </c>
      <c r="E20" s="14">
        <v>12863.6</v>
      </c>
      <c r="F20" s="14">
        <v>12605.9</v>
      </c>
      <c r="G20" s="14">
        <v>13364.5</v>
      </c>
      <c r="H20" s="14">
        <v>13283.3</v>
      </c>
      <c r="I20" s="14">
        <v>12492</v>
      </c>
      <c r="J20" s="14">
        <v>13322</v>
      </c>
      <c r="K20" s="14">
        <v>13417</v>
      </c>
      <c r="L20" s="14">
        <v>15506</v>
      </c>
      <c r="M20" s="9"/>
    </row>
    <row r="21" spans="1:21">
      <c r="A21" s="13" t="s">
        <v>488</v>
      </c>
      <c r="D21" s="14">
        <v>3165.7</v>
      </c>
      <c r="E21" s="14">
        <v>2942.6</v>
      </c>
      <c r="F21" s="14">
        <v>2994.5</v>
      </c>
      <c r="G21" s="14">
        <v>3119</v>
      </c>
      <c r="H21" s="14">
        <v>3032</v>
      </c>
      <c r="I21" s="14">
        <v>2498.6</v>
      </c>
      <c r="J21" s="14">
        <v>2693</v>
      </c>
      <c r="K21" s="14">
        <v>2586</v>
      </c>
      <c r="L21" s="14">
        <v>2954</v>
      </c>
      <c r="M21" s="9"/>
    </row>
    <row r="22" spans="1:21">
      <c r="A22" s="13" t="s">
        <v>220</v>
      </c>
      <c r="D22" s="14">
        <v>512.4</v>
      </c>
      <c r="E22" s="14">
        <v>488.6</v>
      </c>
      <c r="F22" s="14">
        <v>420.4</v>
      </c>
      <c r="G22" s="14">
        <v>425</v>
      </c>
      <c r="H22" s="14">
        <v>447.7</v>
      </c>
      <c r="I22" s="14">
        <v>426.5</v>
      </c>
      <c r="J22" s="14">
        <v>414</v>
      </c>
      <c r="K22" s="14">
        <v>434</v>
      </c>
      <c r="L22" s="14">
        <v>459</v>
      </c>
      <c r="M22" s="9"/>
    </row>
    <row r="23" spans="1:21">
      <c r="A23" s="10" t="s">
        <v>167</v>
      </c>
      <c r="D23" s="16">
        <v>36626.400000000001</v>
      </c>
      <c r="E23" s="16">
        <v>37193.599999999999</v>
      </c>
      <c r="F23" s="16">
        <v>39050.9</v>
      </c>
      <c r="G23" s="16">
        <v>41476.5</v>
      </c>
      <c r="H23" s="16">
        <v>41916.6</v>
      </c>
      <c r="I23" s="16">
        <v>41037.599999999999</v>
      </c>
      <c r="J23" s="16">
        <v>43570</v>
      </c>
      <c r="K23" s="16">
        <v>44177</v>
      </c>
      <c r="L23" s="16">
        <v>49290</v>
      </c>
      <c r="M23" s="17"/>
    </row>
    <row r="24" spans="1:21">
      <c r="A24" s="13" t="s">
        <v>168</v>
      </c>
      <c r="D24" s="14">
        <v>-14178.1</v>
      </c>
      <c r="E24" s="14">
        <v>-14350.9</v>
      </c>
      <c r="F24" s="14">
        <v>-14890.9</v>
      </c>
      <c r="G24" s="14">
        <v>-16518.3</v>
      </c>
      <c r="H24" s="14">
        <v>-17196</v>
      </c>
      <c r="I24" s="14">
        <v>-17264</v>
      </c>
      <c r="J24" s="14">
        <v>-18662</v>
      </c>
      <c r="K24" s="14">
        <v>-18882</v>
      </c>
      <c r="L24" s="14">
        <v>-21049</v>
      </c>
      <c r="M24" s="9"/>
    </row>
    <row r="25" spans="1:21">
      <c r="A25" s="10" t="s">
        <v>169</v>
      </c>
      <c r="D25" s="16">
        <v>22448.3</v>
      </c>
      <c r="E25" s="16">
        <v>22842.7</v>
      </c>
      <c r="F25" s="16">
        <v>24160</v>
      </c>
      <c r="G25" s="16">
        <v>24958.2</v>
      </c>
      <c r="H25" s="16">
        <v>24720.6</v>
      </c>
      <c r="I25" s="16">
        <v>23773.599999999999</v>
      </c>
      <c r="J25" s="16">
        <v>24908</v>
      </c>
      <c r="K25" s="16">
        <v>25295</v>
      </c>
      <c r="L25" s="16">
        <v>28241</v>
      </c>
      <c r="M25" s="17"/>
    </row>
    <row r="26" spans="1:21">
      <c r="A26" s="18" t="s">
        <v>489</v>
      </c>
      <c r="D26" s="25">
        <f t="shared" ref="D26:L26" si="0">D18+D19+D20+D21+D22-D23</f>
        <v>0</v>
      </c>
      <c r="E26" s="25">
        <f t="shared" si="0"/>
        <v>0</v>
      </c>
      <c r="F26" s="25">
        <f t="shared" si="0"/>
        <v>0</v>
      </c>
      <c r="G26" s="25">
        <f t="shared" si="0"/>
        <v>0</v>
      </c>
      <c r="H26" s="25">
        <f t="shared" si="0"/>
        <v>0</v>
      </c>
      <c r="I26" s="25">
        <f t="shared" si="0"/>
        <v>0</v>
      </c>
      <c r="J26" s="25">
        <f t="shared" si="0"/>
        <v>-1</v>
      </c>
      <c r="K26" s="25">
        <f t="shared" si="0"/>
        <v>0</v>
      </c>
      <c r="L26" s="25">
        <f t="shared" si="0"/>
        <v>0</v>
      </c>
      <c r="M26" s="9"/>
    </row>
    <row r="27" spans="1:21">
      <c r="A27" s="18" t="s">
        <v>490</v>
      </c>
      <c r="D27" s="25">
        <f>D25-'Balance Sheet'!D28</f>
        <v>0</v>
      </c>
      <c r="E27" s="25">
        <f>E25-'Balance Sheet'!E28</f>
        <v>0</v>
      </c>
      <c r="F27" s="25">
        <f>F25-'Balance Sheet'!F28</f>
        <v>0</v>
      </c>
      <c r="G27" s="25">
        <f>G25-'Balance Sheet'!G28</f>
        <v>0</v>
      </c>
      <c r="H27" s="25">
        <f>H25-'Balance Sheet'!H28</f>
        <v>0</v>
      </c>
      <c r="I27" s="25">
        <f>I25-'Balance Sheet'!I28</f>
        <v>0</v>
      </c>
      <c r="J27" s="25">
        <f>J25-'Balance Sheet'!J28</f>
        <v>0</v>
      </c>
      <c r="K27" s="25">
        <f>K25-'Balance Sheet'!K28</f>
        <v>0</v>
      </c>
      <c r="L27" s="25">
        <f>L25-'Balance Sheet'!L28</f>
        <v>0</v>
      </c>
      <c r="M27" s="9"/>
    </row>
    <row r="28" spans="1:21" ht="8" customHeight="1">
      <c r="M28" s="9"/>
    </row>
    <row r="29" spans="1:21" ht="20" customHeight="1">
      <c r="A29" s="12" t="s">
        <v>491</v>
      </c>
      <c r="B29" s="2"/>
      <c r="C29" s="2"/>
      <c r="D29" s="2"/>
      <c r="E29" s="2"/>
      <c r="F29" s="2"/>
      <c r="G29" s="2"/>
      <c r="H29" s="2"/>
      <c r="I29" s="2"/>
      <c r="J29" s="2"/>
      <c r="K29" s="2"/>
      <c r="L29" s="2"/>
      <c r="M29" s="9"/>
      <c r="N29" s="2"/>
      <c r="O29" s="2"/>
      <c r="P29" s="2"/>
      <c r="Q29" s="2"/>
      <c r="R29" s="2"/>
      <c r="S29" s="2"/>
      <c r="T29" s="2"/>
      <c r="U29" s="2"/>
    </row>
    <row r="30" spans="1:21">
      <c r="A30" s="13" t="s">
        <v>492</v>
      </c>
      <c r="C30" s="14">
        <v>2059.4</v>
      </c>
      <c r="D30" s="14">
        <v>2242</v>
      </c>
      <c r="E30" s="14">
        <v>2218</v>
      </c>
      <c r="F30" s="14">
        <v>2159.1</v>
      </c>
      <c r="G30" s="14">
        <v>1390.4</v>
      </c>
      <c r="H30" s="14">
        <v>2413.9</v>
      </c>
      <c r="I30" s="14">
        <v>1846</v>
      </c>
      <c r="J30" s="14">
        <v>3665</v>
      </c>
      <c r="K30" s="14">
        <v>3282</v>
      </c>
      <c r="L30" s="14">
        <v>3291</v>
      </c>
      <c r="M30" s="9"/>
    </row>
    <row r="31" spans="1:21">
      <c r="A31" s="13" t="s">
        <v>493</v>
      </c>
      <c r="C31" s="14">
        <v>4806.6000000000004</v>
      </c>
      <c r="D31" s="14">
        <v>6331.5</v>
      </c>
      <c r="E31" s="14">
        <v>5598.1</v>
      </c>
      <c r="F31" s="14">
        <v>5859</v>
      </c>
      <c r="G31" s="14">
        <v>4750.3</v>
      </c>
      <c r="H31" s="14">
        <v>6714</v>
      </c>
      <c r="I31" s="14">
        <v>5980</v>
      </c>
      <c r="J31" s="14">
        <v>6857</v>
      </c>
      <c r="K31" s="14">
        <v>7062</v>
      </c>
      <c r="L31" s="14">
        <v>7606</v>
      </c>
      <c r="M31" s="9"/>
    </row>
    <row r="32" spans="1:21">
      <c r="A32" s="10" t="s">
        <v>137</v>
      </c>
      <c r="C32" s="16">
        <v>6866</v>
      </c>
      <c r="D32" s="16">
        <v>8573.5</v>
      </c>
      <c r="E32" s="16">
        <v>7816.1</v>
      </c>
      <c r="F32" s="16">
        <v>8018.1</v>
      </c>
      <c r="G32" s="16">
        <v>6140.7</v>
      </c>
      <c r="H32" s="16">
        <v>9127.9</v>
      </c>
      <c r="I32" s="16">
        <v>7825</v>
      </c>
      <c r="J32" s="16">
        <v>10522</v>
      </c>
      <c r="K32" s="16">
        <v>10345</v>
      </c>
      <c r="L32" s="16">
        <v>10897</v>
      </c>
      <c r="M32" s="17"/>
    </row>
    <row r="33" spans="1:21">
      <c r="A33" s="13" t="s">
        <v>494</v>
      </c>
      <c r="C33" s="14">
        <v>1046.5999999999999</v>
      </c>
      <c r="D33" s="14">
        <v>2030.8</v>
      </c>
      <c r="E33" s="14">
        <v>292.89999999999998</v>
      </c>
      <c r="F33" s="14">
        <v>521.79999999999995</v>
      </c>
      <c r="G33" s="14">
        <v>554.1</v>
      </c>
      <c r="H33" s="14">
        <v>887.6</v>
      </c>
      <c r="I33" s="14">
        <v>517</v>
      </c>
      <c r="J33" s="14">
        <v>1340</v>
      </c>
      <c r="K33" s="14">
        <v>1412</v>
      </c>
      <c r="L33" s="14">
        <v>1085</v>
      </c>
      <c r="M33" s="9"/>
    </row>
    <row r="34" spans="1:21">
      <c r="A34" s="13" t="s">
        <v>495</v>
      </c>
      <c r="C34" s="14">
        <v>121.3</v>
      </c>
      <c r="D34" s="14">
        <v>169.8</v>
      </c>
      <c r="E34" s="14">
        <v>183.9</v>
      </c>
      <c r="F34" s="14">
        <v>194.7</v>
      </c>
      <c r="G34" s="14">
        <v>119.1</v>
      </c>
      <c r="H34" s="14">
        <v>228.1</v>
      </c>
      <c r="I34" s="14">
        <v>246</v>
      </c>
      <c r="J34" s="14">
        <v>263</v>
      </c>
      <c r="K34" s="14">
        <v>269</v>
      </c>
      <c r="L34" s="14">
        <v>198</v>
      </c>
      <c r="M34" s="9"/>
    </row>
    <row r="35" spans="1:21">
      <c r="A35" s="13" t="s">
        <v>496</v>
      </c>
      <c r="C35" s="14">
        <v>1550.2</v>
      </c>
      <c r="D35" s="14">
        <v>1217</v>
      </c>
      <c r="E35" s="14">
        <v>1312.4</v>
      </c>
      <c r="F35" s="14">
        <v>1126.5</v>
      </c>
      <c r="G35" s="14">
        <v>730.6</v>
      </c>
      <c r="H35" s="14">
        <v>895.3</v>
      </c>
      <c r="I35" s="14">
        <v>1230</v>
      </c>
      <c r="J35" s="14">
        <v>1137</v>
      </c>
      <c r="K35" s="14">
        <v>1014</v>
      </c>
      <c r="L35" s="14">
        <v>1177</v>
      </c>
      <c r="M35" s="9"/>
    </row>
    <row r="36" spans="1:21">
      <c r="A36" s="10" t="s">
        <v>497</v>
      </c>
      <c r="C36" s="16">
        <v>2718.1</v>
      </c>
      <c r="D36" s="16">
        <v>3417.6</v>
      </c>
      <c r="E36" s="16">
        <v>1789.2</v>
      </c>
      <c r="F36" s="16">
        <v>1843</v>
      </c>
      <c r="G36" s="16">
        <v>1403.8</v>
      </c>
      <c r="H36" s="16">
        <v>2011</v>
      </c>
      <c r="I36" s="16">
        <v>1994</v>
      </c>
      <c r="J36" s="16">
        <v>2740</v>
      </c>
      <c r="K36" s="16">
        <v>2695</v>
      </c>
      <c r="L36" s="16">
        <v>2460</v>
      </c>
      <c r="M36" s="17"/>
    </row>
    <row r="37" spans="1:21">
      <c r="A37" s="13" t="s">
        <v>498</v>
      </c>
      <c r="C37" s="14">
        <v>-122.1</v>
      </c>
      <c r="D37" s="14">
        <v>-120.1</v>
      </c>
      <c r="E37" s="14">
        <v>145.69999999999999</v>
      </c>
      <c r="F37" s="14">
        <v>38.5</v>
      </c>
      <c r="G37" s="14">
        <v>870.3</v>
      </c>
      <c r="H37" s="14">
        <v>-177.4</v>
      </c>
      <c r="I37" s="14">
        <v>-80</v>
      </c>
      <c r="J37" s="14">
        <v>-146</v>
      </c>
      <c r="K37" s="14">
        <v>-76</v>
      </c>
      <c r="L37" s="14">
        <v>-349</v>
      </c>
      <c r="M37" s="9"/>
    </row>
    <row r="38" spans="1:21">
      <c r="A38" s="13" t="s">
        <v>499</v>
      </c>
      <c r="C38" s="14">
        <v>14.1</v>
      </c>
      <c r="D38" s="14">
        <v>12.8</v>
      </c>
      <c r="E38" s="14">
        <v>18.7</v>
      </c>
      <c r="F38" s="14">
        <v>20</v>
      </c>
      <c r="G38" s="14">
        <v>73.3</v>
      </c>
      <c r="H38" s="14">
        <v>-24.1</v>
      </c>
      <c r="I38" s="14">
        <v>-46</v>
      </c>
      <c r="J38" s="14">
        <v>-30</v>
      </c>
      <c r="K38" s="14">
        <v>-20</v>
      </c>
      <c r="L38" s="14">
        <v>-84</v>
      </c>
      <c r="M38" s="9"/>
    </row>
    <row r="39" spans="1:21">
      <c r="A39" s="13" t="s">
        <v>500</v>
      </c>
      <c r="C39" s="14">
        <v>-430.6</v>
      </c>
      <c r="D39" s="14">
        <v>70.900000000000006</v>
      </c>
      <c r="E39" s="14">
        <v>-61.8</v>
      </c>
      <c r="F39" s="14">
        <v>91.2</v>
      </c>
      <c r="G39" s="14">
        <v>-937.2</v>
      </c>
      <c r="H39" s="14">
        <v>-226.8</v>
      </c>
      <c r="I39" s="14">
        <v>-220</v>
      </c>
      <c r="J39" s="14">
        <v>-511</v>
      </c>
      <c r="K39" s="14">
        <v>-478</v>
      </c>
      <c r="L39" s="14">
        <v>307</v>
      </c>
      <c r="M39" s="9"/>
    </row>
    <row r="40" spans="1:21">
      <c r="A40" s="10" t="s">
        <v>501</v>
      </c>
      <c r="C40" s="16">
        <v>-538.6</v>
      </c>
      <c r="D40" s="16">
        <v>-36.4</v>
      </c>
      <c r="E40" s="16">
        <v>102.6</v>
      </c>
      <c r="F40" s="16">
        <v>149.69999999999999</v>
      </c>
      <c r="G40" s="16">
        <v>6.4</v>
      </c>
      <c r="H40" s="16">
        <v>-428.3</v>
      </c>
      <c r="I40" s="16">
        <v>-346</v>
      </c>
      <c r="J40" s="16">
        <v>-686</v>
      </c>
      <c r="K40" s="16">
        <v>-574</v>
      </c>
      <c r="L40" s="16">
        <v>-126</v>
      </c>
      <c r="M40" s="17"/>
    </row>
    <row r="41" spans="1:21">
      <c r="A41" s="10" t="s">
        <v>138</v>
      </c>
      <c r="C41" s="16">
        <v>2179.5</v>
      </c>
      <c r="D41" s="16">
        <v>3381.2</v>
      </c>
      <c r="E41" s="16">
        <v>1891.8</v>
      </c>
      <c r="F41" s="16">
        <v>1992.7</v>
      </c>
      <c r="G41" s="16">
        <v>1410.2</v>
      </c>
      <c r="H41" s="16">
        <v>1582.7</v>
      </c>
      <c r="I41" s="16">
        <v>1648</v>
      </c>
      <c r="J41" s="16">
        <v>2053</v>
      </c>
      <c r="K41" s="16">
        <v>2121</v>
      </c>
      <c r="L41" s="16">
        <v>2334</v>
      </c>
      <c r="M41" s="17"/>
    </row>
    <row r="42" spans="1:21">
      <c r="A42" s="18" t="s">
        <v>502</v>
      </c>
      <c r="C42" s="19">
        <f t="shared" ref="C42:L42" si="1">C30/C32</f>
        <v>0.29994174191669093</v>
      </c>
      <c r="D42" s="19">
        <f t="shared" si="1"/>
        <v>0.26150346999475127</v>
      </c>
      <c r="E42" s="19">
        <f t="shared" si="1"/>
        <v>0.28377323729225573</v>
      </c>
      <c r="F42" s="19">
        <f t="shared" si="1"/>
        <v>0.26927825794140753</v>
      </c>
      <c r="G42" s="19">
        <f t="shared" si="1"/>
        <v>0.2264236976240494</v>
      </c>
      <c r="H42" s="19">
        <f t="shared" si="1"/>
        <v>0.26445294098313965</v>
      </c>
      <c r="I42" s="19">
        <f t="shared" si="1"/>
        <v>0.23591054313099041</v>
      </c>
      <c r="J42" s="19">
        <f t="shared" si="1"/>
        <v>0.34831781030222392</v>
      </c>
      <c r="K42" s="19">
        <f t="shared" si="1"/>
        <v>0.31725471242145964</v>
      </c>
      <c r="L42" s="19">
        <f t="shared" si="1"/>
        <v>0.30200972744792143</v>
      </c>
      <c r="M42" s="9"/>
    </row>
    <row r="43" spans="1:21">
      <c r="A43" s="18" t="s">
        <v>503</v>
      </c>
      <c r="C43" s="25">
        <f>C32-'Income Statement'!C39</f>
        <v>0</v>
      </c>
      <c r="D43" s="25">
        <f>D32-'Income Statement'!D39</f>
        <v>0</v>
      </c>
      <c r="E43" s="25">
        <f>E32-'Income Statement'!E39</f>
        <v>0</v>
      </c>
      <c r="F43" s="25">
        <f>F32-'Income Statement'!F39</f>
        <v>0</v>
      </c>
      <c r="G43" s="25">
        <f>G32-'Income Statement'!G39</f>
        <v>0</v>
      </c>
      <c r="H43" s="25">
        <f>H32-'Income Statement'!H39</f>
        <v>0</v>
      </c>
      <c r="I43" s="25">
        <f>I32-'Income Statement'!I39</f>
        <v>0</v>
      </c>
      <c r="J43" s="25">
        <f>J32-'Income Statement'!J39</f>
        <v>0</v>
      </c>
      <c r="K43" s="25">
        <f>K32-'Income Statement'!K39</f>
        <v>0</v>
      </c>
      <c r="L43" s="25">
        <f>L32-'Income Statement'!L39</f>
        <v>0</v>
      </c>
      <c r="M43" s="9"/>
    </row>
    <row r="44" spans="1:21">
      <c r="A44" s="18" t="s">
        <v>504</v>
      </c>
      <c r="C44" s="25">
        <f>C41-'Income Statement'!C40</f>
        <v>0</v>
      </c>
      <c r="D44" s="25">
        <f>D41-'Income Statement'!D40</f>
        <v>0</v>
      </c>
      <c r="E44" s="25">
        <f>E41-'Income Statement'!E40</f>
        <v>0</v>
      </c>
      <c r="F44" s="25">
        <f>F41-'Income Statement'!F40</f>
        <v>0</v>
      </c>
      <c r="G44" s="25">
        <f>G41-'Income Statement'!G40</f>
        <v>0</v>
      </c>
      <c r="H44" s="25">
        <f>H41-'Income Statement'!H40</f>
        <v>0</v>
      </c>
      <c r="I44" s="25">
        <f>I41-'Income Statement'!I40</f>
        <v>0</v>
      </c>
      <c r="J44" s="25">
        <f>J41-'Income Statement'!J40</f>
        <v>0</v>
      </c>
      <c r="K44" s="25">
        <f>K41-'Income Statement'!K40</f>
        <v>0</v>
      </c>
      <c r="L44" s="25">
        <f>L41-'Income Statement'!L40</f>
        <v>0</v>
      </c>
      <c r="M44" s="9"/>
    </row>
    <row r="45" spans="1:21">
      <c r="A45" s="18" t="s">
        <v>505</v>
      </c>
      <c r="C45" s="25">
        <f t="shared" ref="C45:L45" si="2">C36+C40-C41</f>
        <v>0</v>
      </c>
      <c r="D45" s="25">
        <f t="shared" si="2"/>
        <v>0</v>
      </c>
      <c r="E45" s="25">
        <f t="shared" si="2"/>
        <v>0</v>
      </c>
      <c r="F45" s="25">
        <f t="shared" si="2"/>
        <v>0</v>
      </c>
      <c r="G45" s="25">
        <f t="shared" si="2"/>
        <v>0</v>
      </c>
      <c r="H45" s="25">
        <f t="shared" si="2"/>
        <v>0</v>
      </c>
      <c r="I45" s="25">
        <f t="shared" si="2"/>
        <v>0</v>
      </c>
      <c r="J45" s="25">
        <f t="shared" si="2"/>
        <v>1</v>
      </c>
      <c r="K45" s="25">
        <f t="shared" si="2"/>
        <v>0</v>
      </c>
      <c r="L45" s="25">
        <f t="shared" si="2"/>
        <v>0</v>
      </c>
      <c r="M45" s="9"/>
    </row>
    <row r="46" spans="1:21" ht="8" customHeight="1">
      <c r="M46" s="9"/>
    </row>
    <row r="47" spans="1:21" ht="20" customHeight="1">
      <c r="A47" s="12" t="s">
        <v>506</v>
      </c>
      <c r="B47" s="2"/>
      <c r="C47" s="2"/>
      <c r="D47" s="2"/>
      <c r="E47" s="2"/>
      <c r="F47" s="2"/>
      <c r="G47" s="2"/>
      <c r="H47" s="2"/>
      <c r="I47" s="2"/>
      <c r="J47" s="2"/>
      <c r="K47" s="2"/>
      <c r="L47" s="2"/>
      <c r="M47" s="9"/>
      <c r="N47" s="2"/>
      <c r="O47" s="2"/>
      <c r="P47" s="2"/>
      <c r="Q47" s="2"/>
      <c r="R47" s="2"/>
      <c r="S47" s="2"/>
      <c r="T47" s="2"/>
      <c r="U47" s="2"/>
    </row>
    <row r="48" spans="1:21">
      <c r="A48" s="13" t="s">
        <v>507</v>
      </c>
      <c r="C48" s="14">
        <v>-283.39999999999998</v>
      </c>
      <c r="D48" s="14">
        <v>-295.39999999999998</v>
      </c>
      <c r="E48" s="14">
        <v>-304.10000000000002</v>
      </c>
      <c r="F48" s="14">
        <v>-127.5</v>
      </c>
      <c r="G48" s="14">
        <v>-23.3</v>
      </c>
      <c r="H48" s="14">
        <v>-96.6</v>
      </c>
      <c r="I48" s="14">
        <v>-60</v>
      </c>
      <c r="J48" s="14">
        <v>-103</v>
      </c>
      <c r="K48" s="14">
        <v>-94</v>
      </c>
      <c r="L48" s="14">
        <v>-133</v>
      </c>
      <c r="M48" s="9"/>
    </row>
    <row r="49" spans="1:21">
      <c r="A49" s="13" t="s">
        <v>508</v>
      </c>
      <c r="C49" s="14">
        <v>-54.8</v>
      </c>
      <c r="D49" s="14">
        <v>-183.7</v>
      </c>
      <c r="E49" s="14">
        <v>-151.5</v>
      </c>
      <c r="F49" s="14">
        <v>-153.80000000000001</v>
      </c>
      <c r="G49" s="14">
        <v>-117.4</v>
      </c>
      <c r="H49" s="14">
        <v>-176.7</v>
      </c>
      <c r="I49" s="14">
        <v>-113</v>
      </c>
      <c r="J49" s="14">
        <v>-153</v>
      </c>
      <c r="K49" s="14">
        <v>-157</v>
      </c>
      <c r="L49" s="14">
        <v>-190</v>
      </c>
      <c r="M49" s="9"/>
    </row>
    <row r="50" spans="1:21">
      <c r="A50" s="13" t="s">
        <v>509</v>
      </c>
      <c r="C50" s="14">
        <v>72.3</v>
      </c>
      <c r="D50" s="14">
        <v>18.7</v>
      </c>
      <c r="E50" s="14">
        <v>33.700000000000003</v>
      </c>
      <c r="F50" s="14">
        <v>87.2</v>
      </c>
      <c r="G50" s="14">
        <v>290.7</v>
      </c>
      <c r="H50" s="14">
        <v>75.400000000000006</v>
      </c>
      <c r="I50" s="14">
        <v>137</v>
      </c>
      <c r="J50" s="14">
        <v>-7</v>
      </c>
      <c r="K50" s="14">
        <v>100</v>
      </c>
      <c r="L50" s="14">
        <v>97</v>
      </c>
      <c r="M50" s="9"/>
    </row>
    <row r="51" spans="1:21">
      <c r="A51" s="13" t="s">
        <v>510</v>
      </c>
      <c r="C51" s="14">
        <v>341.6</v>
      </c>
      <c r="D51" s="14">
        <v>-702.8</v>
      </c>
      <c r="E51" s="14">
        <v>231.7</v>
      </c>
      <c r="F51" s="14">
        <v>74.3</v>
      </c>
      <c r="G51" s="14">
        <v>-267.5</v>
      </c>
      <c r="H51" s="14">
        <v>-285.39999999999998</v>
      </c>
      <c r="I51" s="14">
        <v>1010</v>
      </c>
      <c r="J51" s="14">
        <v>362</v>
      </c>
      <c r="K51" s="14">
        <v>291</v>
      </c>
      <c r="L51" s="14">
        <v>229</v>
      </c>
      <c r="M51" s="9"/>
    </row>
    <row r="52" spans="1:21">
      <c r="A52" s="10" t="s">
        <v>131</v>
      </c>
      <c r="C52" s="16">
        <v>75.7</v>
      </c>
      <c r="D52" s="16">
        <v>-1163.2</v>
      </c>
      <c r="E52" s="16">
        <v>-190.2</v>
      </c>
      <c r="F52" s="16">
        <v>-119.8</v>
      </c>
      <c r="G52" s="16">
        <v>-117.5</v>
      </c>
      <c r="H52" s="16">
        <v>-483.3</v>
      </c>
      <c r="I52" s="16">
        <v>974</v>
      </c>
      <c r="J52" s="16">
        <v>99</v>
      </c>
      <c r="K52" s="16">
        <v>139</v>
      </c>
      <c r="L52" s="16">
        <v>2</v>
      </c>
      <c r="M52" s="17"/>
    </row>
    <row r="53" spans="1:21">
      <c r="A53" s="18" t="s">
        <v>511</v>
      </c>
      <c r="C53" s="25">
        <f t="shared" ref="C53:L53" si="3">C48+C49+C50+C51-C52</f>
        <v>0</v>
      </c>
      <c r="D53" s="25">
        <f t="shared" si="3"/>
        <v>0</v>
      </c>
      <c r="E53" s="25">
        <f t="shared" si="3"/>
        <v>0</v>
      </c>
      <c r="F53" s="25">
        <f t="shared" si="3"/>
        <v>0</v>
      </c>
      <c r="G53" s="25">
        <f t="shared" si="3"/>
        <v>0</v>
      </c>
      <c r="H53" s="25">
        <f t="shared" si="3"/>
        <v>0</v>
      </c>
      <c r="I53" s="25">
        <f t="shared" si="3"/>
        <v>0</v>
      </c>
      <c r="J53" s="25">
        <f t="shared" si="3"/>
        <v>0</v>
      </c>
      <c r="K53" s="25">
        <f t="shared" si="3"/>
        <v>1</v>
      </c>
      <c r="L53" s="25">
        <f t="shared" si="3"/>
        <v>1</v>
      </c>
      <c r="M53" s="9"/>
    </row>
    <row r="54" spans="1:21">
      <c r="A54" s="18" t="s">
        <v>512</v>
      </c>
      <c r="C54" s="25">
        <f>C52-'Income Statement'!C31</f>
        <v>0</v>
      </c>
      <c r="D54" s="25">
        <f>D52-'Income Statement'!D31</f>
        <v>0</v>
      </c>
      <c r="E54" s="25">
        <f>E52-'Income Statement'!E31</f>
        <v>0</v>
      </c>
      <c r="F54" s="25">
        <f>F52-'Income Statement'!F31</f>
        <v>0</v>
      </c>
      <c r="G54" s="25">
        <f>G52-'Income Statement'!G31</f>
        <v>0</v>
      </c>
      <c r="H54" s="25">
        <f>H52-'Income Statement'!H31</f>
        <v>0</v>
      </c>
      <c r="I54" s="25">
        <f>I52-'Income Statement'!I31</f>
        <v>0</v>
      </c>
      <c r="J54" s="25">
        <f>J52-'Income Statement'!J31</f>
        <v>0</v>
      </c>
      <c r="K54" s="25">
        <f>K52-'Income Statement'!K31</f>
        <v>0</v>
      </c>
      <c r="L54" s="25">
        <f>L52-'Income Statement'!L31</f>
        <v>0</v>
      </c>
      <c r="M54" s="9"/>
    </row>
    <row r="55" spans="1:21" ht="8" customHeight="1">
      <c r="M55" s="9"/>
    </row>
    <row r="56" spans="1:21" ht="20" customHeight="1">
      <c r="A56" s="12" t="s">
        <v>513</v>
      </c>
      <c r="B56" s="2"/>
      <c r="C56" s="2"/>
      <c r="D56" s="2"/>
      <c r="E56" s="2"/>
      <c r="F56" s="2"/>
      <c r="G56" s="2"/>
      <c r="H56" s="2"/>
      <c r="I56" s="2"/>
      <c r="J56" s="2"/>
      <c r="K56" s="2"/>
      <c r="L56" s="2"/>
      <c r="M56" s="9"/>
      <c r="N56" s="2"/>
      <c r="O56" s="2"/>
      <c r="P56" s="2"/>
      <c r="Q56" s="2"/>
      <c r="R56" s="2"/>
      <c r="S56" s="2"/>
      <c r="T56" s="2"/>
      <c r="U56" s="2"/>
    </row>
    <row r="57" spans="1:21">
      <c r="A57" s="13" t="s">
        <v>514</v>
      </c>
      <c r="C57" s="14">
        <v>-4</v>
      </c>
      <c r="D57" s="14">
        <v>-7</v>
      </c>
      <c r="E57" s="14">
        <v>-4</v>
      </c>
      <c r="F57" s="14">
        <v>-37</v>
      </c>
      <c r="G57" s="14">
        <v>-18</v>
      </c>
      <c r="H57" s="14">
        <v>-9</v>
      </c>
      <c r="I57" s="14">
        <v>-44</v>
      </c>
      <c r="J57" s="14">
        <v>-187</v>
      </c>
      <c r="K57" s="14">
        <v>-103</v>
      </c>
      <c r="L57" s="14">
        <v>-82</v>
      </c>
      <c r="M57" s="9"/>
    </row>
    <row r="58" spans="1:21">
      <c r="A58" s="13" t="s">
        <v>515</v>
      </c>
      <c r="C58" s="14">
        <v>-24</v>
      </c>
      <c r="D58" s="14">
        <v>26</v>
      </c>
      <c r="E58" s="14">
        <v>5</v>
      </c>
      <c r="F58" s="14">
        <v>-48</v>
      </c>
      <c r="G58" s="14">
        <v>-3</v>
      </c>
      <c r="H58" s="14">
        <v>37</v>
      </c>
      <c r="I58" s="14">
        <v>-134</v>
      </c>
      <c r="J58" s="14">
        <v>-19</v>
      </c>
      <c r="K58" s="14">
        <v>6</v>
      </c>
      <c r="L58" s="14">
        <v>40</v>
      </c>
      <c r="M58" s="9"/>
    </row>
    <row r="59" spans="1:21">
      <c r="A59" s="13" t="s">
        <v>516</v>
      </c>
      <c r="C59" s="14">
        <v>22</v>
      </c>
      <c r="D59" s="14">
        <v>39</v>
      </c>
      <c r="E59" s="14">
        <v>25</v>
      </c>
      <c r="F59" s="14">
        <v>15</v>
      </c>
      <c r="G59" s="14">
        <v>-14</v>
      </c>
      <c r="H59" s="14">
        <v>14</v>
      </c>
      <c r="I59" s="14">
        <v>517</v>
      </c>
      <c r="J59" s="14">
        <v>-31</v>
      </c>
      <c r="K59" s="14">
        <v>-42</v>
      </c>
      <c r="L59" s="14">
        <v>-45</v>
      </c>
      <c r="M59" s="9"/>
    </row>
    <row r="60" spans="1:21">
      <c r="A60" s="10" t="s">
        <v>136</v>
      </c>
      <c r="C60" s="16">
        <v>-6</v>
      </c>
      <c r="D60" s="16">
        <v>58</v>
      </c>
      <c r="E60" s="16">
        <v>26</v>
      </c>
      <c r="F60" s="16">
        <v>-70</v>
      </c>
      <c r="G60" s="16">
        <v>-35</v>
      </c>
      <c r="H60" s="16">
        <v>42</v>
      </c>
      <c r="I60" s="16">
        <v>339</v>
      </c>
      <c r="J60" s="16">
        <v>-236</v>
      </c>
      <c r="K60" s="16">
        <v>-139</v>
      </c>
      <c r="L60" s="16">
        <v>-87</v>
      </c>
      <c r="M60" s="17"/>
    </row>
    <row r="61" spans="1:21">
      <c r="A61" s="18" t="s">
        <v>511</v>
      </c>
      <c r="C61" s="25">
        <f t="shared" ref="C61:L61" si="4">C57+C58+C59-C60</f>
        <v>0</v>
      </c>
      <c r="D61" s="25">
        <f t="shared" si="4"/>
        <v>0</v>
      </c>
      <c r="E61" s="25">
        <f t="shared" si="4"/>
        <v>0</v>
      </c>
      <c r="F61" s="25">
        <f t="shared" si="4"/>
        <v>0</v>
      </c>
      <c r="G61" s="25">
        <f t="shared" si="4"/>
        <v>0</v>
      </c>
      <c r="H61" s="25">
        <f t="shared" si="4"/>
        <v>0</v>
      </c>
      <c r="I61" s="25">
        <f t="shared" si="4"/>
        <v>0</v>
      </c>
      <c r="J61" s="25">
        <f t="shared" si="4"/>
        <v>-1</v>
      </c>
      <c r="K61" s="25">
        <f t="shared" si="4"/>
        <v>0</v>
      </c>
      <c r="L61" s="25">
        <f t="shared" si="4"/>
        <v>0</v>
      </c>
      <c r="M61" s="9"/>
    </row>
    <row r="62" spans="1:21">
      <c r="A62" s="18" t="s">
        <v>512</v>
      </c>
      <c r="C62" s="25">
        <f>C60-'Income Statement'!C38</f>
        <v>0.29999999999999982</v>
      </c>
      <c r="D62" s="25">
        <f>D60-'Income Statement'!D38</f>
        <v>0.10000000000000142</v>
      </c>
      <c r="E62" s="25">
        <f>E60-'Income Statement'!E38</f>
        <v>0.69999999999999929</v>
      </c>
      <c r="F62" s="25">
        <f>F60-'Income Statement'!F38</f>
        <v>0.20000000000000284</v>
      </c>
      <c r="G62" s="25">
        <f>G60-'Income Statement'!G38</f>
        <v>-0.20000000000000284</v>
      </c>
      <c r="H62" s="25">
        <f>H60-'Income Statement'!H38</f>
        <v>-0.29999999999999716</v>
      </c>
      <c r="I62" s="25">
        <f>I60-'Income Statement'!I38</f>
        <v>0</v>
      </c>
      <c r="J62" s="25">
        <f>J60-'Income Statement'!J38</f>
        <v>0</v>
      </c>
      <c r="K62" s="25">
        <f>K60-'Income Statement'!K38</f>
        <v>0</v>
      </c>
      <c r="L62" s="25">
        <f>L60-'Income Statement'!L38</f>
        <v>0</v>
      </c>
      <c r="M62" s="9"/>
    </row>
    <row r="63" spans="1:21" ht="8" customHeight="1">
      <c r="M63" s="9"/>
    </row>
    <row r="64" spans="1:21" ht="20" customHeight="1">
      <c r="A64" s="12" t="s">
        <v>517</v>
      </c>
      <c r="B64" s="2"/>
      <c r="C64" s="2"/>
      <c r="D64" s="2"/>
      <c r="E64" s="2"/>
      <c r="F64" s="2"/>
      <c r="G64" s="2"/>
      <c r="H64" s="2"/>
      <c r="I64" s="2"/>
      <c r="J64" s="2"/>
      <c r="K64" s="2"/>
      <c r="L64" s="2"/>
      <c r="M64" s="9"/>
      <c r="N64" s="2"/>
      <c r="O64" s="2"/>
      <c r="P64" s="2"/>
      <c r="Q64" s="2"/>
      <c r="R64" s="2"/>
      <c r="S64" s="2"/>
      <c r="T64" s="2"/>
      <c r="U64" s="2"/>
    </row>
    <row r="65" spans="1:21">
      <c r="A65" s="13" t="s">
        <v>278</v>
      </c>
      <c r="F65" s="14">
        <v>1615.8</v>
      </c>
      <c r="G65" s="14">
        <v>1625.5</v>
      </c>
      <c r="H65" s="14">
        <v>1673.4</v>
      </c>
      <c r="I65" s="14">
        <v>1815.2</v>
      </c>
      <c r="J65" s="14">
        <v>1833</v>
      </c>
      <c r="K65" s="14">
        <v>1851</v>
      </c>
      <c r="L65" s="14">
        <v>1850</v>
      </c>
      <c r="M65" s="9"/>
    </row>
    <row r="66" spans="1:21">
      <c r="A66" s="13" t="s">
        <v>279</v>
      </c>
      <c r="F66" s="14">
        <v>1061.5999999999999</v>
      </c>
      <c r="G66" s="14">
        <v>1147.5999999999999</v>
      </c>
      <c r="H66" s="14">
        <v>1109.0999999999999</v>
      </c>
      <c r="I66" s="14">
        <v>1085.2</v>
      </c>
      <c r="J66" s="14">
        <v>1207</v>
      </c>
      <c r="K66" s="14">
        <v>1132</v>
      </c>
      <c r="L66" s="14">
        <v>1319</v>
      </c>
      <c r="M66" s="9"/>
    </row>
    <row r="67" spans="1:21">
      <c r="A67" s="13" t="s">
        <v>280</v>
      </c>
      <c r="F67" s="14">
        <v>0</v>
      </c>
      <c r="G67" s="14">
        <v>0</v>
      </c>
      <c r="H67" s="14">
        <v>0</v>
      </c>
      <c r="I67" s="14">
        <v>0</v>
      </c>
      <c r="J67" s="14">
        <v>0</v>
      </c>
      <c r="K67" s="14">
        <v>162</v>
      </c>
      <c r="L67" s="14">
        <v>185</v>
      </c>
      <c r="M67" s="9"/>
    </row>
    <row r="68" spans="1:21">
      <c r="A68" s="10" t="s">
        <v>518</v>
      </c>
      <c r="C68" s="29">
        <f t="shared" ref="C68:L68" si="5">C65+C66+C67</f>
        <v>0</v>
      </c>
      <c r="D68" s="29">
        <f t="shared" si="5"/>
        <v>0</v>
      </c>
      <c r="E68" s="29">
        <f t="shared" si="5"/>
        <v>0</v>
      </c>
      <c r="F68" s="29">
        <f t="shared" si="5"/>
        <v>2677.3999999999996</v>
      </c>
      <c r="G68" s="29">
        <f t="shared" si="5"/>
        <v>2773.1</v>
      </c>
      <c r="H68" s="29">
        <f t="shared" si="5"/>
        <v>2782.5</v>
      </c>
      <c r="I68" s="29">
        <f t="shared" si="5"/>
        <v>2900.4</v>
      </c>
      <c r="J68" s="29">
        <f t="shared" si="5"/>
        <v>3040</v>
      </c>
      <c r="K68" s="29">
        <f t="shared" si="5"/>
        <v>3145</v>
      </c>
      <c r="L68" s="29">
        <f t="shared" si="5"/>
        <v>3354</v>
      </c>
      <c r="M68" s="17"/>
    </row>
    <row r="69" spans="1:21">
      <c r="A69" s="18" t="s">
        <v>519</v>
      </c>
      <c r="F69" s="25">
        <f>F68-'Balance Sheet'!F22</f>
        <v>0</v>
      </c>
      <c r="G69" s="25">
        <f>G68-'Balance Sheet'!G22</f>
        <v>0</v>
      </c>
      <c r="H69" s="25">
        <f>H68-'Balance Sheet'!H22</f>
        <v>0</v>
      </c>
      <c r="I69" s="25">
        <f>I68-'Balance Sheet'!I22</f>
        <v>0</v>
      </c>
      <c r="J69" s="25">
        <f>J68-'Balance Sheet'!J22</f>
        <v>0</v>
      </c>
      <c r="K69" s="25">
        <f>K68-'Balance Sheet'!K22</f>
        <v>0</v>
      </c>
      <c r="L69" s="25">
        <f>L68-'Balance Sheet'!L22</f>
        <v>0</v>
      </c>
      <c r="M69" s="9"/>
    </row>
    <row r="70" spans="1:21" ht="8" customHeight="1">
      <c r="M70" s="9"/>
    </row>
    <row r="71" spans="1:21" ht="20" customHeight="1">
      <c r="A71" s="12" t="s">
        <v>520</v>
      </c>
      <c r="B71" s="2"/>
      <c r="C71" s="2"/>
      <c r="D71" s="2"/>
      <c r="E71" s="2"/>
      <c r="F71" s="2"/>
      <c r="G71" s="2"/>
      <c r="H71" s="2"/>
      <c r="I71" s="2"/>
      <c r="J71" s="2"/>
      <c r="K71" s="2"/>
      <c r="L71" s="2"/>
      <c r="M71" s="9"/>
      <c r="N71" s="2"/>
      <c r="O71" s="2"/>
      <c r="P71" s="2"/>
      <c r="Q71" s="2"/>
      <c r="R71" s="2"/>
      <c r="S71" s="2"/>
      <c r="T71" s="2"/>
      <c r="U71" s="2"/>
    </row>
    <row r="72" spans="1:21">
      <c r="A72" s="13" t="s">
        <v>521</v>
      </c>
      <c r="C72" s="14">
        <v>17139.5</v>
      </c>
      <c r="D72" s="14">
        <v>17283.3</v>
      </c>
      <c r="E72" s="14">
        <v>19425.7</v>
      </c>
      <c r="F72" s="14">
        <v>21389.5</v>
      </c>
      <c r="G72" s="14">
        <v>23884.5</v>
      </c>
      <c r="H72" s="14">
        <v>22983.7</v>
      </c>
      <c r="I72" s="14">
        <v>23132</v>
      </c>
      <c r="J72" s="14">
        <v>24480</v>
      </c>
      <c r="K72" s="14">
        <v>25424</v>
      </c>
      <c r="L72" s="14">
        <v>24531</v>
      </c>
      <c r="M72" s="9"/>
    </row>
    <row r="73" spans="1:21">
      <c r="A73" s="13" t="s">
        <v>522</v>
      </c>
      <c r="C73" s="14">
        <v>7298.4</v>
      </c>
      <c r="D73" s="14">
        <v>9770</v>
      </c>
      <c r="E73" s="14">
        <v>9333.2000000000007</v>
      </c>
      <c r="F73" s="14">
        <v>9008.7999999999993</v>
      </c>
      <c r="G73" s="14">
        <v>9820.4</v>
      </c>
      <c r="H73" s="14">
        <v>9023.4</v>
      </c>
      <c r="I73" s="14">
        <v>9025.2999999999993</v>
      </c>
      <c r="J73" s="14">
        <v>11112</v>
      </c>
      <c r="K73" s="14">
        <v>9186</v>
      </c>
      <c r="L73" s="14">
        <v>11486</v>
      </c>
      <c r="M73" s="9"/>
    </row>
    <row r="74" spans="1:21">
      <c r="A74" s="13" t="s">
        <v>523</v>
      </c>
      <c r="C74" s="14">
        <v>921.3</v>
      </c>
      <c r="D74" s="14">
        <v>1008.9</v>
      </c>
      <c r="E74" s="14">
        <v>952.3</v>
      </c>
      <c r="F74" s="14">
        <v>1386.3</v>
      </c>
      <c r="G74" s="14">
        <v>1156.4000000000001</v>
      </c>
      <c r="H74" s="14">
        <v>1145</v>
      </c>
      <c r="I74" s="14">
        <v>1504.1</v>
      </c>
      <c r="J74" s="14">
        <v>1585</v>
      </c>
      <c r="K74" s="14">
        <v>1559</v>
      </c>
      <c r="L74" s="14">
        <v>1679</v>
      </c>
      <c r="M74" s="9"/>
    </row>
    <row r="75" spans="1:21">
      <c r="A75" s="13" t="s">
        <v>524</v>
      </c>
      <c r="C75" s="14">
        <v>0</v>
      </c>
      <c r="D75" s="14">
        <v>793.8</v>
      </c>
      <c r="E75" s="14">
        <v>732</v>
      </c>
      <c r="F75" s="14">
        <v>768.6</v>
      </c>
      <c r="G75" s="14">
        <v>784.9</v>
      </c>
      <c r="H75" s="14">
        <v>790.6</v>
      </c>
      <c r="I75" s="14">
        <v>737.3</v>
      </c>
      <c r="J75" s="14">
        <v>755</v>
      </c>
      <c r="K75" s="14">
        <v>1390</v>
      </c>
      <c r="L75" s="14">
        <v>1275</v>
      </c>
      <c r="M75" s="9"/>
    </row>
    <row r="76" spans="1:21">
      <c r="A76" s="13" t="s">
        <v>525</v>
      </c>
      <c r="E76" s="14">
        <v>0</v>
      </c>
      <c r="F76" s="14">
        <v>981.6</v>
      </c>
      <c r="G76" s="14">
        <v>1075.9000000000001</v>
      </c>
      <c r="H76" s="14">
        <v>1015.8</v>
      </c>
      <c r="I76" s="14">
        <v>953.1</v>
      </c>
      <c r="J76" s="14">
        <v>953</v>
      </c>
      <c r="K76" s="14">
        <v>371</v>
      </c>
      <c r="L76" s="14">
        <v>400</v>
      </c>
      <c r="M76" s="9"/>
    </row>
    <row r="77" spans="1:21">
      <c r="A77" s="13" t="s">
        <v>526</v>
      </c>
      <c r="C77" s="14">
        <v>106.9</v>
      </c>
      <c r="D77" s="14">
        <v>110.9</v>
      </c>
      <c r="E77" s="14">
        <v>114</v>
      </c>
      <c r="F77" s="14">
        <v>115.1</v>
      </c>
      <c r="G77" s="14">
        <v>121.1</v>
      </c>
      <c r="H77" s="14">
        <v>108.6</v>
      </c>
      <c r="I77" s="14">
        <v>95.3</v>
      </c>
      <c r="J77" s="14">
        <v>89</v>
      </c>
      <c r="K77" s="14">
        <v>79</v>
      </c>
      <c r="L77" s="14">
        <v>80</v>
      </c>
      <c r="M77" s="9"/>
    </row>
    <row r="78" spans="1:21">
      <c r="A78" s="13" t="s">
        <v>527</v>
      </c>
      <c r="C78" s="14">
        <v>0</v>
      </c>
      <c r="M78" s="9"/>
    </row>
    <row r="79" spans="1:21">
      <c r="A79" s="13" t="s">
        <v>528</v>
      </c>
      <c r="C79" s="14">
        <v>599.6</v>
      </c>
      <c r="D79" s="14">
        <v>696.2</v>
      </c>
      <c r="E79" s="14">
        <v>659.1</v>
      </c>
      <c r="F79" s="14">
        <v>655.6</v>
      </c>
      <c r="G79" s="14">
        <v>717.6</v>
      </c>
      <c r="H79" s="14">
        <v>695.3</v>
      </c>
      <c r="I79" s="14">
        <v>695.3</v>
      </c>
      <c r="J79" s="14">
        <v>593</v>
      </c>
      <c r="K79" s="14">
        <v>607</v>
      </c>
      <c r="L79" s="14">
        <v>694</v>
      </c>
      <c r="M79" s="9"/>
    </row>
    <row r="80" spans="1:21">
      <c r="A80" s="10" t="s">
        <v>529</v>
      </c>
      <c r="C80" s="29">
        <f t="shared" ref="C80:L80" si="6">C72+C73+C74+C75+C76+C77+C78+C79</f>
        <v>26065.7</v>
      </c>
      <c r="D80" s="29">
        <f t="shared" si="6"/>
        <v>29663.100000000002</v>
      </c>
      <c r="E80" s="29">
        <f t="shared" si="6"/>
        <v>31216.3</v>
      </c>
      <c r="F80" s="29">
        <f t="shared" si="6"/>
        <v>34305.499999999993</v>
      </c>
      <c r="G80" s="29">
        <f t="shared" si="6"/>
        <v>37560.800000000003</v>
      </c>
      <c r="H80" s="29">
        <f t="shared" si="6"/>
        <v>35762.400000000001</v>
      </c>
      <c r="I80" s="29">
        <f t="shared" si="6"/>
        <v>36142.400000000009</v>
      </c>
      <c r="J80" s="29">
        <f t="shared" si="6"/>
        <v>39567</v>
      </c>
      <c r="K80" s="29">
        <f t="shared" si="6"/>
        <v>38616</v>
      </c>
      <c r="L80" s="29">
        <f t="shared" si="6"/>
        <v>40145</v>
      </c>
      <c r="M80" s="17"/>
    </row>
    <row r="81" spans="1:21">
      <c r="A81" s="13" t="s">
        <v>530</v>
      </c>
      <c r="C81" s="14">
        <v>0</v>
      </c>
      <c r="D81" s="14">
        <v>-6.2</v>
      </c>
      <c r="E81" s="14">
        <v>-12</v>
      </c>
      <c r="F81" s="14">
        <v>12.1</v>
      </c>
      <c r="G81" s="14">
        <v>35.799999999999997</v>
      </c>
      <c r="H81" s="14">
        <v>4.8</v>
      </c>
      <c r="I81" s="14">
        <v>-91.5</v>
      </c>
      <c r="J81" s="14">
        <v>-62</v>
      </c>
      <c r="K81" s="14">
        <v>-40</v>
      </c>
      <c r="L81" s="14">
        <v>-15</v>
      </c>
      <c r="M81" s="9"/>
    </row>
    <row r="82" spans="1:21">
      <c r="A82" s="13" t="s">
        <v>531</v>
      </c>
      <c r="C82" s="14">
        <v>-110</v>
      </c>
      <c r="D82" s="14">
        <v>-120.5</v>
      </c>
      <c r="E82" s="14">
        <v>-129</v>
      </c>
      <c r="F82" s="14">
        <v>-140.4</v>
      </c>
      <c r="G82" s="14">
        <v>-156.19999999999999</v>
      </c>
      <c r="H82" s="14">
        <v>-144.5</v>
      </c>
      <c r="I82" s="14">
        <v>-147.4</v>
      </c>
      <c r="J82" s="14">
        <v>-160</v>
      </c>
      <c r="K82" s="14">
        <v>-152</v>
      </c>
      <c r="L82" s="14">
        <v>-157</v>
      </c>
      <c r="M82" s="9"/>
    </row>
    <row r="83" spans="1:21">
      <c r="A83" s="10" t="s">
        <v>532</v>
      </c>
      <c r="C83" s="29">
        <f t="shared" ref="C83:L83" si="7">C80+C81+C82</f>
        <v>25955.7</v>
      </c>
      <c r="D83" s="29">
        <f t="shared" si="7"/>
        <v>29536.400000000001</v>
      </c>
      <c r="E83" s="29">
        <f t="shared" si="7"/>
        <v>31075.3</v>
      </c>
      <c r="F83" s="29">
        <f t="shared" si="7"/>
        <v>34177.19999999999</v>
      </c>
      <c r="G83" s="29">
        <f t="shared" si="7"/>
        <v>37440.400000000009</v>
      </c>
      <c r="H83" s="29">
        <f t="shared" si="7"/>
        <v>35622.700000000004</v>
      </c>
      <c r="I83" s="29">
        <f t="shared" si="7"/>
        <v>35903.500000000007</v>
      </c>
      <c r="J83" s="29">
        <f t="shared" si="7"/>
        <v>39345</v>
      </c>
      <c r="K83" s="29">
        <f t="shared" si="7"/>
        <v>38424</v>
      </c>
      <c r="L83" s="29">
        <f t="shared" si="7"/>
        <v>39973</v>
      </c>
      <c r="M83" s="17"/>
    </row>
    <row r="84" spans="1:21">
      <c r="A84" s="18" t="s">
        <v>533</v>
      </c>
      <c r="C84" s="19">
        <f t="shared" ref="C84:L84" si="8">1-C72/C80</f>
        <v>0.34245003970735488</v>
      </c>
      <c r="D84" s="19">
        <f t="shared" si="8"/>
        <v>0.41734680461583595</v>
      </c>
      <c r="E84" s="19">
        <f t="shared" si="8"/>
        <v>0.37770651870977656</v>
      </c>
      <c r="F84" s="19">
        <f t="shared" si="8"/>
        <v>0.37649939514072073</v>
      </c>
      <c r="G84" s="19">
        <f t="shared" si="8"/>
        <v>0.36411098805137276</v>
      </c>
      <c r="H84" s="19">
        <f t="shared" si="8"/>
        <v>0.3573222155112632</v>
      </c>
      <c r="I84" s="19">
        <f t="shared" si="8"/>
        <v>0.35997609455929891</v>
      </c>
      <c r="J84" s="19">
        <f t="shared" si="8"/>
        <v>0.38130260065205857</v>
      </c>
      <c r="K84" s="19">
        <f t="shared" si="8"/>
        <v>0.34162005386368344</v>
      </c>
      <c r="L84" s="19">
        <f t="shared" si="8"/>
        <v>0.38894009216589864</v>
      </c>
      <c r="M84" s="9"/>
    </row>
    <row r="85" spans="1:21">
      <c r="A85" s="13" t="s">
        <v>534</v>
      </c>
      <c r="C85" s="14">
        <v>27500</v>
      </c>
      <c r="D85" s="14">
        <v>31800</v>
      </c>
      <c r="E85" s="14">
        <v>31700</v>
      </c>
      <c r="F85" s="14">
        <v>37600</v>
      </c>
      <c r="G85" s="14">
        <v>43700</v>
      </c>
      <c r="H85" s="14">
        <v>40000</v>
      </c>
      <c r="I85" s="14">
        <v>33500</v>
      </c>
      <c r="J85" s="14">
        <v>38400</v>
      </c>
      <c r="K85" s="14">
        <v>36600</v>
      </c>
      <c r="L85" s="14">
        <v>38700</v>
      </c>
      <c r="M85" s="9"/>
    </row>
    <row r="86" spans="1:21">
      <c r="A86" s="18" t="s">
        <v>535</v>
      </c>
      <c r="C86" s="19">
        <f t="shared" ref="C86:L86" si="9">C85/C83</f>
        <v>1.0594975284812198</v>
      </c>
      <c r="D86" s="19">
        <f t="shared" si="9"/>
        <v>1.0766376403353151</v>
      </c>
      <c r="E86" s="19">
        <f t="shared" si="9"/>
        <v>1.0201027825958238</v>
      </c>
      <c r="F86" s="19">
        <f t="shared" si="9"/>
        <v>1.1001486371030984</v>
      </c>
      <c r="G86" s="19">
        <f t="shared" si="9"/>
        <v>1.1671883847394791</v>
      </c>
      <c r="H86" s="19">
        <f t="shared" si="9"/>
        <v>1.1228795122211397</v>
      </c>
      <c r="I86" s="19">
        <f t="shared" si="9"/>
        <v>0.93305666578467261</v>
      </c>
      <c r="J86" s="19">
        <f t="shared" si="9"/>
        <v>0.9759817003431186</v>
      </c>
      <c r="K86" s="19">
        <f t="shared" si="9"/>
        <v>0.95252966895690194</v>
      </c>
      <c r="L86" s="19">
        <f t="shared" si="9"/>
        <v>0.96815350361494013</v>
      </c>
      <c r="M86" s="9"/>
    </row>
    <row r="87" spans="1:21">
      <c r="A87" s="5" t="s">
        <v>536</v>
      </c>
      <c r="C87" s="14">
        <v>77.2</v>
      </c>
      <c r="D87" s="14">
        <v>2024.6</v>
      </c>
      <c r="E87" s="14">
        <v>0</v>
      </c>
      <c r="F87" s="14">
        <v>59.1</v>
      </c>
      <c r="G87" s="14">
        <v>2243.6</v>
      </c>
      <c r="H87" s="14">
        <v>0</v>
      </c>
      <c r="I87" s="14">
        <v>0</v>
      </c>
      <c r="J87" s="14">
        <v>2192.4</v>
      </c>
      <c r="K87" s="14">
        <v>0</v>
      </c>
      <c r="L87" s="14">
        <v>0</v>
      </c>
      <c r="M87" s="9"/>
    </row>
    <row r="88" spans="1:21">
      <c r="A88" s="18" t="s">
        <v>537</v>
      </c>
      <c r="C88" s="25">
        <f>C83-'Balance Sheet'!C69</f>
        <v>0</v>
      </c>
      <c r="D88" s="25">
        <f>D83-'Balance Sheet'!D69</f>
        <v>0</v>
      </c>
      <c r="E88" s="25">
        <f>E83-'Balance Sheet'!E69</f>
        <v>0</v>
      </c>
      <c r="F88" s="25">
        <f>F83-'Balance Sheet'!F69</f>
        <v>0</v>
      </c>
      <c r="G88" s="25">
        <f>G83-'Balance Sheet'!G69</f>
        <v>0</v>
      </c>
      <c r="H88" s="25">
        <f>H83-'Balance Sheet'!H69</f>
        <v>0</v>
      </c>
      <c r="I88" s="25">
        <f>I83-'Balance Sheet'!I69</f>
        <v>0</v>
      </c>
      <c r="J88" s="25">
        <f>J83-'Balance Sheet'!J69</f>
        <v>0</v>
      </c>
      <c r="K88" s="25">
        <f>K83-'Balance Sheet'!K69</f>
        <v>0</v>
      </c>
      <c r="L88" s="25">
        <f>L83-'Balance Sheet'!L69</f>
        <v>0</v>
      </c>
      <c r="M88" s="9"/>
    </row>
    <row r="89" spans="1:21">
      <c r="A89" s="5" t="s">
        <v>538</v>
      </c>
      <c r="C89" s="14">
        <v>26065.7</v>
      </c>
      <c r="D89" s="14">
        <v>29663.1</v>
      </c>
      <c r="E89" s="14">
        <v>31216.3</v>
      </c>
      <c r="F89" s="14">
        <v>34305.5</v>
      </c>
      <c r="G89" s="14">
        <v>37560.800000000003</v>
      </c>
      <c r="H89" s="14">
        <v>35762.400000000001</v>
      </c>
      <c r="I89" s="14">
        <v>36142.399999999987</v>
      </c>
      <c r="J89" s="14">
        <v>39567.1</v>
      </c>
      <c r="K89" s="14">
        <v>38616</v>
      </c>
      <c r="L89" s="14">
        <v>40145</v>
      </c>
      <c r="M89" s="9"/>
    </row>
    <row r="90" spans="1:21">
      <c r="A90" s="18" t="s">
        <v>539</v>
      </c>
      <c r="C90" s="25">
        <f t="shared" ref="C90:L90" si="10">C80-C89</f>
        <v>0</v>
      </c>
      <c r="D90" s="25">
        <f t="shared" si="10"/>
        <v>0</v>
      </c>
      <c r="E90" s="25">
        <f t="shared" si="10"/>
        <v>0</v>
      </c>
      <c r="F90" s="25">
        <f t="shared" si="10"/>
        <v>0</v>
      </c>
      <c r="G90" s="25">
        <f t="shared" si="10"/>
        <v>0</v>
      </c>
      <c r="H90" s="25">
        <f t="shared" si="10"/>
        <v>0</v>
      </c>
      <c r="I90" s="25">
        <f t="shared" si="10"/>
        <v>0</v>
      </c>
      <c r="J90" s="25">
        <f t="shared" si="10"/>
        <v>-9.9999999998544808E-2</v>
      </c>
      <c r="K90" s="25">
        <f t="shared" si="10"/>
        <v>0</v>
      </c>
      <c r="L90" s="25">
        <f t="shared" si="10"/>
        <v>0</v>
      </c>
      <c r="M90" s="9"/>
    </row>
    <row r="91" spans="1:21" ht="8" customHeight="1">
      <c r="M91" s="9"/>
    </row>
    <row r="92" spans="1:21" ht="20" customHeight="1">
      <c r="A92" s="12" t="s">
        <v>540</v>
      </c>
      <c r="B92" s="2"/>
      <c r="C92" s="2"/>
      <c r="D92" s="2"/>
      <c r="E92" s="2"/>
      <c r="F92" s="2"/>
      <c r="G92" s="2"/>
      <c r="H92" s="2"/>
      <c r="I92" s="2"/>
      <c r="J92" s="2"/>
      <c r="K92" s="2"/>
      <c r="L92" s="2"/>
      <c r="M92" s="9"/>
      <c r="N92" s="2"/>
      <c r="O92" s="2"/>
      <c r="P92" s="2"/>
      <c r="Q92" s="2"/>
      <c r="R92" s="2"/>
      <c r="S92" s="2"/>
      <c r="T92" s="2"/>
      <c r="U92" s="2"/>
    </row>
    <row r="93" spans="1:21" ht="24">
      <c r="A93" s="13" t="s">
        <v>541</v>
      </c>
      <c r="B93" s="15" t="s">
        <v>542</v>
      </c>
      <c r="D93" s="14">
        <v>1562.5</v>
      </c>
      <c r="E93" s="14">
        <v>1433.9</v>
      </c>
      <c r="F93" s="14">
        <v>1530.4</v>
      </c>
      <c r="G93" s="14">
        <v>1399.5</v>
      </c>
      <c r="H93" s="14">
        <v>1486.3</v>
      </c>
      <c r="I93" s="14">
        <v>1416</v>
      </c>
      <c r="J93" s="14">
        <v>1491</v>
      </c>
      <c r="K93" s="14">
        <v>1531</v>
      </c>
      <c r="L93" s="14">
        <v>1573</v>
      </c>
      <c r="M93" s="9"/>
    </row>
    <row r="94" spans="1:21">
      <c r="A94" s="13" t="s">
        <v>543</v>
      </c>
      <c r="D94" s="14">
        <v>82</v>
      </c>
      <c r="E94" s="14">
        <v>87.9</v>
      </c>
      <c r="F94" s="14">
        <v>76.400000000000006</v>
      </c>
      <c r="G94" s="14">
        <v>79.8</v>
      </c>
      <c r="H94" s="14">
        <v>74</v>
      </c>
      <c r="I94" s="14">
        <v>60</v>
      </c>
      <c r="J94" s="14">
        <v>51</v>
      </c>
      <c r="K94" s="14">
        <v>51</v>
      </c>
      <c r="L94" s="14">
        <v>58</v>
      </c>
      <c r="M94" s="9"/>
    </row>
    <row r="95" spans="1:21">
      <c r="A95" s="10" t="s">
        <v>544</v>
      </c>
      <c r="C95" s="16">
        <v>1814.2</v>
      </c>
      <c r="D95" s="16">
        <v>1644.5</v>
      </c>
      <c r="E95" s="16">
        <v>1521.8</v>
      </c>
      <c r="F95" s="16">
        <v>1606.8</v>
      </c>
      <c r="G95" s="16">
        <v>1479.3</v>
      </c>
      <c r="H95" s="16">
        <v>1560.3</v>
      </c>
      <c r="I95" s="16">
        <v>1476</v>
      </c>
      <c r="J95" s="16">
        <v>1542</v>
      </c>
      <c r="K95" s="16">
        <v>1582</v>
      </c>
      <c r="L95" s="16">
        <v>1631</v>
      </c>
      <c r="M95" s="17"/>
    </row>
    <row r="96" spans="1:21">
      <c r="A96" s="13" t="s">
        <v>545</v>
      </c>
      <c r="B96" s="15" t="s">
        <v>546</v>
      </c>
      <c r="C96" s="14">
        <v>135</v>
      </c>
      <c r="D96" s="14">
        <v>115.6</v>
      </c>
      <c r="E96" s="14">
        <v>82.1</v>
      </c>
      <c r="F96" s="14">
        <v>74.400000000000006</v>
      </c>
      <c r="G96" s="14">
        <v>53.7</v>
      </c>
      <c r="H96" s="14">
        <v>69.2</v>
      </c>
      <c r="I96" s="14">
        <v>40</v>
      </c>
      <c r="J96" s="14">
        <v>56</v>
      </c>
      <c r="K96" s="14">
        <v>55</v>
      </c>
      <c r="L96" s="14">
        <v>46</v>
      </c>
      <c r="M96" s="9"/>
    </row>
    <row r="97" spans="1:21">
      <c r="A97" s="13" t="s">
        <v>547</v>
      </c>
      <c r="C97" s="14">
        <v>186.4</v>
      </c>
      <c r="D97" s="14">
        <v>204.9</v>
      </c>
      <c r="E97" s="14">
        <v>200.8</v>
      </c>
      <c r="F97" s="14">
        <v>200.7</v>
      </c>
      <c r="G97" s="14">
        <v>136.5</v>
      </c>
      <c r="H97" s="14">
        <v>160</v>
      </c>
      <c r="I97" s="14">
        <v>209</v>
      </c>
      <c r="J97" s="14">
        <v>261</v>
      </c>
      <c r="K97" s="14">
        <v>271</v>
      </c>
      <c r="L97" s="14">
        <v>285</v>
      </c>
      <c r="M97" s="9"/>
    </row>
    <row r="98" spans="1:21">
      <c r="M98" s="9"/>
    </row>
    <row r="99" spans="1:21" ht="36">
      <c r="A99" s="13" t="s">
        <v>548</v>
      </c>
      <c r="B99" s="15" t="s">
        <v>549</v>
      </c>
      <c r="C99" s="14">
        <v>1303</v>
      </c>
      <c r="D99" s="14">
        <v>1152</v>
      </c>
      <c r="E99" s="14">
        <v>1145</v>
      </c>
      <c r="F99" s="14">
        <v>1161.9000000000001</v>
      </c>
      <c r="G99" s="14">
        <v>1230.7</v>
      </c>
      <c r="H99" s="14">
        <v>1205.7</v>
      </c>
      <c r="I99" s="14">
        <v>1161.5999999999999</v>
      </c>
      <c r="J99" s="14">
        <v>1204.3</v>
      </c>
      <c r="K99" s="14">
        <v>1178</v>
      </c>
      <c r="L99" s="14">
        <v>1321</v>
      </c>
      <c r="M99" s="9"/>
    </row>
    <row r="100" spans="1:21">
      <c r="A100" s="13" t="s">
        <v>550</v>
      </c>
      <c r="C100" s="14">
        <v>12253</v>
      </c>
      <c r="D100" s="14">
        <v>11857</v>
      </c>
      <c r="E100" s="14">
        <v>12266</v>
      </c>
      <c r="F100" s="14">
        <v>19022.599999999999</v>
      </c>
      <c r="G100" s="14">
        <v>20090</v>
      </c>
      <c r="H100" s="14">
        <v>19445</v>
      </c>
      <c r="I100" s="14">
        <v>18236.8</v>
      </c>
      <c r="J100" s="14">
        <v>19879.8</v>
      </c>
      <c r="K100" s="14">
        <v>18962</v>
      </c>
      <c r="L100" s="14">
        <v>20626</v>
      </c>
      <c r="M100" s="9"/>
    </row>
    <row r="101" spans="1:21">
      <c r="A101" s="13" t="s">
        <v>551</v>
      </c>
      <c r="C101" s="14">
        <v>2690</v>
      </c>
      <c r="D101" s="14">
        <v>2893.5</v>
      </c>
      <c r="E101" s="14">
        <v>2961.7</v>
      </c>
      <c r="F101" s="14">
        <v>3008.3</v>
      </c>
      <c r="G101" s="14">
        <v>3072.8</v>
      </c>
      <c r="H101" s="14">
        <v>3062.6</v>
      </c>
      <c r="I101" s="14">
        <v>2970.5</v>
      </c>
      <c r="J101" s="14">
        <v>2980.3</v>
      </c>
      <c r="K101" s="14">
        <v>2880</v>
      </c>
      <c r="L101" s="14">
        <v>3045</v>
      </c>
      <c r="M101" s="9"/>
    </row>
    <row r="102" spans="1:21">
      <c r="A102" s="13" t="s">
        <v>552</v>
      </c>
      <c r="C102" s="14">
        <v>31332</v>
      </c>
      <c r="D102" s="14">
        <v>33761.300000000003</v>
      </c>
      <c r="E102" s="14">
        <v>34427.300000000003</v>
      </c>
      <c r="F102" s="14">
        <v>34324</v>
      </c>
      <c r="G102" s="14">
        <v>34422.199999999997</v>
      </c>
      <c r="H102" s="14">
        <v>33783.199999999997</v>
      </c>
      <c r="I102" s="14">
        <v>31780.3</v>
      </c>
      <c r="J102" s="14">
        <v>31162.400000000001</v>
      </c>
      <c r="K102" s="14">
        <v>29598</v>
      </c>
      <c r="L102" s="14">
        <v>31451</v>
      </c>
      <c r="M102" s="9"/>
    </row>
    <row r="103" spans="1:21">
      <c r="A103" s="18" t="s">
        <v>553</v>
      </c>
      <c r="C103" s="34">
        <f t="shared" ref="C103:L103" si="11">C101/C99</f>
        <v>2.0644666155026861</v>
      </c>
      <c r="D103" s="34">
        <f t="shared" si="11"/>
        <v>2.51171875</v>
      </c>
      <c r="E103" s="34">
        <f t="shared" si="11"/>
        <v>2.5866375545851525</v>
      </c>
      <c r="F103" s="34">
        <f t="shared" si="11"/>
        <v>2.5891212668904382</v>
      </c>
      <c r="G103" s="34">
        <f t="shared" si="11"/>
        <v>2.4967904444625009</v>
      </c>
      <c r="H103" s="34">
        <f t="shared" si="11"/>
        <v>2.5401011860330098</v>
      </c>
      <c r="I103" s="34">
        <f t="shared" si="11"/>
        <v>2.5572486225895319</v>
      </c>
      <c r="J103" s="34">
        <f t="shared" si="11"/>
        <v>2.4747156024246451</v>
      </c>
      <c r="K103" s="34">
        <f t="shared" si="11"/>
        <v>2.4448217317487266</v>
      </c>
      <c r="L103" s="34">
        <f t="shared" si="11"/>
        <v>2.3050719152157457</v>
      </c>
      <c r="M103" s="9"/>
    </row>
    <row r="104" spans="1:21">
      <c r="A104" s="18" t="s">
        <v>554</v>
      </c>
      <c r="C104" s="34">
        <f t="shared" ref="C104:L104" si="12">C102/C100</f>
        <v>2.5570880600669224</v>
      </c>
      <c r="D104" s="34">
        <f t="shared" si="12"/>
        <v>2.8473728599139752</v>
      </c>
      <c r="E104" s="34">
        <f t="shared" si="12"/>
        <v>2.8067259090167944</v>
      </c>
      <c r="F104" s="34">
        <f t="shared" si="12"/>
        <v>1.8043800531998782</v>
      </c>
      <c r="G104" s="34">
        <f t="shared" si="12"/>
        <v>1.7133997013439521</v>
      </c>
      <c r="H104" s="34">
        <f t="shared" si="12"/>
        <v>1.7373720750835688</v>
      </c>
      <c r="I104" s="34">
        <f t="shared" si="12"/>
        <v>1.742646736269521</v>
      </c>
      <c r="J104" s="34">
        <f t="shared" si="12"/>
        <v>1.5675409209348183</v>
      </c>
      <c r="K104" s="34">
        <f t="shared" si="12"/>
        <v>1.5609112962767639</v>
      </c>
      <c r="L104" s="34">
        <f t="shared" si="12"/>
        <v>1.5248230388829633</v>
      </c>
      <c r="M104" s="9"/>
    </row>
    <row r="105" spans="1:21" ht="8" customHeight="1">
      <c r="M105" s="9"/>
    </row>
    <row r="106" spans="1:21" ht="20" customHeight="1">
      <c r="A106" s="12" t="s">
        <v>555</v>
      </c>
      <c r="B106" s="2"/>
      <c r="C106" s="2"/>
      <c r="D106" s="2"/>
      <c r="E106" s="2"/>
      <c r="F106" s="2"/>
      <c r="G106" s="2"/>
      <c r="H106" s="2"/>
      <c r="I106" s="2"/>
      <c r="J106" s="2"/>
      <c r="K106" s="2"/>
      <c r="L106" s="2"/>
      <c r="M106" s="9"/>
      <c r="N106" s="2"/>
      <c r="O106" s="2"/>
      <c r="P106" s="2"/>
      <c r="Q106" s="2"/>
      <c r="R106" s="2"/>
      <c r="S106" s="2"/>
      <c r="T106" s="2"/>
      <c r="U106" s="2"/>
    </row>
    <row r="107" spans="1:21">
      <c r="A107" s="13" t="s">
        <v>556</v>
      </c>
      <c r="B107" s="15" t="s">
        <v>557</v>
      </c>
      <c r="C107" s="14">
        <v>16300</v>
      </c>
      <c r="D107" s="14">
        <v>16500</v>
      </c>
      <c r="E107" s="14">
        <v>17800</v>
      </c>
      <c r="F107" s="14">
        <v>19200</v>
      </c>
      <c r="G107" s="14">
        <v>20000</v>
      </c>
      <c r="H107" s="14">
        <v>19900</v>
      </c>
      <c r="I107" s="14">
        <v>20200</v>
      </c>
      <c r="J107" s="14">
        <v>20100</v>
      </c>
      <c r="K107" s="14">
        <v>20600</v>
      </c>
      <c r="L107" s="14">
        <v>22800</v>
      </c>
      <c r="M107" s="9"/>
    </row>
    <row r="108" spans="1:21">
      <c r="A108" s="13" t="s">
        <v>558</v>
      </c>
      <c r="C108" s="14">
        <v>4500</v>
      </c>
      <c r="D108" s="14">
        <v>4800</v>
      </c>
      <c r="E108" s="14">
        <v>4900</v>
      </c>
      <c r="F108" s="14">
        <v>5400</v>
      </c>
      <c r="G108" s="14">
        <v>5700</v>
      </c>
      <c r="H108" s="14">
        <v>5800</v>
      </c>
      <c r="I108" s="14">
        <v>5900</v>
      </c>
      <c r="J108" s="14">
        <v>6200</v>
      </c>
      <c r="K108" s="14">
        <v>6400</v>
      </c>
      <c r="L108" s="14">
        <v>7100</v>
      </c>
      <c r="M108" s="9"/>
    </row>
    <row r="109" spans="1:21">
      <c r="A109" s="13" t="s">
        <v>559</v>
      </c>
      <c r="C109" s="14">
        <v>7600</v>
      </c>
      <c r="D109" s="14">
        <v>9800</v>
      </c>
      <c r="E109" s="14">
        <v>10400</v>
      </c>
      <c r="F109" s="14">
        <v>10900</v>
      </c>
      <c r="G109" s="14">
        <v>12100</v>
      </c>
      <c r="H109" s="14">
        <v>12700</v>
      </c>
      <c r="I109" s="14">
        <v>14300</v>
      </c>
      <c r="J109" s="14">
        <v>14500</v>
      </c>
      <c r="K109" s="14">
        <v>14900</v>
      </c>
      <c r="L109" s="14">
        <v>16900</v>
      </c>
      <c r="M109" s="9"/>
    </row>
    <row r="110" spans="1:21">
      <c r="A110" s="18" t="s">
        <v>560</v>
      </c>
      <c r="C110" s="19">
        <f>C107/'Balance Sheet'!C28</f>
        <v>0.76678458527773596</v>
      </c>
      <c r="D110" s="19">
        <f>D107/'Balance Sheet'!D28</f>
        <v>0.73502225112814779</v>
      </c>
      <c r="E110" s="19">
        <f>E107/'Balance Sheet'!E28</f>
        <v>0.77924238378125177</v>
      </c>
      <c r="F110" s="19">
        <f>F107/'Balance Sheet'!F28</f>
        <v>0.79470198675496684</v>
      </c>
      <c r="G110" s="19">
        <f>G107/'Balance Sheet'!G28</f>
        <v>0.80133984021283589</v>
      </c>
      <c r="H110" s="19">
        <f>H107/'Balance Sheet'!H28</f>
        <v>0.80499664247631531</v>
      </c>
      <c r="I110" s="19">
        <f>I107/'Balance Sheet'!I28</f>
        <v>0.84968200020190465</v>
      </c>
      <c r="J110" s="19">
        <f>J107/'Balance Sheet'!J28</f>
        <v>0.80696964830576523</v>
      </c>
      <c r="K110" s="19">
        <f>K107/'Balance Sheet'!K28</f>
        <v>0.81439019569084803</v>
      </c>
      <c r="L110" s="19">
        <f>L107/'Balance Sheet'!L28</f>
        <v>0.80733685067809213</v>
      </c>
      <c r="M110" s="9"/>
    </row>
    <row r="111" spans="1:21">
      <c r="M111" s="9"/>
    </row>
    <row r="112" spans="1:21">
      <c r="A112" s="13" t="s">
        <v>561</v>
      </c>
      <c r="C112" s="14">
        <v>645</v>
      </c>
      <c r="D112" s="14">
        <v>532</v>
      </c>
      <c r="E112" s="14">
        <v>388</v>
      </c>
      <c r="F112" s="14">
        <v>365</v>
      </c>
      <c r="G112" s="14">
        <v>325</v>
      </c>
      <c r="H112" s="14">
        <v>377</v>
      </c>
      <c r="I112" s="14">
        <v>335</v>
      </c>
      <c r="J112" s="14">
        <v>347</v>
      </c>
      <c r="K112" s="14">
        <v>355</v>
      </c>
      <c r="L112" s="14">
        <v>341</v>
      </c>
      <c r="M112" s="9"/>
    </row>
    <row r="113" spans="1:21">
      <c r="A113" s="13" t="s">
        <v>562</v>
      </c>
      <c r="C113" s="14">
        <v>88</v>
      </c>
      <c r="D113" s="14">
        <v>100</v>
      </c>
      <c r="E113" s="14">
        <v>88</v>
      </c>
      <c r="F113" s="14">
        <v>81</v>
      </c>
      <c r="G113" s="14">
        <v>329</v>
      </c>
      <c r="H113" s="14">
        <v>82</v>
      </c>
      <c r="I113" s="14">
        <v>64</v>
      </c>
      <c r="J113" s="14">
        <v>42</v>
      </c>
      <c r="K113" s="14">
        <v>90</v>
      </c>
      <c r="L113" s="14">
        <v>88</v>
      </c>
      <c r="M113" s="9"/>
    </row>
    <row r="114" spans="1:21">
      <c r="A114" s="18" t="s">
        <v>563</v>
      </c>
      <c r="C114" s="19">
        <f>C112/'Income Statement'!C14</f>
        <v>4.2170644001307614E-2</v>
      </c>
      <c r="D114" s="19">
        <f>D112/'Income Statement'!D14</f>
        <v>4.1827516530517576E-2</v>
      </c>
      <c r="E114" s="19">
        <f>E112/'Income Statement'!E14</f>
        <v>3.8750786501143546E-2</v>
      </c>
      <c r="F114" s="19">
        <f>F112/'Income Statement'!F14</f>
        <v>3.8744055706521743E-2</v>
      </c>
      <c r="G114" s="19">
        <f>G112/'Income Statement'!G14</f>
        <v>3.9930214271672891E-2</v>
      </c>
      <c r="H114" s="19">
        <f>H112/'Income Statement'!H14</f>
        <v>3.8518912070621414E-2</v>
      </c>
      <c r="I114" s="19">
        <f>I112/'Income Statement'!I14</f>
        <v>3.8294467306812983E-2</v>
      </c>
      <c r="J114" s="19">
        <f>J112/'Income Statement'!J14</f>
        <v>3.5618969410798604E-2</v>
      </c>
      <c r="K114" s="19">
        <f>K112/'Income Statement'!K14</f>
        <v>3.6291147004702512E-2</v>
      </c>
      <c r="L114" s="19">
        <f>L112/'Income Statement'!L14</f>
        <v>3.5190918472652218E-2</v>
      </c>
      <c r="M114" s="9"/>
    </row>
    <row r="115" spans="1:21">
      <c r="M115" s="9"/>
    </row>
    <row r="116" spans="1:21">
      <c r="A116" s="13" t="s">
        <v>564</v>
      </c>
      <c r="C116" s="14">
        <v>131.30000000000001</v>
      </c>
      <c r="D116" s="14">
        <v>117.5</v>
      </c>
      <c r="E116" s="14">
        <v>125.1</v>
      </c>
      <c r="F116" s="14">
        <v>109.6</v>
      </c>
      <c r="G116" s="14">
        <v>92.4</v>
      </c>
      <c r="H116" s="14">
        <v>139.19999999999999</v>
      </c>
      <c r="I116" s="14">
        <v>167</v>
      </c>
      <c r="J116" s="14">
        <v>175</v>
      </c>
      <c r="K116" s="14">
        <v>172</v>
      </c>
      <c r="L116" s="14">
        <v>165</v>
      </c>
      <c r="M116" s="9"/>
    </row>
    <row r="117" spans="1:21">
      <c r="A117" s="13" t="s">
        <v>565</v>
      </c>
      <c r="C117" s="14">
        <v>89.6</v>
      </c>
      <c r="D117" s="14">
        <v>82</v>
      </c>
      <c r="E117" s="14">
        <v>108.1</v>
      </c>
      <c r="F117" s="14">
        <v>94.2</v>
      </c>
      <c r="G117" s="14">
        <v>78.3</v>
      </c>
      <c r="H117" s="14">
        <v>120.4</v>
      </c>
      <c r="I117" s="14">
        <v>146</v>
      </c>
      <c r="J117" s="14">
        <v>155</v>
      </c>
      <c r="K117" s="14">
        <v>136</v>
      </c>
      <c r="L117" s="14">
        <v>146</v>
      </c>
      <c r="M117" s="9"/>
    </row>
    <row r="118" spans="1:21">
      <c r="A118" s="13" t="s">
        <v>566</v>
      </c>
      <c r="C118" s="22">
        <v>0.11</v>
      </c>
      <c r="D118" s="22">
        <v>0.1</v>
      </c>
      <c r="E118" s="22">
        <v>0.14000000000000001</v>
      </c>
      <c r="F118" s="22">
        <v>0.12</v>
      </c>
      <c r="G118" s="22">
        <v>0.1</v>
      </c>
      <c r="H118" s="22">
        <v>0.16</v>
      </c>
      <c r="I118" s="22">
        <v>0.2</v>
      </c>
      <c r="J118" s="22">
        <v>0.21</v>
      </c>
      <c r="K118" s="22">
        <v>0.19</v>
      </c>
      <c r="L118" s="22">
        <v>0.21</v>
      </c>
      <c r="M118" s="9"/>
    </row>
    <row r="119" spans="1:21">
      <c r="A119" s="18" t="s">
        <v>567</v>
      </c>
      <c r="C119" s="25">
        <f>C116-'Cash Flow'!C18</f>
        <v>0</v>
      </c>
      <c r="D119" s="25">
        <f>D116-'Cash Flow'!D18</f>
        <v>0</v>
      </c>
      <c r="E119" s="25">
        <f>E116-'Cash Flow'!E18</f>
        <v>0</v>
      </c>
      <c r="F119" s="25">
        <f>F116-'Cash Flow'!F18</f>
        <v>0</v>
      </c>
      <c r="G119" s="25">
        <f>G116-'Cash Flow'!G18</f>
        <v>0</v>
      </c>
      <c r="H119" s="25">
        <f>H116-'Cash Flow'!H18</f>
        <v>0</v>
      </c>
      <c r="I119" s="25">
        <f>I116-'Cash Flow'!I18</f>
        <v>0</v>
      </c>
      <c r="J119" s="25">
        <f>J116-'Cash Flow'!J18</f>
        <v>0</v>
      </c>
      <c r="K119" s="25">
        <f>K116-'Cash Flow'!K18</f>
        <v>0</v>
      </c>
      <c r="L119" s="25">
        <f>L116-'Cash Flow'!L18</f>
        <v>0</v>
      </c>
      <c r="M119" s="9"/>
    </row>
    <row r="120" spans="1:21" ht="8" customHeight="1">
      <c r="M120" s="9"/>
    </row>
    <row r="121" spans="1:21" ht="20" customHeight="1">
      <c r="A121" s="12" t="s">
        <v>568</v>
      </c>
      <c r="B121" s="2"/>
      <c r="C121" s="2"/>
      <c r="D121" s="2"/>
      <c r="E121" s="2"/>
      <c r="F121" s="2"/>
      <c r="G121" s="2"/>
      <c r="H121" s="2"/>
      <c r="I121" s="2"/>
      <c r="J121" s="2"/>
      <c r="K121" s="2"/>
      <c r="L121" s="2"/>
      <c r="M121" s="9"/>
      <c r="N121" s="2"/>
      <c r="O121" s="2"/>
      <c r="P121" s="2"/>
      <c r="Q121" s="2"/>
      <c r="R121" s="2"/>
      <c r="S121" s="2"/>
      <c r="T121" s="2"/>
      <c r="U121" s="2"/>
    </row>
    <row r="122" spans="1:21">
      <c r="A122" s="5" t="s">
        <v>569</v>
      </c>
      <c r="B122" s="15" t="s">
        <v>570</v>
      </c>
      <c r="C122" s="31">
        <v>0.85</v>
      </c>
      <c r="E122" s="31">
        <v>0.93</v>
      </c>
      <c r="J122" s="31">
        <v>0.95</v>
      </c>
      <c r="K122" s="31">
        <v>0.95</v>
      </c>
      <c r="L122" s="31">
        <v>0.95</v>
      </c>
      <c r="M122" s="9"/>
    </row>
    <row r="123" spans="1:21">
      <c r="A123" s="13" t="s">
        <v>571</v>
      </c>
      <c r="F123" s="31">
        <v>0.95</v>
      </c>
      <c r="G123" s="31">
        <v>0.95</v>
      </c>
      <c r="H123" s="31">
        <v>0.95</v>
      </c>
      <c r="I123" s="31">
        <v>0.95</v>
      </c>
      <c r="J123" s="31">
        <v>0.95</v>
      </c>
      <c r="K123" s="31">
        <v>0.95</v>
      </c>
      <c r="L123" s="31">
        <v>0.95</v>
      </c>
      <c r="M123" s="9"/>
    </row>
    <row r="124" spans="1:21">
      <c r="A124" s="13" t="s">
        <v>572</v>
      </c>
      <c r="F124" s="31">
        <v>0.84</v>
      </c>
      <c r="G124" s="31">
        <v>0.84</v>
      </c>
      <c r="H124" s="31">
        <v>0.84</v>
      </c>
      <c r="I124" s="31">
        <v>0.89</v>
      </c>
      <c r="J124" s="31">
        <v>0.89</v>
      </c>
      <c r="K124" s="31">
        <v>0.89</v>
      </c>
      <c r="L124" s="31">
        <v>0.89</v>
      </c>
      <c r="M124" s="9"/>
    </row>
    <row r="125" spans="1:21">
      <c r="A125" s="13" t="s">
        <v>573</v>
      </c>
      <c r="F125" s="31">
        <v>0.98</v>
      </c>
      <c r="G125" s="31">
        <v>0.98</v>
      </c>
      <c r="H125" s="31">
        <v>0.98</v>
      </c>
      <c r="I125" s="31">
        <v>0.98</v>
      </c>
      <c r="J125" s="31">
        <v>0.98</v>
      </c>
      <c r="K125" s="31">
        <v>0.99</v>
      </c>
      <c r="L125" s="31">
        <v>0.99</v>
      </c>
      <c r="M125" s="9"/>
    </row>
    <row r="126" spans="1:21">
      <c r="A126" s="5" t="s">
        <v>574</v>
      </c>
      <c r="H126" s="31">
        <v>0.65</v>
      </c>
      <c r="I126" s="31">
        <v>0.6</v>
      </c>
      <c r="J126" s="31">
        <v>0.65</v>
      </c>
      <c r="K126" s="31">
        <v>0.66</v>
      </c>
      <c r="L126" s="31">
        <v>0.68</v>
      </c>
      <c r="M126" s="9"/>
    </row>
    <row r="127" spans="1:21">
      <c r="A127" s="5" t="s">
        <v>575</v>
      </c>
      <c r="H127" s="14">
        <v>200000</v>
      </c>
      <c r="I127" s="14">
        <v>150000</v>
      </c>
      <c r="J127" s="14">
        <v>150000</v>
      </c>
      <c r="K127" s="14">
        <v>150000</v>
      </c>
      <c r="L127" s="14">
        <v>150000</v>
      </c>
      <c r="M127" s="9"/>
    </row>
    <row r="128" spans="1:21">
      <c r="A128" s="5" t="s">
        <v>576</v>
      </c>
      <c r="K128" s="14">
        <v>38000</v>
      </c>
      <c r="L128" s="14">
        <v>41000</v>
      </c>
      <c r="M128" s="9"/>
    </row>
    <row r="129" spans="1:13">
      <c r="A129" s="5" t="s">
        <v>577</v>
      </c>
      <c r="K129" s="14">
        <v>28000</v>
      </c>
      <c r="L129" s="14">
        <v>29000</v>
      </c>
      <c r="M129" s="9"/>
    </row>
    <row r="130" spans="1:13">
      <c r="M130" s="9"/>
    </row>
  </sheetData>
  <phoneticPr fontId="1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U90"/>
  <sheetViews>
    <sheetView showGridLines="0" zoomScaleNormal="100" workbookViewId="0">
      <pane xSplit="2" ySplit="5" topLeftCell="C39" activePane="bottomRight" state="frozen"/>
      <selection pane="topRight"/>
      <selection pane="bottomLeft"/>
      <selection pane="bottomRight" activeCell="E46" sqref="E46"/>
    </sheetView>
  </sheetViews>
  <sheetFormatPr baseColWidth="10" defaultColWidth="8.83203125" defaultRowHeight="14" outlineLevelCol="1"/>
  <cols>
    <col min="1" max="1" width="46" customWidth="1"/>
    <col min="2" max="2" width="34" hidden="1" customWidth="1" outlineLevel="1"/>
    <col min="3" max="3" width="12" customWidth="1" collapsed="1"/>
    <col min="4" max="12" width="12" customWidth="1"/>
    <col min="13" max="13" width="9" customWidth="1"/>
    <col min="14" max="21" width="12" customWidth="1"/>
  </cols>
  <sheetData>
    <row r="1" spans="1:21" ht="28" customHeight="1">
      <c r="A1" s="1" t="s">
        <v>760</v>
      </c>
      <c r="B1" s="2"/>
      <c r="C1" s="2"/>
      <c r="D1" s="2"/>
      <c r="E1" s="2"/>
      <c r="F1" s="2"/>
      <c r="G1" s="2"/>
      <c r="H1" s="2"/>
      <c r="I1" s="2"/>
      <c r="J1" s="2"/>
      <c r="K1" s="2"/>
      <c r="L1" s="2"/>
      <c r="M1" s="2"/>
      <c r="N1" s="2"/>
      <c r="O1" s="2"/>
      <c r="P1" s="2"/>
      <c r="Q1" s="2"/>
      <c r="R1" s="2"/>
      <c r="S1" s="2"/>
      <c r="T1" s="2"/>
      <c r="U1" s="2"/>
    </row>
    <row r="2" spans="1:21" ht="16" customHeight="1">
      <c r="A2" s="3" t="s">
        <v>1</v>
      </c>
    </row>
    <row r="3" spans="1:21">
      <c r="C3" s="6" t="s">
        <v>73</v>
      </c>
      <c r="D3" s="6" t="s">
        <v>74</v>
      </c>
      <c r="E3" s="6" t="s">
        <v>75</v>
      </c>
      <c r="F3" s="6" t="s">
        <v>76</v>
      </c>
      <c r="G3" s="6" t="s">
        <v>77</v>
      </c>
      <c r="H3" s="6" t="s">
        <v>78</v>
      </c>
      <c r="I3" s="6" t="s">
        <v>79</v>
      </c>
      <c r="J3" s="6" t="s">
        <v>80</v>
      </c>
      <c r="K3" s="6" t="s">
        <v>81</v>
      </c>
      <c r="L3" s="6" t="s">
        <v>82</v>
      </c>
      <c r="M3" s="7" t="s">
        <v>83</v>
      </c>
      <c r="N3" s="6" t="s">
        <v>84</v>
      </c>
      <c r="O3" s="6" t="s">
        <v>85</v>
      </c>
      <c r="P3" s="6" t="s">
        <v>86</v>
      </c>
      <c r="Q3" s="6" t="s">
        <v>87</v>
      </c>
      <c r="R3" s="6" t="s">
        <v>88</v>
      </c>
      <c r="S3" s="6" t="s">
        <v>89</v>
      </c>
      <c r="T3" s="6" t="s">
        <v>90</v>
      </c>
      <c r="U3" s="6" t="s">
        <v>91</v>
      </c>
    </row>
    <row r="4" spans="1:21">
      <c r="C4" s="8" t="s">
        <v>92</v>
      </c>
      <c r="D4" s="8" t="s">
        <v>93</v>
      </c>
      <c r="E4" s="8" t="s">
        <v>94</v>
      </c>
      <c r="F4" s="8" t="s">
        <v>95</v>
      </c>
      <c r="G4" s="8" t="s">
        <v>96</v>
      </c>
      <c r="H4" s="8" t="s">
        <v>97</v>
      </c>
      <c r="I4" s="8" t="s">
        <v>98</v>
      </c>
      <c r="J4" s="8" t="s">
        <v>99</v>
      </c>
      <c r="K4" s="8" t="s">
        <v>100</v>
      </c>
      <c r="L4" s="8" t="s">
        <v>101</v>
      </c>
      <c r="M4" s="9"/>
      <c r="N4" s="8" t="s">
        <v>102</v>
      </c>
      <c r="O4" s="8" t="s">
        <v>100</v>
      </c>
      <c r="P4" s="8" t="s">
        <v>103</v>
      </c>
      <c r="Q4" s="8" t="s">
        <v>104</v>
      </c>
      <c r="R4" s="8" t="s">
        <v>105</v>
      </c>
      <c r="S4" s="8" t="s">
        <v>101</v>
      </c>
      <c r="T4" s="8" t="s">
        <v>106</v>
      </c>
      <c r="U4" s="8" t="s">
        <v>107</v>
      </c>
    </row>
    <row r="5" spans="1:21">
      <c r="M5" s="9"/>
    </row>
    <row r="6" spans="1:21">
      <c r="A6" s="10" t="s">
        <v>108</v>
      </c>
      <c r="M6" s="9"/>
    </row>
    <row r="7" spans="1:21">
      <c r="A7" s="11" t="str">
        <f>HYPERLINK("#'Derived Metrics'!A16","1. PROFITABILITY")</f>
        <v>1. PROFITABILITY</v>
      </c>
      <c r="M7" s="9"/>
    </row>
    <row r="8" spans="1:21">
      <c r="A8" s="11" t="str">
        <f>HYPERLINK("#'Derived Metrics'!A29","2. RETURNS AND EFFICIENCY (ANNUAL; AVERAGE BALANCES)")</f>
        <v>2. RETURNS AND EFFICIENCY (ANNUAL; AVERAGE BALANCES)</v>
      </c>
      <c r="M8" s="9"/>
    </row>
    <row r="9" spans="1:21">
      <c r="A9" s="11" t="str">
        <f>HYPERLINK("#'Derived Metrics'!A37","3. LEVERAGE AND COVERAGE (ANNUAL)")</f>
        <v>3. LEVERAGE AND COVERAGE (ANNUAL)</v>
      </c>
      <c r="M9" s="9"/>
    </row>
    <row r="10" spans="1:21">
      <c r="A10" s="11" t="str">
        <f>HYPERLINK("#'Derived Metrics'!A45","4. LIQUIDITY (PERIOD-END)")</f>
        <v>4. LIQUIDITY (PERIOD-END)</v>
      </c>
      <c r="M10" s="9"/>
    </row>
    <row r="11" spans="1:21">
      <c r="A11" s="11" t="str">
        <f>HYPERLINK("#'Derived Metrics'!A50","5. CASH CONVERSION AND CAPITAL ALLOCATION")</f>
        <v>5. CASH CONVERSION AND CAPITAL ALLOCATION</v>
      </c>
      <c r="M11" s="9"/>
    </row>
    <row r="12" spans="1:21">
      <c r="A12" s="11" t="str">
        <f>HYPERLINK("#'Derived Metrics'!A62","6. SYSTEMWIDE AND FRANCHISE ECONOMICS")</f>
        <v>6. SYSTEMWIDE AND FRANCHISE ECONOMICS</v>
      </c>
      <c r="M12" s="9"/>
    </row>
    <row r="13" spans="1:21">
      <c r="A13" s="11" t="str">
        <f>HYPERLINK("#'Derived Metrics'!A73","7. EARNINGS QUALITY")</f>
        <v>7. EARNINGS QUALITY</v>
      </c>
      <c r="M13" s="9"/>
    </row>
    <row r="14" spans="1:21">
      <c r="A14" s="11" t="str">
        <f>HYPERLINK("#'Derived Metrics'!A77","8. GROWTH")</f>
        <v>8. GROWTH</v>
      </c>
      <c r="M14" s="9"/>
    </row>
    <row r="15" spans="1:21" ht="8" customHeight="1">
      <c r="M15" s="9"/>
    </row>
    <row r="16" spans="1:21" ht="20" customHeight="1">
      <c r="A16" s="12" t="s">
        <v>761</v>
      </c>
      <c r="B16" s="2"/>
      <c r="C16" s="2"/>
      <c r="D16" s="2"/>
      <c r="E16" s="2"/>
      <c r="F16" s="2"/>
      <c r="G16" s="2"/>
      <c r="H16" s="2"/>
      <c r="I16" s="2"/>
      <c r="J16" s="2"/>
      <c r="K16" s="2"/>
      <c r="L16" s="2"/>
      <c r="M16" s="9"/>
      <c r="N16" s="2"/>
      <c r="O16" s="2"/>
      <c r="P16" s="2"/>
      <c r="Q16" s="2"/>
      <c r="R16" s="2"/>
      <c r="S16" s="2"/>
      <c r="T16" s="2"/>
      <c r="U16" s="2"/>
    </row>
    <row r="17" spans="1:21">
      <c r="A17" s="18" t="s">
        <v>762</v>
      </c>
      <c r="C17" s="26">
        <f>'Income Statement'!C12-'Income Statement'!C20</f>
        <v>7608.5</v>
      </c>
      <c r="D17" s="26">
        <f>'Income Statement'!D12-'Income Statement'!D20</f>
        <v>8311.5</v>
      </c>
      <c r="E17" s="26">
        <f>'Income Statement'!E12-'Income Statement'!E20</f>
        <v>9039.2000000000007</v>
      </c>
      <c r="F17" s="26">
        <f>'Income Statement'!F12-'Income Statement'!F20</f>
        <v>9455.1</v>
      </c>
      <c r="G17" s="26">
        <f>'Income Statement'!G12-'Income Statement'!G20</f>
        <v>8518.6</v>
      </c>
      <c r="H17" s="26">
        <f>'Income Statement'!H12-'Income Statement'!H20</f>
        <v>10750.4</v>
      </c>
      <c r="I17" s="26">
        <f>'Income Statement'!I12-'Income Statement'!I20</f>
        <v>11756</v>
      </c>
      <c r="J17" s="26">
        <f>'Income Statement'!J12-'Income Statement'!J20</f>
        <v>12962</v>
      </c>
      <c r="K17" s="26">
        <f>'Income Statement'!K12-'Income Statement'!K20</f>
        <v>13179</v>
      </c>
      <c r="L17" s="26">
        <f>'Income Statement'!L12-'Income Statement'!L20</f>
        <v>13930</v>
      </c>
      <c r="M17" s="9"/>
      <c r="N17" s="26">
        <f>'Income Statement'!N12-'Income Statement'!N20</f>
        <v>3448</v>
      </c>
      <c r="O17" s="26">
        <f>'Income Statement'!O12-'Income Statement'!O20</f>
        <v>3325</v>
      </c>
      <c r="P17" s="26">
        <f>'Income Statement'!P12-'Income Statement'!P20</f>
        <v>3041</v>
      </c>
      <c r="Q17" s="26">
        <f>'Income Statement'!Q12-'Income Statement'!Q20</f>
        <v>3559</v>
      </c>
      <c r="R17" s="26">
        <f>'Income Statement'!R12-'Income Statement'!R20</f>
        <v>3697</v>
      </c>
      <c r="S17" s="26">
        <f>'Income Statement'!S12-'Income Statement'!S20</f>
        <v>3632</v>
      </c>
      <c r="T17" s="26">
        <f>'Income Statement'!T12-'Income Statement'!T20</f>
        <v>3331</v>
      </c>
      <c r="U17" s="26">
        <f>'Income Statement'!U12-'Income Statement'!U20</f>
        <v>3713</v>
      </c>
    </row>
    <row r="18" spans="1:21">
      <c r="A18" s="18" t="s">
        <v>763</v>
      </c>
      <c r="C18" s="19">
        <f>('Income Statement'!C12-'Income Statement'!C20)/'Income Statement'!C12</f>
        <v>0.81575871940301714</v>
      </c>
      <c r="D18" s="19">
        <f>('Income Statement'!D12-'Income Statement'!D20)/'Income Statement'!D12</f>
        <v>0.82279859426817803</v>
      </c>
      <c r="E18" s="19">
        <f>('Income Statement'!E12-'Income Statement'!E20)/'Income Statement'!E12</f>
        <v>0.82081271282633372</v>
      </c>
      <c r="F18" s="19">
        <f>('Income Statement'!F12-'Income Statement'!F20)/'Income Statement'!F12</f>
        <v>0.81119967054745745</v>
      </c>
      <c r="G18" s="19">
        <f>('Income Statement'!G12-'Income Statement'!G20)/'Income Statement'!G12</f>
        <v>0.79419360252095361</v>
      </c>
      <c r="H18" s="19">
        <f>('Income Statement'!H12-'Income Statement'!H20)/'Income Statement'!H12</f>
        <v>0.82155684961865894</v>
      </c>
      <c r="I18" s="19">
        <f>('Income Statement'!I12-'Income Statement'!I20)/'Income Statement'!I12</f>
        <v>0.83340422515241741</v>
      </c>
      <c r="J18" s="19">
        <f>('Income Statement'!J12-'Income Statement'!J20)/'Income Statement'!J12</f>
        <v>0.83967092051564418</v>
      </c>
      <c r="K18" s="19">
        <f>('Income Statement'!K12-'Income Statement'!K20)/'Income Statement'!K12</f>
        <v>0.83862551702195354</v>
      </c>
      <c r="L18" s="19">
        <f>('Income Statement'!L12-'Income Statement'!L20)/'Income Statement'!L12</f>
        <v>0.84179357021996615</v>
      </c>
      <c r="M18" s="9"/>
      <c r="N18" s="19">
        <f>('Income Statement'!N12-'Income Statement'!N20)/'Income Statement'!N12</f>
        <v>0.84220810942843183</v>
      </c>
      <c r="O18" s="19">
        <f>('Income Statement'!O12-'Income Statement'!O20)/'Income Statement'!O12</f>
        <v>0.83985855013892396</v>
      </c>
      <c r="P18" s="19">
        <f>('Income Statement'!P12-'Income Statement'!P20)/'Income Statement'!P12</f>
        <v>0.8306473641081672</v>
      </c>
      <c r="Q18" s="19">
        <f>('Income Statement'!Q12-'Income Statement'!Q20)/'Income Statement'!Q12</f>
        <v>0.84476619985758372</v>
      </c>
      <c r="R18" s="19">
        <f>('Income Statement'!R12-'Income Statement'!R20)/'Income Statement'!R12</f>
        <v>0.84735273894109553</v>
      </c>
      <c r="S18" s="19">
        <f>('Income Statement'!S12-'Income Statement'!S20)/'Income Statement'!S12</f>
        <v>0.84269141531322511</v>
      </c>
      <c r="T18" s="19">
        <f>('Income Statement'!T12-'Income Statement'!T20)/'Income Statement'!T12</f>
        <v>0.83129523334165212</v>
      </c>
      <c r="U18" s="19">
        <f>('Income Statement'!U12-'Income Statement'!U20)/'Income Statement'!U12</f>
        <v>0.84520828590940134</v>
      </c>
    </row>
    <row r="19" spans="1:21">
      <c r="A19" s="18" t="s">
        <v>764</v>
      </c>
      <c r="C19" s="26">
        <f>'Income Statement'!C14-'Income Statement'!C25</f>
        <v>2596.2000000000007</v>
      </c>
      <c r="D19" s="26">
        <f>'Income Statement'!D14-'Income Statement'!D25</f>
        <v>2309.2999999999993</v>
      </c>
      <c r="E19" s="26">
        <f>'Income Statement'!E14-'Income Statement'!E25</f>
        <v>1746.7999999999993</v>
      </c>
      <c r="F19" s="26">
        <f>'Income Statement'!F14-'Income Statement'!F25</f>
        <v>1660.1999999999989</v>
      </c>
      <c r="G19" s="26">
        <f>'Income Statement'!G14-'Income Statement'!G25</f>
        <v>1157.9999999999991</v>
      </c>
      <c r="H19" s="26">
        <f>'Income Statement'!H14-'Income Statement'!H25</f>
        <v>1740.0999999999995</v>
      </c>
      <c r="I19" s="26">
        <f>'Income Statement'!I14-'Income Statement'!I25</f>
        <v>1368</v>
      </c>
      <c r="J19" s="26">
        <f>'Income Statement'!J14-'Income Statement'!J25</f>
        <v>1518</v>
      </c>
      <c r="K19" s="26">
        <f>'Income Statement'!K14-'Income Statement'!K25</f>
        <v>1447</v>
      </c>
      <c r="L19" s="26">
        <f>'Income Statement'!L14-'Income Statement'!L25</f>
        <v>1421</v>
      </c>
      <c r="M19" s="9"/>
      <c r="N19" s="26">
        <f>'Income Statement'!N14-'Income Statement'!N25</f>
        <v>408</v>
      </c>
      <c r="O19" s="26">
        <f>'Income Statement'!O14-'Income Statement'!O25</f>
        <v>333</v>
      </c>
      <c r="P19" s="26">
        <f>'Income Statement'!P14-'Income Statement'!P25</f>
        <v>273</v>
      </c>
      <c r="Q19" s="26">
        <f>'Income Statement'!Q14-'Income Statement'!Q25</f>
        <v>380</v>
      </c>
      <c r="R19" s="26">
        <f>'Income Statement'!R14-'Income Statement'!R25</f>
        <v>391</v>
      </c>
      <c r="S19" s="26">
        <f>'Income Statement'!S14-'Income Statement'!S25</f>
        <v>376</v>
      </c>
      <c r="T19" s="26">
        <f>'Income Statement'!T14-'Income Statement'!T25</f>
        <v>285</v>
      </c>
      <c r="U19" s="26">
        <f>'Income Statement'!U14-'Income Statement'!U25</f>
        <v>387</v>
      </c>
    </row>
    <row r="20" spans="1:21">
      <c r="A20" s="18" t="s">
        <v>765</v>
      </c>
      <c r="C20" s="19">
        <f>('Income Statement'!C14-'Income Statement'!C25)/'Income Statement'!C14</f>
        <v>0.16974174566851918</v>
      </c>
      <c r="D20" s="19">
        <f>('Income Statement'!D14-'Income Statement'!D25)/'Income Statement'!D14</f>
        <v>0.18156444346602296</v>
      </c>
      <c r="E20" s="19">
        <f>('Income Statement'!E14-'Income Statement'!E25)/'Income Statement'!E14</f>
        <v>0.17445843778401421</v>
      </c>
      <c r="F20" s="19">
        <f>('Income Statement'!F14-'Income Statement'!F25)/'Income Statement'!F14</f>
        <v>0.17622707201086946</v>
      </c>
      <c r="G20" s="19">
        <f>('Income Statement'!G14-'Income Statement'!G25)/'Income Statement'!G14</f>
        <v>0.14227442500491438</v>
      </c>
      <c r="H20" s="19">
        <f>('Income Statement'!H14-'Income Statement'!H25)/'Income Statement'!H14</f>
        <v>0.17778981139015465</v>
      </c>
      <c r="I20" s="19">
        <f>('Income Statement'!I14-'Income Statement'!I25)/'Income Statement'!I14</f>
        <v>0.15637860082304528</v>
      </c>
      <c r="J20" s="19">
        <f>('Income Statement'!J14-'Income Statement'!J25)/'Income Statement'!J14</f>
        <v>0.15582016013138986</v>
      </c>
      <c r="K20" s="19">
        <f>('Income Statement'!K14-'Income Statement'!K25)/'Income Statement'!K14</f>
        <v>0.14792475976282968</v>
      </c>
      <c r="L20" s="19">
        <f>('Income Statement'!L14-'Income Statement'!L25)/'Income Statement'!L14</f>
        <v>0.14664602683178535</v>
      </c>
      <c r="M20" s="9"/>
      <c r="N20" s="19">
        <f>('Income Statement'!N14-'Income Statement'!N25)/'Income Statement'!N14</f>
        <v>0.1536144578313253</v>
      </c>
      <c r="O20" s="19">
        <f>('Income Statement'!O14-'Income Statement'!O25)/'Income Statement'!O14</f>
        <v>0.14415584415584415</v>
      </c>
      <c r="P20" s="19">
        <f>('Income Statement'!P14-'Income Statement'!P25)/'Income Statement'!P14</f>
        <v>0.12804878048780488</v>
      </c>
      <c r="Q20" s="19">
        <f>('Income Statement'!Q14-'Income Statement'!Q25)/'Income Statement'!Q14</f>
        <v>0.15459723352318958</v>
      </c>
      <c r="R20" s="19">
        <f>('Income Statement'!R14-'Income Statement'!R25)/'Income Statement'!R14</f>
        <v>0.15255559890753023</v>
      </c>
      <c r="S20" s="19">
        <f>('Income Statement'!S14-'Income Statement'!S25)/'Income Statement'!S14</f>
        <v>0.14826498422712933</v>
      </c>
      <c r="T20" s="19">
        <f>('Income Statement'!T14-'Income Statement'!T25)/'Income Statement'!T14</f>
        <v>0.12300388433318947</v>
      </c>
      <c r="U20" s="19">
        <f>('Income Statement'!U14-'Income Statement'!U25)/'Income Statement'!U14</f>
        <v>0.15326732673267326</v>
      </c>
    </row>
    <row r="21" spans="1:21">
      <c r="A21" s="18" t="s">
        <v>766</v>
      </c>
      <c r="C21" s="19">
        <f>'Income Statement'!C30/'Income Statement'!C17</f>
        <v>9.6844678924047287E-2</v>
      </c>
      <c r="D21" s="19">
        <f>'Income Statement'!D30/'Income Statement'!D17</f>
        <v>9.7776550805419721E-2</v>
      </c>
      <c r="E21" s="19">
        <f>'Income Statement'!E30/'Income Statement'!E17</f>
        <v>0.10350034575381388</v>
      </c>
      <c r="F21" s="19">
        <f>'Income Statement'!F30/'Income Statement'!F17</f>
        <v>0.10435116361798132</v>
      </c>
      <c r="G21" s="19">
        <f>'Income Statement'!G30/'Income Statement'!G17</f>
        <v>0.13252949322670998</v>
      </c>
      <c r="H21" s="19">
        <f>'Income Statement'!H30/'Income Statement'!H17</f>
        <v>0.11658750629766308</v>
      </c>
      <c r="I21" s="19">
        <f>'Income Statement'!I30/'Income Statement'!I17</f>
        <v>0.12345252987102619</v>
      </c>
      <c r="J21" s="19">
        <f>'Income Statement'!J30/'Income Statement'!J17</f>
        <v>0.11049658743233702</v>
      </c>
      <c r="K21" s="19">
        <f>'Income Statement'!K30/'Income Statement'!K17</f>
        <v>0.11030092592592593</v>
      </c>
      <c r="L21" s="19">
        <f>'Income Statement'!L30/'Income Statement'!L17</f>
        <v>0.11307420494699646</v>
      </c>
      <c r="M21" s="9"/>
      <c r="N21" s="19">
        <f>'Income Statement'!N30/'Income Statement'!N17</f>
        <v>9.4136476065764585E-2</v>
      </c>
      <c r="O21" s="19">
        <f>'Income Statement'!O30/'Income Statement'!O17</f>
        <v>0.12523481527864747</v>
      </c>
      <c r="P21" s="19">
        <f>'Income Statement'!P30/'Income Statement'!P17</f>
        <v>0.1145063801208865</v>
      </c>
      <c r="Q21" s="19">
        <f>'Income Statement'!Q30/'Income Statement'!Q17</f>
        <v>0.10244045009498758</v>
      </c>
      <c r="R21" s="19">
        <f>'Income Statement'!R30/'Income Statement'!R17</f>
        <v>0.11090703588584346</v>
      </c>
      <c r="S21" s="19">
        <f>'Income Statement'!S30/'Income Statement'!S17</f>
        <v>0.12455414467113711</v>
      </c>
      <c r="T21" s="19">
        <f>'Income Statement'!T30/'Income Statement'!T17</f>
        <v>0.11646463096516803</v>
      </c>
      <c r="U21" s="19">
        <f>'Income Statement'!U30/'Income Statement'!U17</f>
        <v>0.11508663191998873</v>
      </c>
    </row>
    <row r="22" spans="1:21">
      <c r="A22" s="18" t="s">
        <v>668</v>
      </c>
      <c r="C22" s="19">
        <f>'Income Statement'!C33/'Income Statement'!C17</f>
        <v>0.3145370584723356</v>
      </c>
      <c r="D22" s="19">
        <f>'Income Statement'!D33/'Income Statement'!D17</f>
        <v>0.41860353017475593</v>
      </c>
      <c r="E22" s="19">
        <f>'Income Statement'!E33/'Income Statement'!E17</f>
        <v>0.41502688412307892</v>
      </c>
      <c r="F22" s="19">
        <f>'Income Statement'!F33/'Income Statement'!F17</f>
        <v>0.42452865514594368</v>
      </c>
      <c r="G22" s="19">
        <f>'Income Statement'!G33/'Income Statement'!G17</f>
        <v>0.3813034288153771</v>
      </c>
      <c r="H22" s="19">
        <f>'Income Statement'!H33/'Income Statement'!H17</f>
        <v>0.44593913766153231</v>
      </c>
      <c r="I22" s="19">
        <f>'Income Statement'!I33/'Income Statement'!I17</f>
        <v>0.40421860846309798</v>
      </c>
      <c r="J22" s="19">
        <f>'Income Statement'!J33/'Income Statement'!J17</f>
        <v>0.45685259276692552</v>
      </c>
      <c r="K22" s="19">
        <f>'Income Statement'!K33/'Income Statement'!K17</f>
        <v>0.45185185185185184</v>
      </c>
      <c r="L22" s="19">
        <f>'Income Statement'!L33/'Income Statement'!L17</f>
        <v>0.4609633624697787</v>
      </c>
      <c r="M22" s="9"/>
      <c r="N22" s="19">
        <f>'Income Statement'!N33/'Income Statement'!N17</f>
        <v>0.4638440273534119</v>
      </c>
      <c r="O22" s="19">
        <f>'Income Statement'!O33/'Income Statement'!O17</f>
        <v>0.44896681277395117</v>
      </c>
      <c r="P22" s="19">
        <f>'Income Statement'!P33/'Income Statement'!P17</f>
        <v>0.44459368703828073</v>
      </c>
      <c r="Q22" s="19">
        <f>'Income Statement'!Q33/'Income Statement'!Q17</f>
        <v>0.47230746748502117</v>
      </c>
      <c r="R22" s="19">
        <f>'Income Statement'!R33/'Income Statement'!R17</f>
        <v>0.47428652161627577</v>
      </c>
      <c r="S22" s="19">
        <f>'Income Statement'!S33/'Income Statement'!S17</f>
        <v>0.45027821372521043</v>
      </c>
      <c r="T22" s="19">
        <f>'Income Statement'!T33/'Income Statement'!T17</f>
        <v>0.45312260242442842</v>
      </c>
      <c r="U22" s="19">
        <f>'Income Statement'!U33/'Income Statement'!U17</f>
        <v>0.47020707141850965</v>
      </c>
    </row>
    <row r="23" spans="1:21">
      <c r="A23" s="18" t="s">
        <v>767</v>
      </c>
      <c r="C23" s="26">
        <f>'Income Statement'!C33+'Cash Flow'!C16</f>
        <v>9261</v>
      </c>
      <c r="D23" s="26">
        <f>'Income Statement'!D33+'Cash Flow'!D16</f>
        <v>10916.1</v>
      </c>
      <c r="E23" s="26">
        <f>'Income Statement'!E33+'Cash Flow'!E16</f>
        <v>10304.6</v>
      </c>
      <c r="F23" s="26">
        <f>'Income Statement'!F33+'Cash Flow'!F16</f>
        <v>10687.699999999999</v>
      </c>
      <c r="G23" s="26">
        <f>'Income Statement'!G33+'Cash Flow'!G16</f>
        <v>9075.4</v>
      </c>
      <c r="H23" s="26">
        <f>'Income Statement'!H33+'Cash Flow'!H16</f>
        <v>12224.1</v>
      </c>
      <c r="I23" s="26">
        <f>'Income Statement'!I33+'Cash Flow'!I16</f>
        <v>11242</v>
      </c>
      <c r="J23" s="26">
        <f>'Income Statement'!J33+'Cash Flow'!J16</f>
        <v>13625</v>
      </c>
      <c r="K23" s="26">
        <f>'Income Statement'!K33+'Cash Flow'!K16</f>
        <v>13809</v>
      </c>
      <c r="L23" s="26">
        <f>'Income Statement'!L33+'Cash Flow'!L16</f>
        <v>14592</v>
      </c>
      <c r="M23" s="9"/>
      <c r="N23" s="26">
        <f>'Income Statement'!N33+'Cash Flow'!N16</f>
        <v>3720</v>
      </c>
      <c r="O23" s="26">
        <f>'Income Statement'!O33+'Cash Flow'!O16</f>
        <v>3421</v>
      </c>
      <c r="P23" s="26">
        <f>'Income Statement'!P33+'Cash Flow'!P16</f>
        <v>3168</v>
      </c>
      <c r="Q23" s="26">
        <f>'Income Statement'!Q33+'Cash Flow'!Q16</f>
        <v>3776</v>
      </c>
      <c r="R23" s="26">
        <f>'Income Statement'!R33+'Cash Flow'!R16</f>
        <v>3916</v>
      </c>
      <c r="S23" s="26">
        <f>'Income Statement'!S33+'Cash Flow'!S16</f>
        <v>3732</v>
      </c>
      <c r="T23" s="26">
        <f>'Income Statement'!T33+'Cash Flow'!T16</f>
        <v>3519</v>
      </c>
      <c r="U23" s="26">
        <f>'Income Statement'!U33+'Cash Flow'!U16</f>
        <v>3903</v>
      </c>
    </row>
    <row r="24" spans="1:21">
      <c r="A24" s="18" t="s">
        <v>768</v>
      </c>
      <c r="C24" s="19">
        <f>C23/'Income Statement'!C17</f>
        <v>0.37612856846953319</v>
      </c>
      <c r="D24" s="19">
        <f>D23/'Income Statement'!D17</f>
        <v>0.47834831992427829</v>
      </c>
      <c r="E24" s="19">
        <f>E23/'Income Statement'!E17</f>
        <v>0.48474214292098466</v>
      </c>
      <c r="F24" s="19">
        <f>F23/'Income Statement'!F17</f>
        <v>0.50025743760648544</v>
      </c>
      <c r="G24" s="19">
        <f>G23/'Income Statement'!G17</f>
        <v>0.47248513624673311</v>
      </c>
      <c r="H24" s="19">
        <f>H23/'Income Statement'!H17</f>
        <v>0.52638128743610835</v>
      </c>
      <c r="I24" s="19">
        <f>I23/'Income Statement'!I17</f>
        <v>0.4849242979769659</v>
      </c>
      <c r="J24" s="19">
        <f>J23/'Income Statement'!J17</f>
        <v>0.53443947595512664</v>
      </c>
      <c r="K24" s="19">
        <f>K23/'Income Statement'!K17</f>
        <v>0.53275462962962961</v>
      </c>
      <c r="L24" s="19">
        <f>L23/'Income Statement'!L17</f>
        <v>0.54275618374558299</v>
      </c>
      <c r="M24" s="9"/>
      <c r="N24" s="19">
        <f>N23/'Income Statement'!N17</f>
        <v>0.54124836316019209</v>
      </c>
      <c r="O24" s="19">
        <f>O23/'Income Statement'!O17</f>
        <v>0.53553537883531621</v>
      </c>
      <c r="P24" s="19">
        <f>P23/'Income Statement'!P17</f>
        <v>0.53190060443250509</v>
      </c>
      <c r="Q24" s="19">
        <f>Q23/'Income Statement'!Q17</f>
        <v>0.55180476399240097</v>
      </c>
      <c r="R24" s="19">
        <f>R23/'Income Statement'!R17</f>
        <v>0.55326363379485732</v>
      </c>
      <c r="S24" s="19">
        <f>S23/'Income Statement'!S17</f>
        <v>0.53245826794121842</v>
      </c>
      <c r="T24" s="19">
        <f>T23/'Income Statement'!T17</f>
        <v>0.53997237992941538</v>
      </c>
      <c r="U24" s="19">
        <f>U23/'Income Statement'!U17</f>
        <v>0.54979574587970137</v>
      </c>
    </row>
    <row r="25" spans="1:21">
      <c r="A25" s="18" t="s">
        <v>769</v>
      </c>
      <c r="C25" s="19">
        <f>'Income Statement'!C41/'Income Statement'!C17</f>
        <v>0.19033868223004721</v>
      </c>
      <c r="D25" s="19">
        <f>'Income Statement'!D41/'Income Statement'!D17</f>
        <v>0.22752887767085589</v>
      </c>
      <c r="E25" s="19">
        <f>'Income Statement'!E41/'Income Statement'!E17</f>
        <v>0.27868698225130423</v>
      </c>
      <c r="F25" s="19">
        <f>'Income Statement'!F41/'Income Statement'!F17</f>
        <v>0.28202991893055734</v>
      </c>
      <c r="G25" s="19">
        <f>'Income Statement'!G41/'Income Statement'!G17</f>
        <v>0.24628015701954414</v>
      </c>
      <c r="H25" s="19">
        <f>'Income Statement'!H41/'Income Statement'!H17</f>
        <v>0.32490343583273407</v>
      </c>
      <c r="I25" s="19">
        <f>'Income Statement'!I41/'Income Statement'!I17</f>
        <v>0.26644524004658587</v>
      </c>
      <c r="J25" s="19">
        <f>'Income Statement'!J41/'Income Statement'!J17</f>
        <v>0.33219581077900684</v>
      </c>
      <c r="K25" s="19">
        <f>'Income Statement'!K41/'Income Statement'!K17</f>
        <v>0.31724537037037037</v>
      </c>
      <c r="L25" s="19">
        <f>'Income Statement'!L41/'Income Statement'!L17</f>
        <v>0.31850474242142457</v>
      </c>
      <c r="M25" s="9"/>
      <c r="N25" s="19">
        <f>'Income Statement'!N41/'Income Statement'!N17</f>
        <v>0.32809544594791212</v>
      </c>
      <c r="O25" s="19">
        <f>'Income Statement'!O41/'Income Statement'!O17</f>
        <v>0.31559173450219163</v>
      </c>
      <c r="P25" s="19">
        <f>'Income Statement'!P41/'Income Statement'!P17</f>
        <v>0.31363331094694424</v>
      </c>
      <c r="Q25" s="19">
        <f>'Income Statement'!Q41/'Income Statement'!Q17</f>
        <v>0.32924156071898292</v>
      </c>
      <c r="R25" s="19">
        <f>'Income Statement'!R41/'Income Statement'!R17</f>
        <v>0.32184232834133936</v>
      </c>
      <c r="S25" s="19">
        <f>'Income Statement'!S41/'Income Statement'!S17</f>
        <v>0.30874589813097447</v>
      </c>
      <c r="T25" s="19">
        <f>'Income Statement'!T41/'Income Statement'!T17</f>
        <v>0.30428111094061683</v>
      </c>
      <c r="U25" s="19">
        <f>'Income Statement'!U41/'Income Statement'!U17</f>
        <v>0.33272291872094661</v>
      </c>
    </row>
    <row r="26" spans="1:21">
      <c r="A26" s="18" t="s">
        <v>648</v>
      </c>
      <c r="C26" s="19">
        <f>'Income Statement'!C40/'Income Statement'!C39</f>
        <v>0.31743373143023595</v>
      </c>
      <c r="D26" s="19">
        <f>'Income Statement'!D40/'Income Statement'!D39</f>
        <v>0.39437802531054994</v>
      </c>
      <c r="E26" s="19">
        <f>'Income Statement'!E40/'Income Statement'!E39</f>
        <v>0.24203886848940007</v>
      </c>
      <c r="F26" s="19">
        <f>'Income Statement'!F40/'Income Statement'!F39</f>
        <v>0.2485252117085095</v>
      </c>
      <c r="G26" s="19">
        <f>'Income Statement'!G40/'Income Statement'!G39</f>
        <v>0.22964808572312603</v>
      </c>
      <c r="H26" s="19">
        <f>'Income Statement'!H40/'Income Statement'!H39</f>
        <v>0.17339147010813002</v>
      </c>
      <c r="I26" s="19">
        <f>'Income Statement'!I40/'Income Statement'!I39</f>
        <v>0.21060702875399362</v>
      </c>
      <c r="J26" s="19">
        <f>'Income Statement'!J40/'Income Statement'!J39</f>
        <v>0.19511499714883102</v>
      </c>
      <c r="K26" s="19">
        <f>'Income Statement'!K40/'Income Statement'!K39</f>
        <v>0.20502658289028516</v>
      </c>
      <c r="L26" s="19">
        <f>'Income Statement'!L40/'Income Statement'!L39</f>
        <v>0.21418739102505277</v>
      </c>
      <c r="M26" s="9"/>
      <c r="N26" s="19">
        <f>'Income Statement'!N40/'Income Statement'!N39</f>
        <v>0.20682377769961308</v>
      </c>
      <c r="O26" s="19">
        <f>'Income Statement'!O40/'Income Statement'!O39</f>
        <v>0.20527974783293931</v>
      </c>
      <c r="P26" s="19">
        <f>'Income Statement'!P40/'Income Statement'!P39</f>
        <v>0.19785407725321888</v>
      </c>
      <c r="Q26" s="19">
        <f>'Income Statement'!Q40/'Income Statement'!Q39</f>
        <v>0.21251310730513806</v>
      </c>
      <c r="R26" s="19">
        <f>'Income Statement'!R40/'Income Statement'!R39</f>
        <v>0.22753475754493049</v>
      </c>
      <c r="S26" s="19">
        <f>'Income Statement'!S40/'Income Statement'!S39</f>
        <v>0.21545157780195864</v>
      </c>
      <c r="T26" s="19">
        <f>'Income Statement'!T40/'Income Statement'!T39</f>
        <v>0.21990558615263572</v>
      </c>
      <c r="U26" s="19">
        <f>'Income Statement'!U40/'Income Statement'!U39</f>
        <v>0.19550408719346049</v>
      </c>
    </row>
    <row r="27" spans="1:21">
      <c r="A27" s="18" t="s">
        <v>770</v>
      </c>
      <c r="C27" s="19">
        <f>'Cash Flow'!C16/'Income Statement'!C17</f>
        <v>6.1591509997197612E-2</v>
      </c>
      <c r="D27" s="19">
        <f>'Cash Flow'!D16/'Income Statement'!D17</f>
        <v>5.974478974952236E-2</v>
      </c>
      <c r="E27" s="19">
        <f>'Cash Flow'!E16/'Income Statement'!E17</f>
        <v>6.9715258797905716E-2</v>
      </c>
      <c r="F27" s="19">
        <f>'Cash Flow'!F16/'Income Statement'!F17</f>
        <v>7.5728782460541835E-2</v>
      </c>
      <c r="G27" s="19">
        <f>'Cash Flow'!G16/'Income Statement'!G17</f>
        <v>9.1181707431356021E-2</v>
      </c>
      <c r="H27" s="19">
        <f>'Cash Flow'!H16/'Income Statement'!H17</f>
        <v>8.044214977457595E-2</v>
      </c>
      <c r="I27" s="19">
        <f>'Cash Flow'!I16/'Income Statement'!I17</f>
        <v>8.0705689513867918E-2</v>
      </c>
      <c r="J27" s="19">
        <f>'Cash Flow'!J16/'Income Statement'!J17</f>
        <v>7.7586883188201144E-2</v>
      </c>
      <c r="K27" s="19">
        <f>'Cash Flow'!K16/'Income Statement'!K17</f>
        <v>8.0902777777777782E-2</v>
      </c>
      <c r="L27" s="19">
        <f>'Cash Flow'!L16/'Income Statement'!L17</f>
        <v>8.1792821275804353E-2</v>
      </c>
      <c r="M27" s="9"/>
      <c r="N27" s="19">
        <f>'Cash Flow'!N16/'Income Statement'!N17</f>
        <v>7.7404335806780147E-2</v>
      </c>
      <c r="O27" s="19">
        <f>'Cash Flow'!O16/'Income Statement'!O17</f>
        <v>8.6568566061365065E-2</v>
      </c>
      <c r="P27" s="19">
        <f>'Cash Flow'!P16/'Income Statement'!P17</f>
        <v>8.7306917394224318E-2</v>
      </c>
      <c r="Q27" s="19">
        <f>'Cash Flow'!Q16/'Income Statement'!Q17</f>
        <v>7.94972965073798E-2</v>
      </c>
      <c r="R27" s="19">
        <f>'Cash Flow'!R16/'Income Statement'!R17</f>
        <v>7.8977112178581527E-2</v>
      </c>
      <c r="S27" s="19">
        <f>'Cash Flow'!S16/'Income Statement'!S17</f>
        <v>8.2180054216007992E-2</v>
      </c>
      <c r="T27" s="19">
        <f>'Cash Flow'!T16/'Income Statement'!T17</f>
        <v>8.6849777504986958E-2</v>
      </c>
      <c r="U27" s="19">
        <f>'Cash Flow'!U16/'Income Statement'!U17</f>
        <v>7.9588674461191722E-2</v>
      </c>
    </row>
    <row r="28" spans="1:21" ht="8" customHeight="1">
      <c r="M28" s="9"/>
    </row>
    <row r="29" spans="1:21" ht="20" customHeight="1">
      <c r="A29" s="12" t="s">
        <v>771</v>
      </c>
      <c r="B29" s="2"/>
      <c r="C29" s="2"/>
      <c r="D29" s="2"/>
      <c r="E29" s="2"/>
      <c r="F29" s="2"/>
      <c r="G29" s="2"/>
      <c r="H29" s="2"/>
      <c r="I29" s="2"/>
      <c r="J29" s="2"/>
      <c r="K29" s="2"/>
      <c r="L29" s="2"/>
      <c r="M29" s="9"/>
      <c r="N29" s="2"/>
      <c r="O29" s="2"/>
      <c r="P29" s="2"/>
      <c r="Q29" s="2"/>
      <c r="R29" s="2"/>
      <c r="S29" s="2"/>
      <c r="T29" s="2"/>
      <c r="U29" s="2"/>
    </row>
    <row r="30" spans="1:21">
      <c r="A30" s="18" t="s">
        <v>772</v>
      </c>
      <c r="D30" s="26">
        <f>('Balance Sheet'!D29+'Balance Sheet'!C29)/2</f>
        <v>32413.8</v>
      </c>
      <c r="E30" s="26">
        <f>('Balance Sheet'!E29+'Balance Sheet'!D29)/2</f>
        <v>33307.449999999997</v>
      </c>
      <c r="F30" s="26">
        <f>('Balance Sheet'!F29+'Balance Sheet'!E29)/2</f>
        <v>40161</v>
      </c>
      <c r="G30" s="26">
        <f>('Balance Sheet'!G29+'Balance Sheet'!F29)/2</f>
        <v>50068.800000000003</v>
      </c>
      <c r="H30" s="26">
        <f>('Balance Sheet'!H29+'Balance Sheet'!G29)/2</f>
        <v>53240.55</v>
      </c>
      <c r="I30" s="26">
        <f>('Balance Sheet'!I29+'Balance Sheet'!H29)/2</f>
        <v>52144.95</v>
      </c>
      <c r="J30" s="26">
        <f>('Balance Sheet'!J29+'Balance Sheet'!I29)/2</f>
        <v>53291.3</v>
      </c>
      <c r="K30" s="26">
        <f>('Balance Sheet'!K29+'Balance Sheet'!J29)/2</f>
        <v>55664.5</v>
      </c>
      <c r="L30" s="26">
        <f>('Balance Sheet'!L29+'Balance Sheet'!K29)/2</f>
        <v>57348.5</v>
      </c>
      <c r="M30" s="9"/>
    </row>
    <row r="31" spans="1:21">
      <c r="A31" s="18" t="s">
        <v>773</v>
      </c>
      <c r="D31" s="19">
        <f>'Income Statement'!D41/D30</f>
        <v>0.16018794464086286</v>
      </c>
      <c r="E31" s="19">
        <f>'Income Statement'!E41/E30</f>
        <v>0.17786711381387649</v>
      </c>
      <c r="F31" s="19">
        <f>'Income Statement'!F41/F30</f>
        <v>0.15003112472298996</v>
      </c>
      <c r="G31" s="19">
        <f>'Income Statement'!G41/G30</f>
        <v>9.4479995526156005E-2</v>
      </c>
      <c r="H31" s="19">
        <f>'Income Statement'!H41/H30</f>
        <v>0.14171904685432438</v>
      </c>
      <c r="I31" s="19">
        <f>'Income Statement'!I41/I30</f>
        <v>0.11845825914110571</v>
      </c>
      <c r="J31" s="19">
        <f>'Income Statement'!J41/J30</f>
        <v>0.15891899803532658</v>
      </c>
      <c r="K31" s="19">
        <f>'Income Statement'!K41/K30</f>
        <v>0.14772431262294641</v>
      </c>
      <c r="L31" s="19">
        <f>'Income Statement'!L41/L30</f>
        <v>0.14931515209639309</v>
      </c>
      <c r="M31" s="9"/>
    </row>
    <row r="32" spans="1:21">
      <c r="A32" s="18" t="s">
        <v>774</v>
      </c>
      <c r="D32" s="34">
        <f>'Income Statement'!D17/D30</f>
        <v>0.70403346722692195</v>
      </c>
      <c r="E32" s="34">
        <f>'Income Statement'!E17/E30</f>
        <v>0.63823258760427481</v>
      </c>
      <c r="F32" s="34">
        <f>'Income Statement'!F17/F30</f>
        <v>0.53196882547745328</v>
      </c>
      <c r="G32" s="34">
        <f>'Income Statement'!G17/G30</f>
        <v>0.38362812769628984</v>
      </c>
      <c r="H32" s="34">
        <f>'Income Statement'!H17/H30</f>
        <v>0.43618820616992121</v>
      </c>
      <c r="I32" s="34">
        <f>'Income Statement'!I17/I30</f>
        <v>0.44458763504423732</v>
      </c>
      <c r="J32" s="34">
        <f>'Income Statement'!J17/J30</f>
        <v>0.47838953074892149</v>
      </c>
      <c r="K32" s="34">
        <f>'Income Statement'!K17/K30</f>
        <v>0.46564686649480369</v>
      </c>
      <c r="L32" s="34">
        <f>'Income Statement'!L17/L30</f>
        <v>0.46880040454414673</v>
      </c>
      <c r="M32" s="9"/>
    </row>
    <row r="33" spans="1:21" ht="36">
      <c r="A33" s="18" t="s">
        <v>775</v>
      </c>
      <c r="B33" s="15" t="s">
        <v>776</v>
      </c>
      <c r="C33" s="26">
        <f>'Balance Sheet'!C69+'Balance Sheet'!C70+'Balance Sheet'!C56</f>
        <v>23751.4</v>
      </c>
      <c r="D33" s="26">
        <f>'Balance Sheet'!D69+'Balance Sheet'!D70+'Balance Sheet'!D56</f>
        <v>26268.400000000001</v>
      </c>
      <c r="E33" s="26">
        <f>'Balance Sheet'!E69+'Balance Sheet'!E70+'Balance Sheet'!E56</f>
        <v>24816.9</v>
      </c>
      <c r="F33" s="26">
        <f>'Balance Sheet'!F69+'Balance Sheet'!F70+'Balance Sheet'!F56</f>
        <v>39345.699999999997</v>
      </c>
      <c r="G33" s="26">
        <f>'Balance Sheet'!G69+'Balance Sheet'!G70+'Balance Sheet'!G56</f>
        <v>43638.299999999996</v>
      </c>
      <c r="H33" s="26">
        <f>'Balance Sheet'!H69+'Balance Sheet'!H70+'Balance Sheet'!H56</f>
        <v>44748.1</v>
      </c>
      <c r="I33" s="26">
        <f>'Balance Sheet'!I69+'Balance Sheet'!I70+'Balance Sheet'!I56</f>
        <v>42695.6</v>
      </c>
      <c r="J33" s="26">
        <f>'Balance Sheet'!J69+'Balance Sheet'!J70+'Balance Sheet'!J56</f>
        <v>48384</v>
      </c>
      <c r="K33" s="26">
        <f>'Balance Sheet'!K69+'Balance Sheet'!K70+'Balance Sheet'!K56</f>
        <v>48151</v>
      </c>
      <c r="L33" s="26">
        <f>'Balance Sheet'!L69+'Balance Sheet'!L70+'Balance Sheet'!L56</f>
        <v>53023</v>
      </c>
      <c r="M33" s="9"/>
    </row>
    <row r="34" spans="1:21">
      <c r="A34" s="18" t="s">
        <v>777</v>
      </c>
      <c r="C34" s="26">
        <f>'Income Statement'!C33*(1-C26)</f>
        <v>5286.1344669385371</v>
      </c>
      <c r="D34" s="26">
        <f>'Income Statement'!D33*(1-D26)</f>
        <v>5785.3250376159094</v>
      </c>
      <c r="E34" s="26">
        <f>'Income Statement'!E33*(1-E26)</f>
        <v>6687.1878788654194</v>
      </c>
      <c r="F34" s="26">
        <f>'Income Statement'!F33*(1-F26)</f>
        <v>6815.7260348461596</v>
      </c>
      <c r="G34" s="26">
        <f>'Income Statement'!G33*(1-G26)</f>
        <v>5642.0574201638256</v>
      </c>
      <c r="H34" s="26">
        <f>'Income Statement'!H33*(1-H26)</f>
        <v>8560.3579355602051</v>
      </c>
      <c r="I34" s="26">
        <f>'Income Statement'!I33*(1-I26)</f>
        <v>7397.4015335463255</v>
      </c>
      <c r="J34" s="26">
        <f>'Income Statement'!J33*(1-J26)</f>
        <v>9374.4956282075636</v>
      </c>
      <c r="K34" s="26">
        <f>'Income Statement'!K33*(1-K26)</f>
        <v>9310.7286611889795</v>
      </c>
      <c r="L34" s="26">
        <f>'Income Statement'!L33*(1-L26)</f>
        <v>9738.5756630265205</v>
      </c>
      <c r="M34" s="9"/>
    </row>
    <row r="35" spans="1:21">
      <c r="A35" s="18" t="s">
        <v>778</v>
      </c>
      <c r="D35" s="19">
        <f t="shared" ref="D35:L35" si="0">D34/((D33+C33)/2)</f>
        <v>0.23132139823093692</v>
      </c>
      <c r="E35" s="19">
        <f t="shared" si="0"/>
        <v>0.2618047805871912</v>
      </c>
      <c r="F35" s="19">
        <f t="shared" si="0"/>
        <v>0.21245167854314381</v>
      </c>
      <c r="G35" s="19">
        <f t="shared" si="0"/>
        <v>0.13597940374442846</v>
      </c>
      <c r="H35" s="19">
        <f t="shared" si="0"/>
        <v>0.1937030569309352</v>
      </c>
      <c r="I35" s="19">
        <f t="shared" si="0"/>
        <v>0.16919232680104629</v>
      </c>
      <c r="J35" s="19">
        <f t="shared" si="0"/>
        <v>0.20585280629707559</v>
      </c>
      <c r="K35" s="19">
        <f t="shared" si="0"/>
        <v>0.19289850647307152</v>
      </c>
      <c r="L35" s="19">
        <f t="shared" si="0"/>
        <v>0.19251142908309488</v>
      </c>
      <c r="M35" s="9"/>
    </row>
    <row r="36" spans="1:21" ht="8" customHeight="1">
      <c r="M36" s="9"/>
    </row>
    <row r="37" spans="1:21" ht="20" customHeight="1">
      <c r="A37" s="12" t="s">
        <v>779</v>
      </c>
      <c r="B37" s="2"/>
      <c r="C37" s="2"/>
      <c r="D37" s="2"/>
      <c r="E37" s="2"/>
      <c r="F37" s="2"/>
      <c r="G37" s="2"/>
      <c r="H37" s="2"/>
      <c r="I37" s="2"/>
      <c r="J37" s="2"/>
      <c r="K37" s="2"/>
      <c r="L37" s="2"/>
      <c r="M37" s="9"/>
      <c r="N37" s="2"/>
      <c r="O37" s="2"/>
      <c r="P37" s="2"/>
      <c r="Q37" s="2"/>
      <c r="R37" s="2"/>
      <c r="S37" s="2"/>
      <c r="T37" s="2"/>
      <c r="U37" s="2"/>
    </row>
    <row r="38" spans="1:21">
      <c r="A38" s="18" t="s">
        <v>780</v>
      </c>
      <c r="C38" s="34">
        <f>'Balance Sheet'!C71/C23</f>
        <v>2.670586329770003</v>
      </c>
      <c r="D38" s="34">
        <f>'Balance Sheet'!D71/D23</f>
        <v>2.4800615604474125</v>
      </c>
      <c r="E38" s="34">
        <f>'Balance Sheet'!E71/E23</f>
        <v>2.9316324748170719</v>
      </c>
      <c r="F38" s="34">
        <f>'Balance Sheet'!F71/F23</f>
        <v>3.1137382224426209</v>
      </c>
      <c r="G38" s="34">
        <f>'Balance Sheet'!G71/G23</f>
        <v>3.7454327082001901</v>
      </c>
      <c r="H38" s="34">
        <f>'Balance Sheet'!H71/H23</f>
        <v>2.5288978329692982</v>
      </c>
      <c r="I38" s="34">
        <f>'Balance Sheet'!I71/I23</f>
        <v>2.96385874399573</v>
      </c>
      <c r="J38" s="34">
        <f>'Balance Sheet'!J71/J23</f>
        <v>2.5516330275229357</v>
      </c>
      <c r="K38" s="34">
        <f>'Balance Sheet'!K71/K23</f>
        <v>2.7039611847345935</v>
      </c>
      <c r="L38" s="34">
        <f>'Balance Sheet'!L71/L23</f>
        <v>2.6863349780701755</v>
      </c>
      <c r="M38" s="9"/>
    </row>
    <row r="39" spans="1:21" ht="24">
      <c r="A39" s="18" t="s">
        <v>781</v>
      </c>
      <c r="B39" s="15" t="s">
        <v>782</v>
      </c>
      <c r="C39" s="34">
        <f>'Balance Sheet'!C72/C23</f>
        <v>2.670586329770003</v>
      </c>
      <c r="D39" s="34">
        <f>'Balance Sheet'!D72/D23</f>
        <v>2.4800615604474125</v>
      </c>
      <c r="E39" s="34">
        <f>'Balance Sheet'!E72/E23</f>
        <v>2.9316324748170719</v>
      </c>
      <c r="F39" s="34">
        <f>'Balance Sheet'!F72/F23</f>
        <v>4.3655323409152578</v>
      </c>
      <c r="G39" s="34">
        <f>'Balance Sheet'!G72/G23</f>
        <v>5.2905767238909585</v>
      </c>
      <c r="H39" s="34">
        <f>'Balance Sheet'!H72/H23</f>
        <v>3.6517944061321481</v>
      </c>
      <c r="I39" s="34">
        <f>'Balance Sheet'!I72/I23</f>
        <v>4.102045899306173</v>
      </c>
      <c r="J39" s="34">
        <f>'Balance Sheet'!J72/J23</f>
        <v>3.5605137614678899</v>
      </c>
      <c r="K39" s="34">
        <f>'Balance Sheet'!K72/K23</f>
        <v>3.6833224708523429</v>
      </c>
      <c r="L39" s="34">
        <f>'Balance Sheet'!L72/L23</f>
        <v>3.7033991228070176</v>
      </c>
      <c r="M39" s="9"/>
    </row>
    <row r="40" spans="1:21">
      <c r="A40" s="18" t="s">
        <v>783</v>
      </c>
      <c r="C40" s="19">
        <f>'Balance Sheet'!C69/'Balance Sheet'!C29</f>
        <v>0.83663562608182718</v>
      </c>
      <c r="D40" s="19">
        <f>'Balance Sheet'!D69/'Balance Sheet'!D29</f>
        <v>0.87376233962554406</v>
      </c>
      <c r="E40" s="19">
        <f>'Balance Sheet'!E69/'Balance Sheet'!E29</f>
        <v>0.94709428487833425</v>
      </c>
      <c r="F40" s="19">
        <f>'Balance Sheet'!F69/'Balance Sheet'!F29</f>
        <v>0.71935644106182162</v>
      </c>
      <c r="G40" s="19">
        <f>'Balance Sheet'!G69/'Balance Sheet'!G29</f>
        <v>0.71143219804358238</v>
      </c>
      <c r="H40" s="19">
        <f>'Balance Sheet'!H69/'Balance Sheet'!H29</f>
        <v>0.66146435846348384</v>
      </c>
      <c r="I40" s="19">
        <f>'Balance Sheet'!I69/'Balance Sheet'!I29</f>
        <v>0.71186820420496633</v>
      </c>
      <c r="J40" s="19">
        <f>'Balance Sheet'!J69/'Balance Sheet'!J29</f>
        <v>0.70074981744349651</v>
      </c>
      <c r="K40" s="19">
        <f>'Balance Sheet'!K69/'Balance Sheet'!K29</f>
        <v>0.6963140154398173</v>
      </c>
      <c r="L40" s="19">
        <f>'Balance Sheet'!L69/'Balance Sheet'!L29</f>
        <v>0.67164580357892967</v>
      </c>
      <c r="M40" s="9"/>
    </row>
    <row r="41" spans="1:21">
      <c r="A41" s="18" t="s">
        <v>784</v>
      </c>
      <c r="C41" s="34">
        <f>'Income Statement'!C33/'Income Statement'!C37</f>
        <v>8.7528254972875228</v>
      </c>
      <c r="D41" s="34">
        <f>'Income Statement'!D33/'Income Statement'!D37</f>
        <v>10.368718115706068</v>
      </c>
      <c r="E41" s="34">
        <f>'Income Statement'!E33/'Income Statement'!E37</f>
        <v>8.9916428862617206</v>
      </c>
      <c r="F41" s="34">
        <f>'Income Statement'!F33/'Income Statement'!F37</f>
        <v>8.0843212407522937</v>
      </c>
      <c r="G41" s="34">
        <f>'Income Statement'!G33/'Income Statement'!G37</f>
        <v>6.0126426401773259</v>
      </c>
      <c r="H41" s="34">
        <f>'Income Statement'!H33/'Income Statement'!H37</f>
        <v>8.7333445775004215</v>
      </c>
      <c r="I41" s="34">
        <f>'Income Statement'!I33/'Income Statement'!I37</f>
        <v>7.7638773819386913</v>
      </c>
      <c r="J41" s="34">
        <f>'Income Statement'!J33/'Income Statement'!J37</f>
        <v>8.5576781778104341</v>
      </c>
      <c r="K41" s="34">
        <f>'Income Statement'!K33/'Income Statement'!K37</f>
        <v>7.7768924302788847</v>
      </c>
      <c r="L41" s="34">
        <f>'Income Statement'!L33/'Income Statement'!L37</f>
        <v>7.8337547408343866</v>
      </c>
      <c r="M41" s="9"/>
    </row>
    <row r="42" spans="1:21">
      <c r="A42" s="18" t="s">
        <v>785</v>
      </c>
      <c r="C42" s="34">
        <f>C23/'Income Statement'!C37</f>
        <v>10.466772151898734</v>
      </c>
      <c r="D42" s="34">
        <f>D23/'Income Statement'!D37</f>
        <v>11.84858352328232</v>
      </c>
      <c r="E42" s="34">
        <f>E23/'Income Statement'!E37</f>
        <v>10.502038320423971</v>
      </c>
      <c r="F42" s="34">
        <f>F23/'Income Statement'!F37</f>
        <v>9.5264283804260614</v>
      </c>
      <c r="G42" s="34">
        <f>G23/'Income Statement'!G37</f>
        <v>7.4504556276167806</v>
      </c>
      <c r="H42" s="34">
        <f>H23/'Income Statement'!H37</f>
        <v>10.308736717827628</v>
      </c>
      <c r="I42" s="34">
        <f>I23/'Income Statement'!I37</f>
        <v>9.3140016570008282</v>
      </c>
      <c r="J42" s="34">
        <f>J23/'Income Statement'!J37</f>
        <v>10.011021307861867</v>
      </c>
      <c r="K42" s="34">
        <f>K23/'Income Statement'!K37</f>
        <v>9.169322709163346</v>
      </c>
      <c r="L42" s="34">
        <f>L23/'Income Statement'!L37</f>
        <v>9.2237673830594193</v>
      </c>
      <c r="M42" s="9"/>
    </row>
    <row r="43" spans="1:21">
      <c r="A43" s="18" t="s">
        <v>786</v>
      </c>
      <c r="C43" s="19">
        <f>'Cash Flow'!C28/'Balance Sheet'!C69</f>
        <v>0.23345931722126548</v>
      </c>
      <c r="D43" s="19">
        <f>'Cash Flow'!D28/'Balance Sheet'!D69</f>
        <v>0.18794436695061009</v>
      </c>
      <c r="E43" s="19">
        <f>'Cash Flow'!E28/'Balance Sheet'!E69</f>
        <v>0.22418769891199763</v>
      </c>
      <c r="F43" s="19">
        <f>'Cash Flow'!F28/'Balance Sheet'!F69</f>
        <v>0.23764673525040089</v>
      </c>
      <c r="G43" s="19">
        <f>'Cash Flow'!G28/'Balance Sheet'!G69</f>
        <v>0.16733795579107061</v>
      </c>
      <c r="H43" s="19">
        <f>'Cash Flow'!H28/'Balance Sheet'!H69</f>
        <v>0.25662007652423879</v>
      </c>
      <c r="I43" s="19">
        <f>'Cash Flow'!I28/'Balance Sheet'!I69</f>
        <v>0.2057459579149665</v>
      </c>
      <c r="J43" s="19">
        <f>'Cash Flow'!J28/'Balance Sheet'!J69</f>
        <v>0.24430041936713687</v>
      </c>
      <c r="K43" s="19">
        <f>'Cash Flow'!K28/'Balance Sheet'!K69</f>
        <v>0.24586196127420362</v>
      </c>
      <c r="L43" s="19">
        <f>'Cash Flow'!L28/'Balance Sheet'!L69</f>
        <v>0.26395316838866234</v>
      </c>
      <c r="M43" s="9"/>
    </row>
    <row r="44" spans="1:21" ht="8" customHeight="1">
      <c r="M44" s="9"/>
    </row>
    <row r="45" spans="1:21" ht="20" customHeight="1">
      <c r="A45" s="12" t="s">
        <v>787</v>
      </c>
      <c r="B45" s="2"/>
      <c r="C45" s="2"/>
      <c r="D45" s="2"/>
      <c r="E45" s="2"/>
      <c r="F45" s="2"/>
      <c r="G45" s="2"/>
      <c r="H45" s="2"/>
      <c r="I45" s="2"/>
      <c r="J45" s="2"/>
      <c r="K45" s="2"/>
      <c r="L45" s="2"/>
      <c r="M45" s="9"/>
      <c r="N45" s="2"/>
      <c r="O45" s="2"/>
      <c r="P45" s="2"/>
      <c r="Q45" s="2"/>
      <c r="R45" s="2"/>
      <c r="S45" s="2"/>
      <c r="T45" s="2"/>
      <c r="U45" s="2"/>
    </row>
    <row r="46" spans="1:21">
      <c r="A46" s="18" t="s">
        <v>788</v>
      </c>
      <c r="C46" s="34">
        <f>'Balance Sheet'!C19/'Balance Sheet'!C41</f>
        <v>1.3979759536372287</v>
      </c>
      <c r="D46" s="34">
        <f>'Balance Sheet'!D19/'Balance Sheet'!D41</f>
        <v>1.8429391821767107</v>
      </c>
      <c r="E46" s="34">
        <f>'Balance Sheet'!E19/'Balance Sheet'!E41</f>
        <v>1.3631074491340172</v>
      </c>
      <c r="F46" s="34">
        <f>'Balance Sheet'!F19/'Balance Sheet'!F41</f>
        <v>0.98257387462027068</v>
      </c>
      <c r="G46" s="34">
        <f>'Balance Sheet'!G19/'Balance Sheet'!G41</f>
        <v>1.0100304148061865</v>
      </c>
      <c r="H46" s="34">
        <f>'Balance Sheet'!H19/'Balance Sheet'!H41</f>
        <v>1.7782338308457712</v>
      </c>
      <c r="I46" s="34">
        <f>'Balance Sheet'!I19/'Balance Sheet'!I41</f>
        <v>1.4266326503774229</v>
      </c>
      <c r="J46" s="34">
        <f>'Balance Sheet'!J19/'Balance Sheet'!J41</f>
        <v>1.1643096661320893</v>
      </c>
      <c r="K46" s="34">
        <f>'Balance Sheet'!K19/'Balance Sheet'!K41</f>
        <v>1.1911421911421911</v>
      </c>
      <c r="L46" s="34">
        <f>'Balance Sheet'!L19/'Balance Sheet'!L41</f>
        <v>0.95459756936482454</v>
      </c>
      <c r="M46" s="9"/>
      <c r="N46" s="34">
        <f>'Balance Sheet'!N19/'Balance Sheet'!N41</f>
        <v>0.77869372225745082</v>
      </c>
      <c r="O46" s="34">
        <f>'Balance Sheet'!O19/'Balance Sheet'!O41</f>
        <v>1.1911421911421911</v>
      </c>
      <c r="P46" s="34">
        <f>'Balance Sheet'!P19/'Balance Sheet'!P41</f>
        <v>1.1813872255489022</v>
      </c>
      <c r="Q46" s="34">
        <f>'Balance Sheet'!Q19/'Balance Sheet'!Q41</f>
        <v>1.30316426244765</v>
      </c>
      <c r="R46" s="34">
        <f>'Balance Sheet'!R19/'Balance Sheet'!R41</f>
        <v>1</v>
      </c>
      <c r="S46" s="34">
        <f>'Balance Sheet'!S19/'Balance Sheet'!S41</f>
        <v>0.95459756936482454</v>
      </c>
      <c r="T46" s="34">
        <f>'Balance Sheet'!T19/'Balance Sheet'!T41</f>
        <v>1.1357935359382538</v>
      </c>
      <c r="U46" s="34">
        <f>'Balance Sheet'!U19/'Balance Sheet'!U41</f>
        <v>1.0813837730214038</v>
      </c>
    </row>
    <row r="47" spans="1:21">
      <c r="A47" s="18" t="s">
        <v>789</v>
      </c>
      <c r="C47" s="34">
        <f>('Balance Sheet'!C14+'Balance Sheet'!C15)/'Balance Sheet'!C41</f>
        <v>0.77775855606493094</v>
      </c>
      <c r="D47" s="34">
        <f>('Balance Sheet'!D14+'Balance Sheet'!D15)/'Balance Sheet'!D41</f>
        <v>1.5360132844392169</v>
      </c>
      <c r="E47" s="34">
        <f>('Balance Sheet'!E14+'Balance Sheet'!E15)/'Balance Sheet'!E41</f>
        <v>1.1123255422902303</v>
      </c>
      <c r="F47" s="34">
        <f>('Balance Sheet'!F14+'Balance Sheet'!F15)/'Balance Sheet'!F41</f>
        <v>0.8623860811930405</v>
      </c>
      <c r="G47" s="34">
        <f>('Balance Sheet'!G14+'Balance Sheet'!G15)/'Balance Sheet'!G41</f>
        <v>0.89940464634698758</v>
      </c>
      <c r="H47" s="34">
        <f>('Balance Sheet'!H14+'Balance Sheet'!H15)/'Balance Sheet'!H41</f>
        <v>1.6372139303482589</v>
      </c>
      <c r="I47" s="34">
        <f>('Balance Sheet'!I14+'Balance Sheet'!I15)/'Balance Sheet'!I41</f>
        <v>1.2358433497277821</v>
      </c>
      <c r="J47" s="34">
        <f>('Balance Sheet'!J14+'Balance Sheet'!J15)/'Balance Sheet'!J41</f>
        <v>1.0303251202799242</v>
      </c>
      <c r="K47" s="34">
        <f>('Balance Sheet'!K14+'Balance Sheet'!K15)/'Balance Sheet'!K41</f>
        <v>0.89821289821289818</v>
      </c>
      <c r="L47" s="34">
        <f>('Balance Sheet'!L14+'Balance Sheet'!L15)/'Balance Sheet'!L41</f>
        <v>0.74294886493923407</v>
      </c>
      <c r="M47" s="9"/>
      <c r="N47" s="34">
        <f>('Balance Sheet'!N14+'Balance Sheet'!N15)/'Balance Sheet'!N41</f>
        <v>0.58354470513633483</v>
      </c>
      <c r="O47" s="34">
        <f>('Balance Sheet'!O14+'Balance Sheet'!O15)/'Balance Sheet'!O41</f>
        <v>0.89821289821289818</v>
      </c>
      <c r="P47" s="34">
        <f>('Balance Sheet'!P14+'Balance Sheet'!P15)/'Balance Sheet'!P41</f>
        <v>0.904441117764471</v>
      </c>
      <c r="Q47" s="34">
        <f>('Balance Sheet'!Q14+'Balance Sheet'!Q15)/'Balance Sheet'!Q41</f>
        <v>1.0297812936249418</v>
      </c>
      <c r="R47" s="34">
        <f>('Balance Sheet'!R14+'Balance Sheet'!R15)/'Balance Sheet'!R41</f>
        <v>0.8211876953446291</v>
      </c>
      <c r="S47" s="34">
        <f>('Balance Sheet'!S14+'Balance Sheet'!S15)/'Balance Sheet'!S41</f>
        <v>0.74294886493923407</v>
      </c>
      <c r="T47" s="34">
        <f>('Balance Sheet'!T14+'Balance Sheet'!T15)/'Balance Sheet'!T41</f>
        <v>0.86878919440424507</v>
      </c>
      <c r="U47" s="34">
        <f>('Balance Sheet'!U14+'Balance Sheet'!U15)/'Balance Sheet'!U41</f>
        <v>0.82304629168740662</v>
      </c>
    </row>
    <row r="48" spans="1:21">
      <c r="A48" s="18" t="s">
        <v>790</v>
      </c>
      <c r="C48" s="34">
        <f>'Balance Sheet'!C14/'Balance Sheet'!C41</f>
        <v>0.35273765245221</v>
      </c>
      <c r="D48" s="34">
        <f>'Balance Sheet'!D14/'Balance Sheet'!D41</f>
        <v>0.85234899328859071</v>
      </c>
      <c r="E48" s="34">
        <f>'Balance Sheet'!E14/'Balance Sheet'!E41</f>
        <v>0.29123928030939972</v>
      </c>
      <c r="F48" s="34">
        <f>'Balance Sheet'!F14/'Balance Sheet'!F41</f>
        <v>0.24813587406793702</v>
      </c>
      <c r="G48" s="34">
        <f>'Balance Sheet'!G14/'Balance Sheet'!G41</f>
        <v>0.55799844690351386</v>
      </c>
      <c r="H48" s="34">
        <f>'Balance Sheet'!H14/'Balance Sheet'!H41</f>
        <v>1.1714427860696517</v>
      </c>
      <c r="I48" s="34">
        <f>'Balance Sheet'!I14/'Balance Sheet'!I41</f>
        <v>0.67957181557560298</v>
      </c>
      <c r="J48" s="34">
        <f>'Balance Sheet'!J14/'Balance Sheet'!J41</f>
        <v>0.66759002770083098</v>
      </c>
      <c r="K48" s="34">
        <f>'Balance Sheet'!K14/'Balance Sheet'!K41</f>
        <v>0.281015281015281</v>
      </c>
      <c r="L48" s="34">
        <f>'Balance Sheet'!L14/'Balance Sheet'!L41</f>
        <v>0.17748222884659481</v>
      </c>
      <c r="M48" s="9"/>
      <c r="N48" s="34">
        <f>'Balance Sheet'!N14/'Balance Sheet'!N41</f>
        <v>0.19356372859860493</v>
      </c>
      <c r="O48" s="34">
        <f>'Balance Sheet'!O14/'Balance Sheet'!O41</f>
        <v>0.281015281015281</v>
      </c>
      <c r="P48" s="34">
        <f>'Balance Sheet'!P14/'Balance Sheet'!P41</f>
        <v>0.30888223552894212</v>
      </c>
      <c r="Q48" s="34">
        <f>'Balance Sheet'!Q14/'Balance Sheet'!Q41</f>
        <v>0.43648208469055377</v>
      </c>
      <c r="R48" s="34">
        <f>'Balance Sheet'!R14/'Balance Sheet'!R41</f>
        <v>0.39694028623128802</v>
      </c>
      <c r="S48" s="34">
        <f>'Balance Sheet'!S14/'Balance Sheet'!S41</f>
        <v>0.17748222884659481</v>
      </c>
      <c r="T48" s="34">
        <f>'Balance Sheet'!T14/'Balance Sheet'!T41</f>
        <v>0.28219971056439941</v>
      </c>
      <c r="U48" s="34">
        <f>'Balance Sheet'!U14/'Balance Sheet'!U41</f>
        <v>0.20457939273270284</v>
      </c>
    </row>
    <row r="49" spans="1:21" ht="8" customHeight="1">
      <c r="M49" s="9"/>
    </row>
    <row r="50" spans="1:21" ht="20" customHeight="1">
      <c r="A50" s="12" t="s">
        <v>791</v>
      </c>
      <c r="B50" s="2"/>
      <c r="C50" s="2"/>
      <c r="D50" s="2"/>
      <c r="E50" s="2"/>
      <c r="F50" s="2"/>
      <c r="G50" s="2"/>
      <c r="H50" s="2"/>
      <c r="I50" s="2"/>
      <c r="J50" s="2"/>
      <c r="K50" s="2"/>
      <c r="L50" s="2"/>
      <c r="M50" s="9"/>
      <c r="N50" s="2"/>
      <c r="O50" s="2"/>
      <c r="P50" s="2"/>
      <c r="Q50" s="2"/>
      <c r="R50" s="2"/>
      <c r="S50" s="2"/>
      <c r="T50" s="2"/>
      <c r="U50" s="2"/>
    </row>
    <row r="51" spans="1:21">
      <c r="A51" s="18" t="s">
        <v>792</v>
      </c>
      <c r="C51" s="19">
        <f>'Cash Flow'!C28/'Income Statement'!C17</f>
        <v>0.24610610878932981</v>
      </c>
      <c r="D51" s="19">
        <f>'Cash Flow'!D28/'Income Statement'!D17</f>
        <v>0.24325603407477517</v>
      </c>
      <c r="E51" s="19">
        <f>'Cash Flow'!E28/'Income Statement'!E17</f>
        <v>0.32772287008594447</v>
      </c>
      <c r="F51" s="19">
        <f>'Cash Flow'!F28/'Income Statement'!F17</f>
        <v>0.38016981520660537</v>
      </c>
      <c r="G51" s="19">
        <f>'Cash Flow'!G28/'Income Statement'!G17</f>
        <v>0.32617998937931464</v>
      </c>
      <c r="H51" s="19">
        <f>'Cash Flow'!H28/'Income Statement'!H17</f>
        <v>0.39364162098618172</v>
      </c>
      <c r="I51" s="19">
        <f>'Cash Flow'!I28/'Income Statement'!I17</f>
        <v>0.31863865763706162</v>
      </c>
      <c r="J51" s="19">
        <f>'Cash Flow'!J28/'Income Statement'!J17</f>
        <v>0.37702988938573784</v>
      </c>
      <c r="K51" s="19">
        <f>'Cash Flow'!K28/'Income Statement'!K17</f>
        <v>0.36446759259259259</v>
      </c>
      <c r="L51" s="19">
        <f>'Cash Flow'!L28/'Income Statement'!L17</f>
        <v>0.39244932118281567</v>
      </c>
      <c r="M51" s="9"/>
      <c r="N51" s="19">
        <f>'Cash Flow'!N28/'Income Statement'!N17</f>
        <v>0.39807944129201223</v>
      </c>
      <c r="O51" s="19">
        <f>'Cash Flow'!O28/'Income Statement'!O17</f>
        <v>0.41186599874765184</v>
      </c>
      <c r="P51" s="19">
        <f>'Cash Flow'!P28/'Income Statement'!P17</f>
        <v>0.40765614506380121</v>
      </c>
      <c r="Q51" s="19">
        <f>'Cash Flow'!Q28/'Income Statement'!Q17</f>
        <v>0.2919772029811486</v>
      </c>
      <c r="R51" s="19">
        <f>'Cash Flow'!R28/'Income Statement'!R17</f>
        <v>0.48431760384289346</v>
      </c>
      <c r="S51" s="19">
        <f>'Cash Flow'!S28/'Income Statement'!S17</f>
        <v>0.38479098302182907</v>
      </c>
      <c r="T51" s="19">
        <f>'Cash Flow'!T28/'Income Statement'!T17</f>
        <v>0.37010894583397269</v>
      </c>
      <c r="U51" s="19">
        <f>'Cash Flow'!U28/'Income Statement'!U17</f>
        <v>0.39540780391604452</v>
      </c>
    </row>
    <row r="52" spans="1:21">
      <c r="A52" s="18" t="s">
        <v>793</v>
      </c>
      <c r="C52" s="34">
        <f>'Cash Flow'!C28/C23</f>
        <v>0.65431378900766657</v>
      </c>
      <c r="D52" s="34">
        <f>'Cash Flow'!D28/D23</f>
        <v>0.50853326737571103</v>
      </c>
      <c r="E52" s="34">
        <f>'Cash Flow'!E28/E23</f>
        <v>0.67607670360809735</v>
      </c>
      <c r="F52" s="34">
        <f>'Cash Flow'!F28/F23</f>
        <v>0.75994835184370835</v>
      </c>
      <c r="G52" s="34">
        <f>'Cash Flow'!G28/G23</f>
        <v>0.69034973665072619</v>
      </c>
      <c r="H52" s="34">
        <f>'Cash Flow'!H28/H23</f>
        <v>0.74782601582120567</v>
      </c>
      <c r="I52" s="34">
        <f>'Cash Flow'!I28/I23</f>
        <v>0.65708948585660909</v>
      </c>
      <c r="J52" s="34">
        <f>'Cash Flow'!J28/J23</f>
        <v>0.70546788990825693</v>
      </c>
      <c r="K52" s="34">
        <f>'Cash Flow'!K28/K23</f>
        <v>0.68411905279165763</v>
      </c>
      <c r="L52" s="34">
        <f>'Cash Flow'!L28/L23</f>
        <v>0.72306743421052633</v>
      </c>
      <c r="M52" s="9"/>
      <c r="N52" s="34">
        <f>'Cash Flow'!N28/N23</f>
        <v>0.73548387096774193</v>
      </c>
      <c r="O52" s="34">
        <f>'Cash Flow'!O28/O23</f>
        <v>0.76907337035954404</v>
      </c>
      <c r="P52" s="34">
        <f>'Cash Flow'!P28/P23</f>
        <v>0.76641414141414144</v>
      </c>
      <c r="Q52" s="34">
        <f>'Cash Flow'!Q28/Q23</f>
        <v>0.5291313559322034</v>
      </c>
      <c r="R52" s="34">
        <f>'Cash Flow'!R28/R23</f>
        <v>0.87538304392236976</v>
      </c>
      <c r="S52" s="34">
        <f>'Cash Flow'!S28/S23</f>
        <v>0.72266881028938912</v>
      </c>
      <c r="T52" s="34">
        <f>'Cash Flow'!T28/T23</f>
        <v>0.68542199488491051</v>
      </c>
      <c r="U52" s="34">
        <f>'Cash Flow'!U28/U23</f>
        <v>0.71919036638483214</v>
      </c>
    </row>
    <row r="53" spans="1:21">
      <c r="A53" s="18" t="s">
        <v>794</v>
      </c>
      <c r="C53" s="19">
        <f>0-'Cash Flow'!C31/'Income Statement'!C17</f>
        <v>7.3962610521527569E-2</v>
      </c>
      <c r="D53" s="19">
        <f>0-'Cash Flow'!D31/'Income Statement'!D17</f>
        <v>8.122995214807803E-2</v>
      </c>
      <c r="E53" s="19">
        <f>0-'Cash Flow'!E31/'Income Statement'!E17</f>
        <v>0.12897322877612558</v>
      </c>
      <c r="F53" s="19">
        <f>0-'Cash Flow'!F31/'Income Statement'!F17</f>
        <v>0.11204152702626798</v>
      </c>
      <c r="G53" s="19">
        <f>0-'Cash Flow'!G31/'Income Statement'!G17</f>
        <v>8.542362998365248E-2</v>
      </c>
      <c r="H53" s="19">
        <f>0-'Cash Flow'!H31/'Income Statement'!H17</f>
        <v>8.7844326074693502E-2</v>
      </c>
      <c r="I53" s="19">
        <f>0-'Cash Flow'!I31/'Income Statement'!I17</f>
        <v>8.1913471077945041E-2</v>
      </c>
      <c r="J53" s="19">
        <f>0-'Cash Flow'!J31/'Income Statement'!J17</f>
        <v>9.2453126225778615E-2</v>
      </c>
      <c r="K53" s="19">
        <f>0-'Cash Flow'!K31/'Income Statement'!K17</f>
        <v>0.10706018518518519</v>
      </c>
      <c r="L53" s="19">
        <f>0-'Cash Flow'!L31/'Income Statement'!L17</f>
        <v>0.12516273014692209</v>
      </c>
      <c r="M53" s="9"/>
      <c r="N53" s="19">
        <f>0-'Cash Flow'!N31/'Income Statement'!N17</f>
        <v>0.11552451622290121</v>
      </c>
      <c r="O53" s="19">
        <f>0-'Cash Flow'!O31/'Income Statement'!O17</f>
        <v>0.12633061991233563</v>
      </c>
      <c r="P53" s="19">
        <f>0-'Cash Flow'!P31/'Income Statement'!P17</f>
        <v>9.2511752854264606E-2</v>
      </c>
      <c r="Q53" s="19">
        <f>0-'Cash Flow'!Q31/'Income Statement'!Q17</f>
        <v>0.10872424375274002</v>
      </c>
      <c r="R53" s="19">
        <f>0-'Cash Flow'!R31/'Income Statement'!R17</f>
        <v>0.14283695959310538</v>
      </c>
      <c r="S53" s="19">
        <f>0-'Cash Flow'!S31/'Income Statement'!S17</f>
        <v>0.15109145384505634</v>
      </c>
      <c r="T53" s="19">
        <f>0-'Cash Flow'!T31/'Income Statement'!T17</f>
        <v>0.10464937854841184</v>
      </c>
      <c r="U53" s="19">
        <f>0-'Cash Flow'!U31/'Income Statement'!U17</f>
        <v>0.11705874066769968</v>
      </c>
    </row>
    <row r="54" spans="1:21">
      <c r="A54" s="18" t="s">
        <v>795</v>
      </c>
      <c r="C54" s="34">
        <f>0-'Cash Flow'!C31/'Cash Flow'!C16</f>
        <v>1.2008572370590174</v>
      </c>
      <c r="D54" s="34">
        <f>0-'Cash Flow'!D31/'Cash Flow'!D16</f>
        <v>1.3596156667155639</v>
      </c>
      <c r="E54" s="34">
        <f>0-'Cash Flow'!E31/'Cash Flow'!E16</f>
        <v>1.8499999999999999</v>
      </c>
      <c r="F54" s="34">
        <f>0-'Cash Flow'!F31/'Cash Flow'!F16</f>
        <v>1.4795104765436675</v>
      </c>
      <c r="G54" s="34">
        <f>0-'Cash Flow'!G31/'Cash Flow'!G16</f>
        <v>0.93685051958433241</v>
      </c>
      <c r="H54" s="34">
        <f>0-'Cash Flow'!H31/'Cash Flow'!H16</f>
        <v>1.0920186285530753</v>
      </c>
      <c r="I54" s="34">
        <f>0-'Cash Flow'!I31/'Cash Flow'!I16</f>
        <v>1.0149652592196687</v>
      </c>
      <c r="J54" s="34">
        <f>0-'Cash Flow'!J31/'Cash Flow'!J16</f>
        <v>1.191607684529828</v>
      </c>
      <c r="K54" s="34">
        <f>0-'Cash Flow'!K31/'Cash Flow'!K16</f>
        <v>1.3233190271816881</v>
      </c>
      <c r="L54" s="34">
        <f>0-'Cash Flow'!L31/'Cash Flow'!L16</f>
        <v>1.5302410186448385</v>
      </c>
      <c r="M54" s="9"/>
      <c r="N54" s="34">
        <f>0-'Cash Flow'!N31/'Cash Flow'!N16</f>
        <v>1.4924812030075187</v>
      </c>
      <c r="O54" s="34">
        <f>0-'Cash Flow'!O31/'Cash Flow'!O16</f>
        <v>1.4593128390596746</v>
      </c>
      <c r="P54" s="34">
        <f>0-'Cash Flow'!P31/'Cash Flow'!P16</f>
        <v>1.0596153846153846</v>
      </c>
      <c r="Q54" s="34">
        <f>0-'Cash Flow'!Q31/'Cash Flow'!Q16</f>
        <v>1.3676470588235294</v>
      </c>
      <c r="R54" s="34">
        <f>0-'Cash Flow'!R31/'Cash Flow'!R16</f>
        <v>1.8085867620751341</v>
      </c>
      <c r="S54" s="34">
        <f>0-'Cash Flow'!S31/'Cash Flow'!S16</f>
        <v>1.8385416666666667</v>
      </c>
      <c r="T54" s="34">
        <f>0-'Cash Flow'!T31/'Cash Flow'!T16</f>
        <v>1.204946996466431</v>
      </c>
      <c r="U54" s="34">
        <f>0-'Cash Flow'!U31/'Cash Flow'!U16</f>
        <v>1.4707964601769912</v>
      </c>
    </row>
    <row r="55" spans="1:21">
      <c r="A55" s="18" t="s">
        <v>796</v>
      </c>
      <c r="C55" s="19">
        <f>'Cash Flow'!C71/'Income Statement'!C17</f>
        <v>0.17214349826780223</v>
      </c>
      <c r="D55" s="19">
        <f>'Cash Flow'!D71/'Income Statement'!D17</f>
        <v>0.16202608192669715</v>
      </c>
      <c r="E55" s="19">
        <f>'Cash Flow'!E71/'Income Statement'!E17</f>
        <v>0.19874964130981893</v>
      </c>
      <c r="F55" s="19">
        <f>'Cash Flow'!F71/'Income Statement'!F17</f>
        <v>0.2681282881803374</v>
      </c>
      <c r="G55" s="19">
        <f>'Cash Flow'!G71/'Income Statement'!G17</f>
        <v>0.24075635939566217</v>
      </c>
      <c r="H55" s="19">
        <f>'Cash Flow'!H71/'Income Statement'!H17</f>
        <v>0.30579729491148822</v>
      </c>
      <c r="I55" s="19">
        <f>'Cash Flow'!I71/'Income Statement'!I17</f>
        <v>0.23672518655911659</v>
      </c>
      <c r="J55" s="19">
        <f>'Cash Flow'!J71/'Income Statement'!J17</f>
        <v>0.28457676315995922</v>
      </c>
      <c r="K55" s="19">
        <f>'Cash Flow'!K71/'Income Statement'!K17</f>
        <v>0.25740740740740742</v>
      </c>
      <c r="L55" s="19">
        <f>'Cash Flow'!L71/'Income Statement'!L17</f>
        <v>0.26728659103589364</v>
      </c>
      <c r="M55" s="9"/>
      <c r="N55" s="19">
        <f>'Cash Flow'!N71/'Income Statement'!N17</f>
        <v>0.28255492506911101</v>
      </c>
      <c r="O55" s="19">
        <f>'Cash Flow'!O71/'Income Statement'!O17</f>
        <v>0.28553537883531621</v>
      </c>
      <c r="P55" s="19">
        <f>'Cash Flow'!P71/'Income Statement'!P17</f>
        <v>0.31514439220953661</v>
      </c>
      <c r="Q55" s="19">
        <f>'Cash Flow'!Q71/'Income Statement'!Q17</f>
        <v>0.18325295922840859</v>
      </c>
      <c r="R55" s="19">
        <f>'Cash Flow'!R71/'Income Statement'!R17</f>
        <v>0.34148064424978808</v>
      </c>
      <c r="S55" s="19">
        <f>'Cash Flow'!S71/'Income Statement'!S17</f>
        <v>0.23369952917677272</v>
      </c>
      <c r="T55" s="19">
        <f>'Cash Flow'!T71/'Income Statement'!T17</f>
        <v>0.26545956728556086</v>
      </c>
      <c r="U55" s="19">
        <f>'Cash Flow'!U71/'Income Statement'!U17</f>
        <v>0.27834906324834485</v>
      </c>
    </row>
    <row r="56" spans="1:21">
      <c r="A56" s="18" t="s">
        <v>797</v>
      </c>
      <c r="C56" s="34">
        <f>'Cash Flow'!C71/'Income Statement'!C41</f>
        <v>0.90440627333831214</v>
      </c>
      <c r="D56" s="34">
        <f>'Cash Flow'!D71/'Income Statement'!D41</f>
        <v>0.71211216609209793</v>
      </c>
      <c r="E56" s="34">
        <f>'Cash Flow'!E71/'Income Statement'!E41</f>
        <v>0.71316442448896911</v>
      </c>
      <c r="F56" s="34">
        <f>'Cash Flow'!F71/'Income Statement'!F41</f>
        <v>0.95070866664453824</v>
      </c>
      <c r="G56" s="34">
        <f>'Cash Flow'!G71/'Income Statement'!G41</f>
        <v>0.97757108128104842</v>
      </c>
      <c r="H56" s="34">
        <f>'Cash Flow'!H71/'Income Statement'!H41</f>
        <v>0.94119440173885383</v>
      </c>
      <c r="I56" s="34">
        <f>'Cash Flow'!I71/'Income Statement'!I41</f>
        <v>0.88845717986077388</v>
      </c>
      <c r="J56" s="34">
        <f>'Cash Flow'!J71/'Income Statement'!J41</f>
        <v>0.8566536781202031</v>
      </c>
      <c r="K56" s="34">
        <f>'Cash Flow'!K71/'Income Statement'!K41</f>
        <v>0.81138270704122584</v>
      </c>
      <c r="L56" s="34">
        <f>'Cash Flow'!L71/'Income Statement'!L41</f>
        <v>0.83919187200747403</v>
      </c>
      <c r="M56" s="9"/>
      <c r="N56" s="34">
        <f>'Cash Flow'!N71/'Income Statement'!N41</f>
        <v>0.86119733924611974</v>
      </c>
      <c r="O56" s="34">
        <f>'Cash Flow'!O71/'Income Statement'!O41</f>
        <v>0.90476190476190477</v>
      </c>
      <c r="P56" s="34">
        <f>'Cash Flow'!P71/'Income Statement'!P41</f>
        <v>1.0048179871520342</v>
      </c>
      <c r="Q56" s="34">
        <f>'Cash Flow'!Q71/'Income Statement'!Q41</f>
        <v>0.55659121171770976</v>
      </c>
      <c r="R56" s="34">
        <f>'Cash Flow'!R71/'Income Statement'!R41</f>
        <v>1.0610184372256366</v>
      </c>
      <c r="S56" s="34">
        <f>'Cash Flow'!S71/'Income Statement'!S41</f>
        <v>0.75693160813308691</v>
      </c>
      <c r="T56" s="34">
        <f>'Cash Flow'!T71/'Income Statement'!T41</f>
        <v>0.87241553202218858</v>
      </c>
      <c r="U56" s="34">
        <f>'Cash Flow'!U71/'Income Statement'!U41</f>
        <v>0.83657917019475025</v>
      </c>
    </row>
    <row r="57" spans="1:21">
      <c r="A57" s="18" t="s">
        <v>798</v>
      </c>
      <c r="C57" s="19">
        <f>(0-'Cash Flow'!C45)/'Income Statement'!C41</f>
        <v>0.65255521177851272</v>
      </c>
      <c r="D57" s="19">
        <f>(0-'Cash Flow'!D45)/'Income Statement'!D41</f>
        <v>0.59495791845617541</v>
      </c>
      <c r="E57" s="19">
        <f>(0-'Cash Flow'!E45)/'Income Statement'!E41</f>
        <v>0.54958391708725085</v>
      </c>
      <c r="F57" s="19">
        <f>(0-'Cash Flow'!F45)/'Income Statement'!F41</f>
        <v>0.59446675739370003</v>
      </c>
      <c r="G57" s="19">
        <f>(0-'Cash Flow'!G45)/'Income Statement'!G41</f>
        <v>0.79334108445196072</v>
      </c>
      <c r="H57" s="19">
        <f>(0-'Cash Flow'!H45)/'Income Statement'!H41</f>
        <v>0.51935005036314474</v>
      </c>
      <c r="I57" s="19">
        <f>(0-'Cash Flow'!I45)/'Income Statement'!I41</f>
        <v>0.67476121094382391</v>
      </c>
      <c r="J57" s="19">
        <f>(0-'Cash Flow'!J45)/'Income Statement'!J41</f>
        <v>0.53524619199433232</v>
      </c>
      <c r="K57" s="19">
        <f>(0-'Cash Flow'!K45)/'Income Statement'!K41</f>
        <v>0.59224127447403629</v>
      </c>
      <c r="L57" s="19">
        <f>(0-'Cash Flow'!L45)/'Income Statement'!L41</f>
        <v>0.59733738175872941</v>
      </c>
      <c r="M57" s="9"/>
      <c r="N57" s="19">
        <f>(0-'Cash Flow'!N45)/'Income Statement'!N41</f>
        <v>0.53082039911308199</v>
      </c>
      <c r="O57" s="19">
        <f>(0-'Cash Flow'!O45)/'Income Statement'!O41</f>
        <v>0.62896825396825395</v>
      </c>
      <c r="P57" s="19">
        <f>(0-'Cash Flow'!P45)/'Income Statement'!P41</f>
        <v>0.67773019271948609</v>
      </c>
      <c r="Q57" s="19">
        <f>(0-'Cash Flow'!Q45)/'Income Statement'!Q41</f>
        <v>0.56147359076786507</v>
      </c>
      <c r="R57" s="19">
        <f>(0-'Cash Flow'!R45)/'Income Statement'!R41</f>
        <v>0.55399473222124673</v>
      </c>
      <c r="S57" s="19">
        <f>(0-'Cash Flow'!S45)/'Income Statement'!S41</f>
        <v>0.6113678373382625</v>
      </c>
      <c r="T57" s="19">
        <f>(0-'Cash Flow'!T45)/'Income Statement'!T41</f>
        <v>0.66717095310136154</v>
      </c>
      <c r="U57" s="19">
        <f>(0-'Cash Flow'!U45)/'Income Statement'!U41</f>
        <v>0.55757832345469938</v>
      </c>
    </row>
    <row r="58" spans="1:21">
      <c r="A58" s="18" t="s">
        <v>799</v>
      </c>
      <c r="C58" s="19">
        <f>(0-'Cash Flow'!C45)/'Cash Flow'!C71</f>
        <v>0.72152884275097318</v>
      </c>
      <c r="D58" s="19">
        <f>(0-'Cash Flow'!D45)/'Cash Flow'!D71</f>
        <v>0.83548343475321163</v>
      </c>
      <c r="E58" s="19">
        <f>(0-'Cash Flow'!E45)/'Cash Flow'!E71</f>
        <v>0.77062721893491126</v>
      </c>
      <c r="F58" s="19">
        <f>(0-'Cash Flow'!F45)/'Cash Flow'!F71</f>
        <v>0.62528803854479431</v>
      </c>
      <c r="G58" s="19">
        <f>(0-'Cash Flow'!G45)/'Cash Flow'!G71</f>
        <v>0.81154311910734378</v>
      </c>
      <c r="H58" s="19">
        <f>(0-'Cash Flow'!H45)/'Cash Flow'!H71</f>
        <v>0.55179891572203055</v>
      </c>
      <c r="I58" s="19">
        <f>(0-'Cash Flow'!I45)/'Cash Flow'!I71</f>
        <v>0.75947521865889212</v>
      </c>
      <c r="J58" s="19">
        <f>(0-'Cash Flow'!J45)/'Cash Flow'!J71</f>
        <v>0.6248104755341144</v>
      </c>
      <c r="K58" s="19">
        <f>(0-'Cash Flow'!K45)/'Cash Flow'!K71</f>
        <v>0.72991606714628299</v>
      </c>
      <c r="L58" s="19">
        <f>(0-'Cash Flow'!L45)/'Cash Flow'!L71</f>
        <v>0.71180072362927915</v>
      </c>
      <c r="M58" s="9"/>
      <c r="N58" s="19">
        <f>(0-'Cash Flow'!N45)/'Cash Flow'!N71</f>
        <v>0.61637487126673529</v>
      </c>
      <c r="O58" s="19">
        <f>(0-'Cash Flow'!O45)/'Cash Flow'!O71</f>
        <v>0.69517543859649122</v>
      </c>
      <c r="P58" s="19">
        <f>(0-'Cash Flow'!P45)/'Cash Flow'!P71</f>
        <v>0.67448055407565266</v>
      </c>
      <c r="Q58" s="19">
        <f>(0-'Cash Flow'!Q45)/'Cash Flow'!Q71</f>
        <v>1.0087719298245614</v>
      </c>
      <c r="R58" s="19">
        <f>(0-'Cash Flow'!R45)/'Cash Flow'!R71</f>
        <v>0.52213487794786928</v>
      </c>
      <c r="S58" s="19">
        <f>(0-'Cash Flow'!S45)/'Cash Flow'!S71</f>
        <v>0.80769230769230771</v>
      </c>
      <c r="T58" s="19">
        <f>(0-'Cash Flow'!T45)/'Cash Flow'!T71</f>
        <v>0.76473988439306362</v>
      </c>
      <c r="U58" s="19">
        <f>(0-'Cash Flow'!U45)/'Cash Flow'!U71</f>
        <v>0.666497975708502</v>
      </c>
    </row>
    <row r="59" spans="1:21">
      <c r="A59" s="18" t="s">
        <v>800</v>
      </c>
      <c r="C59" s="19">
        <f>(0-'Cash Flow'!C44)/'Cash Flow'!C71</f>
        <v>2.6356022177657188</v>
      </c>
      <c r="D59" s="19">
        <f>(0-'Cash Flow'!D44)/'Cash Flow'!D71</f>
        <v>1.2672616632860041</v>
      </c>
      <c r="E59" s="19">
        <f>(0-'Cash Flow'!E44)/'Cash Flow'!E71</f>
        <v>1.2325917159763313</v>
      </c>
      <c r="F59" s="19">
        <f>(0-'Cash Flow'!F44)/'Cash Flow'!F71</f>
        <v>0.868689337336778</v>
      </c>
      <c r="G59" s="19">
        <f>(0-'Cash Flow'!G44)/'Cash Flow'!G71</f>
        <v>0.19630654787648127</v>
      </c>
      <c r="H59" s="19">
        <f>(0-'Cash Flow'!H44)/'Cash Flow'!H71</f>
        <v>0.11905935365767796</v>
      </c>
      <c r="I59" s="19">
        <f>(0-'Cash Flow'!I44)/'Cash Flow'!I71</f>
        <v>0.70991253644314867</v>
      </c>
      <c r="J59" s="19">
        <f>(0-'Cash Flow'!J44)/'Cash Flow'!J71</f>
        <v>0.42095106822880773</v>
      </c>
      <c r="K59" s="19">
        <f>(0-'Cash Flow'!K44)/'Cash Flow'!K71</f>
        <v>0.42326139088729015</v>
      </c>
      <c r="L59" s="19">
        <f>(0-'Cash Flow'!L44)/'Cash Flow'!L71</f>
        <v>0.28611188421931533</v>
      </c>
      <c r="M59" s="9"/>
      <c r="N59" s="19">
        <f>(0-'Cash Flow'!N44)/'Cash Flow'!N71</f>
        <v>0.24150360453141093</v>
      </c>
      <c r="O59" s="19">
        <f>(0-'Cash Flow'!O44)/'Cash Flow'!O71</f>
        <v>0.27576754385964913</v>
      </c>
      <c r="P59" s="19">
        <f>(0-'Cash Flow'!P44)/'Cash Flow'!P71</f>
        <v>0.25412892914224827</v>
      </c>
      <c r="Q59" s="19">
        <f>(0-'Cash Flow'!Q44)/'Cash Flow'!Q71</f>
        <v>0.40271132376395535</v>
      </c>
      <c r="R59" s="19">
        <f>(0-'Cash Flow'!R44)/'Cash Flow'!R71</f>
        <v>0.20728175424079437</v>
      </c>
      <c r="S59" s="19">
        <f>(0-'Cash Flow'!S44)/'Cash Flow'!S71</f>
        <v>0.3498168498168498</v>
      </c>
      <c r="T59" s="19">
        <f>(0-'Cash Flow'!T44)/'Cash Flow'!T71</f>
        <v>0.22890173410404624</v>
      </c>
      <c r="U59" s="19">
        <f>(0-'Cash Flow'!U44)/'Cash Flow'!U71</f>
        <v>0.4331983805668016</v>
      </c>
    </row>
    <row r="60" spans="1:21">
      <c r="A60" s="18" t="s">
        <v>801</v>
      </c>
      <c r="C60" s="19">
        <f>'Cash Flow'!C76/'Cash Flow'!C71</f>
        <v>3.3571310605166924</v>
      </c>
      <c r="D60" s="19">
        <f>'Cash Flow'!D76/'Cash Flow'!D71</f>
        <v>2.1027450980392155</v>
      </c>
      <c r="E60" s="19">
        <f>'Cash Flow'!E76/'Cash Flow'!E71</f>
        <v>2.0032189349112426</v>
      </c>
      <c r="F60" s="19">
        <f>'Cash Flow'!F76/'Cash Flow'!F71</f>
        <v>1.4939773758815724</v>
      </c>
      <c r="G60" s="19">
        <f>'Cash Flow'!G76/'Cash Flow'!G71</f>
        <v>1.0078496669838251</v>
      </c>
      <c r="H60" s="19">
        <f>'Cash Flow'!H76/'Cash Flow'!H71</f>
        <v>0.6708582693797086</v>
      </c>
      <c r="I60" s="19">
        <f>'Cash Flow'!I76/'Cash Flow'!I71</f>
        <v>1.4693877551020409</v>
      </c>
      <c r="J60" s="19">
        <f>'Cash Flow'!J76/'Cash Flow'!J71</f>
        <v>1.0457615437629222</v>
      </c>
      <c r="K60" s="19">
        <f>'Cash Flow'!K76/'Cash Flow'!K71</f>
        <v>1.1531774580335732</v>
      </c>
      <c r="L60" s="19">
        <f>'Cash Flow'!L76/'Cash Flow'!L71</f>
        <v>0.99791260784859448</v>
      </c>
      <c r="M60" s="9"/>
      <c r="N60" s="19">
        <f>'Cash Flow'!N76/'Cash Flow'!N71</f>
        <v>0.85787847579814624</v>
      </c>
      <c r="O60" s="19">
        <f>'Cash Flow'!O76/'Cash Flow'!O71</f>
        <v>0.9709429824561403</v>
      </c>
      <c r="P60" s="19">
        <f>'Cash Flow'!P76/'Cash Flow'!P71</f>
        <v>0.92860948321790093</v>
      </c>
      <c r="Q60" s="19">
        <f>'Cash Flow'!Q76/'Cash Flow'!Q71</f>
        <v>1.4114832535885167</v>
      </c>
      <c r="R60" s="19">
        <f>'Cash Flow'!R76/'Cash Flow'!R71</f>
        <v>0.72941663218866359</v>
      </c>
      <c r="S60" s="19">
        <f>'Cash Flow'!S76/'Cash Flow'!S71</f>
        <v>1.1575091575091576</v>
      </c>
      <c r="T60" s="19">
        <f>'Cash Flow'!T76/'Cash Flow'!T71</f>
        <v>0.99364161849710986</v>
      </c>
      <c r="U60" s="19">
        <f>'Cash Flow'!U76/'Cash Flow'!U71</f>
        <v>1.0996963562753037</v>
      </c>
    </row>
    <row r="61" spans="1:21" ht="8" customHeight="1">
      <c r="M61" s="9"/>
    </row>
    <row r="62" spans="1:21" ht="20" customHeight="1">
      <c r="A62" s="12" t="s">
        <v>802</v>
      </c>
      <c r="B62" s="2"/>
      <c r="C62" s="2"/>
      <c r="D62" s="2"/>
      <c r="E62" s="2"/>
      <c r="F62" s="2"/>
      <c r="G62" s="2"/>
      <c r="H62" s="2"/>
      <c r="I62" s="2"/>
      <c r="J62" s="2"/>
      <c r="K62" s="2"/>
      <c r="L62" s="2"/>
      <c r="M62" s="9"/>
      <c r="N62" s="2"/>
      <c r="O62" s="2"/>
      <c r="P62" s="2"/>
      <c r="Q62" s="2"/>
      <c r="R62" s="2"/>
      <c r="S62" s="2"/>
      <c r="T62" s="2"/>
      <c r="U62" s="2"/>
    </row>
    <row r="63" spans="1:21">
      <c r="A63" s="18" t="s">
        <v>803</v>
      </c>
      <c r="C63" s="26">
        <f>'Operating Metrics'!C49</f>
        <v>85002</v>
      </c>
      <c r="D63" s="26">
        <f>'Operating Metrics'!D49</f>
        <v>90909.9</v>
      </c>
      <c r="E63" s="26">
        <f>'Operating Metrics'!E49</f>
        <v>96146.7</v>
      </c>
      <c r="F63" s="26">
        <f>'Operating Metrics'!F49</f>
        <v>100177.8</v>
      </c>
      <c r="G63" s="26">
        <f>'Operating Metrics'!G49</f>
        <v>93317.2</v>
      </c>
      <c r="H63" s="26">
        <f>'Operating Metrics'!H49</f>
        <v>112462.39999999999</v>
      </c>
      <c r="I63" s="26">
        <f>'Operating Metrics'!I49</f>
        <v>118221</v>
      </c>
      <c r="J63" s="26">
        <f>'Operating Metrics'!J49</f>
        <v>129492</v>
      </c>
      <c r="K63" s="26">
        <f>'Operating Metrics'!K49</f>
        <v>130715</v>
      </c>
      <c r="L63" s="26">
        <f>'Operating Metrics'!L49</f>
        <v>139365</v>
      </c>
      <c r="M63" s="9"/>
    </row>
    <row r="64" spans="1:21">
      <c r="A64" s="18" t="s">
        <v>804</v>
      </c>
      <c r="D64" s="19">
        <f>'Operating Metrics'!D49/'Operating Metrics'!C49-1</f>
        <v>6.9503070515987808E-2</v>
      </c>
      <c r="E64" s="19">
        <f>'Operating Metrics'!E49/'Operating Metrics'!D49-1</f>
        <v>5.7604287321842973E-2</v>
      </c>
      <c r="F64" s="19">
        <f>'Operating Metrics'!F49/'Operating Metrics'!E49-1</f>
        <v>4.1926555981640634E-2</v>
      </c>
      <c r="G64" s="19">
        <f>'Operating Metrics'!G49/'Operating Metrics'!F49-1</f>
        <v>-6.8484235030116469E-2</v>
      </c>
      <c r="H64" s="19">
        <f>'Operating Metrics'!H49/'Operating Metrics'!G49-1</f>
        <v>0.20516260667915454</v>
      </c>
      <c r="I64" s="19">
        <f>'Operating Metrics'!I49/'Operating Metrics'!H49-1</f>
        <v>5.1204669293915206E-2</v>
      </c>
      <c r="J64" s="19">
        <f>'Operating Metrics'!J49/'Operating Metrics'!I49-1</f>
        <v>9.5338391656304644E-2</v>
      </c>
      <c r="K64" s="19">
        <f>'Operating Metrics'!K49/'Operating Metrics'!J49-1</f>
        <v>9.4445988941402881E-3</v>
      </c>
      <c r="L64" s="19">
        <f>'Operating Metrics'!L49/'Operating Metrics'!K49-1</f>
        <v>6.6174501778678785E-2</v>
      </c>
      <c r="M64" s="9"/>
    </row>
    <row r="65" spans="1:21">
      <c r="A65" s="18" t="s">
        <v>805</v>
      </c>
      <c r="C65" s="19">
        <f>'Income Statement'!C12/'Operating Metrics'!C43</f>
        <v>0.13380148335174372</v>
      </c>
      <c r="D65" s="19">
        <f>'Income Statement'!D12/'Operating Metrics'!D43</f>
        <v>0.12919006023711169</v>
      </c>
      <c r="E65" s="19">
        <f>'Income Statement'!E12/'Operating Metrics'!E43</f>
        <v>0.12785311259200779</v>
      </c>
      <c r="F65" s="19">
        <f>'Income Statement'!F12/'Operating Metrics'!F43</f>
        <v>0.12842755930672015</v>
      </c>
      <c r="G65" s="19">
        <f>'Income Statement'!G12/'Operating Metrics'!G43</f>
        <v>0.12592570851628354</v>
      </c>
      <c r="H65" s="19">
        <f>'Income Statement'!H12/'Operating Metrics'!H43</f>
        <v>0.12744485025566107</v>
      </c>
      <c r="I65" s="19">
        <f>'Income Statement'!I12/'Operating Metrics'!I43</f>
        <v>0.12885368995094681</v>
      </c>
      <c r="J65" s="19">
        <f>'Income Statement'!J12/'Operating Metrics'!J43</f>
        <v>0.12891022964509394</v>
      </c>
      <c r="K65" s="19">
        <f>'Income Statement'!K12/'Operating Metrics'!K43</f>
        <v>0.12994798772874236</v>
      </c>
      <c r="L65" s="19">
        <f>'Income Statement'!L12/'Operating Metrics'!L43</f>
        <v>0.12761133603238867</v>
      </c>
      <c r="M65" s="9"/>
    </row>
    <row r="66" spans="1:21">
      <c r="A66" s="18" t="s">
        <v>806</v>
      </c>
      <c r="C66" s="19">
        <f>('Income Statement'!C12-'Income Statement'!C20)/'Operating Metrics'!C43</f>
        <v>0.10914972671324258</v>
      </c>
      <c r="D66" s="19">
        <f>('Income Statement'!D12-'Income Statement'!D20)/'Operating Metrics'!D43</f>
        <v>0.10629739995651674</v>
      </c>
      <c r="E66" s="19">
        <f>('Income Statement'!E12-'Income Statement'!E20)/'Operating Metrics'!E43</f>
        <v>0.10494346018993662</v>
      </c>
      <c r="F66" s="19">
        <f>('Income Statement'!F12-'Income Statement'!F20)/'Operating Metrics'!F43</f>
        <v>0.10418039379882543</v>
      </c>
      <c r="G66" s="19">
        <f>('Income Statement'!G12-'Income Statement'!G20)/'Operating Metrics'!G43</f>
        <v>0.10000939209655076</v>
      </c>
      <c r="H66" s="19">
        <f>('Income Statement'!H12-'Income Statement'!H20)/'Operating Metrics'!H43</f>
        <v>0.10470318967616264</v>
      </c>
      <c r="I66" s="19">
        <f>('Income Statement'!I12-'Income Statement'!I20)/'Operating Metrics'!I43</f>
        <v>0.10738720963159866</v>
      </c>
      <c r="J66" s="19">
        <f>('Income Statement'!J12-'Income Statement'!J20)/'Operating Metrics'!J43</f>
        <v>0.10824217118997913</v>
      </c>
      <c r="K66" s="19">
        <f>('Income Statement'!K12-'Income Statement'!K20)/'Operating Metrics'!K43</f>
        <v>0.10897769839497903</v>
      </c>
      <c r="L66" s="19">
        <f>('Income Statement'!L12-'Income Statement'!L20)/'Operating Metrics'!L43</f>
        <v>0.10742240215924427</v>
      </c>
      <c r="M66" s="9"/>
    </row>
    <row r="67" spans="1:21">
      <c r="A67" s="18" t="s">
        <v>807</v>
      </c>
      <c r="C67" s="19">
        <f>'Income Statement'!C30/'Operating Metrics'!C49</f>
        <v>2.8052281122797111E-2</v>
      </c>
      <c r="D67" s="19">
        <f>'Income Statement'!D30/'Operating Metrics'!D49</f>
        <v>2.4544081557674142E-2</v>
      </c>
      <c r="E67" s="19">
        <f>'Income Statement'!E30/'Operating Metrics'!E49</f>
        <v>2.2883780722583305E-2</v>
      </c>
      <c r="F67" s="19">
        <f>'Income Statement'!F30/'Operating Metrics'!F49</f>
        <v>2.2254431620578611E-2</v>
      </c>
      <c r="G67" s="19">
        <f>'Income Statement'!G30/'Operating Metrics'!G49</f>
        <v>2.7279001084473172E-2</v>
      </c>
      <c r="H67" s="19">
        <f>'Income Statement'!H30/'Operating Metrics'!H49</f>
        <v>2.4074712970735108E-2</v>
      </c>
      <c r="I67" s="19">
        <f>'Income Statement'!I30/'Operating Metrics'!I49</f>
        <v>2.4208896896490473E-2</v>
      </c>
      <c r="J67" s="19">
        <f>'Income Statement'!J30/'Operating Metrics'!J49</f>
        <v>2.17542396441479E-2</v>
      </c>
      <c r="K67" s="19">
        <f>'Income Statement'!K30/'Operating Metrics'!K49</f>
        <v>2.1872011628351756E-2</v>
      </c>
      <c r="L67" s="19">
        <f>'Income Statement'!L30/'Operating Metrics'!L49</f>
        <v>2.1813224267211998E-2</v>
      </c>
      <c r="M67" s="9"/>
    </row>
    <row r="68" spans="1:21">
      <c r="A68" s="18" t="s">
        <v>808</v>
      </c>
      <c r="C68" s="19">
        <f>'Income Statement'!C33/'Operating Metrics'!C49</f>
        <v>9.1109620950095296E-2</v>
      </c>
      <c r="D68" s="19">
        <f>'Income Statement'!D33/'Operating Metrics'!D49</f>
        <v>0.10507876479899331</v>
      </c>
      <c r="E68" s="19">
        <f>'Income Statement'!E33/'Operating Metrics'!E49</f>
        <v>9.1761859741415985E-2</v>
      </c>
      <c r="F68" s="19">
        <f>'Income Statement'!F33/'Operating Metrics'!F49</f>
        <v>9.0537025169249066E-2</v>
      </c>
      <c r="G68" s="19">
        <f>'Income Statement'!G33/'Operating Metrics'!G49</f>
        <v>7.8484995263466972E-2</v>
      </c>
      <c r="H68" s="19">
        <f>'Income Statement'!H33/'Operating Metrics'!H49</f>
        <v>9.2084109889171858E-2</v>
      </c>
      <c r="I68" s="19">
        <f>'Income Statement'!I33/'Operating Metrics'!I49</f>
        <v>7.9266796931171279E-2</v>
      </c>
      <c r="J68" s="19">
        <f>'Income Statement'!J33/'Operating Metrics'!J49</f>
        <v>8.9943780310752786E-2</v>
      </c>
      <c r="K68" s="19">
        <f>'Income Statement'!K33/'Operating Metrics'!K49</f>
        <v>8.9599510385189152E-2</v>
      </c>
      <c r="L68" s="19">
        <f>'Income Statement'!L33/'Operating Metrics'!L49</f>
        <v>8.8924765902486283E-2</v>
      </c>
      <c r="M68" s="9"/>
    </row>
    <row r="69" spans="1:21">
      <c r="A69" s="18" t="s">
        <v>809</v>
      </c>
      <c r="D69" s="30">
        <f>'Income Statement'!D17/(('Operating Metrics'!D28+'Operating Metrics'!C28)/2)</f>
        <v>0.61560291340706774</v>
      </c>
      <c r="E69" s="30">
        <f>'Income Statement'!E17/(('Operating Metrics'!E28+'Operating Metrics'!D28)/2)</f>
        <v>0.56615265793118141</v>
      </c>
      <c r="F69" s="30">
        <f>'Income Statement'!F17/(('Operating Metrics'!F28+'Operating Metrics'!E28)/2)</f>
        <v>0.55818158066623125</v>
      </c>
      <c r="G69" s="30">
        <f>'Income Statement'!G17/(('Operating Metrics'!G28+'Operating Metrics'!F28)/2)</f>
        <v>0.49318423991886301</v>
      </c>
      <c r="H69" s="30">
        <f>'Income Statement'!H17/(('Operating Metrics'!H28+'Operating Metrics'!G28)/2)</f>
        <v>0.58622221661260399</v>
      </c>
      <c r="I69" s="30">
        <f>'Income Statement'!I17/(('Operating Metrics'!I28+'Operating Metrics'!H28)/2)</f>
        <v>0.57736657285881499</v>
      </c>
      <c r="J69" s="30">
        <f>'Income Statement'!J17/(('Operating Metrics'!J28+'Operating Metrics'!I28)/2)</f>
        <v>0.62107019744935865</v>
      </c>
      <c r="K69" s="30">
        <f>'Income Statement'!K17/(('Operating Metrics'!K28+'Operating Metrics'!J28)/2)</f>
        <v>0.607744522210108</v>
      </c>
      <c r="L69" s="30">
        <f>'Income Statement'!L17/(('Operating Metrics'!L28+'Operating Metrics'!K28)/2)</f>
        <v>0.60529307802280685</v>
      </c>
      <c r="M69" s="9"/>
    </row>
    <row r="70" spans="1:21">
      <c r="A70" s="18" t="s">
        <v>810</v>
      </c>
      <c r="D70" s="19">
        <f>'Income Statement'!D37/(('Balance Sheet'!D69+'Balance Sheet'!C69)/2)</f>
        <v>3.3204726438538092E-2</v>
      </c>
      <c r="E70" s="19">
        <f>'Income Statement'!E37/(('Balance Sheet'!E69+'Balance Sheet'!D69)/2)</f>
        <v>3.2376587358546288E-2</v>
      </c>
      <c r="F70" s="19">
        <f>'Income Statement'!F37/(('Balance Sheet'!F69+'Balance Sheet'!E69)/2)</f>
        <v>3.43864219761695E-2</v>
      </c>
      <c r="G70" s="19">
        <f>'Income Statement'!G37/(('Balance Sheet'!G69+'Balance Sheet'!F69)/2)</f>
        <v>3.4016777998704222E-2</v>
      </c>
      <c r="H70" s="19">
        <f>'Income Statement'!H37/(('Balance Sheet'!H69+'Balance Sheet'!G69)/2)</f>
        <v>3.245961367639752E-2</v>
      </c>
      <c r="I70" s="19">
        <f>'Income Statement'!I37/(('Balance Sheet'!I69+'Balance Sheet'!H69)/2)</f>
        <v>3.3749870676759004E-2</v>
      </c>
      <c r="J70" s="19">
        <f>'Income Statement'!J37/(('Balance Sheet'!J69+'Balance Sheet'!I69)/2)</f>
        <v>3.6173478541100486E-2</v>
      </c>
      <c r="K70" s="19">
        <f>'Income Statement'!K37/(('Balance Sheet'!K69+'Balance Sheet'!J69)/2)</f>
        <v>3.8730085252478494E-2</v>
      </c>
      <c r="L70" s="19">
        <f>'Income Statement'!L37/(('Balance Sheet'!L69+'Balance Sheet'!K69)/2)</f>
        <v>4.0358687194663061E-2</v>
      </c>
      <c r="M70" s="9"/>
    </row>
    <row r="71" spans="1:21">
      <c r="A71" s="18" t="s">
        <v>811</v>
      </c>
      <c r="E71" s="30">
        <f>(0-'Cash Flow'!E31)/'Operating Metrics'!E65</f>
        <v>4.4653094462540714</v>
      </c>
      <c r="F71" s="30">
        <f>(0-'Cash Flow'!F31)/'Operating Metrics'!F65</f>
        <v>2.8496428571428569</v>
      </c>
      <c r="G71" s="30">
        <f>(0-'Cash Flow'!G31)/'Operating Metrics'!G65</f>
        <v>3.2620278330019881</v>
      </c>
      <c r="H71" s="30">
        <f>(0-'Cash Flow'!H31)/'Operating Metrics'!H65</f>
        <v>2.4489795918367347</v>
      </c>
      <c r="I71" s="30">
        <f>(0-'Cash Flow'!I31)/'Operating Metrics'!I65</f>
        <v>7.7827868852459012</v>
      </c>
      <c r="J71" s="30">
        <f>(0-'Cash Flow'!J31)/'Operating Metrics'!J65</f>
        <v>1.5235940530058176</v>
      </c>
      <c r="K71" s="30">
        <f>(0-'Cash Flow'!K31)/'Operating Metrics'!K65</f>
        <v>1.6767371601208458</v>
      </c>
      <c r="L71" s="30">
        <f>(0-'Cash Flow'!L31)/'Operating Metrics'!L65</f>
        <v>1.7908461947844598</v>
      </c>
      <c r="M71" s="9"/>
    </row>
    <row r="72" spans="1:21" ht="8" customHeight="1">
      <c r="M72" s="9"/>
    </row>
    <row r="73" spans="1:21" ht="20" customHeight="1">
      <c r="A73" s="12" t="s">
        <v>812</v>
      </c>
      <c r="B73" s="2"/>
      <c r="C73" s="2"/>
      <c r="D73" s="2"/>
      <c r="E73" s="2"/>
      <c r="F73" s="2"/>
      <c r="G73" s="2"/>
      <c r="H73" s="2"/>
      <c r="I73" s="2"/>
      <c r="J73" s="2"/>
      <c r="K73" s="2"/>
      <c r="L73" s="2"/>
      <c r="M73" s="9"/>
      <c r="N73" s="2"/>
      <c r="O73" s="2"/>
      <c r="P73" s="2"/>
      <c r="Q73" s="2"/>
      <c r="R73" s="2"/>
      <c r="S73" s="2"/>
      <c r="T73" s="2"/>
      <c r="U73" s="2"/>
    </row>
    <row r="74" spans="1:21">
      <c r="A74" s="18" t="s">
        <v>813</v>
      </c>
      <c r="C74" s="34">
        <f>'Cash Flow'!C28/'Income Statement'!C41</f>
        <v>1.2929905046409902</v>
      </c>
      <c r="D74" s="34">
        <f>'Cash Flow'!D28/'Income Statement'!D41</f>
        <v>1.0691215838838279</v>
      </c>
      <c r="E74" s="34">
        <f>'Cash Flow'!E28/'Income Statement'!E41</f>
        <v>1.1759532771804264</v>
      </c>
      <c r="F74" s="34">
        <f>'Cash Flow'!F28/'Income Statement'!F41</f>
        <v>1.3479768977993163</v>
      </c>
      <c r="G74" s="34">
        <f>'Cash Flow'!G28/'Income Statement'!G41</f>
        <v>1.3244265933833632</v>
      </c>
      <c r="H74" s="34">
        <f>'Cash Flow'!H28/'Income Statement'!H41</f>
        <v>1.2115649684567673</v>
      </c>
      <c r="I74" s="34">
        <f>'Cash Flow'!I28/'Income Statement'!I41</f>
        <v>1.1958879715072042</v>
      </c>
      <c r="J74" s="34">
        <f>'Cash Flow'!J28/'Income Statement'!J41</f>
        <v>1.1349628055260361</v>
      </c>
      <c r="K74" s="34">
        <f>'Cash Flow'!K28/'Income Statement'!K41</f>
        <v>1.1488507843852609</v>
      </c>
      <c r="L74" s="34">
        <f>'Cash Flow'!L28/'Income Statement'!L41</f>
        <v>1.2321616255985053</v>
      </c>
      <c r="M74" s="9"/>
      <c r="N74" s="34">
        <f>'Cash Flow'!N28/'Income Statement'!N41</f>
        <v>1.2133037694013304</v>
      </c>
      <c r="O74" s="34">
        <f>'Cash Flow'!O28/'Income Statement'!O41</f>
        <v>1.3050595238095237</v>
      </c>
      <c r="P74" s="34">
        <f>'Cash Flow'!P28/'Income Statement'!P41</f>
        <v>1.2997858672376874</v>
      </c>
      <c r="Q74" s="34">
        <f>'Cash Flow'!Q28/'Income Statement'!Q41</f>
        <v>0.8868175765645806</v>
      </c>
      <c r="R74" s="34">
        <f>'Cash Flow'!R28/'Income Statement'!R41</f>
        <v>1.5048287971905181</v>
      </c>
      <c r="S74" s="34">
        <f>'Cash Flow'!S28/'Income Statement'!S41</f>
        <v>1.2463031423290203</v>
      </c>
      <c r="T74" s="34">
        <f>'Cash Flow'!T28/'Income Statement'!T41</f>
        <v>1.2163388804841149</v>
      </c>
      <c r="U74" s="34">
        <f>'Cash Flow'!U28/'Income Statement'!U41</f>
        <v>1.1883996613039798</v>
      </c>
    </row>
    <row r="75" spans="1:21">
      <c r="A75" s="18" t="s">
        <v>814</v>
      </c>
      <c r="D75" s="19">
        <f>('Income Statement'!D41-'Cash Flow'!D28)/D30</f>
        <v>-1.1072444452671382E-2</v>
      </c>
      <c r="E75" s="19">
        <f>('Income Statement'!E41-'Cash Flow'!E28)/E30</f>
        <v>-3.1296301578175444E-2</v>
      </c>
      <c r="F75" s="19">
        <f>('Income Statement'!F41-'Cash Flow'!F28)/F30</f>
        <v>-5.2207365354448365E-2</v>
      </c>
      <c r="G75" s="19">
        <f>('Income Statement'!G41-'Cash Flow'!G28)/G30</f>
        <v>-3.0651823091426191E-2</v>
      </c>
      <c r="H75" s="19">
        <f>('Income Statement'!H41-'Cash Flow'!H28)/H30</f>
        <v>-2.9982785677458254E-2</v>
      </c>
      <c r="I75" s="19">
        <f>('Income Statement'!I41-'Cash Flow'!I28)/I30</f>
        <v>-2.3204548091425921E-2</v>
      </c>
      <c r="J75" s="19">
        <f>('Income Statement'!J41-'Cash Flow'!J28)/J30</f>
        <v>-2.1448153826234301E-2</v>
      </c>
      <c r="K75" s="19">
        <f>('Income Statement'!K41-'Cash Flow'!K28)/K30</f>
        <v>-2.1988879806699065E-2</v>
      </c>
      <c r="L75" s="19">
        <f>('Income Statement'!L41-'Cash Flow'!L28)/L30</f>
        <v>-3.4665248437186671E-2</v>
      </c>
      <c r="M75" s="9"/>
    </row>
    <row r="76" spans="1:21" ht="8" customHeight="1">
      <c r="M76" s="9"/>
    </row>
    <row r="77" spans="1:21" ht="20" customHeight="1">
      <c r="A77" s="12" t="s">
        <v>815</v>
      </c>
      <c r="B77" s="2"/>
      <c r="C77" s="2"/>
      <c r="D77" s="2"/>
      <c r="E77" s="2"/>
      <c r="F77" s="2"/>
      <c r="G77" s="2"/>
      <c r="H77" s="2"/>
      <c r="I77" s="2"/>
      <c r="J77" s="2"/>
      <c r="K77" s="2"/>
      <c r="L77" s="2"/>
      <c r="M77" s="9"/>
      <c r="N77" s="2"/>
      <c r="O77" s="2"/>
      <c r="P77" s="2"/>
      <c r="Q77" s="2"/>
      <c r="R77" s="2"/>
      <c r="S77" s="2"/>
      <c r="T77" s="2"/>
      <c r="U77" s="2"/>
    </row>
    <row r="78" spans="1:21">
      <c r="A78" s="5" t="s">
        <v>115</v>
      </c>
      <c r="C78" s="35">
        <f>'Income Statement'!C17</f>
        <v>24621.9</v>
      </c>
      <c r="D78" s="35">
        <f>'Income Statement'!D17</f>
        <v>22820.400000000001</v>
      </c>
      <c r="E78" s="35">
        <f>'Income Statement'!E17</f>
        <v>21257.9</v>
      </c>
      <c r="F78" s="35">
        <f>'Income Statement'!F17</f>
        <v>21364.400000000001</v>
      </c>
      <c r="G78" s="35">
        <f>'Income Statement'!G17</f>
        <v>19207.8</v>
      </c>
      <c r="H78" s="35">
        <f>'Income Statement'!H17</f>
        <v>23222.9</v>
      </c>
      <c r="I78" s="35">
        <f>'Income Statement'!I17</f>
        <v>23183</v>
      </c>
      <c r="J78" s="35">
        <f>'Income Statement'!J17</f>
        <v>25494</v>
      </c>
      <c r="K78" s="35">
        <f>'Income Statement'!K17</f>
        <v>25920</v>
      </c>
      <c r="L78" s="35">
        <f>'Income Statement'!L17</f>
        <v>26885</v>
      </c>
      <c r="M78" s="9"/>
      <c r="N78" s="35">
        <f>'Income Statement'!N17</f>
        <v>6873</v>
      </c>
      <c r="O78" s="35">
        <f>'Income Statement'!O17</f>
        <v>6388</v>
      </c>
      <c r="P78" s="35">
        <f>'Income Statement'!P17</f>
        <v>5956</v>
      </c>
      <c r="Q78" s="35">
        <f>'Income Statement'!Q17</f>
        <v>6843</v>
      </c>
      <c r="R78" s="35">
        <f>'Income Statement'!R17</f>
        <v>7078</v>
      </c>
      <c r="S78" s="35">
        <f>'Income Statement'!S17</f>
        <v>7009</v>
      </c>
      <c r="T78" s="35">
        <f>'Income Statement'!T17</f>
        <v>6517</v>
      </c>
      <c r="U78" s="35">
        <f>'Income Statement'!U17</f>
        <v>7099</v>
      </c>
    </row>
    <row r="79" spans="1:21">
      <c r="A79" s="18" t="s">
        <v>116</v>
      </c>
      <c r="D79" s="19">
        <f t="shared" ref="D79:L79" si="1">IF(N(C78)=0,"",D78/C78-1)</f>
        <v>-7.3166571223179377E-2</v>
      </c>
      <c r="E79" s="19">
        <f t="shared" si="1"/>
        <v>-6.8469439624195938E-2</v>
      </c>
      <c r="F79" s="19">
        <f t="shared" si="1"/>
        <v>5.0099022010641203E-3</v>
      </c>
      <c r="G79" s="19">
        <f t="shared" si="1"/>
        <v>-0.10094362584486349</v>
      </c>
      <c r="H79" s="19">
        <f t="shared" si="1"/>
        <v>0.20903487125022147</v>
      </c>
      <c r="I79" s="19">
        <f t="shared" si="1"/>
        <v>-1.7181316717550521E-3</v>
      </c>
      <c r="J79" s="19">
        <f t="shared" si="1"/>
        <v>9.9685114092222804E-2</v>
      </c>
      <c r="K79" s="19">
        <f t="shared" si="1"/>
        <v>1.6709814073899709E-2</v>
      </c>
      <c r="L79" s="19">
        <f t="shared" si="1"/>
        <v>3.7229938271605034E-2</v>
      </c>
      <c r="M79" s="9"/>
      <c r="R79" s="19">
        <f>IF(N(N78)=0,"",R78/N78-1)</f>
        <v>2.982685872253743E-2</v>
      </c>
      <c r="S79" s="19">
        <f>IF(N(O78)=0,"",S78/O78-1)</f>
        <v>9.7213525360050124E-2</v>
      </c>
      <c r="T79" s="19">
        <f>IF(N(P78)=0,"",T78/P78-1)</f>
        <v>9.4190732034922675E-2</v>
      </c>
      <c r="U79" s="19">
        <f>IF(N(Q78)=0,"",U78/Q78-1)</f>
        <v>3.741049247406103E-2</v>
      </c>
    </row>
    <row r="80" spans="1:21">
      <c r="A80" s="5" t="s">
        <v>133</v>
      </c>
      <c r="C80" s="35">
        <f>'Income Statement'!C33</f>
        <v>7744.5</v>
      </c>
      <c r="D80" s="35">
        <f>'Income Statement'!D33</f>
        <v>9552.7000000000007</v>
      </c>
      <c r="E80" s="35">
        <f>'Income Statement'!E33</f>
        <v>8822.6</v>
      </c>
      <c r="F80" s="35">
        <f>'Income Statement'!F33</f>
        <v>9069.7999999999993</v>
      </c>
      <c r="G80" s="35">
        <f>'Income Statement'!G33</f>
        <v>7324</v>
      </c>
      <c r="H80" s="35">
        <f>'Income Statement'!H33</f>
        <v>10356</v>
      </c>
      <c r="I80" s="35">
        <f>'Income Statement'!I33</f>
        <v>9371</v>
      </c>
      <c r="J80" s="35">
        <f>'Income Statement'!J33</f>
        <v>11647</v>
      </c>
      <c r="K80" s="35">
        <f>'Income Statement'!K33</f>
        <v>11712</v>
      </c>
      <c r="L80" s="35">
        <f>'Income Statement'!L33</f>
        <v>12393</v>
      </c>
      <c r="M80" s="9"/>
      <c r="N80" s="35">
        <f>'Income Statement'!N33</f>
        <v>3188</v>
      </c>
      <c r="O80" s="35">
        <f>'Income Statement'!O33</f>
        <v>2868</v>
      </c>
      <c r="P80" s="35">
        <f>'Income Statement'!P33</f>
        <v>2648</v>
      </c>
      <c r="Q80" s="35">
        <f>'Income Statement'!Q33</f>
        <v>3232</v>
      </c>
      <c r="R80" s="35">
        <f>'Income Statement'!R33</f>
        <v>3357</v>
      </c>
      <c r="S80" s="35">
        <f>'Income Statement'!S33</f>
        <v>3156</v>
      </c>
      <c r="T80" s="35">
        <f>'Income Statement'!T33</f>
        <v>2953</v>
      </c>
      <c r="U80" s="35">
        <f>'Income Statement'!U33</f>
        <v>3338</v>
      </c>
    </row>
    <row r="81" spans="1:21">
      <c r="A81" s="18" t="s">
        <v>116</v>
      </c>
      <c r="D81" s="19">
        <f t="shared" ref="D81:L81" si="2">IF(N(C80)=0,"",D80/C80-1)</f>
        <v>0.23348182581186649</v>
      </c>
      <c r="E81" s="19">
        <f t="shared" si="2"/>
        <v>-7.6428653679064595E-2</v>
      </c>
      <c r="F81" s="19">
        <f t="shared" si="2"/>
        <v>2.801895132953991E-2</v>
      </c>
      <c r="G81" s="19">
        <f t="shared" si="2"/>
        <v>-0.19248495005402533</v>
      </c>
      <c r="H81" s="19">
        <f t="shared" si="2"/>
        <v>0.41398143091206996</v>
      </c>
      <c r="I81" s="19">
        <f t="shared" si="2"/>
        <v>-9.5113943607570528E-2</v>
      </c>
      <c r="J81" s="19">
        <f t="shared" si="2"/>
        <v>0.24287696083662369</v>
      </c>
      <c r="K81" s="19">
        <f t="shared" si="2"/>
        <v>5.580836266849909E-3</v>
      </c>
      <c r="L81" s="19">
        <f t="shared" si="2"/>
        <v>5.8145491803278659E-2</v>
      </c>
      <c r="M81" s="9"/>
      <c r="R81" s="19">
        <f>IF(N(N80)=0,"",R80/N80-1)</f>
        <v>5.3011292346298644E-2</v>
      </c>
      <c r="S81" s="19">
        <f>IF(N(O80)=0,"",S80/O80-1)</f>
        <v>0.10041841004184104</v>
      </c>
      <c r="T81" s="19">
        <f>IF(N(P80)=0,"",T80/P80-1)</f>
        <v>0.11518126888217517</v>
      </c>
      <c r="U81" s="19">
        <f>IF(N(Q80)=0,"",U80/Q80-1)</f>
        <v>3.2797029702970271E-2</v>
      </c>
    </row>
    <row r="82" spans="1:21">
      <c r="A82" s="5" t="s">
        <v>139</v>
      </c>
      <c r="C82" s="35">
        <f>'Income Statement'!C41</f>
        <v>4686.5</v>
      </c>
      <c r="D82" s="35">
        <f>'Income Statement'!D41</f>
        <v>5192.3</v>
      </c>
      <c r="E82" s="35">
        <f>'Income Statement'!E41</f>
        <v>5924.3</v>
      </c>
      <c r="F82" s="35">
        <f>'Income Statement'!F41</f>
        <v>6025.4</v>
      </c>
      <c r="G82" s="35">
        <f>'Income Statement'!G41</f>
        <v>4730.5</v>
      </c>
      <c r="H82" s="35">
        <f>'Income Statement'!H41</f>
        <v>7545.2</v>
      </c>
      <c r="I82" s="35">
        <f>'Income Statement'!I41</f>
        <v>6177</v>
      </c>
      <c r="J82" s="35">
        <f>'Income Statement'!J41</f>
        <v>8469</v>
      </c>
      <c r="K82" s="35">
        <f>'Income Statement'!K41</f>
        <v>8223</v>
      </c>
      <c r="L82" s="35">
        <f>'Income Statement'!L41</f>
        <v>8563</v>
      </c>
      <c r="M82" s="9"/>
      <c r="N82" s="35">
        <f>'Income Statement'!N41</f>
        <v>2255</v>
      </c>
      <c r="O82" s="35">
        <f>'Income Statement'!O41</f>
        <v>2016</v>
      </c>
      <c r="P82" s="35">
        <f>'Income Statement'!P41</f>
        <v>1868</v>
      </c>
      <c r="Q82" s="35">
        <f>'Income Statement'!Q41</f>
        <v>2253</v>
      </c>
      <c r="R82" s="35">
        <f>'Income Statement'!R41</f>
        <v>2278</v>
      </c>
      <c r="S82" s="35">
        <f>'Income Statement'!S41</f>
        <v>2164</v>
      </c>
      <c r="T82" s="35">
        <f>'Income Statement'!T41</f>
        <v>1983</v>
      </c>
      <c r="U82" s="35">
        <f>'Income Statement'!U41</f>
        <v>2362</v>
      </c>
    </row>
    <row r="83" spans="1:21">
      <c r="A83" s="18" t="s">
        <v>116</v>
      </c>
      <c r="D83" s="19">
        <f t="shared" ref="D83:L83" si="3">IF(N(C82)=0,"",D82/C82-1)</f>
        <v>0.10792702443187885</v>
      </c>
      <c r="E83" s="19">
        <f t="shared" si="3"/>
        <v>0.14097798663405436</v>
      </c>
      <c r="F83" s="19">
        <f t="shared" si="3"/>
        <v>1.7065307293688603E-2</v>
      </c>
      <c r="G83" s="19">
        <f t="shared" si="3"/>
        <v>-0.21490689414810626</v>
      </c>
      <c r="H83" s="19">
        <f t="shared" si="3"/>
        <v>0.59501109819258002</v>
      </c>
      <c r="I83" s="19">
        <f t="shared" si="3"/>
        <v>-0.18133382812914167</v>
      </c>
      <c r="J83" s="19">
        <f t="shared" si="3"/>
        <v>0.37105390966488594</v>
      </c>
      <c r="K83" s="19">
        <f t="shared" si="3"/>
        <v>-2.904711300035423E-2</v>
      </c>
      <c r="L83" s="19">
        <f t="shared" si="3"/>
        <v>4.1347440107016853E-2</v>
      </c>
      <c r="M83" s="9"/>
      <c r="R83" s="19">
        <f>IF(N(N82)=0,"",R82/N82-1)</f>
        <v>1.0199556541020005E-2</v>
      </c>
      <c r="S83" s="19">
        <f>IF(N(O82)=0,"",S82/O82-1)</f>
        <v>7.3412698412698374E-2</v>
      </c>
      <c r="T83" s="19">
        <f>IF(N(P82)=0,"",T82/P82-1)</f>
        <v>6.1563169164882137E-2</v>
      </c>
      <c r="U83" s="19">
        <f>IF(N(Q82)=0,"",U82/Q82-1)</f>
        <v>4.8379937860630218E-2</v>
      </c>
    </row>
    <row r="84" spans="1:21">
      <c r="A84" s="5" t="s">
        <v>816</v>
      </c>
      <c r="C84" s="36">
        <f>'Income Statement'!C47</f>
        <v>5.44</v>
      </c>
      <c r="D84" s="36">
        <f>'Income Statement'!D47</f>
        <v>6.37</v>
      </c>
      <c r="E84" s="36">
        <f>'Income Statement'!E47</f>
        <v>7.54</v>
      </c>
      <c r="F84" s="36">
        <f>'Income Statement'!F47</f>
        <v>7.88</v>
      </c>
      <c r="G84" s="36">
        <f>'Income Statement'!G47</f>
        <v>6.31</v>
      </c>
      <c r="H84" s="36">
        <f>'Income Statement'!H47</f>
        <v>10.039999999999999</v>
      </c>
      <c r="I84" s="36">
        <f>'Income Statement'!I47</f>
        <v>8.33</v>
      </c>
      <c r="J84" s="36">
        <f>'Income Statement'!J47</f>
        <v>11.56</v>
      </c>
      <c r="K84" s="36">
        <f>'Income Statement'!K47</f>
        <v>11.39</v>
      </c>
      <c r="L84" s="36">
        <f>'Income Statement'!L47</f>
        <v>11.95</v>
      </c>
      <c r="M84" s="9"/>
      <c r="N84" s="36">
        <f>'Income Statement'!N47</f>
        <v>3.13</v>
      </c>
      <c r="O84" s="36">
        <f>'Income Statement'!O47</f>
        <v>0</v>
      </c>
      <c r="P84" s="36">
        <f>'Income Statement'!P47</f>
        <v>2.6</v>
      </c>
      <c r="Q84" s="36">
        <f>'Income Statement'!Q47</f>
        <v>3.14</v>
      </c>
      <c r="R84" s="36">
        <f>'Income Statement'!R47</f>
        <v>3.18</v>
      </c>
      <c r="S84" s="36">
        <f>'Income Statement'!S47</f>
        <v>0</v>
      </c>
      <c r="T84" s="36">
        <f>'Income Statement'!T47</f>
        <v>2.78</v>
      </c>
      <c r="U84" s="36">
        <f>'Income Statement'!U47</f>
        <v>3.32</v>
      </c>
    </row>
    <row r="85" spans="1:21">
      <c r="A85" s="18" t="s">
        <v>116</v>
      </c>
      <c r="D85" s="19">
        <f t="shared" ref="D85:L85" si="4">IF(N(C84)=0,"",D84/C84-1)</f>
        <v>0.17095588235294112</v>
      </c>
      <c r="E85" s="19">
        <f t="shared" si="4"/>
        <v>0.18367346938775508</v>
      </c>
      <c r="F85" s="19">
        <f t="shared" si="4"/>
        <v>4.5092838196286511E-2</v>
      </c>
      <c r="G85" s="19">
        <f t="shared" si="4"/>
        <v>-0.19923857868020312</v>
      </c>
      <c r="H85" s="19">
        <f t="shared" si="4"/>
        <v>0.59112519809825659</v>
      </c>
      <c r="I85" s="19">
        <f t="shared" si="4"/>
        <v>-0.17031872509960155</v>
      </c>
      <c r="J85" s="19">
        <f t="shared" si="4"/>
        <v>0.38775510204081631</v>
      </c>
      <c r="K85" s="19">
        <f t="shared" si="4"/>
        <v>-1.4705882352941124E-2</v>
      </c>
      <c r="L85" s="19">
        <f t="shared" si="4"/>
        <v>4.9165935030728525E-2</v>
      </c>
      <c r="M85" s="9"/>
      <c r="R85" s="19">
        <f>IF(N(N84)=0,"",R84/N84-1)</f>
        <v>1.5974440894568787E-2</v>
      </c>
      <c r="S85" s="19" t="str">
        <f>IF(N(O84)=0,"",S84/O84-1)</f>
        <v/>
      </c>
      <c r="T85" s="19">
        <f>IF(N(P84)=0,"",T84/P84-1)</f>
        <v>6.9230769230769207E-2</v>
      </c>
      <c r="U85" s="19">
        <f>IF(N(Q84)=0,"",U84/Q84-1)</f>
        <v>5.7324840764331197E-2</v>
      </c>
    </row>
    <row r="86" spans="1:21">
      <c r="A86" s="5" t="s">
        <v>230</v>
      </c>
      <c r="C86" s="35">
        <f>'Cash Flow'!C28</f>
        <v>6059.6</v>
      </c>
      <c r="D86" s="35">
        <f>'Cash Flow'!D28</f>
        <v>5551.2</v>
      </c>
      <c r="E86" s="35">
        <f>'Cash Flow'!E28</f>
        <v>6966.7</v>
      </c>
      <c r="F86" s="35">
        <f>'Cash Flow'!F28</f>
        <v>8122.1</v>
      </c>
      <c r="G86" s="35">
        <f>'Cash Flow'!G28</f>
        <v>6265.2</v>
      </c>
      <c r="H86" s="35">
        <f>'Cash Flow'!H28</f>
        <v>9141.5</v>
      </c>
      <c r="I86" s="35">
        <f>'Cash Flow'!I28</f>
        <v>7387</v>
      </c>
      <c r="J86" s="35">
        <f>'Cash Flow'!J28</f>
        <v>9612</v>
      </c>
      <c r="K86" s="35">
        <f>'Cash Flow'!K28</f>
        <v>9447</v>
      </c>
      <c r="L86" s="35">
        <f>'Cash Flow'!L28</f>
        <v>10551</v>
      </c>
      <c r="M86" s="9"/>
      <c r="N86" s="35">
        <f>'Cash Flow'!N28</f>
        <v>2736</v>
      </c>
      <c r="O86" s="35">
        <f>'Cash Flow'!O28</f>
        <v>2631</v>
      </c>
      <c r="P86" s="35">
        <f>'Cash Flow'!P28</f>
        <v>2428</v>
      </c>
      <c r="Q86" s="35">
        <f>'Cash Flow'!Q28</f>
        <v>1998</v>
      </c>
      <c r="R86" s="35">
        <f>'Cash Flow'!R28</f>
        <v>3428</v>
      </c>
      <c r="S86" s="35">
        <f>'Cash Flow'!S28</f>
        <v>2697</v>
      </c>
      <c r="T86" s="35">
        <f>'Cash Flow'!T28</f>
        <v>2412</v>
      </c>
      <c r="U86" s="35">
        <f>'Cash Flow'!U28</f>
        <v>2807</v>
      </c>
    </row>
    <row r="87" spans="1:21">
      <c r="A87" s="18" t="s">
        <v>116</v>
      </c>
      <c r="D87" s="19">
        <f t="shared" ref="D87:L87" si="5">IF(N(C86)=0,"",D86/C86-1)</f>
        <v>-8.3899927387946494E-2</v>
      </c>
      <c r="E87" s="19">
        <f t="shared" si="5"/>
        <v>0.25498991209107946</v>
      </c>
      <c r="F87" s="19">
        <f t="shared" si="5"/>
        <v>0.16584609643016068</v>
      </c>
      <c r="G87" s="19">
        <f t="shared" si="5"/>
        <v>-0.22862313933588607</v>
      </c>
      <c r="H87" s="19">
        <f t="shared" si="5"/>
        <v>0.45909148949754197</v>
      </c>
      <c r="I87" s="19">
        <f t="shared" si="5"/>
        <v>-0.19192692665317512</v>
      </c>
      <c r="J87" s="19">
        <f t="shared" si="5"/>
        <v>0.3012048192771084</v>
      </c>
      <c r="K87" s="19">
        <f t="shared" si="5"/>
        <v>-1.716604244694131E-2</v>
      </c>
      <c r="L87" s="19">
        <f t="shared" si="5"/>
        <v>0.11686249603048582</v>
      </c>
      <c r="M87" s="9"/>
      <c r="R87" s="19">
        <f>IF(N(N86)=0,"",R86/N86-1)</f>
        <v>0.25292397660818722</v>
      </c>
      <c r="S87" s="19">
        <f>IF(N(O86)=0,"",S86/O86-1)</f>
        <v>2.5085518814139007E-2</v>
      </c>
      <c r="T87" s="19">
        <f>IF(N(P86)=0,"",T86/P86-1)</f>
        <v>-6.5897858319604596E-3</v>
      </c>
      <c r="U87" s="19">
        <f>IF(N(Q86)=0,"",U86/Q86-1)</f>
        <v>0.40490490490490494</v>
      </c>
    </row>
    <row r="88" spans="1:21">
      <c r="A88" s="5" t="s">
        <v>817</v>
      </c>
      <c r="C88" s="35">
        <f>'Cash Flow'!C71</f>
        <v>4238.5</v>
      </c>
      <c r="D88" s="35">
        <f>'Cash Flow'!D71</f>
        <v>3697.5</v>
      </c>
      <c r="E88" s="35">
        <f>'Cash Flow'!E71</f>
        <v>4225</v>
      </c>
      <c r="F88" s="35">
        <f>'Cash Flow'!F71</f>
        <v>5728.4000000000005</v>
      </c>
      <c r="G88" s="35">
        <f>'Cash Flow'!G71</f>
        <v>4624.3999999999996</v>
      </c>
      <c r="H88" s="35">
        <f>'Cash Flow'!H71</f>
        <v>7101.5</v>
      </c>
      <c r="I88" s="35">
        <f>'Cash Flow'!I71</f>
        <v>5488</v>
      </c>
      <c r="J88" s="35">
        <f>'Cash Flow'!J71</f>
        <v>7255</v>
      </c>
      <c r="K88" s="35">
        <f>'Cash Flow'!K71</f>
        <v>6672</v>
      </c>
      <c r="L88" s="35">
        <f>'Cash Flow'!L71</f>
        <v>7186</v>
      </c>
      <c r="M88" s="9"/>
      <c r="N88" s="35">
        <f>'Cash Flow'!N71</f>
        <v>1942</v>
      </c>
      <c r="O88" s="35">
        <f>'Cash Flow'!O71</f>
        <v>1824</v>
      </c>
      <c r="P88" s="35">
        <f>'Cash Flow'!P71</f>
        <v>1877</v>
      </c>
      <c r="Q88" s="35">
        <f>'Cash Flow'!Q71</f>
        <v>1254</v>
      </c>
      <c r="R88" s="35">
        <f>'Cash Flow'!R71</f>
        <v>2417</v>
      </c>
      <c r="S88" s="35">
        <f>'Cash Flow'!S71</f>
        <v>1638</v>
      </c>
      <c r="T88" s="35">
        <f>'Cash Flow'!T71</f>
        <v>1730</v>
      </c>
      <c r="U88" s="35">
        <f>'Cash Flow'!U71</f>
        <v>1976</v>
      </c>
    </row>
    <row r="89" spans="1:21">
      <c r="A89" s="18" t="s">
        <v>116</v>
      </c>
      <c r="D89" s="19">
        <f t="shared" ref="D89:L89" si="6">IF(N(C88)=0,"",D88/C88-1)</f>
        <v>-0.12763949510440009</v>
      </c>
      <c r="E89" s="19">
        <f t="shared" si="6"/>
        <v>0.14266396213657884</v>
      </c>
      <c r="F89" s="19">
        <f t="shared" si="6"/>
        <v>0.35583431952662736</v>
      </c>
      <c r="G89" s="19">
        <f t="shared" si="6"/>
        <v>-0.19272397178967959</v>
      </c>
      <c r="H89" s="19">
        <f t="shared" si="6"/>
        <v>0.53565868004497896</v>
      </c>
      <c r="I89" s="19">
        <f t="shared" si="6"/>
        <v>-0.2272055199605717</v>
      </c>
      <c r="J89" s="19">
        <f t="shared" si="6"/>
        <v>0.32197521865889223</v>
      </c>
      <c r="K89" s="19">
        <f t="shared" si="6"/>
        <v>-8.03583735354928E-2</v>
      </c>
      <c r="L89" s="19">
        <f t="shared" si="6"/>
        <v>7.7038369304556431E-2</v>
      </c>
      <c r="M89" s="9"/>
      <c r="R89" s="19">
        <f>IF(N(N88)=0,"",R88/N88-1)</f>
        <v>0.24459320288362507</v>
      </c>
      <c r="S89" s="19">
        <f>IF(N(O88)=0,"",S88/O88-1)</f>
        <v>-0.10197368421052633</v>
      </c>
      <c r="T89" s="19">
        <f>IF(N(P88)=0,"",T88/P88-1)</f>
        <v>-7.8316462440063961E-2</v>
      </c>
      <c r="U89" s="19">
        <f>IF(N(Q88)=0,"",U88/Q88-1)</f>
        <v>0.57575757575757569</v>
      </c>
    </row>
    <row r="90" spans="1:21">
      <c r="M90" s="9"/>
    </row>
  </sheetData>
  <phoneticPr fontId="1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H99"/>
  <sheetViews>
    <sheetView showGridLines="0" zoomScale="85" workbookViewId="0">
      <pane ySplit="3" topLeftCell="A4" activePane="bottomLeft" state="frozen"/>
      <selection pane="bottomLeft"/>
    </sheetView>
  </sheetViews>
  <sheetFormatPr baseColWidth="10" defaultColWidth="8.83203125" defaultRowHeight="14"/>
  <cols>
    <col min="1" max="1" width="64" customWidth="1"/>
    <col min="2" max="7" width="18" customWidth="1"/>
  </cols>
  <sheetData>
    <row r="1" spans="1:8" ht="28" customHeight="1">
      <c r="A1" s="1" t="s">
        <v>578</v>
      </c>
      <c r="B1" s="2"/>
      <c r="C1" s="2"/>
      <c r="D1" s="2"/>
      <c r="E1" s="2"/>
      <c r="F1" s="2"/>
      <c r="G1" s="2"/>
      <c r="H1" s="2"/>
    </row>
    <row r="2" spans="1:8" ht="16" customHeight="1">
      <c r="A2" s="3" t="s">
        <v>1</v>
      </c>
    </row>
    <row r="4" spans="1:8">
      <c r="A4" s="4" t="s">
        <v>579</v>
      </c>
    </row>
    <row r="6" spans="1:8">
      <c r="A6" s="4" t="s">
        <v>580</v>
      </c>
    </row>
    <row r="7" spans="1:8">
      <c r="A7" s="12" t="s">
        <v>581</v>
      </c>
      <c r="B7" s="12" t="s">
        <v>582</v>
      </c>
    </row>
    <row r="8" spans="1:8">
      <c r="A8" s="5" t="s">
        <v>583</v>
      </c>
      <c r="B8" s="5">
        <v>0</v>
      </c>
    </row>
    <row r="9" spans="1:8">
      <c r="A9" s="5" t="s">
        <v>584</v>
      </c>
      <c r="B9" s="5">
        <v>3201</v>
      </c>
    </row>
    <row r="10" spans="1:8">
      <c r="A10" s="5" t="s">
        <v>585</v>
      </c>
      <c r="B10" s="5">
        <v>5166</v>
      </c>
    </row>
    <row r="11" spans="1:8">
      <c r="A11" s="5" t="s">
        <v>586</v>
      </c>
      <c r="B11" s="5">
        <v>3637</v>
      </c>
    </row>
    <row r="12" spans="1:8">
      <c r="A12" s="5" t="s">
        <v>587</v>
      </c>
      <c r="B12" s="5">
        <v>3011</v>
      </c>
    </row>
    <row r="13" spans="1:8">
      <c r="A13" s="5" t="s">
        <v>588</v>
      </c>
      <c r="B13" s="5">
        <v>25130</v>
      </c>
    </row>
    <row r="15" spans="1:8">
      <c r="A15" s="4" t="s">
        <v>589</v>
      </c>
    </row>
    <row r="16" spans="1:8">
      <c r="A16" s="12" t="s">
        <v>581</v>
      </c>
      <c r="B16" s="12" t="s">
        <v>582</v>
      </c>
    </row>
    <row r="17" spans="1:4">
      <c r="A17" s="5" t="s">
        <v>590</v>
      </c>
      <c r="B17" s="5">
        <v>0</v>
      </c>
    </row>
    <row r="18" spans="1:4">
      <c r="A18" s="5" t="s">
        <v>583</v>
      </c>
      <c r="B18" s="5">
        <v>2392</v>
      </c>
    </row>
    <row r="19" spans="1:4">
      <c r="A19" s="5" t="s">
        <v>584</v>
      </c>
      <c r="B19" s="5">
        <v>3036</v>
      </c>
    </row>
    <row r="20" spans="1:4">
      <c r="A20" s="5" t="s">
        <v>585</v>
      </c>
      <c r="B20" s="5">
        <v>7221</v>
      </c>
    </row>
    <row r="21" spans="1:4">
      <c r="A21" s="5" t="s">
        <v>586</v>
      </c>
      <c r="B21" s="5">
        <v>3394</v>
      </c>
    </row>
    <row r="22" spans="1:4">
      <c r="A22" s="5" t="s">
        <v>588</v>
      </c>
      <c r="B22" s="5">
        <v>22573</v>
      </c>
    </row>
    <row r="24" spans="1:4">
      <c r="A24" s="4" t="s">
        <v>591</v>
      </c>
    </row>
    <row r="25" spans="1:4">
      <c r="A25" s="12" t="s">
        <v>581</v>
      </c>
      <c r="B25" s="12" t="s">
        <v>592</v>
      </c>
      <c r="C25" s="12" t="s">
        <v>593</v>
      </c>
      <c r="D25" s="12" t="s">
        <v>594</v>
      </c>
    </row>
    <row r="26" spans="1:4">
      <c r="A26" s="5">
        <v>2026</v>
      </c>
      <c r="B26" s="5">
        <v>1509</v>
      </c>
      <c r="C26" s="5">
        <v>1536</v>
      </c>
      <c r="D26" s="5">
        <v>3045</v>
      </c>
    </row>
    <row r="27" spans="1:4">
      <c r="A27" s="5">
        <v>2027</v>
      </c>
      <c r="B27" s="5">
        <v>1465</v>
      </c>
      <c r="C27" s="5">
        <v>1478</v>
      </c>
      <c r="D27" s="5">
        <v>2943</v>
      </c>
    </row>
    <row r="28" spans="1:4">
      <c r="A28" s="5">
        <v>2028</v>
      </c>
      <c r="B28" s="5">
        <v>1409</v>
      </c>
      <c r="C28" s="5">
        <v>1403</v>
      </c>
      <c r="D28" s="5">
        <v>2812</v>
      </c>
    </row>
    <row r="29" spans="1:4">
      <c r="A29" s="5">
        <v>2029</v>
      </c>
      <c r="B29" s="5">
        <v>1334</v>
      </c>
      <c r="C29" s="5">
        <v>1325</v>
      </c>
      <c r="D29" s="5">
        <v>2659</v>
      </c>
    </row>
    <row r="30" spans="1:4">
      <c r="A30" s="5">
        <v>2030</v>
      </c>
      <c r="B30" s="5">
        <v>1271</v>
      </c>
      <c r="C30" s="5">
        <v>1256</v>
      </c>
      <c r="D30" s="5">
        <v>2527</v>
      </c>
    </row>
    <row r="31" spans="1:4">
      <c r="A31" s="5" t="s">
        <v>588</v>
      </c>
      <c r="B31" s="5">
        <v>8855</v>
      </c>
      <c r="C31" s="5">
        <v>8610</v>
      </c>
      <c r="D31" s="5">
        <v>17465</v>
      </c>
    </row>
    <row r="32" spans="1:4">
      <c r="A32" s="5" t="s">
        <v>595</v>
      </c>
      <c r="B32" s="5">
        <v>15843</v>
      </c>
      <c r="C32" s="5">
        <v>15608</v>
      </c>
      <c r="D32" s="5">
        <v>31451</v>
      </c>
    </row>
    <row r="34" spans="1:4">
      <c r="A34" s="4" t="s">
        <v>596</v>
      </c>
    </row>
    <row r="35" spans="1:4">
      <c r="A35" s="12" t="s">
        <v>581</v>
      </c>
      <c r="B35" s="12" t="s">
        <v>592</v>
      </c>
      <c r="C35" s="12" t="s">
        <v>593</v>
      </c>
      <c r="D35" s="12" t="s">
        <v>594</v>
      </c>
    </row>
    <row r="36" spans="1:4">
      <c r="A36" s="5">
        <v>2025</v>
      </c>
      <c r="B36" s="5">
        <v>1455</v>
      </c>
      <c r="C36" s="5">
        <v>1425</v>
      </c>
      <c r="D36" s="5">
        <v>2880</v>
      </c>
    </row>
    <row r="37" spans="1:4">
      <c r="A37" s="5">
        <v>2026</v>
      </c>
      <c r="B37" s="5">
        <v>1401</v>
      </c>
      <c r="C37" s="5">
        <v>1361</v>
      </c>
      <c r="D37" s="5">
        <v>2762</v>
      </c>
    </row>
    <row r="38" spans="1:4">
      <c r="A38" s="5">
        <v>2027</v>
      </c>
      <c r="B38" s="5">
        <v>1353</v>
      </c>
      <c r="C38" s="5">
        <v>1301</v>
      </c>
      <c r="D38" s="5">
        <v>2654</v>
      </c>
    </row>
    <row r="39" spans="1:4">
      <c r="A39" s="5">
        <v>2028</v>
      </c>
      <c r="B39" s="5">
        <v>1298</v>
      </c>
      <c r="C39" s="5">
        <v>1236</v>
      </c>
      <c r="D39" s="5">
        <v>2534</v>
      </c>
    </row>
    <row r="40" spans="1:4">
      <c r="A40" s="5">
        <v>2029</v>
      </c>
      <c r="B40" s="5">
        <v>1227</v>
      </c>
      <c r="C40" s="5">
        <v>1166</v>
      </c>
      <c r="D40" s="5">
        <v>2393</v>
      </c>
    </row>
    <row r="41" spans="1:4">
      <c r="A41" s="5" t="s">
        <v>588</v>
      </c>
      <c r="B41" s="5">
        <v>8462</v>
      </c>
      <c r="C41" s="5">
        <v>7913</v>
      </c>
      <c r="D41" s="5">
        <v>16375</v>
      </c>
    </row>
    <row r="42" spans="1:4">
      <c r="A42" s="5" t="s">
        <v>595</v>
      </c>
      <c r="B42" s="5">
        <v>15196</v>
      </c>
      <c r="C42" s="5">
        <v>14402</v>
      </c>
      <c r="D42" s="5">
        <v>29598</v>
      </c>
    </row>
    <row r="44" spans="1:4">
      <c r="A44" s="4" t="s">
        <v>597</v>
      </c>
    </row>
    <row r="45" spans="1:4">
      <c r="A45" s="12" t="s">
        <v>581</v>
      </c>
      <c r="B45" s="12" t="s">
        <v>598</v>
      </c>
      <c r="C45" s="12" t="s">
        <v>599</v>
      </c>
      <c r="D45" s="12" t="s">
        <v>600</v>
      </c>
    </row>
    <row r="46" spans="1:4">
      <c r="A46" s="5">
        <v>2026</v>
      </c>
      <c r="B46" s="5">
        <v>1200</v>
      </c>
      <c r="C46" s="5">
        <v>120</v>
      </c>
      <c r="D46" s="5">
        <v>1321</v>
      </c>
    </row>
    <row r="47" spans="1:4">
      <c r="A47" s="5">
        <v>2027</v>
      </c>
      <c r="B47" s="5">
        <v>1166</v>
      </c>
      <c r="C47" s="5">
        <v>123</v>
      </c>
      <c r="D47" s="5">
        <v>1289</v>
      </c>
    </row>
    <row r="48" spans="1:4">
      <c r="A48" s="5">
        <v>2028</v>
      </c>
      <c r="B48" s="5">
        <v>1115</v>
      </c>
      <c r="C48" s="5">
        <v>124</v>
      </c>
      <c r="D48" s="5">
        <v>1239</v>
      </c>
    </row>
    <row r="49" spans="1:4">
      <c r="A49" s="5">
        <v>2029</v>
      </c>
      <c r="B49" s="5">
        <v>1076</v>
      </c>
      <c r="C49" s="5">
        <v>125</v>
      </c>
      <c r="D49" s="5">
        <v>1201</v>
      </c>
    </row>
    <row r="50" spans="1:4">
      <c r="A50" s="5">
        <v>2030</v>
      </c>
      <c r="B50" s="5">
        <v>1029</v>
      </c>
      <c r="C50" s="5">
        <v>127</v>
      </c>
      <c r="D50" s="5">
        <v>1156</v>
      </c>
    </row>
    <row r="51" spans="1:4">
      <c r="A51" s="5" t="s">
        <v>588</v>
      </c>
      <c r="B51" s="5">
        <v>10977</v>
      </c>
      <c r="C51" s="5">
        <v>3443</v>
      </c>
      <c r="D51" s="5">
        <v>14420</v>
      </c>
    </row>
    <row r="52" spans="1:4">
      <c r="A52" s="5" t="s">
        <v>601</v>
      </c>
      <c r="B52" s="5">
        <v>16564</v>
      </c>
      <c r="C52" s="5">
        <v>4062</v>
      </c>
      <c r="D52" s="5">
        <v>20626</v>
      </c>
    </row>
    <row r="53" spans="1:4">
      <c r="A53" s="5" t="s">
        <v>602</v>
      </c>
      <c r="B53" s="5">
        <v>4075</v>
      </c>
      <c r="C53" s="5">
        <v>1710</v>
      </c>
      <c r="D53" s="5">
        <v>5785</v>
      </c>
    </row>
    <row r="54" spans="1:4">
      <c r="A54" s="5" t="s">
        <v>603</v>
      </c>
      <c r="B54" s="5">
        <v>12488</v>
      </c>
      <c r="C54" s="5">
        <v>2352</v>
      </c>
      <c r="D54" s="5">
        <v>14840</v>
      </c>
    </row>
    <row r="56" spans="1:4">
      <c r="A56" s="4" t="s">
        <v>604</v>
      </c>
    </row>
    <row r="57" spans="1:4">
      <c r="A57" s="12" t="s">
        <v>581</v>
      </c>
      <c r="B57" s="12" t="s">
        <v>598</v>
      </c>
      <c r="C57" s="12" t="s">
        <v>599</v>
      </c>
      <c r="D57" s="12" t="s">
        <v>600</v>
      </c>
    </row>
    <row r="58" spans="1:4">
      <c r="A58" s="5">
        <v>2025</v>
      </c>
      <c r="B58" s="5">
        <v>1087</v>
      </c>
      <c r="C58" s="5">
        <v>91</v>
      </c>
      <c r="D58" s="5">
        <v>1178</v>
      </c>
    </row>
    <row r="59" spans="1:4">
      <c r="A59" s="5">
        <v>2026</v>
      </c>
      <c r="B59" s="5">
        <v>1042</v>
      </c>
      <c r="C59" s="5">
        <v>93</v>
      </c>
      <c r="D59" s="5">
        <v>1135</v>
      </c>
    </row>
    <row r="60" spans="1:4">
      <c r="A60" s="5">
        <v>2027</v>
      </c>
      <c r="B60" s="5">
        <v>1013</v>
      </c>
      <c r="C60" s="5">
        <v>94</v>
      </c>
      <c r="D60" s="5">
        <v>1107</v>
      </c>
    </row>
    <row r="61" spans="1:4">
      <c r="A61" s="5">
        <v>2028</v>
      </c>
      <c r="B61" s="5">
        <v>972</v>
      </c>
      <c r="C61" s="5">
        <v>95</v>
      </c>
      <c r="D61" s="5">
        <v>1067</v>
      </c>
    </row>
    <row r="62" spans="1:4">
      <c r="A62" s="5">
        <v>2029</v>
      </c>
      <c r="B62" s="5">
        <v>939</v>
      </c>
      <c r="C62" s="5">
        <v>96</v>
      </c>
      <c r="D62" s="5">
        <v>1035</v>
      </c>
    </row>
    <row r="63" spans="1:4">
      <c r="A63" s="5" t="s">
        <v>588</v>
      </c>
      <c r="B63" s="5">
        <v>10897</v>
      </c>
      <c r="C63" s="5">
        <v>2543</v>
      </c>
      <c r="D63" s="5">
        <v>13440</v>
      </c>
    </row>
    <row r="64" spans="1:4">
      <c r="A64" s="5" t="s">
        <v>601</v>
      </c>
      <c r="B64" s="5">
        <v>15950</v>
      </c>
      <c r="C64" s="5">
        <v>3012</v>
      </c>
      <c r="D64" s="5">
        <v>18962</v>
      </c>
    </row>
    <row r="65" spans="1:5">
      <c r="A65" s="5" t="s">
        <v>602</v>
      </c>
      <c r="B65" s="5">
        <v>4206</v>
      </c>
      <c r="C65" s="5">
        <v>1232</v>
      </c>
      <c r="D65" s="5">
        <v>5438</v>
      </c>
    </row>
    <row r="66" spans="1:5">
      <c r="A66" s="5" t="s">
        <v>603</v>
      </c>
      <c r="B66" s="5">
        <v>11744</v>
      </c>
      <c r="C66" s="5">
        <v>1780</v>
      </c>
      <c r="D66" s="5">
        <v>13524</v>
      </c>
    </row>
    <row r="68" spans="1:5">
      <c r="A68" s="4" t="s">
        <v>605</v>
      </c>
    </row>
    <row r="69" spans="1:5">
      <c r="A69" s="12" t="s">
        <v>606</v>
      </c>
      <c r="B69" s="12" t="s">
        <v>607</v>
      </c>
      <c r="C69" s="12" t="s">
        <v>608</v>
      </c>
      <c r="D69" s="12" t="s">
        <v>609</v>
      </c>
      <c r="E69" s="12" t="s">
        <v>594</v>
      </c>
    </row>
    <row r="70" spans="1:5">
      <c r="A70" s="5" t="s">
        <v>610</v>
      </c>
    </row>
    <row r="71" spans="1:5">
      <c r="A71" s="5" t="s">
        <v>611</v>
      </c>
      <c r="B71" s="5">
        <v>0</v>
      </c>
      <c r="C71" s="5">
        <v>0</v>
      </c>
      <c r="D71" s="5">
        <v>0</v>
      </c>
      <c r="E71" s="5">
        <v>0</v>
      </c>
    </row>
    <row r="72" spans="1:5">
      <c r="A72" s="5" t="s">
        <v>612</v>
      </c>
      <c r="B72" s="5">
        <v>96</v>
      </c>
      <c r="C72" s="5">
        <v>32</v>
      </c>
      <c r="D72" s="5">
        <v>122</v>
      </c>
      <c r="E72" s="5">
        <v>250</v>
      </c>
    </row>
    <row r="73" spans="1:5">
      <c r="A73" s="5" t="s">
        <v>613</v>
      </c>
      <c r="B73" s="5">
        <v>-52</v>
      </c>
      <c r="C73" s="5">
        <v>-21</v>
      </c>
      <c r="D73" s="5">
        <v>-99</v>
      </c>
      <c r="E73" s="5">
        <v>-172</v>
      </c>
    </row>
    <row r="74" spans="1:5">
      <c r="A74" s="5" t="s">
        <v>614</v>
      </c>
      <c r="B74" s="5">
        <v>-3</v>
      </c>
      <c r="C74" s="5">
        <v>0</v>
      </c>
      <c r="D74" s="5">
        <v>-16</v>
      </c>
      <c r="E74" s="5">
        <v>-19</v>
      </c>
    </row>
    <row r="75" spans="1:5">
      <c r="A75" s="5" t="s">
        <v>615</v>
      </c>
      <c r="B75" s="5">
        <v>41</v>
      </c>
      <c r="C75" s="5">
        <v>11</v>
      </c>
      <c r="D75" s="5">
        <v>7</v>
      </c>
      <c r="E75" s="5">
        <v>59</v>
      </c>
    </row>
    <row r="76" spans="1:5">
      <c r="A76" s="5" t="s">
        <v>616</v>
      </c>
    </row>
    <row r="77" spans="1:5">
      <c r="A77" s="5" t="s">
        <v>611</v>
      </c>
      <c r="B77" s="5">
        <v>41</v>
      </c>
      <c r="C77" s="5">
        <v>11</v>
      </c>
      <c r="D77" s="5">
        <v>7</v>
      </c>
      <c r="E77" s="5">
        <v>59</v>
      </c>
    </row>
    <row r="78" spans="1:5">
      <c r="A78" s="5" t="s">
        <v>612</v>
      </c>
      <c r="B78" s="5">
        <v>6</v>
      </c>
      <c r="C78" s="5">
        <v>1</v>
      </c>
      <c r="D78" s="5">
        <v>214</v>
      </c>
      <c r="E78" s="5">
        <v>221</v>
      </c>
    </row>
    <row r="79" spans="1:5">
      <c r="A79" s="5" t="s">
        <v>613</v>
      </c>
      <c r="B79" s="5">
        <v>-24</v>
      </c>
      <c r="C79" s="5">
        <v>-8</v>
      </c>
      <c r="D79" s="5">
        <v>-205</v>
      </c>
      <c r="E79" s="5">
        <v>-237</v>
      </c>
    </row>
    <row r="80" spans="1:5">
      <c r="A80" s="5" t="s">
        <v>614</v>
      </c>
      <c r="B80" s="5">
        <v>0</v>
      </c>
      <c r="C80" s="5">
        <v>0</v>
      </c>
      <c r="D80" s="5">
        <v>-1</v>
      </c>
      <c r="E80" s="5">
        <v>-1</v>
      </c>
    </row>
    <row r="81" spans="1:7">
      <c r="A81" s="5" t="s">
        <v>617</v>
      </c>
      <c r="B81" s="5">
        <v>23</v>
      </c>
      <c r="C81" s="5">
        <v>4</v>
      </c>
      <c r="D81" s="5">
        <v>15</v>
      </c>
      <c r="E81" s="5">
        <v>42</v>
      </c>
    </row>
    <row r="82" spans="1:7">
      <c r="A82" s="5" t="s">
        <v>590</v>
      </c>
    </row>
    <row r="83" spans="1:7">
      <c r="A83" s="5" t="s">
        <v>611</v>
      </c>
      <c r="B83" s="5">
        <v>23</v>
      </c>
      <c r="C83" s="5">
        <v>4</v>
      </c>
      <c r="D83" s="5">
        <v>15</v>
      </c>
      <c r="E83" s="5">
        <v>42</v>
      </c>
    </row>
    <row r="84" spans="1:7">
      <c r="A84" s="5" t="s">
        <v>612</v>
      </c>
      <c r="B84" s="5">
        <v>32</v>
      </c>
      <c r="C84" s="5">
        <v>1</v>
      </c>
      <c r="D84" s="5">
        <v>193</v>
      </c>
      <c r="E84" s="5">
        <v>226</v>
      </c>
    </row>
    <row r="85" spans="1:7">
      <c r="A85" s="5" t="s">
        <v>613</v>
      </c>
      <c r="B85" s="5">
        <v>-21</v>
      </c>
      <c r="C85" s="5">
        <v>-1</v>
      </c>
      <c r="D85" s="5">
        <v>-197</v>
      </c>
      <c r="E85" s="5">
        <v>-219</v>
      </c>
    </row>
    <row r="86" spans="1:7">
      <c r="A86" s="5" t="s">
        <v>614</v>
      </c>
      <c r="B86" s="5">
        <v>0</v>
      </c>
      <c r="C86" s="5">
        <v>0</v>
      </c>
      <c r="D86" s="5">
        <v>4</v>
      </c>
      <c r="E86" s="5">
        <v>4</v>
      </c>
    </row>
    <row r="87" spans="1:7">
      <c r="A87" s="5" t="s">
        <v>618</v>
      </c>
      <c r="B87" s="5">
        <v>34</v>
      </c>
      <c r="C87" s="5">
        <v>4</v>
      </c>
      <c r="D87" s="5">
        <v>15</v>
      </c>
      <c r="E87" s="5">
        <v>53</v>
      </c>
    </row>
    <row r="89" spans="1:7">
      <c r="A89" s="4" t="s">
        <v>619</v>
      </c>
    </row>
    <row r="90" spans="1:7">
      <c r="A90" s="12" t="s">
        <v>620</v>
      </c>
      <c r="B90" s="12" t="s">
        <v>621</v>
      </c>
      <c r="C90" s="12" t="s">
        <v>622</v>
      </c>
      <c r="D90" s="12" t="s">
        <v>623</v>
      </c>
      <c r="E90" s="12" t="s">
        <v>624</v>
      </c>
      <c r="F90" s="12" t="s">
        <v>625</v>
      </c>
      <c r="G90" s="12" t="s">
        <v>626</v>
      </c>
    </row>
    <row r="91" spans="1:7">
      <c r="A91" s="5" t="s">
        <v>627</v>
      </c>
      <c r="B91" s="5">
        <v>48</v>
      </c>
      <c r="C91" s="5" t="s">
        <v>628</v>
      </c>
      <c r="D91" s="5">
        <v>2048</v>
      </c>
      <c r="E91" s="5">
        <v>48</v>
      </c>
      <c r="F91" s="5" t="s">
        <v>628</v>
      </c>
      <c r="G91" s="5">
        <v>1973</v>
      </c>
    </row>
    <row r="92" spans="1:7">
      <c r="A92" s="5" t="s">
        <v>629</v>
      </c>
      <c r="B92" s="5">
        <v>35</v>
      </c>
      <c r="C92" s="5">
        <v>1915</v>
      </c>
      <c r="D92" s="5">
        <v>657</v>
      </c>
      <c r="E92" s="5">
        <v>35</v>
      </c>
      <c r="F92" s="5">
        <v>1849</v>
      </c>
      <c r="G92" s="5">
        <v>590</v>
      </c>
    </row>
    <row r="94" spans="1:7">
      <c r="A94" s="4" t="s">
        <v>630</v>
      </c>
    </row>
    <row r="95" spans="1:7">
      <c r="A95" s="12" t="s">
        <v>606</v>
      </c>
      <c r="B95" s="12" t="s">
        <v>590</v>
      </c>
      <c r="C95" s="12" t="s">
        <v>616</v>
      </c>
    </row>
    <row r="96" spans="1:7">
      <c r="A96" s="5" t="s">
        <v>631</v>
      </c>
      <c r="B96" s="5">
        <v>579</v>
      </c>
      <c r="C96" s="5">
        <v>538</v>
      </c>
    </row>
    <row r="97" spans="1:3">
      <c r="A97" s="5" t="s">
        <v>632</v>
      </c>
      <c r="B97" s="5">
        <v>146</v>
      </c>
      <c r="C97" s="5">
        <v>113</v>
      </c>
    </row>
    <row r="98" spans="1:3">
      <c r="A98" s="5" t="s">
        <v>633</v>
      </c>
      <c r="B98" s="5">
        <v>89</v>
      </c>
      <c r="C98" s="5">
        <v>157</v>
      </c>
    </row>
    <row r="99" spans="1:3">
      <c r="A99" s="5" t="s">
        <v>634</v>
      </c>
      <c r="B99" s="5">
        <v>15</v>
      </c>
      <c r="C99" s="5">
        <v>157</v>
      </c>
    </row>
  </sheetData>
  <phoneticPr fontId="15"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H122"/>
  <sheetViews>
    <sheetView showGridLines="0" zoomScale="85" workbookViewId="0">
      <pane ySplit="3" topLeftCell="A4" activePane="bottomLeft" state="frozen"/>
      <selection pane="bottomLeft"/>
    </sheetView>
  </sheetViews>
  <sheetFormatPr baseColWidth="10" defaultColWidth="8.83203125" defaultRowHeight="14"/>
  <cols>
    <col min="1" max="2" width="16" customWidth="1"/>
    <col min="3" max="3" width="52" customWidth="1"/>
    <col min="4" max="4" width="150" customWidth="1"/>
    <col min="5" max="5" width="8" customWidth="1"/>
  </cols>
  <sheetData>
    <row r="1" spans="1:8" ht="28" customHeight="1">
      <c r="A1" s="1" t="s">
        <v>635</v>
      </c>
      <c r="B1" s="2"/>
      <c r="C1" s="2"/>
      <c r="D1" s="2"/>
      <c r="E1" s="2"/>
      <c r="F1" s="2"/>
      <c r="G1" s="2"/>
      <c r="H1" s="2"/>
    </row>
    <row r="2" spans="1:8" ht="16" customHeight="1">
      <c r="A2" s="3" t="s">
        <v>1</v>
      </c>
    </row>
    <row r="4" spans="1:8">
      <c r="A4" s="4" t="s">
        <v>636</v>
      </c>
    </row>
    <row r="5" spans="1:8">
      <c r="A5" s="4" t="s">
        <v>637</v>
      </c>
    </row>
    <row r="7" spans="1:8">
      <c r="A7" s="12" t="s">
        <v>638</v>
      </c>
      <c r="B7" s="12" t="s">
        <v>639</v>
      </c>
      <c r="C7" s="12" t="s">
        <v>640</v>
      </c>
      <c r="D7" s="12" t="s">
        <v>641</v>
      </c>
      <c r="E7" s="12" t="s">
        <v>606</v>
      </c>
    </row>
    <row r="8" spans="1:8">
      <c r="A8" s="5" t="s">
        <v>73</v>
      </c>
      <c r="B8" s="5">
        <v>2017</v>
      </c>
      <c r="C8" s="5" t="s">
        <v>642</v>
      </c>
      <c r="D8" s="5" t="s">
        <v>643</v>
      </c>
      <c r="E8" s="5">
        <v>836</v>
      </c>
    </row>
    <row r="9" spans="1:8">
      <c r="A9" s="5" t="s">
        <v>73</v>
      </c>
      <c r="B9" s="5">
        <v>2017</v>
      </c>
      <c r="C9" s="5" t="s">
        <v>644</v>
      </c>
      <c r="D9" s="5" t="s">
        <v>645</v>
      </c>
      <c r="E9" s="5">
        <v>845</v>
      </c>
    </row>
    <row r="10" spans="1:8">
      <c r="A10" s="5" t="s">
        <v>73</v>
      </c>
      <c r="B10" s="5">
        <v>2017</v>
      </c>
      <c r="C10" s="5" t="s">
        <v>646</v>
      </c>
      <c r="D10" s="5" t="s">
        <v>647</v>
      </c>
      <c r="E10" s="5">
        <v>848</v>
      </c>
    </row>
    <row r="11" spans="1:8">
      <c r="A11" s="5" t="s">
        <v>73</v>
      </c>
      <c r="B11" s="5">
        <v>2017</v>
      </c>
      <c r="C11" s="5" t="s">
        <v>648</v>
      </c>
      <c r="D11" s="5" t="s">
        <v>649</v>
      </c>
      <c r="E11" s="5">
        <v>854</v>
      </c>
    </row>
    <row r="12" spans="1:8">
      <c r="A12" s="5" t="s">
        <v>73</v>
      </c>
      <c r="B12" s="5">
        <v>2017</v>
      </c>
      <c r="C12" s="5" t="s">
        <v>650</v>
      </c>
      <c r="D12" s="5" t="s">
        <v>651</v>
      </c>
      <c r="E12" s="5">
        <v>857</v>
      </c>
    </row>
    <row r="13" spans="1:8">
      <c r="A13" s="5" t="s">
        <v>74</v>
      </c>
      <c r="B13" s="5">
        <v>2018</v>
      </c>
      <c r="C13" s="5" t="s">
        <v>642</v>
      </c>
      <c r="D13" s="5" t="s">
        <v>652</v>
      </c>
      <c r="E13" s="5">
        <v>842</v>
      </c>
    </row>
    <row r="14" spans="1:8">
      <c r="A14" s="5" t="s">
        <v>74</v>
      </c>
      <c r="B14" s="5">
        <v>2018</v>
      </c>
      <c r="C14" s="5" t="s">
        <v>644</v>
      </c>
      <c r="D14" s="5" t="s">
        <v>653</v>
      </c>
      <c r="E14" s="5">
        <v>854</v>
      </c>
    </row>
    <row r="15" spans="1:8">
      <c r="A15" s="5" t="s">
        <v>74</v>
      </c>
      <c r="B15" s="5">
        <v>2018</v>
      </c>
      <c r="C15" s="5" t="s">
        <v>646</v>
      </c>
      <c r="D15" s="5" t="s">
        <v>654</v>
      </c>
      <c r="E15" s="5">
        <v>857</v>
      </c>
    </row>
    <row r="16" spans="1:8">
      <c r="A16" s="5" t="s">
        <v>74</v>
      </c>
      <c r="B16" s="5">
        <v>2018</v>
      </c>
      <c r="C16" s="5" t="s">
        <v>648</v>
      </c>
      <c r="D16" s="5" t="s">
        <v>655</v>
      </c>
      <c r="E16" s="5">
        <v>863</v>
      </c>
    </row>
    <row r="17" spans="1:5">
      <c r="A17" s="5" t="s">
        <v>74</v>
      </c>
      <c r="B17" s="5">
        <v>2018</v>
      </c>
      <c r="C17" s="5" t="s">
        <v>650</v>
      </c>
      <c r="D17" s="5" t="s">
        <v>656</v>
      </c>
      <c r="E17" s="5">
        <v>866</v>
      </c>
    </row>
    <row r="18" spans="1:5">
      <c r="A18" s="5" t="s">
        <v>75</v>
      </c>
      <c r="B18" s="5">
        <v>2019</v>
      </c>
      <c r="C18" s="5" t="s">
        <v>642</v>
      </c>
      <c r="D18" s="5" t="s">
        <v>657</v>
      </c>
      <c r="E18" s="5">
        <v>796</v>
      </c>
    </row>
    <row r="19" spans="1:5">
      <c r="A19" s="5" t="s">
        <v>75</v>
      </c>
      <c r="B19" s="5">
        <v>2019</v>
      </c>
      <c r="C19" s="5" t="s">
        <v>644</v>
      </c>
      <c r="D19" s="5" t="s">
        <v>658</v>
      </c>
      <c r="E19" s="5">
        <v>805</v>
      </c>
    </row>
    <row r="20" spans="1:5">
      <c r="A20" s="5" t="s">
        <v>75</v>
      </c>
      <c r="B20" s="5">
        <v>2019</v>
      </c>
      <c r="C20" s="5" t="s">
        <v>646</v>
      </c>
      <c r="D20" s="5" t="s">
        <v>659</v>
      </c>
      <c r="E20" s="5">
        <v>810</v>
      </c>
    </row>
    <row r="21" spans="1:5">
      <c r="A21" s="5" t="s">
        <v>75</v>
      </c>
      <c r="B21" s="5">
        <v>2019</v>
      </c>
      <c r="C21" s="5" t="s">
        <v>648</v>
      </c>
      <c r="D21" s="5" t="s">
        <v>660</v>
      </c>
      <c r="E21" s="5">
        <v>816</v>
      </c>
    </row>
    <row r="22" spans="1:5">
      <c r="A22" s="5" t="s">
        <v>75</v>
      </c>
      <c r="B22" s="5">
        <v>2019</v>
      </c>
      <c r="C22" s="5" t="s">
        <v>650</v>
      </c>
      <c r="D22" s="5" t="s">
        <v>661</v>
      </c>
      <c r="E22" s="5">
        <v>819</v>
      </c>
    </row>
    <row r="23" spans="1:5">
      <c r="A23" s="5" t="s">
        <v>76</v>
      </c>
      <c r="B23" s="5">
        <v>2020</v>
      </c>
      <c r="C23" s="5" t="s">
        <v>642</v>
      </c>
      <c r="D23" s="5" t="s">
        <v>662</v>
      </c>
      <c r="E23" s="5">
        <v>359</v>
      </c>
    </row>
    <row r="24" spans="1:5">
      <c r="A24" s="5" t="s">
        <v>76</v>
      </c>
      <c r="B24" s="5">
        <v>2020</v>
      </c>
      <c r="C24" s="5" t="s">
        <v>644</v>
      </c>
      <c r="D24" s="5" t="s">
        <v>663</v>
      </c>
      <c r="E24" s="5">
        <v>362</v>
      </c>
    </row>
    <row r="25" spans="1:5">
      <c r="A25" s="5" t="s">
        <v>76</v>
      </c>
      <c r="B25" s="5">
        <v>2020</v>
      </c>
      <c r="C25" s="5" t="s">
        <v>646</v>
      </c>
      <c r="D25" s="5" t="s">
        <v>664</v>
      </c>
      <c r="E25" s="5">
        <v>365</v>
      </c>
    </row>
    <row r="26" spans="1:5">
      <c r="A26" s="5" t="s">
        <v>76</v>
      </c>
      <c r="B26" s="5">
        <v>2020</v>
      </c>
      <c r="C26" s="5" t="s">
        <v>648</v>
      </c>
      <c r="D26" s="5" t="s">
        <v>665</v>
      </c>
      <c r="E26" s="5">
        <v>371</v>
      </c>
    </row>
    <row r="27" spans="1:5">
      <c r="A27" s="5" t="s">
        <v>76</v>
      </c>
      <c r="B27" s="5">
        <v>2020</v>
      </c>
      <c r="C27" s="5" t="s">
        <v>650</v>
      </c>
      <c r="D27" s="5" t="s">
        <v>666</v>
      </c>
      <c r="E27" s="5">
        <v>374</v>
      </c>
    </row>
    <row r="28" spans="1:5">
      <c r="A28" s="5" t="s">
        <v>77</v>
      </c>
      <c r="B28" s="5">
        <v>2021</v>
      </c>
      <c r="C28" s="5" t="s">
        <v>642</v>
      </c>
      <c r="D28" s="5" t="s">
        <v>667</v>
      </c>
      <c r="E28" s="5">
        <v>378</v>
      </c>
    </row>
    <row r="29" spans="1:5">
      <c r="A29" s="5" t="s">
        <v>77</v>
      </c>
      <c r="B29" s="5">
        <v>2021</v>
      </c>
      <c r="C29" s="5" t="s">
        <v>668</v>
      </c>
      <c r="D29" s="5" t="s">
        <v>669</v>
      </c>
      <c r="E29" s="5">
        <v>380</v>
      </c>
    </row>
    <row r="30" spans="1:5">
      <c r="A30" s="5" t="s">
        <v>77</v>
      </c>
      <c r="B30" s="5">
        <v>2021</v>
      </c>
      <c r="C30" s="5" t="s">
        <v>644</v>
      </c>
      <c r="D30" s="5" t="s">
        <v>670</v>
      </c>
      <c r="E30" s="5">
        <v>382</v>
      </c>
    </row>
    <row r="31" spans="1:5">
      <c r="A31" s="5" t="s">
        <v>77</v>
      </c>
      <c r="B31" s="5">
        <v>2021</v>
      </c>
      <c r="C31" s="5" t="s">
        <v>646</v>
      </c>
      <c r="D31" s="5" t="s">
        <v>671</v>
      </c>
      <c r="E31" s="5">
        <v>384</v>
      </c>
    </row>
    <row r="32" spans="1:5">
      <c r="A32" s="5" t="s">
        <v>77</v>
      </c>
      <c r="B32" s="5">
        <v>2021</v>
      </c>
      <c r="C32" s="5" t="s">
        <v>648</v>
      </c>
      <c r="D32" s="5" t="s">
        <v>672</v>
      </c>
      <c r="E32" s="5">
        <v>386</v>
      </c>
    </row>
    <row r="33" spans="1:5">
      <c r="A33" s="5" t="s">
        <v>77</v>
      </c>
      <c r="B33" s="5">
        <v>2021</v>
      </c>
      <c r="C33" s="5" t="s">
        <v>650</v>
      </c>
      <c r="D33" s="5" t="s">
        <v>673</v>
      </c>
      <c r="E33" s="5">
        <v>388</v>
      </c>
    </row>
    <row r="34" spans="1:5">
      <c r="A34" s="5" t="s">
        <v>77</v>
      </c>
      <c r="B34" s="5">
        <v>2021</v>
      </c>
      <c r="C34" s="5" t="s">
        <v>674</v>
      </c>
      <c r="D34" s="5" t="s">
        <v>675</v>
      </c>
      <c r="E34" s="5">
        <v>392</v>
      </c>
    </row>
    <row r="35" spans="1:5">
      <c r="A35" s="5" t="s">
        <v>78</v>
      </c>
      <c r="B35" s="5">
        <v>2022</v>
      </c>
      <c r="C35" s="5" t="s">
        <v>642</v>
      </c>
      <c r="D35" s="5" t="s">
        <v>676</v>
      </c>
      <c r="E35" s="5">
        <v>379</v>
      </c>
    </row>
    <row r="36" spans="1:5">
      <c r="A36" s="5" t="s">
        <v>78</v>
      </c>
      <c r="B36" s="5">
        <v>2022</v>
      </c>
      <c r="C36" s="5" t="s">
        <v>644</v>
      </c>
      <c r="D36" s="5" t="s">
        <v>677</v>
      </c>
      <c r="E36" s="5">
        <v>381</v>
      </c>
    </row>
    <row r="37" spans="1:5">
      <c r="A37" s="5" t="s">
        <v>78</v>
      </c>
      <c r="B37" s="5">
        <v>2022</v>
      </c>
      <c r="C37" s="5" t="s">
        <v>668</v>
      </c>
      <c r="D37" s="5" t="s">
        <v>669</v>
      </c>
      <c r="E37" s="5">
        <v>383</v>
      </c>
    </row>
    <row r="38" spans="1:5">
      <c r="A38" s="5" t="s">
        <v>78</v>
      </c>
      <c r="B38" s="5">
        <v>2022</v>
      </c>
      <c r="C38" s="5" t="s">
        <v>646</v>
      </c>
      <c r="D38" s="5" t="s">
        <v>678</v>
      </c>
      <c r="E38" s="5">
        <v>385</v>
      </c>
    </row>
    <row r="39" spans="1:5">
      <c r="A39" s="5" t="s">
        <v>78</v>
      </c>
      <c r="B39" s="5">
        <v>2022</v>
      </c>
      <c r="C39" s="5" t="s">
        <v>648</v>
      </c>
      <c r="D39" s="5" t="s">
        <v>679</v>
      </c>
      <c r="E39" s="5">
        <v>387</v>
      </c>
    </row>
    <row r="40" spans="1:5">
      <c r="A40" s="5" t="s">
        <v>78</v>
      </c>
      <c r="B40" s="5">
        <v>2022</v>
      </c>
      <c r="C40" s="5" t="s">
        <v>650</v>
      </c>
      <c r="D40" s="5" t="s">
        <v>680</v>
      </c>
      <c r="E40" s="5">
        <v>389</v>
      </c>
    </row>
    <row r="41" spans="1:5">
      <c r="A41" s="5" t="s">
        <v>78</v>
      </c>
      <c r="B41" s="5">
        <v>2022</v>
      </c>
      <c r="C41" s="5" t="s">
        <v>674</v>
      </c>
      <c r="D41" s="5" t="s">
        <v>675</v>
      </c>
      <c r="E41" s="5">
        <v>391</v>
      </c>
    </row>
    <row r="42" spans="1:5">
      <c r="A42" s="5" t="s">
        <v>79</v>
      </c>
      <c r="B42" s="5">
        <v>2023</v>
      </c>
      <c r="C42" s="5" t="s">
        <v>642</v>
      </c>
      <c r="D42" s="5" t="s">
        <v>681</v>
      </c>
      <c r="E42" s="5">
        <v>383</v>
      </c>
    </row>
    <row r="43" spans="1:5">
      <c r="A43" s="5" t="s">
        <v>79</v>
      </c>
      <c r="B43" s="5">
        <v>2023</v>
      </c>
      <c r="C43" s="5" t="s">
        <v>644</v>
      </c>
      <c r="D43" s="5" t="s">
        <v>682</v>
      </c>
      <c r="E43" s="5">
        <v>385</v>
      </c>
    </row>
    <row r="44" spans="1:5">
      <c r="A44" s="5" t="s">
        <v>79</v>
      </c>
      <c r="B44" s="5">
        <v>2023</v>
      </c>
      <c r="C44" s="5" t="s">
        <v>668</v>
      </c>
      <c r="D44" s="5" t="s">
        <v>683</v>
      </c>
      <c r="E44" s="5">
        <v>387</v>
      </c>
    </row>
    <row r="45" spans="1:5">
      <c r="A45" s="5" t="s">
        <v>79</v>
      </c>
      <c r="B45" s="5">
        <v>2023</v>
      </c>
      <c r="C45" s="5" t="s">
        <v>646</v>
      </c>
      <c r="D45" s="5" t="s">
        <v>684</v>
      </c>
      <c r="E45" s="5">
        <v>389</v>
      </c>
    </row>
    <row r="46" spans="1:5">
      <c r="A46" s="5" t="s">
        <v>79</v>
      </c>
      <c r="B46" s="5">
        <v>2023</v>
      </c>
      <c r="C46" s="5" t="s">
        <v>648</v>
      </c>
      <c r="D46" s="5" t="s">
        <v>685</v>
      </c>
      <c r="E46" s="5">
        <v>391</v>
      </c>
    </row>
    <row r="47" spans="1:5">
      <c r="A47" s="5" t="s">
        <v>79</v>
      </c>
      <c r="B47" s="5">
        <v>2023</v>
      </c>
      <c r="C47" s="5" t="s">
        <v>650</v>
      </c>
      <c r="D47" s="5" t="s">
        <v>686</v>
      </c>
      <c r="E47" s="5">
        <v>393</v>
      </c>
    </row>
    <row r="48" spans="1:5">
      <c r="A48" s="5" t="s">
        <v>79</v>
      </c>
      <c r="B48" s="5">
        <v>2023</v>
      </c>
      <c r="C48" s="5" t="s">
        <v>674</v>
      </c>
      <c r="D48" s="5" t="s">
        <v>675</v>
      </c>
      <c r="E48" s="5">
        <v>395</v>
      </c>
    </row>
    <row r="49" spans="1:5">
      <c r="A49" s="5" t="s">
        <v>80</v>
      </c>
      <c r="B49" s="5">
        <v>2024</v>
      </c>
      <c r="C49" s="5" t="s">
        <v>642</v>
      </c>
      <c r="D49" s="5" t="s">
        <v>687</v>
      </c>
      <c r="E49" s="5">
        <v>399</v>
      </c>
    </row>
    <row r="50" spans="1:5">
      <c r="A50" s="5" t="s">
        <v>80</v>
      </c>
      <c r="B50" s="5">
        <v>2024</v>
      </c>
      <c r="C50" s="5" t="s">
        <v>644</v>
      </c>
      <c r="D50" s="5" t="s">
        <v>688</v>
      </c>
      <c r="E50" s="5">
        <v>401</v>
      </c>
    </row>
    <row r="51" spans="1:5">
      <c r="A51" s="5" t="s">
        <v>80</v>
      </c>
      <c r="B51" s="5">
        <v>2024</v>
      </c>
      <c r="C51" s="5" t="s">
        <v>668</v>
      </c>
      <c r="D51" s="5" t="s">
        <v>689</v>
      </c>
      <c r="E51" s="5">
        <v>403</v>
      </c>
    </row>
    <row r="52" spans="1:5">
      <c r="A52" s="5" t="s">
        <v>80</v>
      </c>
      <c r="B52" s="5">
        <v>2024</v>
      </c>
      <c r="C52" s="5" t="s">
        <v>646</v>
      </c>
      <c r="D52" s="5" t="s">
        <v>690</v>
      </c>
      <c r="E52" s="5">
        <v>405</v>
      </c>
    </row>
    <row r="53" spans="1:5">
      <c r="A53" s="5" t="s">
        <v>80</v>
      </c>
      <c r="B53" s="5">
        <v>2024</v>
      </c>
      <c r="C53" s="5" t="s">
        <v>648</v>
      </c>
      <c r="D53" s="5" t="s">
        <v>691</v>
      </c>
      <c r="E53" s="5">
        <v>407</v>
      </c>
    </row>
    <row r="54" spans="1:5">
      <c r="A54" s="5" t="s">
        <v>80</v>
      </c>
      <c r="B54" s="5">
        <v>2024</v>
      </c>
      <c r="C54" s="5" t="s">
        <v>650</v>
      </c>
      <c r="D54" s="5" t="s">
        <v>692</v>
      </c>
      <c r="E54" s="5">
        <v>409</v>
      </c>
    </row>
    <row r="55" spans="1:5">
      <c r="A55" s="5" t="s">
        <v>80</v>
      </c>
      <c r="B55" s="5">
        <v>2024</v>
      </c>
      <c r="C55" s="5" t="s">
        <v>674</v>
      </c>
      <c r="D55" s="5" t="s">
        <v>693</v>
      </c>
      <c r="E55" s="5">
        <v>411</v>
      </c>
    </row>
    <row r="56" spans="1:5">
      <c r="A56" s="5" t="s">
        <v>81</v>
      </c>
      <c r="B56" s="5">
        <v>2025</v>
      </c>
      <c r="C56" s="5" t="s">
        <v>642</v>
      </c>
      <c r="D56" s="5" t="s">
        <v>694</v>
      </c>
      <c r="E56" s="5">
        <v>374</v>
      </c>
    </row>
    <row r="57" spans="1:5">
      <c r="A57" s="5" t="s">
        <v>81</v>
      </c>
      <c r="B57" s="5">
        <v>2025</v>
      </c>
      <c r="C57" s="5" t="s">
        <v>644</v>
      </c>
      <c r="D57" s="5" t="s">
        <v>695</v>
      </c>
      <c r="E57" s="5">
        <v>376</v>
      </c>
    </row>
    <row r="58" spans="1:5">
      <c r="A58" s="5" t="s">
        <v>81</v>
      </c>
      <c r="B58" s="5">
        <v>2025</v>
      </c>
      <c r="C58" s="5" t="s">
        <v>668</v>
      </c>
      <c r="D58" s="5" t="s">
        <v>696</v>
      </c>
      <c r="E58" s="5">
        <v>378</v>
      </c>
    </row>
    <row r="59" spans="1:5">
      <c r="A59" s="5" t="s">
        <v>81</v>
      </c>
      <c r="B59" s="5">
        <v>2025</v>
      </c>
      <c r="C59" s="5" t="s">
        <v>646</v>
      </c>
      <c r="D59" s="5" t="s">
        <v>697</v>
      </c>
      <c r="E59" s="5">
        <v>380</v>
      </c>
    </row>
    <row r="60" spans="1:5">
      <c r="A60" s="5" t="s">
        <v>81</v>
      </c>
      <c r="B60" s="5">
        <v>2025</v>
      </c>
      <c r="C60" s="5" t="s">
        <v>648</v>
      </c>
      <c r="D60" s="5" t="s">
        <v>698</v>
      </c>
      <c r="E60" s="5">
        <v>382</v>
      </c>
    </row>
    <row r="61" spans="1:5">
      <c r="A61" s="5" t="s">
        <v>81</v>
      </c>
      <c r="B61" s="5">
        <v>2025</v>
      </c>
      <c r="C61" s="5" t="s">
        <v>650</v>
      </c>
      <c r="D61" s="5" t="s">
        <v>699</v>
      </c>
      <c r="E61" s="5">
        <v>384</v>
      </c>
    </row>
    <row r="62" spans="1:5">
      <c r="A62" s="5" t="s">
        <v>81</v>
      </c>
      <c r="B62" s="5">
        <v>2025</v>
      </c>
      <c r="C62" s="5" t="s">
        <v>674</v>
      </c>
      <c r="D62" s="5" t="s">
        <v>700</v>
      </c>
      <c r="E62" s="5">
        <v>386</v>
      </c>
    </row>
    <row r="63" spans="1:5">
      <c r="A63" s="5" t="s">
        <v>82</v>
      </c>
      <c r="B63" s="5">
        <v>2026</v>
      </c>
      <c r="C63" s="5" t="s">
        <v>642</v>
      </c>
      <c r="D63" s="5" t="s">
        <v>701</v>
      </c>
      <c r="E63" s="5">
        <v>366</v>
      </c>
    </row>
    <row r="64" spans="1:5">
      <c r="A64" s="5" t="s">
        <v>82</v>
      </c>
      <c r="B64" s="5">
        <v>2026</v>
      </c>
      <c r="C64" s="5" t="s">
        <v>644</v>
      </c>
      <c r="D64" s="5" t="s">
        <v>702</v>
      </c>
      <c r="E64" s="5">
        <v>368</v>
      </c>
    </row>
    <row r="65" spans="1:5">
      <c r="A65" s="5" t="s">
        <v>82</v>
      </c>
      <c r="B65" s="5">
        <v>2026</v>
      </c>
      <c r="C65" s="5" t="s">
        <v>668</v>
      </c>
      <c r="D65" s="5" t="s">
        <v>703</v>
      </c>
      <c r="E65" s="5">
        <v>370</v>
      </c>
    </row>
    <row r="66" spans="1:5">
      <c r="A66" s="5" t="s">
        <v>82</v>
      </c>
      <c r="B66" s="5">
        <v>2026</v>
      </c>
      <c r="C66" s="5" t="s">
        <v>646</v>
      </c>
      <c r="D66" s="5" t="s">
        <v>704</v>
      </c>
      <c r="E66" s="5">
        <v>372</v>
      </c>
    </row>
    <row r="67" spans="1:5">
      <c r="A67" s="5" t="s">
        <v>82</v>
      </c>
      <c r="B67" s="5">
        <v>2026</v>
      </c>
      <c r="C67" s="5" t="s">
        <v>648</v>
      </c>
      <c r="D67" s="5" t="s">
        <v>705</v>
      </c>
      <c r="E67" s="5">
        <v>374</v>
      </c>
    </row>
    <row r="68" spans="1:5">
      <c r="A68" s="5" t="s">
        <v>82</v>
      </c>
      <c r="B68" s="5">
        <v>2026</v>
      </c>
      <c r="C68" s="5" t="s">
        <v>650</v>
      </c>
      <c r="D68" s="5" t="s">
        <v>706</v>
      </c>
      <c r="E68" s="5">
        <v>376</v>
      </c>
    </row>
    <row r="69" spans="1:5">
      <c r="A69" s="5" t="s">
        <v>82</v>
      </c>
      <c r="B69" s="5">
        <v>2026</v>
      </c>
      <c r="C69" s="5" t="s">
        <v>674</v>
      </c>
      <c r="D69" s="5" t="s">
        <v>707</v>
      </c>
      <c r="E69" s="5">
        <v>378</v>
      </c>
    </row>
    <row r="71" spans="1:5">
      <c r="A71" s="4" t="s">
        <v>708</v>
      </c>
    </row>
    <row r="72" spans="1:5">
      <c r="A72" s="12" t="s">
        <v>638</v>
      </c>
      <c r="B72" s="12" t="s">
        <v>709</v>
      </c>
      <c r="C72" s="12"/>
      <c r="D72" s="12" t="s">
        <v>641</v>
      </c>
      <c r="E72" s="12" t="s">
        <v>606</v>
      </c>
    </row>
    <row r="73" spans="1:5">
      <c r="A73" s="5" t="s">
        <v>78</v>
      </c>
      <c r="B73" s="5" t="s">
        <v>710</v>
      </c>
      <c r="C73" s="5"/>
      <c r="D73" s="5" t="s">
        <v>711</v>
      </c>
      <c r="E73" s="5">
        <v>321</v>
      </c>
    </row>
    <row r="74" spans="1:5">
      <c r="A74" s="5" t="s">
        <v>78</v>
      </c>
      <c r="B74" s="5" t="s">
        <v>712</v>
      </c>
      <c r="C74" s="5"/>
      <c r="D74" s="5" t="s">
        <v>713</v>
      </c>
      <c r="E74" s="5">
        <v>343</v>
      </c>
    </row>
    <row r="75" spans="1:5">
      <c r="A75" s="5" t="s">
        <v>78</v>
      </c>
      <c r="B75" s="5" t="s">
        <v>712</v>
      </c>
      <c r="C75" s="5"/>
      <c r="D75" s="5" t="s">
        <v>714</v>
      </c>
      <c r="E75" s="5">
        <v>347</v>
      </c>
    </row>
    <row r="76" spans="1:5">
      <c r="A76" s="5" t="s">
        <v>78</v>
      </c>
      <c r="B76" s="5" t="s">
        <v>710</v>
      </c>
      <c r="C76" s="5"/>
      <c r="D76" s="5" t="s">
        <v>715</v>
      </c>
      <c r="E76" s="5">
        <v>365</v>
      </c>
    </row>
    <row r="77" spans="1:5">
      <c r="A77" s="5" t="s">
        <v>78</v>
      </c>
      <c r="B77" s="5" t="s">
        <v>710</v>
      </c>
      <c r="C77" s="5"/>
      <c r="D77" s="5" t="s">
        <v>716</v>
      </c>
      <c r="E77" s="5">
        <v>365</v>
      </c>
    </row>
    <row r="78" spans="1:5">
      <c r="A78" s="5" t="s">
        <v>78</v>
      </c>
      <c r="B78" s="5" t="s">
        <v>717</v>
      </c>
      <c r="C78" s="5"/>
      <c r="D78" s="5" t="s">
        <v>718</v>
      </c>
      <c r="E78" s="5">
        <v>367</v>
      </c>
    </row>
    <row r="79" spans="1:5">
      <c r="A79" s="5" t="s">
        <v>78</v>
      </c>
      <c r="B79" s="5" t="s">
        <v>719</v>
      </c>
      <c r="C79" s="5"/>
      <c r="D79" s="5" t="s">
        <v>720</v>
      </c>
      <c r="E79" s="5">
        <v>369</v>
      </c>
    </row>
    <row r="80" spans="1:5">
      <c r="A80" s="5" t="s">
        <v>78</v>
      </c>
      <c r="B80" s="5" t="s">
        <v>712</v>
      </c>
      <c r="C80" s="5"/>
      <c r="D80" s="5" t="s">
        <v>721</v>
      </c>
      <c r="E80" s="5">
        <v>389</v>
      </c>
    </row>
    <row r="81" spans="1:5">
      <c r="A81" s="5" t="s">
        <v>79</v>
      </c>
      <c r="B81" s="5" t="s">
        <v>712</v>
      </c>
      <c r="C81" s="5"/>
      <c r="D81" s="5" t="s">
        <v>722</v>
      </c>
      <c r="E81" s="5">
        <v>333</v>
      </c>
    </row>
    <row r="82" spans="1:5">
      <c r="A82" s="5" t="s">
        <v>79</v>
      </c>
      <c r="B82" s="5" t="s">
        <v>712</v>
      </c>
      <c r="C82" s="5"/>
      <c r="D82" s="5" t="s">
        <v>723</v>
      </c>
      <c r="E82" s="5">
        <v>337</v>
      </c>
    </row>
    <row r="83" spans="1:5">
      <c r="A83" s="5" t="s">
        <v>79</v>
      </c>
      <c r="B83" s="5" t="s">
        <v>710</v>
      </c>
      <c r="C83" s="5"/>
      <c r="D83" s="5" t="s">
        <v>724</v>
      </c>
      <c r="E83" s="5">
        <v>355</v>
      </c>
    </row>
    <row r="84" spans="1:5">
      <c r="A84" s="5" t="s">
        <v>79</v>
      </c>
      <c r="B84" s="5" t="s">
        <v>710</v>
      </c>
      <c r="C84" s="5"/>
      <c r="D84" s="5" t="s">
        <v>725</v>
      </c>
      <c r="E84" s="5">
        <v>355</v>
      </c>
    </row>
    <row r="85" spans="1:5">
      <c r="A85" s="5" t="s">
        <v>79</v>
      </c>
      <c r="B85" s="5" t="s">
        <v>719</v>
      </c>
      <c r="C85" s="5"/>
      <c r="D85" s="5" t="s">
        <v>726</v>
      </c>
      <c r="E85" s="5">
        <v>359</v>
      </c>
    </row>
    <row r="86" spans="1:5">
      <c r="A86" s="5" t="s">
        <v>79</v>
      </c>
      <c r="B86" s="5" t="s">
        <v>712</v>
      </c>
      <c r="C86" s="5"/>
      <c r="D86" s="5" t="s">
        <v>727</v>
      </c>
      <c r="E86" s="5">
        <v>393</v>
      </c>
    </row>
    <row r="87" spans="1:5">
      <c r="A87" s="5" t="s">
        <v>80</v>
      </c>
      <c r="B87" s="5" t="s">
        <v>710</v>
      </c>
      <c r="C87" s="5"/>
      <c r="D87" s="5" t="s">
        <v>728</v>
      </c>
      <c r="E87" s="5">
        <v>301</v>
      </c>
    </row>
    <row r="88" spans="1:5">
      <c r="A88" s="5" t="s">
        <v>80</v>
      </c>
      <c r="B88" s="5" t="s">
        <v>712</v>
      </c>
      <c r="C88" s="5"/>
      <c r="D88" s="5" t="s">
        <v>729</v>
      </c>
      <c r="E88" s="5">
        <v>339</v>
      </c>
    </row>
    <row r="89" spans="1:5">
      <c r="A89" s="5" t="s">
        <v>80</v>
      </c>
      <c r="B89" s="5" t="s">
        <v>712</v>
      </c>
      <c r="C89" s="5"/>
      <c r="D89" s="5" t="s">
        <v>730</v>
      </c>
      <c r="E89" s="5">
        <v>343</v>
      </c>
    </row>
    <row r="90" spans="1:5">
      <c r="A90" s="5" t="s">
        <v>80</v>
      </c>
      <c r="B90" s="5" t="s">
        <v>710</v>
      </c>
      <c r="C90" s="5"/>
      <c r="D90" s="5" t="s">
        <v>731</v>
      </c>
      <c r="E90" s="5">
        <v>361</v>
      </c>
    </row>
    <row r="91" spans="1:5">
      <c r="A91" s="5" t="s">
        <v>80</v>
      </c>
      <c r="B91" s="5" t="s">
        <v>710</v>
      </c>
      <c r="C91" s="5"/>
      <c r="D91" s="5" t="s">
        <v>732</v>
      </c>
      <c r="E91" s="5">
        <v>361</v>
      </c>
    </row>
    <row r="92" spans="1:5">
      <c r="A92" s="5" t="s">
        <v>80</v>
      </c>
      <c r="B92" s="5" t="s">
        <v>710</v>
      </c>
      <c r="C92" s="5"/>
      <c r="D92" s="5" t="s">
        <v>733</v>
      </c>
      <c r="E92" s="5">
        <v>361</v>
      </c>
    </row>
    <row r="93" spans="1:5">
      <c r="A93" s="5" t="s">
        <v>80</v>
      </c>
      <c r="B93" s="5" t="s">
        <v>719</v>
      </c>
      <c r="C93" s="5"/>
      <c r="D93" s="5" t="s">
        <v>734</v>
      </c>
      <c r="E93" s="5">
        <v>369</v>
      </c>
    </row>
    <row r="94" spans="1:5">
      <c r="A94" s="5" t="s">
        <v>80</v>
      </c>
      <c r="B94" s="5" t="s">
        <v>712</v>
      </c>
      <c r="C94" s="5"/>
      <c r="D94" s="5" t="s">
        <v>735</v>
      </c>
      <c r="E94" s="5">
        <v>371</v>
      </c>
    </row>
    <row r="95" spans="1:5">
      <c r="A95" s="5" t="s">
        <v>80</v>
      </c>
      <c r="B95" s="5" t="s">
        <v>712</v>
      </c>
      <c r="C95" s="5"/>
      <c r="D95" s="5" t="s">
        <v>736</v>
      </c>
      <c r="E95" s="5">
        <v>371</v>
      </c>
    </row>
    <row r="96" spans="1:5">
      <c r="A96" s="5" t="s">
        <v>80</v>
      </c>
      <c r="B96" s="5" t="s">
        <v>712</v>
      </c>
      <c r="C96" s="5"/>
      <c r="D96" s="5" t="s">
        <v>737</v>
      </c>
      <c r="E96" s="5">
        <v>409</v>
      </c>
    </row>
    <row r="97" spans="1:5">
      <c r="A97" s="5" t="s">
        <v>80</v>
      </c>
      <c r="B97" s="5" t="s">
        <v>712</v>
      </c>
      <c r="C97" s="5"/>
      <c r="D97" s="5" t="s">
        <v>738</v>
      </c>
      <c r="E97" s="5">
        <v>423</v>
      </c>
    </row>
    <row r="98" spans="1:5">
      <c r="A98" s="5" t="s">
        <v>81</v>
      </c>
      <c r="B98" s="5" t="s">
        <v>710</v>
      </c>
      <c r="C98" s="5"/>
      <c r="D98" s="5" t="s">
        <v>739</v>
      </c>
      <c r="E98" s="5">
        <v>280</v>
      </c>
    </row>
    <row r="99" spans="1:5">
      <c r="A99" s="5" t="s">
        <v>81</v>
      </c>
      <c r="B99" s="5" t="s">
        <v>712</v>
      </c>
      <c r="C99" s="5"/>
      <c r="D99" s="5" t="s">
        <v>740</v>
      </c>
      <c r="E99" s="5">
        <v>316</v>
      </c>
    </row>
    <row r="100" spans="1:5">
      <c r="A100" s="5" t="s">
        <v>81</v>
      </c>
      <c r="B100" s="5" t="s">
        <v>712</v>
      </c>
      <c r="C100" s="5"/>
      <c r="D100" s="5" t="s">
        <v>741</v>
      </c>
      <c r="E100" s="5">
        <v>320</v>
      </c>
    </row>
    <row r="101" spans="1:5">
      <c r="A101" s="5" t="s">
        <v>81</v>
      </c>
      <c r="B101" s="5" t="s">
        <v>710</v>
      </c>
      <c r="C101" s="5"/>
      <c r="D101" s="5" t="s">
        <v>742</v>
      </c>
      <c r="E101" s="5">
        <v>340</v>
      </c>
    </row>
    <row r="102" spans="1:5">
      <c r="A102" s="5" t="s">
        <v>81</v>
      </c>
      <c r="B102" s="5" t="s">
        <v>710</v>
      </c>
      <c r="C102" s="5"/>
      <c r="D102" s="5" t="s">
        <v>743</v>
      </c>
      <c r="E102" s="5">
        <v>340</v>
      </c>
    </row>
    <row r="103" spans="1:5">
      <c r="A103" s="5" t="s">
        <v>81</v>
      </c>
      <c r="B103" s="5" t="s">
        <v>710</v>
      </c>
      <c r="C103" s="5"/>
      <c r="D103" s="5" t="s">
        <v>744</v>
      </c>
      <c r="E103" s="5">
        <v>340</v>
      </c>
    </row>
    <row r="104" spans="1:5">
      <c r="A104" s="5" t="s">
        <v>81</v>
      </c>
      <c r="B104" s="5" t="s">
        <v>717</v>
      </c>
      <c r="C104" s="5"/>
      <c r="D104" s="5" t="s">
        <v>745</v>
      </c>
      <c r="E104" s="5">
        <v>342</v>
      </c>
    </row>
    <row r="105" spans="1:5">
      <c r="A105" s="5" t="s">
        <v>81</v>
      </c>
      <c r="B105" s="5" t="s">
        <v>717</v>
      </c>
      <c r="C105" s="5"/>
      <c r="D105" s="5" t="s">
        <v>746</v>
      </c>
      <c r="E105" s="5">
        <v>342</v>
      </c>
    </row>
    <row r="106" spans="1:5">
      <c r="A106" s="5" t="s">
        <v>81</v>
      </c>
      <c r="B106" s="5" t="s">
        <v>719</v>
      </c>
      <c r="C106" s="5"/>
      <c r="D106" s="5" t="s">
        <v>747</v>
      </c>
      <c r="E106" s="5">
        <v>344</v>
      </c>
    </row>
    <row r="107" spans="1:5">
      <c r="A107" s="5" t="s">
        <v>81</v>
      </c>
      <c r="B107" s="5" t="s">
        <v>712</v>
      </c>
      <c r="C107" s="5"/>
      <c r="D107" s="5" t="s">
        <v>748</v>
      </c>
      <c r="E107" s="5">
        <v>346</v>
      </c>
    </row>
    <row r="108" spans="1:5">
      <c r="A108" s="5" t="s">
        <v>81</v>
      </c>
      <c r="B108" s="5" t="s">
        <v>712</v>
      </c>
      <c r="C108" s="5"/>
      <c r="D108" s="5" t="s">
        <v>749</v>
      </c>
      <c r="E108" s="5">
        <v>346</v>
      </c>
    </row>
    <row r="109" spans="1:5">
      <c r="A109" s="5" t="s">
        <v>81</v>
      </c>
      <c r="B109" s="5" t="s">
        <v>712</v>
      </c>
      <c r="C109" s="5"/>
      <c r="D109" s="5" t="s">
        <v>750</v>
      </c>
      <c r="E109" s="5">
        <v>384</v>
      </c>
    </row>
    <row r="110" spans="1:5">
      <c r="A110" s="5" t="s">
        <v>81</v>
      </c>
      <c r="B110" s="5" t="s">
        <v>712</v>
      </c>
      <c r="C110" s="5"/>
      <c r="D110" s="5" t="s">
        <v>738</v>
      </c>
      <c r="E110" s="5">
        <v>398</v>
      </c>
    </row>
    <row r="111" spans="1:5">
      <c r="A111" s="5" t="s">
        <v>82</v>
      </c>
      <c r="B111" s="5" t="s">
        <v>710</v>
      </c>
      <c r="C111" s="5"/>
      <c r="D111" s="5" t="s">
        <v>751</v>
      </c>
      <c r="E111" s="5">
        <v>274</v>
      </c>
    </row>
    <row r="112" spans="1:5">
      <c r="A112" s="5" t="s">
        <v>82</v>
      </c>
      <c r="B112" s="5" t="s">
        <v>712</v>
      </c>
      <c r="C112" s="5"/>
      <c r="D112" s="5" t="s">
        <v>752</v>
      </c>
      <c r="E112" s="5">
        <v>310</v>
      </c>
    </row>
    <row r="113" spans="1:5">
      <c r="A113" s="5" t="s">
        <v>82</v>
      </c>
      <c r="B113" s="5" t="s">
        <v>712</v>
      </c>
      <c r="C113" s="5"/>
      <c r="D113" s="5" t="s">
        <v>753</v>
      </c>
      <c r="E113" s="5">
        <v>314</v>
      </c>
    </row>
    <row r="114" spans="1:5">
      <c r="A114" s="5" t="s">
        <v>82</v>
      </c>
      <c r="B114" s="5" t="s">
        <v>710</v>
      </c>
      <c r="C114" s="5"/>
      <c r="D114" s="5" t="s">
        <v>754</v>
      </c>
      <c r="E114" s="5">
        <v>334</v>
      </c>
    </row>
    <row r="115" spans="1:5">
      <c r="A115" s="5" t="s">
        <v>82</v>
      </c>
      <c r="B115" s="5" t="s">
        <v>710</v>
      </c>
      <c r="C115" s="5"/>
      <c r="D115" s="5" t="s">
        <v>755</v>
      </c>
      <c r="E115" s="5">
        <v>334</v>
      </c>
    </row>
    <row r="116" spans="1:5">
      <c r="A116" s="5" t="s">
        <v>82</v>
      </c>
      <c r="B116" s="5" t="s">
        <v>710</v>
      </c>
      <c r="C116" s="5"/>
      <c r="D116" s="5" t="s">
        <v>744</v>
      </c>
      <c r="E116" s="5">
        <v>334</v>
      </c>
    </row>
    <row r="117" spans="1:5">
      <c r="A117" s="5" t="s">
        <v>82</v>
      </c>
      <c r="B117" s="5" t="s">
        <v>717</v>
      </c>
      <c r="C117" s="5"/>
      <c r="D117" s="5" t="s">
        <v>756</v>
      </c>
      <c r="E117" s="5">
        <v>336</v>
      </c>
    </row>
    <row r="118" spans="1:5">
      <c r="A118" s="5" t="s">
        <v>82</v>
      </c>
      <c r="B118" s="5" t="s">
        <v>717</v>
      </c>
      <c r="C118" s="5"/>
      <c r="D118" s="5" t="s">
        <v>746</v>
      </c>
      <c r="E118" s="5">
        <v>336</v>
      </c>
    </row>
    <row r="119" spans="1:5">
      <c r="A119" s="5" t="s">
        <v>82</v>
      </c>
      <c r="B119" s="5" t="s">
        <v>719</v>
      </c>
      <c r="C119" s="5"/>
      <c r="D119" s="5" t="s">
        <v>757</v>
      </c>
      <c r="E119" s="5">
        <v>338</v>
      </c>
    </row>
    <row r="120" spans="1:5">
      <c r="A120" s="5" t="s">
        <v>82</v>
      </c>
      <c r="B120" s="5" t="s">
        <v>712</v>
      </c>
      <c r="C120" s="5"/>
      <c r="D120" s="5" t="s">
        <v>758</v>
      </c>
      <c r="E120" s="5">
        <v>340</v>
      </c>
    </row>
    <row r="121" spans="1:5">
      <c r="A121" s="5" t="s">
        <v>82</v>
      </c>
      <c r="B121" s="5" t="s">
        <v>712</v>
      </c>
      <c r="C121" s="5"/>
      <c r="D121" s="5" t="s">
        <v>749</v>
      </c>
      <c r="E121" s="5">
        <v>340</v>
      </c>
    </row>
    <row r="122" spans="1:5">
      <c r="A122" s="5" t="s">
        <v>82</v>
      </c>
      <c r="B122" s="5" t="s">
        <v>712</v>
      </c>
      <c r="C122" s="5"/>
      <c r="D122" s="5" t="s">
        <v>759</v>
      </c>
      <c r="E122" s="5">
        <v>376</v>
      </c>
    </row>
  </sheetData>
  <phoneticPr fontId="1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H36"/>
  <sheetViews>
    <sheetView showGridLines="0" zoomScale="85" workbookViewId="0">
      <pane ySplit="3" topLeftCell="A4" activePane="bottomLeft" state="frozen"/>
      <selection pane="bottomLeft"/>
    </sheetView>
  </sheetViews>
  <sheetFormatPr baseColWidth="10" defaultColWidth="8.83203125" defaultRowHeight="14"/>
  <cols>
    <col min="1" max="1" width="26" customWidth="1"/>
    <col min="2" max="2" width="40" customWidth="1"/>
    <col min="3" max="3" width="12" customWidth="1"/>
    <col min="4" max="4" width="70" customWidth="1"/>
    <col min="5" max="5" width="60" customWidth="1"/>
    <col min="6" max="6" width="66" customWidth="1"/>
    <col min="7" max="7" width="60" customWidth="1"/>
  </cols>
  <sheetData>
    <row r="1" spans="1:8" ht="28" customHeight="1">
      <c r="A1" s="1" t="s">
        <v>818</v>
      </c>
      <c r="B1" s="2"/>
      <c r="C1" s="2"/>
      <c r="D1" s="2"/>
      <c r="E1" s="2"/>
      <c r="F1" s="2"/>
      <c r="G1" s="2"/>
      <c r="H1" s="2"/>
    </row>
    <row r="2" spans="1:8" ht="16" customHeight="1">
      <c r="A2" s="3" t="s">
        <v>1</v>
      </c>
    </row>
    <row r="4" spans="1:8">
      <c r="A4" s="12" t="s">
        <v>819</v>
      </c>
      <c r="B4" s="12" t="s">
        <v>820</v>
      </c>
      <c r="C4" s="12" t="s">
        <v>821</v>
      </c>
      <c r="D4" s="12" t="s">
        <v>822</v>
      </c>
      <c r="E4" s="12" t="s">
        <v>823</v>
      </c>
      <c r="F4" s="12" t="s">
        <v>824</v>
      </c>
      <c r="G4" s="12" t="s">
        <v>825</v>
      </c>
    </row>
    <row r="5" spans="1:8">
      <c r="A5" s="5" t="s">
        <v>826</v>
      </c>
      <c r="B5" s="5" t="s">
        <v>827</v>
      </c>
      <c r="C5" s="5" t="s">
        <v>92</v>
      </c>
      <c r="D5" s="5" t="s">
        <v>828</v>
      </c>
      <c r="E5" s="5" t="s">
        <v>829</v>
      </c>
      <c r="F5" s="5" t="s">
        <v>830</v>
      </c>
      <c r="G5" s="5" t="s">
        <v>831</v>
      </c>
    </row>
    <row r="6" spans="1:8">
      <c r="A6" s="5" t="s">
        <v>832</v>
      </c>
      <c r="B6" s="5" t="s">
        <v>833</v>
      </c>
      <c r="C6" s="5" t="s">
        <v>93</v>
      </c>
      <c r="D6" s="5" t="s">
        <v>834</v>
      </c>
      <c r="E6" s="5" t="s">
        <v>835</v>
      </c>
      <c r="F6" s="5" t="s">
        <v>836</v>
      </c>
      <c r="G6" s="5" t="s">
        <v>837</v>
      </c>
    </row>
    <row r="7" spans="1:8">
      <c r="A7" s="5" t="s">
        <v>838</v>
      </c>
      <c r="B7" s="5" t="s">
        <v>839</v>
      </c>
      <c r="C7" s="5" t="s">
        <v>94</v>
      </c>
      <c r="D7" s="5" t="s">
        <v>840</v>
      </c>
      <c r="E7" s="5" t="s">
        <v>841</v>
      </c>
      <c r="F7" s="5" t="s">
        <v>842</v>
      </c>
      <c r="G7" s="5" t="s">
        <v>843</v>
      </c>
    </row>
    <row r="8" spans="1:8">
      <c r="A8" s="5" t="s">
        <v>844</v>
      </c>
      <c r="B8" s="5" t="s">
        <v>845</v>
      </c>
      <c r="C8" s="5" t="s">
        <v>95</v>
      </c>
      <c r="D8" s="5" t="s">
        <v>846</v>
      </c>
      <c r="E8" s="5" t="s">
        <v>847</v>
      </c>
      <c r="F8" s="5" t="s">
        <v>848</v>
      </c>
      <c r="G8" s="5" t="s">
        <v>849</v>
      </c>
    </row>
    <row r="9" spans="1:8">
      <c r="A9" s="5" t="s">
        <v>850</v>
      </c>
      <c r="B9" s="5" t="s">
        <v>851</v>
      </c>
      <c r="C9" s="5" t="s">
        <v>96</v>
      </c>
      <c r="D9" s="5" t="s">
        <v>852</v>
      </c>
      <c r="E9" s="5" t="s">
        <v>853</v>
      </c>
      <c r="F9" s="5" t="s">
        <v>854</v>
      </c>
      <c r="G9" s="5" t="s">
        <v>855</v>
      </c>
    </row>
    <row r="10" spans="1:8">
      <c r="A10" s="5" t="s">
        <v>856</v>
      </c>
      <c r="B10" s="5" t="s">
        <v>857</v>
      </c>
      <c r="C10" s="5" t="s">
        <v>97</v>
      </c>
      <c r="D10" s="5" t="s">
        <v>858</v>
      </c>
      <c r="E10" s="5" t="s">
        <v>859</v>
      </c>
      <c r="F10" s="5" t="s">
        <v>860</v>
      </c>
      <c r="G10" s="5" t="s">
        <v>861</v>
      </c>
    </row>
    <row r="11" spans="1:8">
      <c r="A11" s="5" t="s">
        <v>862</v>
      </c>
      <c r="B11" s="5" t="s">
        <v>863</v>
      </c>
      <c r="C11" s="5" t="s">
        <v>98</v>
      </c>
      <c r="D11" s="5" t="s">
        <v>864</v>
      </c>
      <c r="E11" s="5" t="s">
        <v>865</v>
      </c>
      <c r="F11" s="5" t="s">
        <v>866</v>
      </c>
      <c r="G11" s="5" t="s">
        <v>867</v>
      </c>
    </row>
    <row r="12" spans="1:8">
      <c r="A12" s="5" t="s">
        <v>868</v>
      </c>
      <c r="B12" s="5" t="s">
        <v>869</v>
      </c>
      <c r="C12" s="5" t="s">
        <v>99</v>
      </c>
      <c r="D12" s="5" t="s">
        <v>870</v>
      </c>
      <c r="E12" s="5" t="s">
        <v>871</v>
      </c>
      <c r="F12" s="5" t="s">
        <v>872</v>
      </c>
      <c r="G12" s="5" t="s">
        <v>873</v>
      </c>
    </row>
    <row r="13" spans="1:8">
      <c r="A13" s="5" t="s">
        <v>874</v>
      </c>
      <c r="B13" s="5" t="s">
        <v>875</v>
      </c>
      <c r="C13" s="5" t="s">
        <v>102</v>
      </c>
      <c r="D13" s="5" t="s">
        <v>876</v>
      </c>
      <c r="E13" s="5" t="s">
        <v>877</v>
      </c>
      <c r="F13" s="5" t="s">
        <v>878</v>
      </c>
      <c r="G13" s="5" t="s">
        <v>879</v>
      </c>
    </row>
    <row r="14" spans="1:8">
      <c r="A14" s="5" t="s">
        <v>880</v>
      </c>
      <c r="B14" s="5" t="s">
        <v>881</v>
      </c>
      <c r="C14" s="5" t="s">
        <v>100</v>
      </c>
      <c r="D14" s="5" t="s">
        <v>882</v>
      </c>
      <c r="E14" s="5" t="s">
        <v>883</v>
      </c>
      <c r="F14" s="5" t="s">
        <v>884</v>
      </c>
      <c r="G14" s="5" t="s">
        <v>885</v>
      </c>
    </row>
    <row r="15" spans="1:8">
      <c r="A15" s="5" t="s">
        <v>886</v>
      </c>
      <c r="B15" s="5" t="s">
        <v>887</v>
      </c>
      <c r="C15" s="5" t="s">
        <v>103</v>
      </c>
      <c r="D15" s="5" t="s">
        <v>888</v>
      </c>
      <c r="E15" s="5" t="s">
        <v>889</v>
      </c>
      <c r="F15" s="5" t="s">
        <v>890</v>
      </c>
      <c r="G15" s="5" t="s">
        <v>891</v>
      </c>
    </row>
    <row r="16" spans="1:8">
      <c r="A16" s="5" t="s">
        <v>892</v>
      </c>
      <c r="B16" s="5" t="s">
        <v>893</v>
      </c>
      <c r="C16" s="5" t="s">
        <v>104</v>
      </c>
      <c r="D16" s="5" t="s">
        <v>894</v>
      </c>
      <c r="E16" s="5" t="s">
        <v>895</v>
      </c>
      <c r="F16" s="5" t="s">
        <v>896</v>
      </c>
      <c r="G16" s="5" t="s">
        <v>897</v>
      </c>
    </row>
    <row r="17" spans="1:7">
      <c r="A17" s="5" t="s">
        <v>898</v>
      </c>
      <c r="B17" s="5" t="s">
        <v>899</v>
      </c>
      <c r="C17" s="5" t="s">
        <v>105</v>
      </c>
      <c r="D17" s="5" t="s">
        <v>900</v>
      </c>
      <c r="E17" s="5" t="s">
        <v>901</v>
      </c>
      <c r="F17" s="5" t="s">
        <v>902</v>
      </c>
      <c r="G17" s="5" t="s">
        <v>903</v>
      </c>
    </row>
    <row r="18" spans="1:7">
      <c r="A18" s="5" t="s">
        <v>904</v>
      </c>
      <c r="B18" s="5" t="s">
        <v>905</v>
      </c>
      <c r="C18" s="5" t="s">
        <v>101</v>
      </c>
      <c r="D18" s="5" t="s">
        <v>906</v>
      </c>
      <c r="E18" s="5" t="s">
        <v>907</v>
      </c>
      <c r="F18" s="5" t="s">
        <v>908</v>
      </c>
      <c r="G18" s="5" t="s">
        <v>909</v>
      </c>
    </row>
    <row r="19" spans="1:7">
      <c r="A19" s="5" t="s">
        <v>910</v>
      </c>
      <c r="B19" s="5" t="s">
        <v>911</v>
      </c>
      <c r="C19" s="5" t="s">
        <v>106</v>
      </c>
      <c r="D19" s="5" t="s">
        <v>912</v>
      </c>
      <c r="E19" s="5" t="s">
        <v>913</v>
      </c>
      <c r="F19" s="5" t="s">
        <v>914</v>
      </c>
      <c r="G19" s="5" t="s">
        <v>915</v>
      </c>
    </row>
    <row r="20" spans="1:7">
      <c r="A20" s="5" t="s">
        <v>916</v>
      </c>
      <c r="B20" s="5" t="s">
        <v>917</v>
      </c>
      <c r="C20" s="5" t="s">
        <v>107</v>
      </c>
      <c r="D20" s="5" t="s">
        <v>918</v>
      </c>
      <c r="E20" s="5" t="s">
        <v>919</v>
      </c>
      <c r="F20" s="5" t="s">
        <v>920</v>
      </c>
      <c r="G20" s="5" t="s">
        <v>921</v>
      </c>
    </row>
    <row r="22" spans="1:7">
      <c r="A22" s="4" t="s">
        <v>922</v>
      </c>
    </row>
    <row r="23" spans="1:7">
      <c r="A23" s="5" t="s">
        <v>923</v>
      </c>
      <c r="B23" s="5" t="s">
        <v>924</v>
      </c>
    </row>
    <row r="24" spans="1:7">
      <c r="A24" s="5" t="s">
        <v>925</v>
      </c>
      <c r="B24" s="5" t="s">
        <v>926</v>
      </c>
    </row>
    <row r="25" spans="1:7">
      <c r="A25" s="5" t="s">
        <v>927</v>
      </c>
      <c r="B25" s="5" t="s">
        <v>928</v>
      </c>
    </row>
    <row r="26" spans="1:7">
      <c r="A26" s="5" t="s">
        <v>929</v>
      </c>
      <c r="B26" s="5" t="s">
        <v>930</v>
      </c>
    </row>
    <row r="28" spans="1:7">
      <c r="A28" s="4" t="s">
        <v>931</v>
      </c>
    </row>
    <row r="29" spans="1:7">
      <c r="A29" s="5" t="s">
        <v>932</v>
      </c>
      <c r="B29" s="5" t="s">
        <v>933</v>
      </c>
      <c r="C29" s="5" t="s">
        <v>934</v>
      </c>
    </row>
    <row r="30" spans="1:7">
      <c r="A30" s="5" t="s">
        <v>935</v>
      </c>
      <c r="B30" s="5" t="s">
        <v>936</v>
      </c>
      <c r="C30" s="5" t="s">
        <v>934</v>
      </c>
    </row>
    <row r="31" spans="1:7">
      <c r="A31" s="5" t="s">
        <v>937</v>
      </c>
      <c r="B31" s="5" t="s">
        <v>938</v>
      </c>
      <c r="C31" s="5" t="s">
        <v>934</v>
      </c>
    </row>
    <row r="32" spans="1:7">
      <c r="A32" s="5" t="s">
        <v>939</v>
      </c>
      <c r="B32" s="5" t="s">
        <v>940</v>
      </c>
      <c r="C32" s="5" t="s">
        <v>934</v>
      </c>
    </row>
    <row r="33" spans="1:3">
      <c r="A33" s="5" t="s">
        <v>941</v>
      </c>
      <c r="B33" s="5" t="s">
        <v>942</v>
      </c>
      <c r="C33" s="5" t="s">
        <v>934</v>
      </c>
    </row>
    <row r="34" spans="1:3">
      <c r="A34" s="5" t="s">
        <v>943</v>
      </c>
      <c r="B34" s="5" t="s">
        <v>944</v>
      </c>
      <c r="C34" s="5" t="s">
        <v>934</v>
      </c>
    </row>
    <row r="35" spans="1:3">
      <c r="A35" s="5" t="s">
        <v>945</v>
      </c>
      <c r="B35" s="5" t="s">
        <v>946</v>
      </c>
      <c r="C35" s="5" t="s">
        <v>934</v>
      </c>
    </row>
    <row r="36" spans="1:3">
      <c r="A36" s="5" t="s">
        <v>947</v>
      </c>
      <c r="B36" s="5" t="s">
        <v>948</v>
      </c>
      <c r="C36" s="5" t="s">
        <v>934</v>
      </c>
    </row>
  </sheetData>
  <phoneticPr fontId="1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I92"/>
  <sheetViews>
    <sheetView showGridLines="0" workbookViewId="0">
      <pane ySplit="3" topLeftCell="A4" activePane="bottomLeft" state="frozen"/>
      <selection pane="bottomLeft" activeCell="N16" sqref="N16"/>
    </sheetView>
  </sheetViews>
  <sheetFormatPr baseColWidth="10" defaultColWidth="8.83203125" defaultRowHeight="14"/>
  <cols>
    <col min="1" max="1" width="30.83203125" customWidth="1"/>
    <col min="2" max="2" width="2.5" customWidth="1"/>
    <col min="3" max="8" width="15.83203125" customWidth="1"/>
    <col min="9" max="9" width="21" customWidth="1"/>
  </cols>
  <sheetData>
    <row r="1" spans="1:9" ht="23" customHeight="1">
      <c r="A1" s="89" t="s">
        <v>1050</v>
      </c>
      <c r="B1" s="1"/>
      <c r="C1" s="1"/>
      <c r="D1" s="1"/>
      <c r="E1" s="1"/>
      <c r="F1" s="1"/>
      <c r="G1" s="1"/>
      <c r="H1" s="1"/>
      <c r="I1" s="1"/>
    </row>
    <row r="2" spans="1:9" ht="23" customHeight="1">
      <c r="A2" s="95" t="s">
        <v>964</v>
      </c>
      <c r="B2" s="95"/>
      <c r="C2" s="95"/>
      <c r="D2" s="95"/>
      <c r="E2" s="95"/>
      <c r="F2" s="95"/>
      <c r="G2" s="95"/>
      <c r="H2" s="95"/>
      <c r="I2" s="95"/>
    </row>
    <row r="3" spans="1:9" ht="23" customHeight="1">
      <c r="A3" s="56" t="s">
        <v>965</v>
      </c>
      <c r="B3" s="56"/>
      <c r="C3" s="57" t="s">
        <v>966</v>
      </c>
      <c r="D3" s="57" t="s">
        <v>967</v>
      </c>
      <c r="E3" s="57"/>
      <c r="F3" s="99" t="s">
        <v>968</v>
      </c>
      <c r="G3" s="99"/>
      <c r="H3" s="58" t="str">
        <f>CHOOSE($C$15,"低情景","基准情景","高情景")</f>
        <v>基准情景</v>
      </c>
      <c r="I3" s="56"/>
    </row>
    <row r="4" spans="1:9" ht="23" customHeight="1">
      <c r="A4" s="61" t="s">
        <v>969</v>
      </c>
      <c r="B4" s="61"/>
      <c r="C4" s="63">
        <f>IF(C45="可计算",IFERROR(IRR(C68:E68,0.1),"IRR求解失败"),"待填参数")</f>
        <v>9.0540717559815409E-2</v>
      </c>
      <c r="D4" s="63">
        <f>IF(D45="可计算",IFERROR(IRR(C69:H69,0.1),"IRR求解失败"),"待填参数")</f>
        <v>9.3654283201298094E-2</v>
      </c>
      <c r="E4" s="55"/>
      <c r="F4" s="55"/>
      <c r="G4" s="55"/>
      <c r="H4" s="55"/>
      <c r="I4" s="54"/>
    </row>
    <row r="5" spans="1:9" ht="23" customHeight="1">
      <c r="A5" s="61" t="s">
        <v>970</v>
      </c>
      <c r="B5" s="61"/>
      <c r="C5" s="62">
        <f>IF(AND(C45="可计算",ISNUMBER(C14),C14&gt;-1),SUM(D70:E70)+E71,"待填参数")</f>
        <v>149971.9439375636</v>
      </c>
      <c r="D5" s="62">
        <f>IF(AND(D45="可计算",ISNUMBER(C14),C14&gt;-1),SUM(D70:H70)+H71,"待填参数")</f>
        <v>131493.21542804033</v>
      </c>
      <c r="E5" s="55"/>
      <c r="F5" s="98" t="s">
        <v>971</v>
      </c>
      <c r="G5" s="98"/>
      <c r="H5" s="98"/>
      <c r="I5" s="95"/>
    </row>
    <row r="6" spans="1:9" ht="23" customHeight="1">
      <c r="A6" s="54" t="s">
        <v>972</v>
      </c>
      <c r="B6" s="54"/>
      <c r="C6" s="55">
        <f>IF(C45="可计算",E65,"待填参数")</f>
        <v>186497.1465367036</v>
      </c>
      <c r="D6" s="55">
        <f>IF(D45="可计算",H65,"待填参数")</f>
        <v>225611.96953177254</v>
      </c>
      <c r="E6" s="55"/>
      <c r="F6" s="98" t="s">
        <v>973</v>
      </c>
      <c r="G6" s="98"/>
      <c r="H6" s="98"/>
      <c r="I6" s="95"/>
    </row>
    <row r="7" spans="1:9" ht="23" customHeight="1">
      <c r="A7" s="54" t="s">
        <v>974</v>
      </c>
      <c r="B7" s="54"/>
      <c r="C7" s="55">
        <f>IF(C43="可计算",SUM(D61:E61),"待填参数")</f>
        <v>11026.075200121208</v>
      </c>
      <c r="D7" s="55">
        <f>IF(D43="可计算",SUM(D61:H61),"待填参数")</f>
        <v>29153.990358812825</v>
      </c>
      <c r="E7" s="55"/>
      <c r="F7" s="98" t="s">
        <v>975</v>
      </c>
      <c r="G7" s="98"/>
      <c r="H7" s="98"/>
      <c r="I7" s="95"/>
    </row>
    <row r="8" spans="1:9" ht="23" customHeight="1">
      <c r="A8" s="54" t="s">
        <v>1045</v>
      </c>
      <c r="B8" s="54"/>
      <c r="C8" s="60">
        <f>IF(ISNUMBER(C38),C38,"待填退出PE")</f>
        <v>20</v>
      </c>
      <c r="D8" s="60">
        <f>IF(ISNUMBER(D38),D38,"待填退出PE")</f>
        <v>20</v>
      </c>
      <c r="E8" s="55"/>
      <c r="F8" s="98" t="s">
        <v>1046</v>
      </c>
      <c r="G8" s="98"/>
      <c r="H8" s="98"/>
      <c r="I8" s="95"/>
    </row>
    <row r="9" spans="1:9" ht="23" customHeight="1">
      <c r="A9" s="54" t="s">
        <v>976</v>
      </c>
      <c r="B9" s="54"/>
      <c r="C9" s="59">
        <f>IF(C43="可计算",(E59/C59)^(1/2)-1,"待填参数")</f>
        <v>3.015075376884413E-2</v>
      </c>
      <c r="D9" s="59">
        <f>IF(D43="可计算",(H59/C59)^(1/5)-1,"待填参数")</f>
        <v>5.1231347428597696E-2</v>
      </c>
      <c r="E9" s="55"/>
      <c r="F9" s="98" t="s">
        <v>977</v>
      </c>
      <c r="G9" s="98"/>
      <c r="H9" s="98"/>
      <c r="I9" s="95"/>
    </row>
    <row r="10" spans="1:9" ht="23" customHeight="1">
      <c r="A10" s="54"/>
      <c r="B10" s="54"/>
      <c r="C10" s="55"/>
      <c r="D10" s="55"/>
      <c r="E10" s="55"/>
      <c r="F10" s="55"/>
      <c r="G10" s="55"/>
      <c r="H10" s="55"/>
      <c r="I10" s="54"/>
    </row>
    <row r="11" spans="1:9" ht="23" customHeight="1">
      <c r="A11" s="96" t="s">
        <v>978</v>
      </c>
      <c r="B11" s="96"/>
      <c r="C11" s="97"/>
      <c r="D11" s="97"/>
      <c r="E11" s="97"/>
      <c r="F11" s="97"/>
      <c r="G11" s="97"/>
      <c r="H11" s="97"/>
      <c r="I11" s="96"/>
    </row>
    <row r="12" spans="1:9" ht="23" customHeight="1">
      <c r="A12" s="54" t="s">
        <v>979</v>
      </c>
      <c r="B12" s="54"/>
      <c r="C12" s="65">
        <v>166500</v>
      </c>
      <c r="D12" s="55"/>
      <c r="E12" s="101" t="s">
        <v>980</v>
      </c>
      <c r="F12" s="101"/>
      <c r="G12" s="101"/>
      <c r="H12" s="101"/>
      <c r="I12" s="94"/>
    </row>
    <row r="13" spans="1:9" ht="23" customHeight="1">
      <c r="A13" s="54" t="s">
        <v>981</v>
      </c>
      <c r="B13" s="54"/>
      <c r="C13" s="69">
        <v>8787</v>
      </c>
      <c r="D13" s="55"/>
      <c r="E13" s="101" t="s">
        <v>982</v>
      </c>
      <c r="F13" s="101"/>
      <c r="G13" s="101"/>
      <c r="H13" s="101"/>
      <c r="I13" s="94"/>
    </row>
    <row r="14" spans="1:9" ht="23" customHeight="1">
      <c r="A14" s="54" t="s">
        <v>983</v>
      </c>
      <c r="B14" s="54"/>
      <c r="C14" s="66">
        <v>0.15</v>
      </c>
      <c r="D14" s="55"/>
      <c r="E14" s="101" t="s">
        <v>984</v>
      </c>
      <c r="F14" s="101"/>
      <c r="G14" s="101"/>
      <c r="H14" s="101"/>
      <c r="I14" s="94"/>
    </row>
    <row r="15" spans="1:9" ht="23" customHeight="1">
      <c r="A15" s="54" t="s">
        <v>985</v>
      </c>
      <c r="B15" s="54"/>
      <c r="C15" s="67">
        <v>2</v>
      </c>
      <c r="D15" s="55"/>
      <c r="E15" s="101" t="s">
        <v>986</v>
      </c>
      <c r="F15" s="101"/>
      <c r="G15" s="101"/>
      <c r="H15" s="101"/>
      <c r="I15" s="94"/>
    </row>
    <row r="16" spans="1:9" ht="23" customHeight="1">
      <c r="A16" s="54" t="s">
        <v>987</v>
      </c>
      <c r="B16" s="54"/>
      <c r="C16" s="68">
        <v>46305</v>
      </c>
      <c r="D16" s="55"/>
      <c r="E16" s="101" t="s">
        <v>988</v>
      </c>
      <c r="F16" s="101"/>
      <c r="G16" s="101"/>
      <c r="H16" s="101"/>
      <c r="I16" s="94"/>
    </row>
    <row r="17" spans="1:9" ht="23" customHeight="1">
      <c r="A17" s="54"/>
      <c r="B17" s="54"/>
      <c r="C17" s="55"/>
      <c r="D17" s="55"/>
      <c r="E17" s="55"/>
      <c r="F17" s="55"/>
      <c r="G17" s="55"/>
      <c r="H17" s="55"/>
      <c r="I17" s="54"/>
    </row>
    <row r="18" spans="1:9" ht="23" customHeight="1">
      <c r="A18" s="96" t="s">
        <v>989</v>
      </c>
      <c r="B18" s="96"/>
      <c r="C18" s="97"/>
      <c r="D18" s="97"/>
      <c r="E18" s="97"/>
      <c r="F18" s="97"/>
      <c r="G18" s="97"/>
      <c r="H18" s="97"/>
      <c r="I18" s="96"/>
    </row>
    <row r="19" spans="1:9" ht="23" customHeight="1">
      <c r="A19" s="95" t="s">
        <v>990</v>
      </c>
      <c r="B19" s="95"/>
      <c r="C19" s="98"/>
      <c r="D19" s="98"/>
      <c r="E19" s="98"/>
      <c r="F19" s="98"/>
      <c r="G19" s="98"/>
      <c r="H19" s="98"/>
      <c r="I19" s="95"/>
    </row>
    <row r="20" spans="1:9" ht="23" customHeight="1">
      <c r="A20" s="54"/>
      <c r="B20" s="54"/>
      <c r="C20" s="55"/>
      <c r="D20" s="55"/>
      <c r="E20" s="55"/>
      <c r="F20" s="55"/>
      <c r="G20" s="55"/>
      <c r="H20" s="55"/>
      <c r="I20" s="54"/>
    </row>
    <row r="21" spans="1:9" ht="23" customHeight="1">
      <c r="A21" s="56" t="s">
        <v>991</v>
      </c>
      <c r="B21" s="56"/>
      <c r="C21" s="57" t="s">
        <v>992</v>
      </c>
      <c r="D21" s="57" t="s">
        <v>993</v>
      </c>
      <c r="E21" s="57" t="s">
        <v>994</v>
      </c>
      <c r="F21" s="57" t="s">
        <v>995</v>
      </c>
      <c r="G21" s="99" t="s">
        <v>996</v>
      </c>
      <c r="H21" s="99"/>
      <c r="I21" s="100"/>
    </row>
    <row r="22" spans="1:9" ht="23" customHeight="1">
      <c r="A22" s="71" t="s">
        <v>997</v>
      </c>
      <c r="B22" s="71"/>
      <c r="C22" s="72">
        <f>IF(ISNUMBER(CHOOSE($C$15,C23,C24,C25)),CHOOSE($C$15,C23,C24,C25),"待填参数")</f>
        <v>2.5000000000000001E-2</v>
      </c>
      <c r="D22" s="72">
        <f>IF(ISNUMBER(CHOOSE($C$15,D23,D24,D25)),CHOOSE($C$15,D23,D24,D25),"待填参数")</f>
        <v>5.7000000000000002E-2</v>
      </c>
      <c r="E22" s="73" t="s">
        <v>998</v>
      </c>
      <c r="F22" s="70">
        <f>('Income Statement'!L41/'Income Statement'!F41)^(1/6)-1</f>
        <v>6.0327463385986047E-2</v>
      </c>
      <c r="G22" s="55"/>
      <c r="H22" s="55"/>
      <c r="I22" s="54"/>
    </row>
    <row r="23" spans="1:9" ht="23" customHeight="1">
      <c r="A23" s="74" t="s">
        <v>999</v>
      </c>
      <c r="B23" s="74"/>
      <c r="C23" s="75"/>
      <c r="D23" s="75"/>
      <c r="E23" s="76"/>
      <c r="F23" s="98"/>
      <c r="G23" s="98"/>
      <c r="H23" s="98"/>
      <c r="I23" s="95"/>
    </row>
    <row r="24" spans="1:9" ht="23" customHeight="1">
      <c r="A24" s="74" t="s">
        <v>1000</v>
      </c>
      <c r="B24" s="74"/>
      <c r="C24" s="75">
        <v>2.5000000000000001E-2</v>
      </c>
      <c r="D24" s="75">
        <v>5.7000000000000002E-2</v>
      </c>
      <c r="E24" s="76"/>
      <c r="F24" s="98"/>
      <c r="G24" s="98"/>
      <c r="H24" s="98"/>
      <c r="I24" s="95"/>
    </row>
    <row r="25" spans="1:9" ht="23" customHeight="1">
      <c r="A25" s="74" t="s">
        <v>1001</v>
      </c>
      <c r="B25" s="74"/>
      <c r="C25" s="75"/>
      <c r="D25" s="75"/>
      <c r="E25" s="76"/>
      <c r="F25" s="98"/>
      <c r="G25" s="98"/>
      <c r="H25" s="98"/>
      <c r="I25" s="95"/>
    </row>
    <row r="26" spans="1:9" ht="23" customHeight="1">
      <c r="A26" s="71" t="s">
        <v>1002</v>
      </c>
      <c r="B26" s="71"/>
      <c r="C26" s="72">
        <f>IF(ISNUMBER(CHOOSE($C$15,C27,C28,C29)),CHOOSE($C$15,C27,C28,C29),"待填参数")</f>
        <v>5.0000000000000001E-3</v>
      </c>
      <c r="D26" s="72">
        <f>IF(ISNUMBER(CHOOSE($C$15,D27,D28,D29)),CHOOSE($C$15,D27,D28,D29),"待填参数")</f>
        <v>8.0000000000000002E-3</v>
      </c>
      <c r="E26" s="73" t="s">
        <v>998</v>
      </c>
      <c r="F26" s="59">
        <f>1-C90/C89</f>
        <v>8.4033613445377853E-3</v>
      </c>
      <c r="G26" s="55"/>
      <c r="H26" s="55"/>
      <c r="I26" s="54"/>
    </row>
    <row r="27" spans="1:9" ht="23" customHeight="1">
      <c r="A27" s="74" t="s">
        <v>999</v>
      </c>
      <c r="B27" s="74"/>
      <c r="C27" s="75"/>
      <c r="D27" s="75"/>
      <c r="E27" s="76"/>
      <c r="F27" s="98"/>
      <c r="G27" s="98"/>
      <c r="H27" s="98"/>
      <c r="I27" s="95"/>
    </row>
    <row r="28" spans="1:9" ht="23" customHeight="1">
      <c r="A28" s="74" t="s">
        <v>1000</v>
      </c>
      <c r="B28" s="74"/>
      <c r="C28" s="75">
        <v>5.0000000000000001E-3</v>
      </c>
      <c r="D28" s="75">
        <v>8.0000000000000002E-3</v>
      </c>
      <c r="E28" s="76"/>
      <c r="F28" s="90"/>
      <c r="G28" s="90" t="s">
        <v>1051</v>
      </c>
      <c r="H28" s="90"/>
      <c r="I28" s="91"/>
    </row>
    <row r="29" spans="1:9" ht="23" customHeight="1">
      <c r="A29" s="74" t="s">
        <v>1001</v>
      </c>
      <c r="B29" s="74"/>
      <c r="C29" s="75"/>
      <c r="D29" s="75"/>
      <c r="E29" s="76"/>
      <c r="F29" s="90"/>
      <c r="G29" s="90" t="s">
        <v>1052</v>
      </c>
      <c r="H29" s="90"/>
      <c r="I29" s="91"/>
    </row>
    <row r="30" spans="1:9" ht="23" customHeight="1">
      <c r="A30" s="71" t="s">
        <v>1003</v>
      </c>
      <c r="B30" s="71"/>
      <c r="C30" s="72">
        <f>IF(ISNUMBER(CHOOSE($C$15,C31,C32,C33)),CHOOSE($C$15,C31,C32,C33),"待填参数")</f>
        <v>0.82</v>
      </c>
      <c r="D30" s="72">
        <f>IF(ISNUMBER(CHOOSE($C$15,D31,D32,D33)),CHOOSE($C$15,D31,D32,D33),"待填参数")</f>
        <v>0.86</v>
      </c>
      <c r="E30" s="73" t="s">
        <v>998</v>
      </c>
      <c r="F30" s="70">
        <f>(SUM('Cash Flow'!J28:L28)+SUM('Cash Flow'!J31:L31))/SUM('Income Statement'!J41:L41)</f>
        <v>0.83599287269847555</v>
      </c>
      <c r="G30" s="55"/>
      <c r="H30" s="55"/>
      <c r="I30" s="54"/>
    </row>
    <row r="31" spans="1:9" ht="23" customHeight="1">
      <c r="A31" s="74" t="s">
        <v>999</v>
      </c>
      <c r="B31" s="74"/>
      <c r="C31" s="75"/>
      <c r="D31" s="75"/>
      <c r="E31" s="76"/>
      <c r="F31" s="98"/>
      <c r="G31" s="98"/>
      <c r="H31" s="98"/>
      <c r="I31" s="95"/>
    </row>
    <row r="32" spans="1:9" ht="23" customHeight="1">
      <c r="A32" s="74" t="s">
        <v>1000</v>
      </c>
      <c r="B32" s="74"/>
      <c r="C32" s="75">
        <v>0.82</v>
      </c>
      <c r="D32" s="75">
        <v>0.86</v>
      </c>
      <c r="E32" s="76"/>
      <c r="F32" s="98"/>
      <c r="G32" s="98"/>
      <c r="H32" s="98"/>
      <c r="I32" s="95"/>
    </row>
    <row r="33" spans="1:9" ht="23" customHeight="1">
      <c r="A33" s="74" t="s">
        <v>1001</v>
      </c>
      <c r="B33" s="74"/>
      <c r="C33" s="75"/>
      <c r="D33" s="75"/>
      <c r="E33" s="76"/>
      <c r="F33" s="98"/>
      <c r="G33" s="98"/>
      <c r="H33" s="98"/>
      <c r="I33" s="95"/>
    </row>
    <row r="34" spans="1:9" ht="23" customHeight="1">
      <c r="A34" s="71" t="s">
        <v>1004</v>
      </c>
      <c r="B34" s="71"/>
      <c r="C34" s="72">
        <f>IF(ISNUMBER(CHOOSE($C$15,C35,C36,C37)),CHOOSE($C$15,C35,C36,C37),"待填参数")</f>
        <v>0.6</v>
      </c>
      <c r="D34" s="72">
        <f>IF(ISNUMBER(CHOOSE($C$15,D35,D36,D37)),CHOOSE($C$15,D35,D36,D37),"待填参数")</f>
        <v>0.56999999999999995</v>
      </c>
      <c r="E34" s="73" t="s">
        <v>998</v>
      </c>
      <c r="F34" s="70">
        <f>-SUM('Cash Flow'!J45:L45)/SUM('Income Statement'!J41:L41)</f>
        <v>0.57485646406652147</v>
      </c>
      <c r="G34" s="55"/>
      <c r="H34" s="55"/>
      <c r="I34" s="54"/>
    </row>
    <row r="35" spans="1:9" ht="23" customHeight="1">
      <c r="A35" s="74" t="s">
        <v>999</v>
      </c>
      <c r="B35" s="74"/>
      <c r="C35" s="75"/>
      <c r="D35" s="75"/>
      <c r="E35" s="76"/>
      <c r="F35" s="98"/>
      <c r="G35" s="98"/>
      <c r="H35" s="98"/>
      <c r="I35" s="95"/>
    </row>
    <row r="36" spans="1:9" ht="23" customHeight="1">
      <c r="A36" s="74" t="s">
        <v>1000</v>
      </c>
      <c r="B36" s="74"/>
      <c r="C36" s="75">
        <v>0.6</v>
      </c>
      <c r="D36" s="75">
        <v>0.56999999999999995</v>
      </c>
      <c r="E36" s="76"/>
      <c r="F36" s="90"/>
      <c r="G36" s="90" t="s">
        <v>1053</v>
      </c>
      <c r="H36" s="90"/>
      <c r="I36" s="90"/>
    </row>
    <row r="37" spans="1:9" ht="23" customHeight="1">
      <c r="A37" s="74" t="s">
        <v>1001</v>
      </c>
      <c r="B37" s="74"/>
      <c r="C37" s="75"/>
      <c r="D37" s="75"/>
      <c r="E37" s="76"/>
      <c r="F37" s="98"/>
      <c r="G37" s="98"/>
      <c r="H37" s="98"/>
      <c r="I37" s="95"/>
    </row>
    <row r="38" spans="1:9" ht="23" customHeight="1">
      <c r="A38" s="77" t="s">
        <v>1045</v>
      </c>
      <c r="B38" s="77"/>
      <c r="C38" s="78">
        <f>IF(ISNUMBER(CHOOSE($C$15,C39,C40,C41)),CHOOSE($C$15,C39,C40,C41),"待填参数")</f>
        <v>20</v>
      </c>
      <c r="D38" s="78">
        <f>IF(ISNUMBER(CHOOSE($C$15,D39,D40,D41)),CHOOSE($C$15,D39,D40,D41),"待填参数")</f>
        <v>20</v>
      </c>
      <c r="E38" s="79" t="s">
        <v>1005</v>
      </c>
      <c r="F38" s="60" t="s">
        <v>1006</v>
      </c>
      <c r="G38" s="55"/>
      <c r="H38" s="55"/>
      <c r="I38" s="54"/>
    </row>
    <row r="39" spans="1:9" ht="23" customHeight="1">
      <c r="A39" s="80" t="s">
        <v>999</v>
      </c>
      <c r="B39" s="80"/>
      <c r="C39" s="81"/>
      <c r="D39" s="81"/>
      <c r="E39" s="82"/>
      <c r="F39" s="90"/>
      <c r="G39" s="90"/>
      <c r="H39" s="90"/>
      <c r="I39" s="91"/>
    </row>
    <row r="40" spans="1:9" ht="23" customHeight="1">
      <c r="A40" s="80" t="s">
        <v>1000</v>
      </c>
      <c r="B40" s="80"/>
      <c r="C40" s="81">
        <v>20</v>
      </c>
      <c r="D40" s="81">
        <v>20</v>
      </c>
      <c r="E40" s="82"/>
      <c r="F40" s="90"/>
      <c r="G40" s="90" t="s">
        <v>1054</v>
      </c>
      <c r="H40" s="90"/>
      <c r="I40" s="91"/>
    </row>
    <row r="41" spans="1:9" ht="23" customHeight="1">
      <c r="A41" s="80" t="s">
        <v>1001</v>
      </c>
      <c r="B41" s="80"/>
      <c r="C41" s="81"/>
      <c r="D41" s="81"/>
      <c r="E41" s="82"/>
      <c r="F41" s="90"/>
      <c r="G41" s="90" t="s">
        <v>1055</v>
      </c>
      <c r="H41" s="90"/>
      <c r="I41" s="90"/>
    </row>
    <row r="42" spans="1:9" ht="23" customHeight="1">
      <c r="A42" s="54"/>
      <c r="B42" s="54"/>
      <c r="C42" s="55"/>
      <c r="D42" s="55"/>
      <c r="E42" s="55"/>
      <c r="F42" s="55"/>
      <c r="G42" s="55"/>
      <c r="H42" s="55"/>
      <c r="I42" s="54"/>
    </row>
    <row r="43" spans="1:9" ht="23" customHeight="1">
      <c r="A43" s="54" t="s">
        <v>1056</v>
      </c>
      <c r="B43" s="54"/>
      <c r="C43" s="83" t="str">
        <f>IF(COUNT(C13,C22,C26,C34)&lt;4,"待填经营参数",IF(AND(C13&gt;0,C22&gt;-1,C26&lt;1,C34&gt;=0),"可计算","参数无效"))</f>
        <v>可计算</v>
      </c>
      <c r="D43" s="83" t="str">
        <f>IF(OR(C43&lt;&gt;"可计算",COUNT(D22,D26,D34)&lt;3),"待填经营参数",IF(AND(D22&gt;-1,D26&lt;1,D34&gt;=0),"可计算","参数无效"))</f>
        <v>可计算</v>
      </c>
      <c r="E43" s="55"/>
      <c r="F43" s="55"/>
      <c r="G43" s="55"/>
      <c r="H43" s="55"/>
      <c r="I43" s="54"/>
    </row>
    <row r="44" spans="1:9" ht="23" customHeight="1">
      <c r="A44" s="54"/>
      <c r="B44" s="54"/>
      <c r="C44" s="83"/>
      <c r="D44" s="83"/>
      <c r="E44" s="55"/>
      <c r="F44" s="55"/>
      <c r="G44" s="55"/>
      <c r="H44" s="55"/>
      <c r="I44" s="54"/>
    </row>
    <row r="45" spans="1:9" ht="23" customHeight="1">
      <c r="A45" s="54" t="s">
        <v>1057</v>
      </c>
      <c r="B45" s="54"/>
      <c r="C45" s="83" t="str">
        <f>IF(C43&lt;&gt;"可计算",C43,IF(COUNT(C12,C38)&lt;2,"待填市值/退出PE",IF(AND(C12&gt;0,C38&gt;0),"可计算","参数无效")))</f>
        <v>可计算</v>
      </c>
      <c r="D45" s="83" t="str">
        <f>IF(D43&lt;&gt;"可计算",D43,IF(COUNT(C12,D38)&lt;2,"待填市值/退出PE",IF(AND(C12&gt;0,D38&gt;0),"可计算","参数无效")))</f>
        <v>可计算</v>
      </c>
      <c r="E45" s="55"/>
      <c r="F45" s="55"/>
      <c r="G45" s="55"/>
      <c r="H45" s="55"/>
      <c r="I45" s="54"/>
    </row>
    <row r="46" spans="1:9" ht="23" customHeight="1">
      <c r="A46" s="54"/>
      <c r="B46" s="54"/>
      <c r="C46" s="55"/>
      <c r="D46" s="55"/>
      <c r="E46" s="55"/>
      <c r="F46" s="55"/>
      <c r="G46" s="55"/>
      <c r="H46" s="55"/>
      <c r="I46" s="54"/>
    </row>
    <row r="47" spans="1:9" ht="23" customHeight="1">
      <c r="A47" s="96" t="s">
        <v>1049</v>
      </c>
      <c r="B47" s="96"/>
      <c r="C47" s="97"/>
      <c r="D47" s="97"/>
      <c r="E47" s="97"/>
      <c r="F47" s="97"/>
      <c r="G47" s="97"/>
      <c r="H47" s="97"/>
      <c r="I47" s="96"/>
    </row>
    <row r="48" spans="1:9" ht="23" customHeight="1">
      <c r="A48" s="54"/>
      <c r="B48" s="54"/>
      <c r="C48" s="55"/>
      <c r="D48" s="55"/>
      <c r="E48" s="55"/>
      <c r="F48" s="55"/>
      <c r="G48" s="55"/>
      <c r="H48" s="55"/>
      <c r="I48" s="54"/>
    </row>
    <row r="49" spans="1:9" ht="23" customHeight="1">
      <c r="A49" s="56"/>
      <c r="B49" s="56"/>
      <c r="C49" s="57" t="s">
        <v>1007</v>
      </c>
      <c r="D49" s="57" t="s">
        <v>1008</v>
      </c>
      <c r="E49" s="57" t="s">
        <v>1009</v>
      </c>
      <c r="F49" s="57" t="s">
        <v>1010</v>
      </c>
      <c r="G49" s="57" t="s">
        <v>1011</v>
      </c>
      <c r="H49" s="57" t="s">
        <v>1012</v>
      </c>
      <c r="I49" s="56"/>
    </row>
    <row r="50" spans="1:9" ht="23" customHeight="1">
      <c r="A50" s="54" t="s">
        <v>1013</v>
      </c>
      <c r="B50" s="54"/>
      <c r="C50" s="64">
        <v>0</v>
      </c>
      <c r="D50" s="64">
        <v>1</v>
      </c>
      <c r="E50" s="64">
        <v>2</v>
      </c>
      <c r="F50" s="64">
        <v>3</v>
      </c>
      <c r="G50" s="64">
        <v>4</v>
      </c>
      <c r="H50" s="64">
        <v>5</v>
      </c>
      <c r="I50" s="54"/>
    </row>
    <row r="51" spans="1:9" ht="23" customHeight="1">
      <c r="A51" s="74" t="s">
        <v>1014</v>
      </c>
      <c r="B51" s="74"/>
      <c r="C51" s="76"/>
      <c r="D51" s="84">
        <f>C22</f>
        <v>2.5000000000000001E-2</v>
      </c>
      <c r="E51" s="84">
        <f>C22</f>
        <v>2.5000000000000001E-2</v>
      </c>
      <c r="F51" s="84">
        <f>D22</f>
        <v>5.7000000000000002E-2</v>
      </c>
      <c r="G51" s="84">
        <f>D22</f>
        <v>5.7000000000000002E-2</v>
      </c>
      <c r="H51" s="84">
        <f>D22</f>
        <v>5.7000000000000002E-2</v>
      </c>
      <c r="I51" s="54"/>
    </row>
    <row r="52" spans="1:9" ht="23" customHeight="1">
      <c r="A52" s="74" t="s">
        <v>1015</v>
      </c>
      <c r="B52" s="74"/>
      <c r="C52" s="76"/>
      <c r="D52" s="84">
        <f>C26</f>
        <v>5.0000000000000001E-3</v>
      </c>
      <c r="E52" s="84">
        <f>C26</f>
        <v>5.0000000000000001E-3</v>
      </c>
      <c r="F52" s="84">
        <f>D26</f>
        <v>8.0000000000000002E-3</v>
      </c>
      <c r="G52" s="84">
        <f>D26</f>
        <v>8.0000000000000002E-3</v>
      </c>
      <c r="H52" s="84">
        <f>D26</f>
        <v>8.0000000000000002E-3</v>
      </c>
      <c r="I52" s="54"/>
    </row>
    <row r="53" spans="1:9" ht="23" customHeight="1">
      <c r="A53" s="74" t="s">
        <v>1016</v>
      </c>
      <c r="B53" s="74"/>
      <c r="C53" s="76"/>
      <c r="D53" s="84">
        <f>C34</f>
        <v>0.6</v>
      </c>
      <c r="E53" s="84">
        <f>C34</f>
        <v>0.6</v>
      </c>
      <c r="F53" s="84">
        <f>D34</f>
        <v>0.56999999999999995</v>
      </c>
      <c r="G53" s="84">
        <f>D34</f>
        <v>0.56999999999999995</v>
      </c>
      <c r="H53" s="84">
        <f>D34</f>
        <v>0.56999999999999995</v>
      </c>
      <c r="I53" s="54"/>
    </row>
    <row r="54" spans="1:9" ht="23" customHeight="1">
      <c r="A54" s="74" t="s">
        <v>1017</v>
      </c>
      <c r="B54" s="74"/>
      <c r="C54" s="76"/>
      <c r="D54" s="84">
        <f>C30</f>
        <v>0.82</v>
      </c>
      <c r="E54" s="84">
        <f>C30</f>
        <v>0.82</v>
      </c>
      <c r="F54" s="84">
        <f>D30</f>
        <v>0.86</v>
      </c>
      <c r="G54" s="84">
        <f>D30</f>
        <v>0.86</v>
      </c>
      <c r="H54" s="84">
        <f>D30</f>
        <v>0.86</v>
      </c>
      <c r="I54" s="54"/>
    </row>
    <row r="55" spans="1:9" ht="23" customHeight="1">
      <c r="A55" s="74" t="s">
        <v>1045</v>
      </c>
      <c r="B55" s="74"/>
      <c r="C55" s="76"/>
      <c r="D55" s="85">
        <f>C38</f>
        <v>20</v>
      </c>
      <c r="E55" s="85">
        <f>C38</f>
        <v>20</v>
      </c>
      <c r="F55" s="85">
        <f>D38</f>
        <v>20</v>
      </c>
      <c r="G55" s="85">
        <f>D38</f>
        <v>20</v>
      </c>
      <c r="H55" s="85">
        <f>D38</f>
        <v>20</v>
      </c>
      <c r="I55" s="54"/>
    </row>
    <row r="56" spans="1:9" ht="23" customHeight="1">
      <c r="A56" s="54"/>
      <c r="B56" s="54"/>
      <c r="C56" s="55"/>
      <c r="D56" s="55"/>
      <c r="E56" s="55"/>
      <c r="F56" s="55"/>
      <c r="G56" s="55"/>
      <c r="H56" s="55"/>
      <c r="I56" s="54"/>
    </row>
    <row r="57" spans="1:9" ht="23" customHeight="1">
      <c r="A57" s="86" t="s">
        <v>1018</v>
      </c>
      <c r="B57" s="86"/>
      <c r="C57" s="87">
        <f>C13</f>
        <v>8787</v>
      </c>
      <c r="D57" s="87">
        <f>IF($C$43="可计算",C57*(1+D51),"待填参数")</f>
        <v>9006.6749999999993</v>
      </c>
      <c r="E57" s="87">
        <f>IF($C$43="可计算",D57*(1+E51),"待填参数")</f>
        <v>9231.8418749999983</v>
      </c>
      <c r="F57" s="87">
        <f>IF($D$43="可计算",E57*(1+F51),"待填参数")</f>
        <v>9758.0568618749985</v>
      </c>
      <c r="G57" s="87">
        <f>IF($D$43="可计算",F57*(1+G51),"待填参数")</f>
        <v>10314.266103001873</v>
      </c>
      <c r="H57" s="87">
        <f>IF($D$43="可计算",G57*(1+H51),"待填参数")</f>
        <v>10902.179270872979</v>
      </c>
      <c r="I57" s="54"/>
    </row>
    <row r="58" spans="1:9" ht="23" customHeight="1">
      <c r="A58" s="54" t="s">
        <v>1019</v>
      </c>
      <c r="B58" s="54"/>
      <c r="C58" s="55">
        <v>100</v>
      </c>
      <c r="D58" s="55">
        <f>IF($C$43="可计算",C58*(1-D52),"待填参数")</f>
        <v>99.5</v>
      </c>
      <c r="E58" s="55">
        <f>IF($C$43="可计算",D58*(1-E52),"待填参数")</f>
        <v>99.002499999999998</v>
      </c>
      <c r="F58" s="55">
        <f>IF($D$43="可计算",E58*(1-F52),"待填参数")</f>
        <v>98.210480000000004</v>
      </c>
      <c r="G58" s="55">
        <f>IF($D$43="可计算",F58*(1-G52),"待填参数")</f>
        <v>97.42479616</v>
      </c>
      <c r="H58" s="55">
        <f>IF($D$43="可计算",G58*(1-H52),"待填参数")</f>
        <v>96.645397790719997</v>
      </c>
      <c r="I58" s="54"/>
    </row>
    <row r="59" spans="1:9" ht="23" customHeight="1">
      <c r="A59" s="61" t="s">
        <v>1020</v>
      </c>
      <c r="B59" s="61"/>
      <c r="C59" s="62">
        <f>C57</f>
        <v>8787</v>
      </c>
      <c r="D59" s="62">
        <f>IF($C$43="可计算",D57/(D58/$C$58),"待填参数")</f>
        <v>9051.9346733668335</v>
      </c>
      <c r="E59" s="62">
        <f>IF($C$43="可计算",E57/(E58/$C$58),"待填参数")</f>
        <v>9324.8573268351793</v>
      </c>
      <c r="F59" s="62">
        <f>IF($D$43="可计算",F57/(F58/$C$58),"待填参数")</f>
        <v>9935.8610831298229</v>
      </c>
      <c r="G59" s="62">
        <f>IF($D$43="可计算",G57/(G58/$C$58),"待填参数")</f>
        <v>10586.900367810709</v>
      </c>
      <c r="H59" s="62">
        <f>IF($D$43="可计算",H57/(H58/$C$58),"待填参数")</f>
        <v>11280.598476588628</v>
      </c>
      <c r="I59" s="54"/>
    </row>
    <row r="60" spans="1:9" ht="23" customHeight="1">
      <c r="A60" s="54" t="s">
        <v>1021</v>
      </c>
      <c r="B60" s="54"/>
      <c r="C60" s="55"/>
      <c r="D60" s="55">
        <f>IF($C$43="可计算",D57*D53,"待填参数")</f>
        <v>5404.0049999999992</v>
      </c>
      <c r="E60" s="55">
        <f>IF($C$43="可计算",E57*E53,"待填参数")</f>
        <v>5539.1051249999991</v>
      </c>
      <c r="F60" s="55">
        <f>IF($D$43="可计算",F57*F53,"待填参数")</f>
        <v>5562.0924112687489</v>
      </c>
      <c r="G60" s="55">
        <f>IF($D$43="可计算",G57*G53,"待填参数")</f>
        <v>5879.1316787110673</v>
      </c>
      <c r="H60" s="55">
        <f>IF($D$43="可计算",H57*H53,"待填参数")</f>
        <v>6214.2421843975972</v>
      </c>
      <c r="I60" s="54"/>
    </row>
    <row r="61" spans="1:9" ht="23" customHeight="1">
      <c r="A61" s="61" t="s">
        <v>1022</v>
      </c>
      <c r="B61" s="61"/>
      <c r="C61" s="62"/>
      <c r="D61" s="62">
        <f>IF($C$43="可计算",D60/(D58/$C$58),"待填参数")</f>
        <v>5431.1608040200999</v>
      </c>
      <c r="E61" s="62">
        <f>IF($C$43="可计算",E60/(E58/$C$58),"待填参数")</f>
        <v>5594.9143961011077</v>
      </c>
      <c r="F61" s="62">
        <f>IF($D$43="可计算",F60/(F58/$C$58),"待填参数")</f>
        <v>5663.4408173839993</v>
      </c>
      <c r="G61" s="62">
        <f>IF($D$43="可计算",G60/(G58/$C$58),"待填参数")</f>
        <v>6034.5332096521033</v>
      </c>
      <c r="H61" s="62">
        <f>IF($D$43="可计算",H60/(H58/$C$58),"待填参数")</f>
        <v>6429.941131655517</v>
      </c>
      <c r="I61" s="54"/>
    </row>
    <row r="62" spans="1:9" ht="23" customHeight="1">
      <c r="A62" s="54" t="s">
        <v>1023</v>
      </c>
      <c r="B62" s="54"/>
      <c r="C62" s="55"/>
      <c r="D62" s="55">
        <f>IF(AND($C$43="可计算",ISNUMBER(D54),D54&gt;0),D57*D54,"待填转换率")</f>
        <v>7385.4734999999991</v>
      </c>
      <c r="E62" s="55">
        <f>IF(AND($C$43="可计算",ISNUMBER(E54),E54&gt;0),E57*E54,"待填转换率")</f>
        <v>7570.1103374999984</v>
      </c>
      <c r="F62" s="55">
        <f>IF(AND($D$43="可计算",ISNUMBER(F54),F54&gt;0),F57*F54,"待填转换率")</f>
        <v>8391.9289012124991</v>
      </c>
      <c r="G62" s="55">
        <f>IF(AND($D$43="可计算",ISNUMBER(G54),G54&gt;0),G57*G54,"待填转换率")</f>
        <v>8870.2688485816107</v>
      </c>
      <c r="H62" s="55">
        <f>IF(AND($D$43="可计算",ISNUMBER(H54),H54&gt;0),H57*H54,"待填转换率")</f>
        <v>9375.8741729507619</v>
      </c>
      <c r="I62" s="54"/>
    </row>
    <row r="63" spans="1:9" ht="23" customHeight="1">
      <c r="A63" s="54" t="s">
        <v>1024</v>
      </c>
      <c r="B63" s="54"/>
      <c r="C63" s="55"/>
      <c r="D63" s="55">
        <f>IF(ISNUMBER(D62),D62-D60,"待填参数")</f>
        <v>1981.4684999999999</v>
      </c>
      <c r="E63" s="55">
        <f>IF(ISNUMBER(E62),E62-E60,"待填参数")</f>
        <v>2031.0052124999993</v>
      </c>
      <c r="F63" s="55">
        <f>IF(ISNUMBER(F62),F62-F60,"待填参数")</f>
        <v>2829.8364899437502</v>
      </c>
      <c r="G63" s="55">
        <f>IF(ISNUMBER(G62),G62-G60,"待填参数")</f>
        <v>2991.1371698705434</v>
      </c>
      <c r="H63" s="55">
        <f>IF(ISNUMBER(H62),H62-H60,"待填参数")</f>
        <v>3161.6319885531648</v>
      </c>
      <c r="I63" s="54"/>
    </row>
    <row r="64" spans="1:9" ht="23" customHeight="1">
      <c r="A64" s="54" t="s">
        <v>1025</v>
      </c>
      <c r="B64" s="54"/>
      <c r="C64" s="55"/>
      <c r="D64" s="55">
        <f>IF(AND($C$43="可计算",ISNUMBER(D55),D55&gt;0),D57*D55,"待填参数")</f>
        <v>180133.5</v>
      </c>
      <c r="E64" s="55">
        <f>IF(AND($C$43="可计算",ISNUMBER(E55),E55&gt;0),E57*E55,"待填参数")</f>
        <v>184636.83749999997</v>
      </c>
      <c r="F64" s="55">
        <f>IF(AND($D$43="可计算",ISNUMBER(F55),F55&gt;0),F57*F55,"待填参数")</f>
        <v>195161.13723749996</v>
      </c>
      <c r="G64" s="55">
        <f>IF(AND($D$43="可计算",ISNUMBER(G55),G55&gt;0),G57*G55,"待填参数")</f>
        <v>206285.32206003746</v>
      </c>
      <c r="H64" s="55">
        <f>IF(AND($D$43="可计算",ISNUMBER(H55),H55&gt;0),H57*H55,"待填参数")</f>
        <v>218043.58541745957</v>
      </c>
      <c r="I64" s="54"/>
    </row>
    <row r="65" spans="1:9" ht="23" customHeight="1">
      <c r="A65" s="86" t="s">
        <v>1026</v>
      </c>
      <c r="B65" s="86"/>
      <c r="C65" s="87"/>
      <c r="D65" s="87">
        <f>IF(ISNUMBER(D64),D64/(D58/$C$58),"待填参数")</f>
        <v>181038.69346733668</v>
      </c>
      <c r="E65" s="87">
        <f>IF(ISNUMBER(E64),E64/(E58/$C$58),"待填参数")</f>
        <v>186497.1465367036</v>
      </c>
      <c r="F65" s="87">
        <f>IF(ISNUMBER(F64),F64/(F58/$C$58),"待填参数")</f>
        <v>198717.22166259645</v>
      </c>
      <c r="G65" s="87">
        <f>IF(ISNUMBER(G64),G64/(G58/$C$58),"待填参数")</f>
        <v>211738.00735621416</v>
      </c>
      <c r="H65" s="87">
        <f>IF(ISNUMBER(H64),H64/(H58/$C$58),"待填参数")</f>
        <v>225611.96953177254</v>
      </c>
      <c r="I65" s="54"/>
    </row>
    <row r="66" spans="1:9" ht="23" customHeight="1">
      <c r="A66" s="54"/>
      <c r="B66" s="54"/>
      <c r="C66" s="55"/>
      <c r="D66" s="55"/>
      <c r="E66" s="55"/>
      <c r="F66" s="55"/>
      <c r="G66" s="55"/>
      <c r="H66" s="55"/>
      <c r="I66" s="54"/>
    </row>
    <row r="67" spans="1:9" ht="23" customHeight="1">
      <c r="A67" s="54"/>
      <c r="B67" s="54"/>
      <c r="C67" s="55"/>
      <c r="D67" s="55"/>
      <c r="E67" s="55"/>
      <c r="F67" s="55"/>
      <c r="G67" s="55"/>
      <c r="H67" s="55"/>
      <c r="I67" s="54"/>
    </row>
    <row r="68" spans="1:9" ht="23" customHeight="1">
      <c r="A68" s="61" t="s">
        <v>1027</v>
      </c>
      <c r="B68" s="61"/>
      <c r="C68" s="62">
        <f>IF(C45="可计算",-C12,"待填参数")</f>
        <v>-166500</v>
      </c>
      <c r="D68" s="62">
        <f>IF($C$45="可计算",D61,"待填参数")</f>
        <v>5431.1608040200999</v>
      </c>
      <c r="E68" s="62">
        <f>IF($C$45="可计算",E61+E65,"待填参数")</f>
        <v>192092.06093280471</v>
      </c>
      <c r="F68" s="62">
        <f>0</f>
        <v>0</v>
      </c>
      <c r="G68" s="62">
        <f>0</f>
        <v>0</v>
      </c>
      <c r="H68" s="62">
        <f>0</f>
        <v>0</v>
      </c>
      <c r="I68" s="54"/>
    </row>
    <row r="69" spans="1:9" ht="23" customHeight="1">
      <c r="A69" s="86" t="s">
        <v>1028</v>
      </c>
      <c r="B69" s="86"/>
      <c r="C69" s="87">
        <f>IF(D45="可计算",-C12,"待填参数")</f>
        <v>-166500</v>
      </c>
      <c r="D69" s="87">
        <f>IF($D$45="可计算",D61,"待填参数")</f>
        <v>5431.1608040200999</v>
      </c>
      <c r="E69" s="87">
        <f>IF($D$45="可计算",E61,"待填参数")</f>
        <v>5594.9143961011077</v>
      </c>
      <c r="F69" s="87">
        <f>IF($D$45="可计算",F61,"待填参数")</f>
        <v>5663.4408173839993</v>
      </c>
      <c r="G69" s="87">
        <f>IF($D$45="可计算",G61,"待填参数")</f>
        <v>6034.5332096521033</v>
      </c>
      <c r="H69" s="87">
        <f>IF($D$45="可计算",H61+H65,"待填参数")</f>
        <v>232041.91066342805</v>
      </c>
      <c r="I69" s="54"/>
    </row>
    <row r="70" spans="1:9" ht="23" customHeight="1">
      <c r="A70" s="54" t="s">
        <v>1029</v>
      </c>
      <c r="B70" s="54"/>
      <c r="C70" s="55"/>
      <c r="D70" s="55">
        <f>IF(AND($C$43="可计算",ISNUMBER($C$14),$C$14&gt;-1),D61/(1+$C$14)^D$50,"待填参数")</f>
        <v>4722.7485252348697</v>
      </c>
      <c r="E70" s="55">
        <f>IF(AND($C$43="可计算",ISNUMBER($C$14),$C$14&gt;-1),E61/(1+$C$14)^E$50,"待填参数")</f>
        <v>4230.5590896794774</v>
      </c>
      <c r="F70" s="55">
        <f>IF(AND($D$43="可计算",ISNUMBER($C$14),$C$14&gt;-1),F61/(1+$C$14)^F$50,"待填参数")</f>
        <v>3723.8042688478677</v>
      </c>
      <c r="G70" s="55">
        <f>IF(AND($D$43="可计算",ISNUMBER($C$14),$C$14&gt;-1),G61/(1+$C$14)^G$50,"待填参数")</f>
        <v>3450.263948257535</v>
      </c>
      <c r="H70" s="55">
        <f>IF(AND($D$43="可计算",ISNUMBER($C$14),$C$14&gt;-1),H61/(1+$C$14)^H$50,"待填参数")</f>
        <v>3196.8171399966814</v>
      </c>
      <c r="I70" s="54"/>
    </row>
    <row r="71" spans="1:9" ht="23" customHeight="1">
      <c r="A71" s="54" t="s">
        <v>1030</v>
      </c>
      <c r="B71" s="54"/>
      <c r="C71" s="55"/>
      <c r="D71" s="55">
        <f>IF(AND(ISNUMBER(D65),ISNUMBER($C$14),$C$14&gt;-1),D65/(1+$C$14)^D$50,"待填参数")</f>
        <v>157424.95084116235</v>
      </c>
      <c r="E71" s="55">
        <f>IF(AND(ISNUMBER(E65),ISNUMBER($C$14),$C$14&gt;-1),E65/(1+$C$14)^E$50,"待填参数")</f>
        <v>141018.63632264925</v>
      </c>
      <c r="F71" s="55">
        <f>IF(AND(ISNUMBER(F65),ISNUMBER($C$14),$C$14&gt;-1),F65/(1+$C$14)^F$50,"待填参数")</f>
        <v>130659.79890694273</v>
      </c>
      <c r="G71" s="55">
        <f>IF(AND(ISNUMBER(G65),ISNUMBER($C$14),$C$14&gt;-1),G65/(1+$C$14)^G$50,"待填参数")</f>
        <v>121061.89292131702</v>
      </c>
      <c r="H71" s="55">
        <f>IF(AND(ISNUMBER(H65),ISNUMBER($C$14),$C$14&gt;-1),H65/(1+$C$14)^H$50,"待填参数")</f>
        <v>112169.02245602391</v>
      </c>
      <c r="I71" s="54"/>
    </row>
    <row r="72" spans="1:9" ht="23" customHeight="1">
      <c r="A72" s="54"/>
      <c r="B72" s="54"/>
      <c r="C72" s="55"/>
      <c r="D72" s="55"/>
      <c r="E72" s="55"/>
      <c r="F72" s="55"/>
      <c r="G72" s="55"/>
      <c r="H72" s="55"/>
      <c r="I72" s="54"/>
    </row>
    <row r="73" spans="1:9" ht="23" customHeight="1">
      <c r="A73" s="54"/>
      <c r="B73" s="54"/>
      <c r="C73" s="55"/>
      <c r="D73" s="55"/>
      <c r="E73" s="55"/>
      <c r="F73" s="55"/>
      <c r="G73" s="55"/>
      <c r="H73" s="55"/>
      <c r="I73" s="54"/>
    </row>
    <row r="74" spans="1:9" ht="23" customHeight="1">
      <c r="A74" s="54"/>
      <c r="B74" s="54"/>
      <c r="C74" s="54"/>
      <c r="D74" s="54"/>
      <c r="E74" s="54"/>
      <c r="F74" s="54"/>
      <c r="G74" s="54"/>
      <c r="H74" s="54"/>
      <c r="I74" s="54"/>
    </row>
    <row r="75" spans="1:9" ht="23" customHeight="1">
      <c r="A75" s="96" t="s">
        <v>1031</v>
      </c>
      <c r="B75" s="96"/>
      <c r="C75" s="96"/>
      <c r="D75" s="96"/>
      <c r="E75" s="96"/>
      <c r="F75" s="96"/>
      <c r="G75" s="96"/>
      <c r="H75" s="96"/>
      <c r="I75" s="96"/>
    </row>
    <row r="76" spans="1:9" ht="23" customHeight="1">
      <c r="A76" s="54"/>
      <c r="B76" s="54"/>
      <c r="C76" s="54"/>
      <c r="D76" s="54"/>
      <c r="E76" s="54"/>
      <c r="F76" s="54"/>
      <c r="G76" s="54"/>
      <c r="H76" s="54"/>
      <c r="I76" s="54"/>
    </row>
    <row r="77" spans="1:9" ht="23" customHeight="1">
      <c r="A77" s="95" t="s">
        <v>1032</v>
      </c>
      <c r="B77" s="95"/>
      <c r="C77" s="95"/>
      <c r="D77" s="95"/>
      <c r="E77" s="95"/>
      <c r="F77" s="95"/>
      <c r="G77" s="95"/>
      <c r="H77" s="95"/>
      <c r="I77" s="95"/>
    </row>
    <row r="78" spans="1:9" ht="23" customHeight="1">
      <c r="A78" s="95" t="s">
        <v>1033</v>
      </c>
      <c r="B78" s="95"/>
      <c r="C78" s="95"/>
      <c r="D78" s="95"/>
      <c r="E78" s="95"/>
      <c r="F78" s="95"/>
      <c r="G78" s="95"/>
      <c r="H78" s="95"/>
      <c r="I78" s="95"/>
    </row>
    <row r="79" spans="1:9" ht="23" customHeight="1">
      <c r="A79" s="95" t="s">
        <v>1047</v>
      </c>
      <c r="B79" s="95"/>
      <c r="C79" s="95"/>
      <c r="D79" s="95"/>
      <c r="E79" s="95"/>
      <c r="F79" s="95"/>
      <c r="G79" s="95"/>
      <c r="H79" s="95"/>
      <c r="I79" s="95"/>
    </row>
    <row r="80" spans="1:9" ht="23" customHeight="1">
      <c r="A80" s="95" t="s">
        <v>1034</v>
      </c>
      <c r="B80" s="95"/>
      <c r="C80" s="95"/>
      <c r="D80" s="95"/>
      <c r="E80" s="95"/>
      <c r="F80" s="95"/>
      <c r="G80" s="95"/>
      <c r="H80" s="95"/>
      <c r="I80" s="95"/>
    </row>
    <row r="81" spans="1:9" ht="23" customHeight="1">
      <c r="A81" s="95" t="s">
        <v>1035</v>
      </c>
      <c r="B81" s="95"/>
      <c r="C81" s="95"/>
      <c r="D81" s="95"/>
      <c r="E81" s="95"/>
      <c r="F81" s="95"/>
      <c r="G81" s="95"/>
      <c r="H81" s="95"/>
      <c r="I81" s="95"/>
    </row>
    <row r="82" spans="1:9" ht="23" customHeight="1">
      <c r="A82" s="95" t="s">
        <v>1036</v>
      </c>
      <c r="B82" s="95"/>
      <c r="C82" s="95"/>
      <c r="D82" s="95"/>
      <c r="E82" s="95"/>
      <c r="F82" s="95"/>
      <c r="G82" s="95"/>
      <c r="H82" s="95"/>
      <c r="I82" s="95"/>
    </row>
    <row r="83" spans="1:9" ht="23" customHeight="1">
      <c r="A83" s="95" t="s">
        <v>1037</v>
      </c>
      <c r="B83" s="95"/>
      <c r="C83" s="95"/>
      <c r="D83" s="95"/>
      <c r="E83" s="95"/>
      <c r="F83" s="95"/>
      <c r="G83" s="95"/>
      <c r="H83" s="95"/>
      <c r="I83" s="95"/>
    </row>
    <row r="84" spans="1:9" ht="23" customHeight="1">
      <c r="A84" s="95" t="s">
        <v>1038</v>
      </c>
      <c r="B84" s="95"/>
      <c r="C84" s="95"/>
      <c r="D84" s="95"/>
      <c r="E84" s="95"/>
      <c r="F84" s="95"/>
      <c r="G84" s="95"/>
      <c r="H84" s="95"/>
      <c r="I84" s="95"/>
    </row>
    <row r="85" spans="1:9" ht="23" customHeight="1">
      <c r="A85" s="95" t="s">
        <v>1039</v>
      </c>
      <c r="B85" s="95"/>
      <c r="C85" s="95"/>
      <c r="D85" s="95"/>
      <c r="E85" s="95"/>
      <c r="F85" s="95"/>
      <c r="G85" s="95"/>
      <c r="H85" s="95"/>
      <c r="I85" s="95"/>
    </row>
    <row r="86" spans="1:9" ht="23" customHeight="1">
      <c r="A86" s="95" t="s">
        <v>1040</v>
      </c>
      <c r="B86" s="95"/>
      <c r="C86" s="95"/>
      <c r="D86" s="95"/>
      <c r="E86" s="95"/>
      <c r="F86" s="95"/>
      <c r="G86" s="95"/>
      <c r="H86" s="95"/>
      <c r="I86" s="95"/>
    </row>
    <row r="87" spans="1:9" ht="23" customHeight="1">
      <c r="A87" s="95" t="s">
        <v>1048</v>
      </c>
      <c r="B87" s="95"/>
      <c r="C87" s="95"/>
      <c r="D87" s="95"/>
      <c r="E87" s="95"/>
      <c r="F87" s="95"/>
      <c r="G87" s="95"/>
      <c r="H87" s="95"/>
      <c r="I87" s="95"/>
    </row>
    <row r="88" spans="1:9" ht="23" customHeight="1">
      <c r="A88" s="54"/>
      <c r="B88" s="54"/>
      <c r="C88" s="54"/>
      <c r="D88" s="54"/>
      <c r="E88" s="54"/>
      <c r="F88" s="54"/>
      <c r="G88" s="54"/>
      <c r="H88" s="54"/>
      <c r="I88" s="54"/>
    </row>
    <row r="89" spans="1:9" ht="23" customHeight="1">
      <c r="A89" s="54" t="s">
        <v>1041</v>
      </c>
      <c r="B89" s="54"/>
      <c r="C89" s="88">
        <v>7.14</v>
      </c>
      <c r="D89" s="54"/>
      <c r="E89" s="93" t="s">
        <v>1042</v>
      </c>
      <c r="F89" s="94"/>
      <c r="G89" s="94"/>
      <c r="H89" s="94"/>
      <c r="I89" s="94"/>
    </row>
    <row r="90" spans="1:9" ht="23" customHeight="1">
      <c r="A90" s="54" t="s">
        <v>1043</v>
      </c>
      <c r="B90" s="54"/>
      <c r="C90" s="88">
        <v>7.08</v>
      </c>
      <c r="D90" s="54"/>
      <c r="E90" s="94" t="s">
        <v>1044</v>
      </c>
      <c r="F90" s="94"/>
      <c r="G90" s="94"/>
      <c r="H90" s="94"/>
      <c r="I90" s="94"/>
    </row>
    <row r="91" spans="1:9" ht="23" customHeight="1">
      <c r="A91" s="54"/>
      <c r="B91" s="54"/>
      <c r="C91" s="54"/>
      <c r="D91" s="54"/>
      <c r="E91" s="54"/>
      <c r="F91" s="54"/>
      <c r="G91" s="54"/>
      <c r="H91" s="54"/>
      <c r="I91" s="54"/>
    </row>
    <row r="92" spans="1:9" ht="23" customHeight="1">
      <c r="A92" s="54"/>
      <c r="B92" s="54"/>
      <c r="C92" s="54"/>
      <c r="D92" s="54"/>
      <c r="E92" s="54"/>
      <c r="F92" s="54"/>
      <c r="G92" s="54"/>
      <c r="H92" s="54"/>
      <c r="I92" s="54"/>
    </row>
  </sheetData>
  <mergeCells count="40">
    <mergeCell ref="A2:I2"/>
    <mergeCell ref="F3:G3"/>
    <mergeCell ref="F5:I5"/>
    <mergeCell ref="F6:I6"/>
    <mergeCell ref="F7:I7"/>
    <mergeCell ref="F8:I8"/>
    <mergeCell ref="F9:I9"/>
    <mergeCell ref="A11:I11"/>
    <mergeCell ref="E12:I12"/>
    <mergeCell ref="E13:I13"/>
    <mergeCell ref="E14:I14"/>
    <mergeCell ref="E15:I15"/>
    <mergeCell ref="E16:I16"/>
    <mergeCell ref="A18:I18"/>
    <mergeCell ref="F27:I27"/>
    <mergeCell ref="F31:I31"/>
    <mergeCell ref="F32:I32"/>
    <mergeCell ref="A19:I19"/>
    <mergeCell ref="G21:I21"/>
    <mergeCell ref="F23:I23"/>
    <mergeCell ref="F24:I24"/>
    <mergeCell ref="F25:I25"/>
    <mergeCell ref="A47:I47"/>
    <mergeCell ref="A75:I75"/>
    <mergeCell ref="A77:I77"/>
    <mergeCell ref="F33:I33"/>
    <mergeCell ref="F35:I35"/>
    <mergeCell ref="F37:I37"/>
    <mergeCell ref="A78:I78"/>
    <mergeCell ref="A79:I79"/>
    <mergeCell ref="A80:I80"/>
    <mergeCell ref="A81:I81"/>
    <mergeCell ref="A82:I82"/>
    <mergeCell ref="E89:I89"/>
    <mergeCell ref="E90:I90"/>
    <mergeCell ref="A83:I83"/>
    <mergeCell ref="A84:I84"/>
    <mergeCell ref="A85:I85"/>
    <mergeCell ref="A86:I86"/>
    <mergeCell ref="A87:I87"/>
  </mergeCells>
  <phoneticPr fontId="15" type="noConversion"/>
  <conditionalFormatting sqref="C43:D45">
    <cfRule type="containsText" dxfId="1" priority="1" operator="containsText" text="待填"/>
  </conditionalFormatting>
  <conditionalFormatting sqref="D63:H63">
    <cfRule type="cellIs" dxfId="0" priority="2" operator="lessThan">
      <formula>0</formula>
    </cfRule>
  </conditionalFormatting>
  <dataValidations count="5">
    <dataValidation type="whole" sqref="C15" xr:uid="{00000000-0002-0000-0B00-000000000000}">
      <formula1>1</formula1>
      <formula2>3</formula2>
    </dataValidation>
    <dataValidation type="decimal" operator="greaterThan" sqref="C12:C13 C39:D41 C31:D33" xr:uid="{00000000-0002-0000-0B00-000001000000}">
      <formula1>0</formula1>
    </dataValidation>
    <dataValidation type="decimal" operator="greaterThan" sqref="C23:D25" xr:uid="{00000000-0002-0000-0B00-000002000000}">
      <formula1>-1</formula1>
    </dataValidation>
    <dataValidation type="decimal" operator="lessThan" sqref="C27:D29" xr:uid="{00000000-0002-0000-0B00-000003000000}">
      <formula1>1</formula1>
    </dataValidation>
    <dataValidation type="decimal" operator="greaterThanOrEqual" sqref="C35:D37" xr:uid="{00000000-0002-0000-0B00-000005000000}">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12</vt:i4>
      </vt:variant>
    </vt:vector>
  </HeadingPairs>
  <TitlesOfParts>
    <vt:vector size="12" baseType="lpstr">
      <vt:lpstr>Cover</vt:lpstr>
      <vt:lpstr>Income Statement</vt:lpstr>
      <vt:lpstr>Balance Sheet</vt:lpstr>
      <vt:lpstr>Cash Flow</vt:lpstr>
      <vt:lpstr>Segments</vt:lpstr>
      <vt:lpstr>Operating Metrics</vt:lpstr>
      <vt:lpstr>Note Schedules</vt:lpstr>
      <vt:lpstr>Derived Metrics</vt:lpstr>
      <vt:lpstr>Year-End Schedules</vt:lpstr>
      <vt:lpstr>Outlook &amp; Text KPIs</vt:lpstr>
      <vt:lpstr>Sources</vt:lpstr>
      <vt:lpstr>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e69900</cp:lastModifiedBy>
  <dcterms:created xsi:type="dcterms:W3CDTF">2026-10-08T01:38:41Z</dcterms:created>
  <dcterms:modified xsi:type="dcterms:W3CDTF">2026-10-10T10:17:20Z</dcterms:modified>
</cp:coreProperties>
</file>