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tccc/Desktop/AI Invest/Workspace/research/companies/US/MCD-mcdonalds/outputs/company-research-to-excel-20261008/"/>
    </mc:Choice>
  </mc:AlternateContent>
  <xr:revisionPtr revIDLastSave="0" documentId="13_ncr:1_{BF023E76-C629-5048-8D29-6445539254D9}" xr6:coauthVersionLast="47" xr6:coauthVersionMax="47" xr10:uidLastSave="{00000000-0000-0000-0000-000000000000}"/>
  <bookViews>
    <workbookView xWindow="0" yWindow="600" windowWidth="38400" windowHeight="19500" activeTab="11" xr2:uid="{00000000-000D-0000-FFFF-FFFF00000000}"/>
  </bookViews>
  <sheets>
    <sheet name="Cover" sheetId="1" r:id="rId1"/>
    <sheet name="Income Statement" sheetId="2" r:id="rId2"/>
    <sheet name="Balance Sheet" sheetId="3" r:id="rId3"/>
    <sheet name="Cash Flow" sheetId="4" r:id="rId4"/>
    <sheet name="Segments" sheetId="5" r:id="rId5"/>
    <sheet name="Operating Metrics" sheetId="6" r:id="rId6"/>
    <sheet name="Note Schedules" sheetId="7" r:id="rId7"/>
    <sheet name="Derived Metrics" sheetId="10" r:id="rId8"/>
    <sheet name="Year-End Schedules" sheetId="8" r:id="rId9"/>
    <sheet name="Outlook &amp; Text KPIs" sheetId="9" r:id="rId10"/>
    <sheet name="Valuation Driver Build" sheetId="14" r:id="rId11"/>
    <sheet name="Year-End Valuation" sheetId="13" r:id="rId12"/>
    <sheet name="Sources" sheetId="11" r:id="rId13"/>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5" i="13" l="1"/>
  <c r="H29" i="13" s="1"/>
  <c r="G75" i="13"/>
  <c r="F75" i="13"/>
  <c r="E75" i="13"/>
  <c r="E29" i="13" s="1"/>
  <c r="D75" i="13"/>
  <c r="D29" i="13" s="1"/>
  <c r="G29" i="13"/>
  <c r="F29" i="13"/>
  <c r="H70" i="13"/>
  <c r="H28" i="13" s="1"/>
  <c r="G70" i="13"/>
  <c r="G28" i="13" s="1"/>
  <c r="F70" i="13"/>
  <c r="F28" i="13" s="1"/>
  <c r="E70" i="13"/>
  <c r="E28" i="13" s="1"/>
  <c r="D70" i="13"/>
  <c r="D28" i="13" s="1"/>
  <c r="H65" i="13"/>
  <c r="H27" i="13" s="1"/>
  <c r="G65" i="13"/>
  <c r="G27" i="13" s="1"/>
  <c r="F65" i="13"/>
  <c r="F27" i="13" s="1"/>
  <c r="E65" i="13"/>
  <c r="E27" i="13" s="1"/>
  <c r="D65" i="13"/>
  <c r="D27" i="13" s="1"/>
  <c r="H60" i="13"/>
  <c r="H26" i="13" s="1"/>
  <c r="G60" i="13"/>
  <c r="G26" i="13" s="1"/>
  <c r="F60" i="13"/>
  <c r="F26" i="13" s="1"/>
  <c r="E60" i="13"/>
  <c r="E26" i="13" s="1"/>
  <c r="D60" i="13"/>
  <c r="D26" i="13" s="1"/>
  <c r="H47" i="13"/>
  <c r="G47" i="13"/>
  <c r="F47" i="13"/>
  <c r="N27" i="13"/>
  <c r="M27" i="13"/>
  <c r="N26" i="13"/>
  <c r="M26" i="13"/>
  <c r="N25" i="13"/>
  <c r="M25" i="13"/>
  <c r="N24" i="13"/>
  <c r="M24" i="13"/>
  <c r="N23" i="13"/>
  <c r="M23" i="13"/>
  <c r="N22" i="13"/>
  <c r="M22" i="13"/>
  <c r="D15" i="13"/>
  <c r="C15" i="13"/>
  <c r="D13" i="13"/>
  <c r="C13" i="13"/>
  <c r="C48" i="13"/>
  <c r="U86" i="10"/>
  <c r="T86" i="10"/>
  <c r="S86" i="10"/>
  <c r="R86" i="10"/>
  <c r="Q86" i="10"/>
  <c r="P86" i="10"/>
  <c r="O86" i="10"/>
  <c r="N86" i="10"/>
  <c r="L86" i="10"/>
  <c r="K86" i="10"/>
  <c r="J86" i="10"/>
  <c r="I86" i="10"/>
  <c r="H86" i="10"/>
  <c r="G86" i="10"/>
  <c r="F86" i="10"/>
  <c r="E86" i="10"/>
  <c r="D86" i="10"/>
  <c r="C86" i="10"/>
  <c r="U84" i="10"/>
  <c r="T84" i="10"/>
  <c r="R84" i="10"/>
  <c r="Q84" i="10"/>
  <c r="P84" i="10"/>
  <c r="N84" i="10"/>
  <c r="L84" i="10"/>
  <c r="K84" i="10"/>
  <c r="J84" i="10"/>
  <c r="I84" i="10"/>
  <c r="H84" i="10"/>
  <c r="G84" i="10"/>
  <c r="F84" i="10"/>
  <c r="E84" i="10"/>
  <c r="D84" i="10"/>
  <c r="C84" i="10"/>
  <c r="U82" i="10"/>
  <c r="T82" i="10"/>
  <c r="S82" i="10"/>
  <c r="R82" i="10"/>
  <c r="Q82" i="10"/>
  <c r="P82" i="10"/>
  <c r="O82" i="10"/>
  <c r="N82" i="10"/>
  <c r="L82" i="10"/>
  <c r="K82" i="10"/>
  <c r="J82" i="10"/>
  <c r="I82" i="10"/>
  <c r="H82" i="10"/>
  <c r="G82" i="10"/>
  <c r="F82" i="10"/>
  <c r="E82" i="10"/>
  <c r="D82" i="10"/>
  <c r="C82" i="10"/>
  <c r="U80" i="10"/>
  <c r="T80" i="10"/>
  <c r="S80" i="10"/>
  <c r="R80" i="10"/>
  <c r="Q80" i="10"/>
  <c r="P80" i="10"/>
  <c r="O80" i="10"/>
  <c r="N80" i="10"/>
  <c r="L80" i="10"/>
  <c r="K80" i="10"/>
  <c r="J80" i="10"/>
  <c r="I80" i="10"/>
  <c r="H80" i="10"/>
  <c r="G80" i="10"/>
  <c r="F80" i="10"/>
  <c r="E80" i="10"/>
  <c r="D80" i="10"/>
  <c r="C80" i="10"/>
  <c r="U78" i="10"/>
  <c r="T78" i="10"/>
  <c r="S78" i="10"/>
  <c r="R78" i="10"/>
  <c r="Q78" i="10"/>
  <c r="P78" i="10"/>
  <c r="O78" i="10"/>
  <c r="N78" i="10"/>
  <c r="L78" i="10"/>
  <c r="K78" i="10"/>
  <c r="J78" i="10"/>
  <c r="I78" i="10"/>
  <c r="H78" i="10"/>
  <c r="G78" i="10"/>
  <c r="F78" i="10"/>
  <c r="E78" i="10"/>
  <c r="D78" i="10"/>
  <c r="C78" i="10"/>
  <c r="U74" i="10"/>
  <c r="T74" i="10"/>
  <c r="S74" i="10"/>
  <c r="R74" i="10"/>
  <c r="Q74" i="10"/>
  <c r="P74" i="10"/>
  <c r="O74" i="10"/>
  <c r="N74" i="10"/>
  <c r="L74" i="10"/>
  <c r="K74" i="10"/>
  <c r="J74" i="10"/>
  <c r="I74" i="10"/>
  <c r="H74" i="10"/>
  <c r="G74" i="10"/>
  <c r="F74" i="10"/>
  <c r="E74" i="10"/>
  <c r="D74" i="10"/>
  <c r="C74" i="10"/>
  <c r="L69" i="10"/>
  <c r="K69" i="10"/>
  <c r="J69" i="10"/>
  <c r="I69" i="10"/>
  <c r="H69" i="10"/>
  <c r="G69" i="10"/>
  <c r="F69" i="10"/>
  <c r="E69" i="10"/>
  <c r="D69" i="10"/>
  <c r="L66" i="10"/>
  <c r="K66" i="10"/>
  <c r="J66" i="10"/>
  <c r="I66" i="10"/>
  <c r="H66" i="10"/>
  <c r="G66" i="10"/>
  <c r="F66" i="10"/>
  <c r="E66" i="10"/>
  <c r="D66" i="10"/>
  <c r="C66" i="10"/>
  <c r="L65" i="10"/>
  <c r="K65" i="10"/>
  <c r="J65" i="10"/>
  <c r="I65" i="10"/>
  <c r="H65" i="10"/>
  <c r="G65" i="10"/>
  <c r="F65" i="10"/>
  <c r="E65" i="10"/>
  <c r="D65" i="10"/>
  <c r="C65" i="10"/>
  <c r="U57" i="10"/>
  <c r="T57" i="10"/>
  <c r="S57" i="10"/>
  <c r="R57" i="10"/>
  <c r="Q57" i="10"/>
  <c r="P57" i="10"/>
  <c r="O57" i="10"/>
  <c r="N57" i="10"/>
  <c r="L57" i="10"/>
  <c r="K57" i="10"/>
  <c r="J57" i="10"/>
  <c r="I57" i="10"/>
  <c r="H57" i="10"/>
  <c r="G57" i="10"/>
  <c r="F57" i="10"/>
  <c r="E57" i="10"/>
  <c r="D57" i="10"/>
  <c r="C57" i="10"/>
  <c r="U54" i="10"/>
  <c r="T54" i="10"/>
  <c r="S54" i="10"/>
  <c r="R54" i="10"/>
  <c r="Q54" i="10"/>
  <c r="P54" i="10"/>
  <c r="O54" i="10"/>
  <c r="N54" i="10"/>
  <c r="L54" i="10"/>
  <c r="K54" i="10"/>
  <c r="J54" i="10"/>
  <c r="I54" i="10"/>
  <c r="H54" i="10"/>
  <c r="G54" i="10"/>
  <c r="F54" i="10"/>
  <c r="E54" i="10"/>
  <c r="D54" i="10"/>
  <c r="C54" i="10"/>
  <c r="U53" i="10"/>
  <c r="T53" i="10"/>
  <c r="S53" i="10"/>
  <c r="R53" i="10"/>
  <c r="Q53" i="10"/>
  <c r="P53" i="10"/>
  <c r="O53" i="10"/>
  <c r="N53" i="10"/>
  <c r="L53" i="10"/>
  <c r="K53" i="10"/>
  <c r="J53" i="10"/>
  <c r="I53" i="10"/>
  <c r="H53" i="10"/>
  <c r="G53" i="10"/>
  <c r="F53" i="10"/>
  <c r="E53" i="10"/>
  <c r="D53" i="10"/>
  <c r="C53" i="10"/>
  <c r="U51" i="10"/>
  <c r="T51" i="10"/>
  <c r="S51" i="10"/>
  <c r="R51" i="10"/>
  <c r="Q51" i="10"/>
  <c r="P51" i="10"/>
  <c r="O51" i="10"/>
  <c r="N51" i="10"/>
  <c r="L51" i="10"/>
  <c r="K51" i="10"/>
  <c r="J51" i="10"/>
  <c r="I51" i="10"/>
  <c r="H51" i="10"/>
  <c r="G51" i="10"/>
  <c r="F51" i="10"/>
  <c r="E51" i="10"/>
  <c r="D51" i="10"/>
  <c r="C51" i="10"/>
  <c r="U48" i="10"/>
  <c r="T48" i="10"/>
  <c r="S48" i="10"/>
  <c r="R48" i="10"/>
  <c r="Q48" i="10"/>
  <c r="P48" i="10"/>
  <c r="O48" i="10"/>
  <c r="N48" i="10"/>
  <c r="L48" i="10"/>
  <c r="K48" i="10"/>
  <c r="J48" i="10"/>
  <c r="I48" i="10"/>
  <c r="H48" i="10"/>
  <c r="G48" i="10"/>
  <c r="F48" i="10"/>
  <c r="E48" i="10"/>
  <c r="D48" i="10"/>
  <c r="C48" i="10"/>
  <c r="U47" i="10"/>
  <c r="T47" i="10"/>
  <c r="S47" i="10"/>
  <c r="R47" i="10"/>
  <c r="Q47" i="10"/>
  <c r="P47" i="10"/>
  <c r="O47" i="10"/>
  <c r="N47" i="10"/>
  <c r="L47" i="10"/>
  <c r="K47" i="10"/>
  <c r="J47" i="10"/>
  <c r="I47" i="10"/>
  <c r="H47" i="10"/>
  <c r="G47" i="10"/>
  <c r="F47" i="10"/>
  <c r="E47" i="10"/>
  <c r="D47" i="10"/>
  <c r="C47" i="10"/>
  <c r="U46" i="10"/>
  <c r="T46" i="10"/>
  <c r="S46" i="10"/>
  <c r="R46" i="10"/>
  <c r="Q46" i="10"/>
  <c r="P46" i="10"/>
  <c r="O46" i="10"/>
  <c r="N46" i="10"/>
  <c r="L46" i="10"/>
  <c r="K46" i="10"/>
  <c r="J46" i="10"/>
  <c r="I46" i="10"/>
  <c r="H46" i="10"/>
  <c r="G46" i="10"/>
  <c r="F46" i="10"/>
  <c r="E46" i="10"/>
  <c r="D46" i="10"/>
  <c r="C46" i="10"/>
  <c r="L41" i="10"/>
  <c r="K41" i="10"/>
  <c r="J41" i="10"/>
  <c r="I41" i="10"/>
  <c r="H41" i="10"/>
  <c r="G41" i="10"/>
  <c r="F41" i="10"/>
  <c r="E41" i="10"/>
  <c r="D41" i="10"/>
  <c r="C41" i="10"/>
  <c r="L30" i="10"/>
  <c r="L32" i="10" s="1"/>
  <c r="K30" i="10"/>
  <c r="K32" i="10" s="1"/>
  <c r="J30" i="10"/>
  <c r="J75" i="10" s="1"/>
  <c r="I30" i="10"/>
  <c r="I32" i="10" s="1"/>
  <c r="H30" i="10"/>
  <c r="G30" i="10"/>
  <c r="F30" i="10"/>
  <c r="F32" i="10" s="1"/>
  <c r="E30" i="10"/>
  <c r="E75" i="10" s="1"/>
  <c r="D30" i="10"/>
  <c r="D31" i="10" s="1"/>
  <c r="U27" i="10"/>
  <c r="T27" i="10"/>
  <c r="S27" i="10"/>
  <c r="R27" i="10"/>
  <c r="Q27" i="10"/>
  <c r="P27" i="10"/>
  <c r="O27" i="10"/>
  <c r="N27" i="10"/>
  <c r="L27" i="10"/>
  <c r="K27" i="10"/>
  <c r="J27" i="10"/>
  <c r="I27" i="10"/>
  <c r="H27" i="10"/>
  <c r="G27" i="10"/>
  <c r="F27" i="10"/>
  <c r="E27" i="10"/>
  <c r="D27" i="10"/>
  <c r="C27" i="10"/>
  <c r="U26" i="10"/>
  <c r="T26" i="10"/>
  <c r="S26" i="10"/>
  <c r="R26" i="10"/>
  <c r="Q26" i="10"/>
  <c r="P26" i="10"/>
  <c r="O26" i="10"/>
  <c r="N26" i="10"/>
  <c r="L26" i="10"/>
  <c r="L34" i="10" s="1"/>
  <c r="K26" i="10"/>
  <c r="K34" i="10" s="1"/>
  <c r="J26" i="10"/>
  <c r="J34" i="10" s="1"/>
  <c r="I26" i="10"/>
  <c r="I34" i="10" s="1"/>
  <c r="H26" i="10"/>
  <c r="H34" i="10" s="1"/>
  <c r="G26" i="10"/>
  <c r="G34" i="10" s="1"/>
  <c r="F26" i="10"/>
  <c r="F34" i="10" s="1"/>
  <c r="E26" i="10"/>
  <c r="E34" i="10" s="1"/>
  <c r="D26" i="10"/>
  <c r="D34" i="10" s="1"/>
  <c r="C26" i="10"/>
  <c r="C34" i="10" s="1"/>
  <c r="U25" i="10"/>
  <c r="T25" i="10"/>
  <c r="S25" i="10"/>
  <c r="R25" i="10"/>
  <c r="Q25" i="10"/>
  <c r="P25" i="10"/>
  <c r="O25" i="10"/>
  <c r="N25" i="10"/>
  <c r="L25" i="10"/>
  <c r="K25" i="10"/>
  <c r="J25" i="10"/>
  <c r="I25" i="10"/>
  <c r="H25" i="10"/>
  <c r="G25" i="10"/>
  <c r="F25" i="10"/>
  <c r="E25" i="10"/>
  <c r="D25" i="10"/>
  <c r="C25" i="10"/>
  <c r="U23" i="10"/>
  <c r="T23" i="10"/>
  <c r="T52" i="10" s="1"/>
  <c r="S23" i="10"/>
  <c r="S52" i="10" s="1"/>
  <c r="R23" i="10"/>
  <c r="R24" i="10" s="1"/>
  <c r="Q23" i="10"/>
  <c r="Q52" i="10" s="1"/>
  <c r="P23" i="10"/>
  <c r="P52" i="10" s="1"/>
  <c r="O23" i="10"/>
  <c r="O24" i="10" s="1"/>
  <c r="N23" i="10"/>
  <c r="L23" i="10"/>
  <c r="L52" i="10" s="1"/>
  <c r="K23" i="10"/>
  <c r="K42" i="10" s="1"/>
  <c r="J23" i="10"/>
  <c r="J52" i="10" s="1"/>
  <c r="I23" i="10"/>
  <c r="I52" i="10" s="1"/>
  <c r="H23" i="10"/>
  <c r="H52" i="10" s="1"/>
  <c r="G23" i="10"/>
  <c r="G42" i="10" s="1"/>
  <c r="F23" i="10"/>
  <c r="E23" i="10"/>
  <c r="E52" i="10" s="1"/>
  <c r="D23" i="10"/>
  <c r="D42" i="10" s="1"/>
  <c r="C23" i="10"/>
  <c r="C42" i="10" s="1"/>
  <c r="U22" i="10"/>
  <c r="T22" i="10"/>
  <c r="S22" i="10"/>
  <c r="R22" i="10"/>
  <c r="Q22" i="10"/>
  <c r="P22" i="10"/>
  <c r="O22" i="10"/>
  <c r="N22" i="10"/>
  <c r="L22" i="10"/>
  <c r="K22" i="10"/>
  <c r="J22" i="10"/>
  <c r="I22" i="10"/>
  <c r="H22" i="10"/>
  <c r="G22" i="10"/>
  <c r="F22" i="10"/>
  <c r="E22" i="10"/>
  <c r="D22" i="10"/>
  <c r="C22" i="10"/>
  <c r="U18" i="10"/>
  <c r="T18" i="10"/>
  <c r="S18" i="10"/>
  <c r="R18" i="10"/>
  <c r="Q18" i="10"/>
  <c r="P18" i="10"/>
  <c r="O18" i="10"/>
  <c r="N18" i="10"/>
  <c r="L18" i="10"/>
  <c r="K18" i="10"/>
  <c r="J18" i="10"/>
  <c r="I18" i="10"/>
  <c r="H18" i="10"/>
  <c r="G18" i="10"/>
  <c r="F18" i="10"/>
  <c r="E18" i="10"/>
  <c r="D18" i="10"/>
  <c r="C18" i="10"/>
  <c r="U17" i="10"/>
  <c r="J287" i="14" s="1"/>
  <c r="T17" i="10"/>
  <c r="I287" i="14" s="1"/>
  <c r="S17" i="10"/>
  <c r="H287" i="14" s="1"/>
  <c r="R17" i="10"/>
  <c r="G287" i="14" s="1"/>
  <c r="Q17" i="10"/>
  <c r="F287" i="14" s="1"/>
  <c r="P17" i="10"/>
  <c r="E287" i="14" s="1"/>
  <c r="O17" i="10"/>
  <c r="D287" i="14" s="1"/>
  <c r="N17" i="10"/>
  <c r="C287" i="14" s="1"/>
  <c r="L17" i="10"/>
  <c r="L249" i="14" s="1"/>
  <c r="K17" i="10"/>
  <c r="K249" i="14" s="1"/>
  <c r="J17" i="10"/>
  <c r="J249" i="14" s="1"/>
  <c r="I17" i="10"/>
  <c r="I249" i="14" s="1"/>
  <c r="H17" i="10"/>
  <c r="H249" i="14" s="1"/>
  <c r="G17" i="10"/>
  <c r="G249" i="14" s="1"/>
  <c r="F17" i="10"/>
  <c r="F249" i="14" s="1"/>
  <c r="E17" i="10"/>
  <c r="E249" i="14" s="1"/>
  <c r="D17" i="10"/>
  <c r="D249" i="14" s="1"/>
  <c r="C17" i="10"/>
  <c r="C249" i="14" s="1"/>
  <c r="A14" i="10"/>
  <c r="A13" i="10"/>
  <c r="A12" i="10"/>
  <c r="A11" i="10"/>
  <c r="A10" i="10"/>
  <c r="A9" i="10"/>
  <c r="A8" i="10"/>
  <c r="A7" i="10"/>
  <c r="L119" i="7"/>
  <c r="K119" i="7"/>
  <c r="J119" i="7"/>
  <c r="I119" i="7"/>
  <c r="H119" i="7"/>
  <c r="G119" i="7"/>
  <c r="F119" i="7"/>
  <c r="E119" i="7"/>
  <c r="D119" i="7"/>
  <c r="C119" i="7"/>
  <c r="L114" i="7"/>
  <c r="K114" i="7"/>
  <c r="J114" i="7"/>
  <c r="I114" i="7"/>
  <c r="H114" i="7"/>
  <c r="G114" i="7"/>
  <c r="F114" i="7"/>
  <c r="E114" i="7"/>
  <c r="D114" i="7"/>
  <c r="C114" i="7"/>
  <c r="L110" i="7"/>
  <c r="K110" i="7"/>
  <c r="J110" i="7"/>
  <c r="I110" i="7"/>
  <c r="H110" i="7"/>
  <c r="G110" i="7"/>
  <c r="F110" i="7"/>
  <c r="E110" i="7"/>
  <c r="D110" i="7"/>
  <c r="C110" i="7"/>
  <c r="L104" i="7"/>
  <c r="K104" i="7"/>
  <c r="J104" i="7"/>
  <c r="I104" i="7"/>
  <c r="H104" i="7"/>
  <c r="G104" i="7"/>
  <c r="F104" i="7"/>
  <c r="E104" i="7"/>
  <c r="D104" i="7"/>
  <c r="C104" i="7"/>
  <c r="L103" i="7"/>
  <c r="K103" i="7"/>
  <c r="J103" i="7"/>
  <c r="I103" i="7"/>
  <c r="H103" i="7"/>
  <c r="G103" i="7"/>
  <c r="F103" i="7"/>
  <c r="E103" i="7"/>
  <c r="D103" i="7"/>
  <c r="C103" i="7"/>
  <c r="L80" i="7"/>
  <c r="L83" i="7" s="1"/>
  <c r="L86" i="7" s="1"/>
  <c r="K80" i="7"/>
  <c r="K83" i="7" s="1"/>
  <c r="J80" i="7"/>
  <c r="J83" i="7" s="1"/>
  <c r="J86" i="7" s="1"/>
  <c r="I80" i="7"/>
  <c r="I83" i="7" s="1"/>
  <c r="I86" i="7" s="1"/>
  <c r="H80" i="7"/>
  <c r="H84" i="7" s="1"/>
  <c r="G80" i="7"/>
  <c r="G84" i="7" s="1"/>
  <c r="F80" i="7"/>
  <c r="E80" i="7"/>
  <c r="E90" i="7" s="1"/>
  <c r="D80" i="7"/>
  <c r="D90" i="7" s="1"/>
  <c r="C80" i="7"/>
  <c r="L68" i="7"/>
  <c r="L69" i="7" s="1"/>
  <c r="K68" i="7"/>
  <c r="K69" i="7" s="1"/>
  <c r="J68" i="7"/>
  <c r="J69" i="7" s="1"/>
  <c r="I68" i="7"/>
  <c r="I69" i="7" s="1"/>
  <c r="H68" i="7"/>
  <c r="H69" i="7" s="1"/>
  <c r="G68" i="7"/>
  <c r="G69" i="7" s="1"/>
  <c r="F68" i="7"/>
  <c r="F69" i="7" s="1"/>
  <c r="E68" i="7"/>
  <c r="D68" i="7"/>
  <c r="C68" i="7"/>
  <c r="L62" i="7"/>
  <c r="K62" i="7"/>
  <c r="J62" i="7"/>
  <c r="I62" i="7"/>
  <c r="H62" i="7"/>
  <c r="G62" i="7"/>
  <c r="F62" i="7"/>
  <c r="E62" i="7"/>
  <c r="D62" i="7"/>
  <c r="C62" i="7"/>
  <c r="L61" i="7"/>
  <c r="K61" i="7"/>
  <c r="J61" i="7"/>
  <c r="I61" i="7"/>
  <c r="H61" i="7"/>
  <c r="G61" i="7"/>
  <c r="F61" i="7"/>
  <c r="E61" i="7"/>
  <c r="D61" i="7"/>
  <c r="C61" i="7"/>
  <c r="L54" i="7"/>
  <c r="K54" i="7"/>
  <c r="J54" i="7"/>
  <c r="I54" i="7"/>
  <c r="H54" i="7"/>
  <c r="G54" i="7"/>
  <c r="F54" i="7"/>
  <c r="E54" i="7"/>
  <c r="D54" i="7"/>
  <c r="C54" i="7"/>
  <c r="L53" i="7"/>
  <c r="K53" i="7"/>
  <c r="J53" i="7"/>
  <c r="I53" i="7"/>
  <c r="H53" i="7"/>
  <c r="G53" i="7"/>
  <c r="F53" i="7"/>
  <c r="E53" i="7"/>
  <c r="D53" i="7"/>
  <c r="C53" i="7"/>
  <c r="U51" i="7"/>
  <c r="T51" i="7"/>
  <c r="R51" i="7"/>
  <c r="Q51" i="7"/>
  <c r="P51" i="7"/>
  <c r="N51" i="7"/>
  <c r="U50" i="7"/>
  <c r="T50" i="7"/>
  <c r="R50" i="7"/>
  <c r="Q50" i="7"/>
  <c r="P50" i="7"/>
  <c r="N50" i="7"/>
  <c r="U49" i="7"/>
  <c r="T49" i="7"/>
  <c r="R49" i="7"/>
  <c r="Q49" i="7"/>
  <c r="P49" i="7"/>
  <c r="N49" i="7"/>
  <c r="U48" i="7"/>
  <c r="T48" i="7"/>
  <c r="R48" i="7"/>
  <c r="Q48" i="7"/>
  <c r="P48" i="7"/>
  <c r="N48" i="7"/>
  <c r="L45" i="7"/>
  <c r="K45" i="7"/>
  <c r="J45" i="7"/>
  <c r="I45" i="7"/>
  <c r="H45" i="7"/>
  <c r="G45" i="7"/>
  <c r="F45" i="7"/>
  <c r="E45" i="7"/>
  <c r="D45" i="7"/>
  <c r="C45" i="7"/>
  <c r="L44" i="7"/>
  <c r="K44" i="7"/>
  <c r="J44" i="7"/>
  <c r="I44" i="7"/>
  <c r="H44" i="7"/>
  <c r="G44" i="7"/>
  <c r="F44" i="7"/>
  <c r="E44" i="7"/>
  <c r="D44" i="7"/>
  <c r="C44" i="7"/>
  <c r="L43" i="7"/>
  <c r="K43" i="7"/>
  <c r="J43" i="7"/>
  <c r="I43" i="7"/>
  <c r="H43" i="7"/>
  <c r="G43" i="7"/>
  <c r="F43" i="7"/>
  <c r="E43" i="7"/>
  <c r="D43" i="7"/>
  <c r="C43" i="7"/>
  <c r="L42" i="7"/>
  <c r="K42" i="7"/>
  <c r="J42" i="7"/>
  <c r="I42" i="7"/>
  <c r="H42" i="7"/>
  <c r="G42" i="7"/>
  <c r="F42" i="7"/>
  <c r="E42" i="7"/>
  <c r="D42" i="7"/>
  <c r="C42" i="7"/>
  <c r="L27" i="7"/>
  <c r="K27" i="7"/>
  <c r="J27" i="7"/>
  <c r="I27" i="7"/>
  <c r="H27" i="7"/>
  <c r="G27" i="7"/>
  <c r="F27" i="7"/>
  <c r="E27" i="7"/>
  <c r="D27" i="7"/>
  <c r="L26" i="7"/>
  <c r="K26" i="7"/>
  <c r="J26" i="7"/>
  <c r="I26" i="7"/>
  <c r="H26" i="7"/>
  <c r="G26" i="7"/>
  <c r="F26" i="7"/>
  <c r="E26" i="7"/>
  <c r="D26" i="7"/>
  <c r="A15" i="7"/>
  <c r="A14" i="7"/>
  <c r="A13" i="7"/>
  <c r="A12" i="7"/>
  <c r="A11" i="7"/>
  <c r="A10" i="7"/>
  <c r="A9" i="7"/>
  <c r="A8" i="7"/>
  <c r="A7" i="7"/>
  <c r="L181" i="6"/>
  <c r="K181" i="6"/>
  <c r="J181" i="6"/>
  <c r="I181" i="6"/>
  <c r="H181" i="6"/>
  <c r="G181" i="6"/>
  <c r="F181" i="6"/>
  <c r="E181" i="6"/>
  <c r="D181" i="6"/>
  <c r="L180" i="6"/>
  <c r="K180" i="6"/>
  <c r="J180" i="6"/>
  <c r="I180" i="6"/>
  <c r="H180" i="6"/>
  <c r="G180" i="6"/>
  <c r="F180" i="6"/>
  <c r="E180" i="6"/>
  <c r="D180" i="6"/>
  <c r="L179" i="6"/>
  <c r="K179" i="6"/>
  <c r="J179" i="6"/>
  <c r="I179" i="6"/>
  <c r="H179" i="6"/>
  <c r="G179" i="6"/>
  <c r="F179" i="6"/>
  <c r="E179" i="6"/>
  <c r="D179" i="6"/>
  <c r="L170" i="6"/>
  <c r="K170" i="6"/>
  <c r="J170" i="6"/>
  <c r="I170" i="6"/>
  <c r="H170" i="6"/>
  <c r="G170" i="6"/>
  <c r="F170" i="6"/>
  <c r="F171" i="6" s="1"/>
  <c r="E170" i="6"/>
  <c r="E171" i="6" s="1"/>
  <c r="D170" i="6"/>
  <c r="D171" i="6" s="1"/>
  <c r="C170" i="6"/>
  <c r="C171" i="6" s="1"/>
  <c r="L164" i="6"/>
  <c r="K164" i="6"/>
  <c r="J164" i="6"/>
  <c r="I164" i="6"/>
  <c r="H164" i="6"/>
  <c r="L163" i="6"/>
  <c r="K163" i="6"/>
  <c r="J163" i="6"/>
  <c r="I163" i="6"/>
  <c r="H163" i="6"/>
  <c r="L162" i="6"/>
  <c r="K162" i="6"/>
  <c r="J162" i="6"/>
  <c r="I162" i="6"/>
  <c r="H162" i="6"/>
  <c r="G162" i="6"/>
  <c r="F162" i="6"/>
  <c r="E162" i="6"/>
  <c r="D162" i="6"/>
  <c r="C162" i="6"/>
  <c r="L151" i="6"/>
  <c r="K151" i="6"/>
  <c r="J151" i="6"/>
  <c r="I151" i="6"/>
  <c r="H151" i="6"/>
  <c r="L150" i="6"/>
  <c r="K150" i="6"/>
  <c r="J150" i="6"/>
  <c r="I150" i="6"/>
  <c r="H150" i="6"/>
  <c r="L142" i="6"/>
  <c r="K142" i="6"/>
  <c r="J142" i="6"/>
  <c r="I142" i="6"/>
  <c r="H142" i="6"/>
  <c r="G142" i="6"/>
  <c r="F142" i="6"/>
  <c r="E142" i="6"/>
  <c r="D142" i="6"/>
  <c r="L141" i="6"/>
  <c r="K141" i="6"/>
  <c r="J141" i="6"/>
  <c r="I141" i="6"/>
  <c r="H141" i="6"/>
  <c r="G141" i="6"/>
  <c r="F141" i="6"/>
  <c r="E141" i="6"/>
  <c r="D141" i="6"/>
  <c r="L133" i="6"/>
  <c r="K133" i="6"/>
  <c r="J133" i="6"/>
  <c r="I133" i="6"/>
  <c r="H133" i="6"/>
  <c r="G133" i="6"/>
  <c r="F133" i="6"/>
  <c r="E133" i="6"/>
  <c r="D133" i="6"/>
  <c r="C133" i="6"/>
  <c r="L132" i="6"/>
  <c r="K132" i="6"/>
  <c r="J132" i="6"/>
  <c r="I132" i="6"/>
  <c r="H132" i="6"/>
  <c r="G132" i="6"/>
  <c r="F132" i="6"/>
  <c r="E132" i="6"/>
  <c r="D132" i="6"/>
  <c r="C132" i="6"/>
  <c r="L115" i="6"/>
  <c r="K115" i="6"/>
  <c r="J115" i="6"/>
  <c r="I115" i="6"/>
  <c r="H115" i="6"/>
  <c r="G115" i="6"/>
  <c r="F115" i="6"/>
  <c r="E115" i="6"/>
  <c r="D115" i="6"/>
  <c r="C115" i="6"/>
  <c r="L114" i="6"/>
  <c r="K114" i="6"/>
  <c r="J114" i="6"/>
  <c r="I114" i="6"/>
  <c r="H114" i="6"/>
  <c r="G114" i="6"/>
  <c r="F114" i="6"/>
  <c r="E114" i="6"/>
  <c r="D114" i="6"/>
  <c r="C114" i="6"/>
  <c r="L102" i="6"/>
  <c r="L105" i="6" s="1"/>
  <c r="K102" i="6"/>
  <c r="K103" i="6" s="1"/>
  <c r="J102" i="6"/>
  <c r="J104" i="6" s="1"/>
  <c r="I102" i="6"/>
  <c r="I105" i="6" s="1"/>
  <c r="H102" i="6"/>
  <c r="H104" i="6" s="1"/>
  <c r="G102" i="6"/>
  <c r="G105" i="6" s="1"/>
  <c r="F102" i="6"/>
  <c r="E102" i="6"/>
  <c r="E103" i="6" s="1"/>
  <c r="D102" i="6"/>
  <c r="D104" i="6" s="1"/>
  <c r="C102" i="6"/>
  <c r="C105" i="6" s="1"/>
  <c r="L71" i="6"/>
  <c r="K71" i="6"/>
  <c r="J71" i="6"/>
  <c r="I71" i="6"/>
  <c r="H71" i="6"/>
  <c r="G71" i="6"/>
  <c r="F71" i="6"/>
  <c r="E71" i="6"/>
  <c r="D71" i="6"/>
  <c r="L70" i="6"/>
  <c r="K70" i="6"/>
  <c r="J70" i="6"/>
  <c r="I70" i="6"/>
  <c r="H70" i="6"/>
  <c r="G70" i="6"/>
  <c r="F70" i="6"/>
  <c r="E70" i="6"/>
  <c r="D70" i="6"/>
  <c r="L69" i="6"/>
  <c r="K69" i="6"/>
  <c r="J69" i="6"/>
  <c r="I69" i="6"/>
  <c r="H69" i="6"/>
  <c r="G69" i="6"/>
  <c r="F69" i="6"/>
  <c r="E69" i="6"/>
  <c r="L68" i="6"/>
  <c r="K68" i="6"/>
  <c r="J68" i="6"/>
  <c r="I68" i="6"/>
  <c r="H68" i="6"/>
  <c r="G68" i="6"/>
  <c r="F68" i="6"/>
  <c r="E68" i="6"/>
  <c r="L67" i="6"/>
  <c r="K67" i="6"/>
  <c r="J67" i="6"/>
  <c r="I67" i="6"/>
  <c r="H67" i="6"/>
  <c r="G67" i="6"/>
  <c r="F67" i="6"/>
  <c r="E67" i="6"/>
  <c r="L65" i="6"/>
  <c r="L66" i="6" s="1"/>
  <c r="K65" i="6"/>
  <c r="K71" i="10" s="1"/>
  <c r="J65" i="6"/>
  <c r="J71" i="10" s="1"/>
  <c r="I65" i="6"/>
  <c r="H65" i="6"/>
  <c r="H71" i="10" s="1"/>
  <c r="G65" i="6"/>
  <c r="F65" i="6"/>
  <c r="F71" i="10" s="1"/>
  <c r="E65" i="6"/>
  <c r="E66" i="6" s="1"/>
  <c r="L64" i="6"/>
  <c r="K64" i="6"/>
  <c r="J64" i="6"/>
  <c r="I64" i="6"/>
  <c r="H64" i="6"/>
  <c r="G64" i="6"/>
  <c r="F64" i="6"/>
  <c r="E64" i="6"/>
  <c r="L63" i="6"/>
  <c r="K63" i="6"/>
  <c r="J63" i="6"/>
  <c r="I63" i="6"/>
  <c r="H63" i="6"/>
  <c r="G63" i="6"/>
  <c r="F63" i="6"/>
  <c r="E63" i="6"/>
  <c r="L62" i="6"/>
  <c r="K62" i="6"/>
  <c r="J62" i="6"/>
  <c r="I62" i="6"/>
  <c r="H62" i="6"/>
  <c r="G62" i="6"/>
  <c r="F62" i="6"/>
  <c r="E62" i="6"/>
  <c r="L55" i="6"/>
  <c r="K55" i="6"/>
  <c r="J55" i="6"/>
  <c r="I55" i="6"/>
  <c r="H55" i="6"/>
  <c r="G55" i="6"/>
  <c r="F55" i="6"/>
  <c r="E55" i="6"/>
  <c r="D55" i="6"/>
  <c r="L54" i="6"/>
  <c r="K54" i="6"/>
  <c r="J54" i="6"/>
  <c r="I54" i="6"/>
  <c r="H54" i="6"/>
  <c r="G54" i="6"/>
  <c r="F54" i="6"/>
  <c r="E54" i="6"/>
  <c r="D54" i="6"/>
  <c r="L53" i="6"/>
  <c r="K53" i="6"/>
  <c r="J53" i="6"/>
  <c r="I53" i="6"/>
  <c r="H53" i="6"/>
  <c r="G53" i="6"/>
  <c r="F53" i="6"/>
  <c r="E53" i="6"/>
  <c r="D53" i="6"/>
  <c r="L51" i="6"/>
  <c r="K51" i="6"/>
  <c r="J51" i="6"/>
  <c r="I51" i="6"/>
  <c r="H51" i="6"/>
  <c r="G51" i="6"/>
  <c r="F51" i="6"/>
  <c r="E51" i="6"/>
  <c r="D51" i="6"/>
  <c r="C51" i="6"/>
  <c r="L49" i="6"/>
  <c r="K49" i="6"/>
  <c r="K68" i="10" s="1"/>
  <c r="J49" i="6"/>
  <c r="I49" i="6"/>
  <c r="I68" i="10" s="1"/>
  <c r="H49" i="6"/>
  <c r="H68" i="10" s="1"/>
  <c r="G49" i="6"/>
  <c r="G63" i="10" s="1"/>
  <c r="F49" i="6"/>
  <c r="E49" i="6"/>
  <c r="D49" i="6"/>
  <c r="C49" i="6"/>
  <c r="L44" i="6"/>
  <c r="K44" i="6"/>
  <c r="J44" i="6"/>
  <c r="I44" i="6"/>
  <c r="H44" i="6"/>
  <c r="G44" i="6"/>
  <c r="F44" i="6"/>
  <c r="E44" i="6"/>
  <c r="D44" i="6"/>
  <c r="U43" i="6"/>
  <c r="U51" i="6" s="1"/>
  <c r="T43" i="6"/>
  <c r="T51" i="6" s="1"/>
  <c r="R43" i="6"/>
  <c r="R49" i="6" s="1"/>
  <c r="Q43" i="6"/>
  <c r="P43" i="6"/>
  <c r="P49" i="6" s="1"/>
  <c r="N43" i="6"/>
  <c r="N51" i="6" s="1"/>
  <c r="U42" i="6"/>
  <c r="T42" i="6"/>
  <c r="R42" i="6"/>
  <c r="Q42" i="6"/>
  <c r="P42" i="6"/>
  <c r="N42" i="6"/>
  <c r="U41" i="6"/>
  <c r="T41" i="6"/>
  <c r="R41" i="6"/>
  <c r="Q41" i="6"/>
  <c r="P41" i="6"/>
  <c r="N41" i="6"/>
  <c r="U40" i="6"/>
  <c r="T40" i="6"/>
  <c r="R40" i="6"/>
  <c r="Q40" i="6"/>
  <c r="P40" i="6"/>
  <c r="N40" i="6"/>
  <c r="L37" i="6"/>
  <c r="K37" i="6"/>
  <c r="J37" i="6"/>
  <c r="I37" i="6"/>
  <c r="H37" i="6"/>
  <c r="G37" i="6"/>
  <c r="F37" i="6"/>
  <c r="E37" i="6"/>
  <c r="D37" i="6"/>
  <c r="C37" i="6"/>
  <c r="L36" i="6"/>
  <c r="K36" i="6"/>
  <c r="J36" i="6"/>
  <c r="I36" i="6"/>
  <c r="H36" i="6"/>
  <c r="G36" i="6"/>
  <c r="F36" i="6"/>
  <c r="E36" i="6"/>
  <c r="D36" i="6"/>
  <c r="C36" i="6"/>
  <c r="L35" i="6"/>
  <c r="K35" i="6"/>
  <c r="J35" i="6"/>
  <c r="I35" i="6"/>
  <c r="H35" i="6"/>
  <c r="G35" i="6"/>
  <c r="F35" i="6"/>
  <c r="E35" i="6"/>
  <c r="D35" i="6"/>
  <c r="L34" i="6"/>
  <c r="K34" i="6"/>
  <c r="J34" i="6"/>
  <c r="I34" i="6"/>
  <c r="H34" i="6"/>
  <c r="G34" i="6"/>
  <c r="F34" i="6"/>
  <c r="E34" i="6"/>
  <c r="L33" i="6"/>
  <c r="K33" i="6"/>
  <c r="J33" i="6"/>
  <c r="I33" i="6"/>
  <c r="H33" i="6"/>
  <c r="G33" i="6"/>
  <c r="F33" i="6"/>
  <c r="E33" i="6"/>
  <c r="L32" i="6"/>
  <c r="K32" i="6"/>
  <c r="J32" i="6"/>
  <c r="I32" i="6"/>
  <c r="H32" i="6"/>
  <c r="G32" i="6"/>
  <c r="F32" i="6"/>
  <c r="E32" i="6"/>
  <c r="L31" i="6"/>
  <c r="K31" i="6"/>
  <c r="J31" i="6"/>
  <c r="I31" i="6"/>
  <c r="H31" i="6"/>
  <c r="G31" i="6"/>
  <c r="F31" i="6"/>
  <c r="E31" i="6"/>
  <c r="L30" i="6"/>
  <c r="K30" i="6"/>
  <c r="J30" i="6"/>
  <c r="I30" i="6"/>
  <c r="H30" i="6"/>
  <c r="G30" i="6"/>
  <c r="F30" i="6"/>
  <c r="E30" i="6"/>
  <c r="L29" i="6"/>
  <c r="K29" i="6"/>
  <c r="J29" i="6"/>
  <c r="I29" i="6"/>
  <c r="H29" i="6"/>
  <c r="G29" i="6"/>
  <c r="F29" i="6"/>
  <c r="E29" i="6"/>
  <c r="A20" i="6"/>
  <c r="A19" i="6"/>
  <c r="A18" i="6"/>
  <c r="A17" i="6"/>
  <c r="A16" i="6"/>
  <c r="A15" i="6"/>
  <c r="A14" i="6"/>
  <c r="A13" i="6"/>
  <c r="A12" i="6"/>
  <c r="A11" i="6"/>
  <c r="A10" i="6"/>
  <c r="A9" i="6"/>
  <c r="A8" i="6"/>
  <c r="A7" i="6"/>
  <c r="E174" i="5"/>
  <c r="D174" i="5"/>
  <c r="C174" i="5"/>
  <c r="E173" i="5"/>
  <c r="D173" i="5"/>
  <c r="C173" i="5"/>
  <c r="L140" i="5"/>
  <c r="K140" i="5"/>
  <c r="J140" i="5"/>
  <c r="I140" i="5"/>
  <c r="H140" i="5"/>
  <c r="G140" i="5"/>
  <c r="F140" i="5"/>
  <c r="E140" i="5"/>
  <c r="D140" i="5"/>
  <c r="L139" i="5"/>
  <c r="K139" i="5"/>
  <c r="J139" i="5"/>
  <c r="I139" i="5"/>
  <c r="H139" i="5"/>
  <c r="G139" i="5"/>
  <c r="F139" i="5"/>
  <c r="E139" i="5"/>
  <c r="D139" i="5"/>
  <c r="L137" i="5"/>
  <c r="K137" i="5"/>
  <c r="J137" i="5"/>
  <c r="I137" i="5"/>
  <c r="H137" i="5"/>
  <c r="G137" i="5"/>
  <c r="F137" i="5"/>
  <c r="E137" i="5"/>
  <c r="D137" i="5"/>
  <c r="L136" i="5"/>
  <c r="K136" i="5"/>
  <c r="J136" i="5"/>
  <c r="I136" i="5"/>
  <c r="H136" i="5"/>
  <c r="G136" i="5"/>
  <c r="F136" i="5"/>
  <c r="E136" i="5"/>
  <c r="D136" i="5"/>
  <c r="L135" i="5"/>
  <c r="K135" i="5"/>
  <c r="J135" i="5"/>
  <c r="I135" i="5"/>
  <c r="H135" i="5"/>
  <c r="G135" i="5"/>
  <c r="F135" i="5"/>
  <c r="E135" i="5"/>
  <c r="D135" i="5"/>
  <c r="L126" i="5"/>
  <c r="K126" i="5"/>
  <c r="J126" i="5"/>
  <c r="I126" i="5"/>
  <c r="H126" i="5"/>
  <c r="G126" i="5"/>
  <c r="F126" i="5"/>
  <c r="E126" i="5"/>
  <c r="L124" i="5"/>
  <c r="K124" i="5"/>
  <c r="J124" i="5"/>
  <c r="I124" i="5"/>
  <c r="H124" i="5"/>
  <c r="G124" i="5"/>
  <c r="F124" i="5"/>
  <c r="E124" i="5"/>
  <c r="D124" i="5"/>
  <c r="L123" i="5"/>
  <c r="K123" i="5"/>
  <c r="J123" i="5"/>
  <c r="I123" i="5"/>
  <c r="H123" i="5"/>
  <c r="G123" i="5"/>
  <c r="F123" i="5"/>
  <c r="E123" i="5"/>
  <c r="D123" i="5"/>
  <c r="L122" i="5"/>
  <c r="K122" i="5"/>
  <c r="J122" i="5"/>
  <c r="I122" i="5"/>
  <c r="H122" i="5"/>
  <c r="G122" i="5"/>
  <c r="F122" i="5"/>
  <c r="E122" i="5"/>
  <c r="D122" i="5"/>
  <c r="L120" i="5"/>
  <c r="K120" i="5"/>
  <c r="J120" i="5"/>
  <c r="I120" i="5"/>
  <c r="H120" i="5"/>
  <c r="G120" i="5"/>
  <c r="F120" i="5"/>
  <c r="E120" i="5"/>
  <c r="D120" i="5"/>
  <c r="L119" i="5"/>
  <c r="K119" i="5"/>
  <c r="J119" i="5"/>
  <c r="I119" i="5"/>
  <c r="H119" i="5"/>
  <c r="G119" i="5"/>
  <c r="F119" i="5"/>
  <c r="E119" i="5"/>
  <c r="D119" i="5"/>
  <c r="L117" i="5"/>
  <c r="K117" i="5"/>
  <c r="J117" i="5"/>
  <c r="I117" i="5"/>
  <c r="H117" i="5"/>
  <c r="G117" i="5"/>
  <c r="F117" i="5"/>
  <c r="E117" i="5"/>
  <c r="D117" i="5"/>
  <c r="L116" i="5"/>
  <c r="K116" i="5"/>
  <c r="J116" i="5"/>
  <c r="I116" i="5"/>
  <c r="H116" i="5"/>
  <c r="G116" i="5"/>
  <c r="F116" i="5"/>
  <c r="E116" i="5"/>
  <c r="D116" i="5"/>
  <c r="L115" i="5"/>
  <c r="K115" i="5"/>
  <c r="J115" i="5"/>
  <c r="I115" i="5"/>
  <c r="H115" i="5"/>
  <c r="G115" i="5"/>
  <c r="F115" i="5"/>
  <c r="E115" i="5"/>
  <c r="D115" i="5"/>
  <c r="U109" i="5"/>
  <c r="T109" i="5"/>
  <c r="R109" i="5"/>
  <c r="Q109" i="5"/>
  <c r="P109" i="5"/>
  <c r="N109" i="5"/>
  <c r="U108" i="5"/>
  <c r="T108" i="5"/>
  <c r="R108" i="5"/>
  <c r="Q108" i="5"/>
  <c r="P108" i="5"/>
  <c r="N108" i="5"/>
  <c r="U107" i="5"/>
  <c r="T107" i="5"/>
  <c r="R107" i="5"/>
  <c r="Q107" i="5"/>
  <c r="P107" i="5"/>
  <c r="N107" i="5"/>
  <c r="L105" i="5"/>
  <c r="K105" i="5"/>
  <c r="J105" i="5"/>
  <c r="I105" i="5"/>
  <c r="H105" i="5"/>
  <c r="G105" i="5"/>
  <c r="F105" i="5"/>
  <c r="E105" i="5"/>
  <c r="D105" i="5"/>
  <c r="U104" i="5"/>
  <c r="T104" i="5"/>
  <c r="R104" i="5"/>
  <c r="Q104" i="5"/>
  <c r="P104" i="5"/>
  <c r="N104" i="5"/>
  <c r="L103" i="5"/>
  <c r="K103" i="5"/>
  <c r="J103" i="5"/>
  <c r="I103" i="5"/>
  <c r="H103" i="5"/>
  <c r="G103" i="5"/>
  <c r="F103" i="5"/>
  <c r="E103" i="5"/>
  <c r="D103" i="5"/>
  <c r="U102" i="5"/>
  <c r="T102" i="5"/>
  <c r="I285" i="14" s="1"/>
  <c r="R102" i="5"/>
  <c r="Q102" i="5"/>
  <c r="F285" i="14" s="1"/>
  <c r="P102" i="5"/>
  <c r="N102" i="5"/>
  <c r="C285" i="14" s="1"/>
  <c r="L101" i="5"/>
  <c r="K101" i="5"/>
  <c r="J101" i="5"/>
  <c r="I101" i="5"/>
  <c r="H101" i="5"/>
  <c r="G101" i="5"/>
  <c r="F101" i="5"/>
  <c r="E101" i="5"/>
  <c r="D101" i="5"/>
  <c r="U100" i="5"/>
  <c r="J283" i="14" s="1"/>
  <c r="T100" i="5"/>
  <c r="I283" i="14" s="1"/>
  <c r="R100" i="5"/>
  <c r="G283" i="14" s="1"/>
  <c r="Q100" i="5"/>
  <c r="F283" i="14" s="1"/>
  <c r="P100" i="5"/>
  <c r="E283" i="14" s="1"/>
  <c r="N100" i="5"/>
  <c r="C283" i="14" s="1"/>
  <c r="L99" i="5"/>
  <c r="K99" i="5"/>
  <c r="J99" i="5"/>
  <c r="I99" i="5"/>
  <c r="H99" i="5"/>
  <c r="G99" i="5"/>
  <c r="F99" i="5"/>
  <c r="E99" i="5"/>
  <c r="D99" i="5"/>
  <c r="U98" i="5"/>
  <c r="J281" i="14" s="1"/>
  <c r="T98" i="5"/>
  <c r="R98" i="5"/>
  <c r="G281" i="14" s="1"/>
  <c r="Q98" i="5"/>
  <c r="F281" i="14" s="1"/>
  <c r="P98" i="5"/>
  <c r="E281" i="14" s="1"/>
  <c r="N98" i="5"/>
  <c r="C281" i="14" s="1"/>
  <c r="U90" i="5"/>
  <c r="T90" i="5"/>
  <c r="R90" i="5"/>
  <c r="Q90" i="5"/>
  <c r="P90" i="5"/>
  <c r="N90" i="5"/>
  <c r="L90" i="5"/>
  <c r="K90" i="5"/>
  <c r="K94" i="5" s="1"/>
  <c r="J90" i="5"/>
  <c r="J121" i="5" s="1"/>
  <c r="I90" i="5"/>
  <c r="I94" i="5" s="1"/>
  <c r="H90" i="5"/>
  <c r="H121" i="5" s="1"/>
  <c r="G90" i="5"/>
  <c r="G121" i="5" s="1"/>
  <c r="F90" i="5"/>
  <c r="E90" i="5"/>
  <c r="E94" i="5" s="1"/>
  <c r="D90" i="5"/>
  <c r="D121" i="5" s="1"/>
  <c r="U89" i="5"/>
  <c r="T89" i="5"/>
  <c r="R89" i="5"/>
  <c r="Q89" i="5"/>
  <c r="P89" i="5"/>
  <c r="N89" i="5"/>
  <c r="U88" i="5"/>
  <c r="T88" i="5"/>
  <c r="R88" i="5"/>
  <c r="Q88" i="5"/>
  <c r="P88" i="5"/>
  <c r="N88" i="5"/>
  <c r="U87" i="5"/>
  <c r="T87" i="5"/>
  <c r="R87" i="5"/>
  <c r="Q87" i="5"/>
  <c r="P87" i="5"/>
  <c r="N87" i="5"/>
  <c r="U86" i="5"/>
  <c r="T86" i="5"/>
  <c r="T118" i="5" s="1"/>
  <c r="R86" i="5"/>
  <c r="Q86" i="5"/>
  <c r="P86" i="5"/>
  <c r="N86" i="5"/>
  <c r="L86" i="5"/>
  <c r="L118" i="5" s="1"/>
  <c r="K86" i="5"/>
  <c r="D308" i="14" s="1"/>
  <c r="O86" i="5" s="1"/>
  <c r="J86" i="5"/>
  <c r="J182" i="6" s="1"/>
  <c r="I86" i="5"/>
  <c r="I182" i="6" s="1"/>
  <c r="H86" i="5"/>
  <c r="H118" i="5" s="1"/>
  <c r="G86" i="5"/>
  <c r="G118" i="5" s="1"/>
  <c r="F86" i="5"/>
  <c r="E86" i="5"/>
  <c r="D86" i="5"/>
  <c r="D93" i="5" s="1"/>
  <c r="U85" i="5"/>
  <c r="T85" i="5"/>
  <c r="R85" i="5"/>
  <c r="Q85" i="5"/>
  <c r="P85" i="5"/>
  <c r="N85" i="5"/>
  <c r="U84" i="5"/>
  <c r="T84" i="5"/>
  <c r="R84" i="5"/>
  <c r="Q84" i="5"/>
  <c r="P84" i="5"/>
  <c r="N84" i="5"/>
  <c r="U83" i="5"/>
  <c r="T83" i="5"/>
  <c r="R83" i="5"/>
  <c r="Q83" i="5"/>
  <c r="P83" i="5"/>
  <c r="N83" i="5"/>
  <c r="L80" i="5"/>
  <c r="K80" i="5"/>
  <c r="J80" i="5"/>
  <c r="I80" i="5"/>
  <c r="H80" i="5"/>
  <c r="G80" i="5"/>
  <c r="F80" i="5"/>
  <c r="E80" i="5"/>
  <c r="D80" i="5"/>
  <c r="L75" i="5"/>
  <c r="K75" i="5"/>
  <c r="J75" i="5"/>
  <c r="I75" i="5"/>
  <c r="H75" i="5"/>
  <c r="G75" i="5"/>
  <c r="F75" i="5"/>
  <c r="E75" i="5"/>
  <c r="D75" i="5"/>
  <c r="L70" i="5"/>
  <c r="K70" i="5"/>
  <c r="J70" i="5"/>
  <c r="I70" i="5"/>
  <c r="H70" i="5"/>
  <c r="G70" i="5"/>
  <c r="F70" i="5"/>
  <c r="E70" i="5"/>
  <c r="D70" i="5"/>
  <c r="L65" i="5"/>
  <c r="K65" i="5"/>
  <c r="J65" i="5"/>
  <c r="I65" i="5"/>
  <c r="H65" i="5"/>
  <c r="G65" i="5"/>
  <c r="F65" i="5"/>
  <c r="E65" i="5"/>
  <c r="D65" i="5"/>
  <c r="L58" i="5"/>
  <c r="L59" i="5" s="1"/>
  <c r="K58" i="5"/>
  <c r="K59" i="5" s="1"/>
  <c r="J58" i="5"/>
  <c r="J59" i="5" s="1"/>
  <c r="I58" i="5"/>
  <c r="I59" i="5" s="1"/>
  <c r="H58" i="5"/>
  <c r="H59" i="5" s="1"/>
  <c r="G58" i="5"/>
  <c r="G59" i="5" s="1"/>
  <c r="F58" i="5"/>
  <c r="F59" i="5" s="1"/>
  <c r="E58" i="5"/>
  <c r="E59" i="5" s="1"/>
  <c r="D58" i="5"/>
  <c r="D59" i="5" s="1"/>
  <c r="L51" i="5"/>
  <c r="L52" i="5" s="1"/>
  <c r="K51" i="5"/>
  <c r="K52" i="5" s="1"/>
  <c r="J51" i="5"/>
  <c r="J52" i="5" s="1"/>
  <c r="I51" i="5"/>
  <c r="I52" i="5" s="1"/>
  <c r="H51" i="5"/>
  <c r="H52" i="5" s="1"/>
  <c r="G51" i="5"/>
  <c r="G52" i="5" s="1"/>
  <c r="F51" i="5"/>
  <c r="F52" i="5" s="1"/>
  <c r="E51" i="5"/>
  <c r="E52" i="5" s="1"/>
  <c r="D51" i="5"/>
  <c r="D52" i="5" s="1"/>
  <c r="L44" i="5"/>
  <c r="L45" i="5" s="1"/>
  <c r="K44" i="5"/>
  <c r="K45" i="5" s="1"/>
  <c r="J44" i="5"/>
  <c r="J45" i="5" s="1"/>
  <c r="I44" i="5"/>
  <c r="I45" i="5" s="1"/>
  <c r="H44" i="5"/>
  <c r="H45" i="5" s="1"/>
  <c r="G44" i="5"/>
  <c r="G45" i="5" s="1"/>
  <c r="F44" i="5"/>
  <c r="F45" i="5" s="1"/>
  <c r="E44" i="5"/>
  <c r="E45" i="5" s="1"/>
  <c r="D44" i="5"/>
  <c r="D45" i="5" s="1"/>
  <c r="L36" i="5"/>
  <c r="K36" i="5"/>
  <c r="J36" i="5"/>
  <c r="I36" i="5"/>
  <c r="H36" i="5"/>
  <c r="G36" i="5"/>
  <c r="F36" i="5"/>
  <c r="E36" i="5"/>
  <c r="D36" i="5"/>
  <c r="L35" i="5"/>
  <c r="K35" i="5"/>
  <c r="J35" i="5"/>
  <c r="I35" i="5"/>
  <c r="H35" i="5"/>
  <c r="G35" i="5"/>
  <c r="F35" i="5"/>
  <c r="E35" i="5"/>
  <c r="D35" i="5"/>
  <c r="L34" i="5"/>
  <c r="K34" i="5"/>
  <c r="J34" i="5"/>
  <c r="I34" i="5"/>
  <c r="H34" i="5"/>
  <c r="G34" i="5"/>
  <c r="F34" i="5"/>
  <c r="E34" i="5"/>
  <c r="D34" i="5"/>
  <c r="L33" i="5"/>
  <c r="L38" i="5" s="1"/>
  <c r="K33" i="5"/>
  <c r="K38" i="5" s="1"/>
  <c r="J33" i="5"/>
  <c r="J38" i="5" s="1"/>
  <c r="I33" i="5"/>
  <c r="I38" i="5" s="1"/>
  <c r="H33" i="5"/>
  <c r="H38" i="5" s="1"/>
  <c r="G33" i="5"/>
  <c r="G38" i="5" s="1"/>
  <c r="F33" i="5"/>
  <c r="F38" i="5" s="1"/>
  <c r="E33" i="5"/>
  <c r="E38" i="5" s="1"/>
  <c r="D33" i="5"/>
  <c r="D38" i="5" s="1"/>
  <c r="D27" i="5"/>
  <c r="L22" i="5"/>
  <c r="L26" i="5" s="1"/>
  <c r="K22" i="5"/>
  <c r="K26" i="5" s="1"/>
  <c r="J22" i="5"/>
  <c r="J25" i="5" s="1"/>
  <c r="I22" i="5"/>
  <c r="I25" i="5" s="1"/>
  <c r="H22" i="5"/>
  <c r="H25" i="5" s="1"/>
  <c r="G22" i="5"/>
  <c r="G23" i="5" s="1"/>
  <c r="F22" i="5"/>
  <c r="F23" i="5" s="1"/>
  <c r="E22" i="5"/>
  <c r="E24" i="5" s="1"/>
  <c r="D22" i="5"/>
  <c r="A16" i="5"/>
  <c r="A15" i="5"/>
  <c r="A14" i="5"/>
  <c r="A13" i="5"/>
  <c r="A12" i="5"/>
  <c r="A11" i="5"/>
  <c r="A10" i="5"/>
  <c r="A9" i="5"/>
  <c r="A8" i="5"/>
  <c r="A7" i="5"/>
  <c r="U76" i="4"/>
  <c r="T76" i="4"/>
  <c r="S76" i="4"/>
  <c r="R76" i="4"/>
  <c r="Q76" i="4"/>
  <c r="P76" i="4"/>
  <c r="O76" i="4"/>
  <c r="N76" i="4"/>
  <c r="L76" i="4"/>
  <c r="K76" i="4"/>
  <c r="J76" i="4"/>
  <c r="I76" i="4"/>
  <c r="H76" i="4"/>
  <c r="G76" i="4"/>
  <c r="F76" i="4"/>
  <c r="E76" i="4"/>
  <c r="D76" i="4"/>
  <c r="C76" i="4"/>
  <c r="U73" i="4"/>
  <c r="T73" i="4"/>
  <c r="S73" i="4"/>
  <c r="R73" i="4"/>
  <c r="Q73" i="4"/>
  <c r="P73" i="4"/>
  <c r="O73" i="4"/>
  <c r="N73" i="4"/>
  <c r="L73" i="4"/>
  <c r="K73" i="4"/>
  <c r="J73" i="4"/>
  <c r="I73" i="4"/>
  <c r="H73" i="4"/>
  <c r="G73" i="4"/>
  <c r="F73" i="4"/>
  <c r="E73" i="4"/>
  <c r="D73" i="4"/>
  <c r="C73" i="4"/>
  <c r="U71" i="4"/>
  <c r="U56" i="10" s="1"/>
  <c r="T71" i="4"/>
  <c r="I293" i="14" s="1"/>
  <c r="S71" i="4"/>
  <c r="R71" i="4"/>
  <c r="Q71" i="4"/>
  <c r="Q58" i="10" s="1"/>
  <c r="P71" i="4"/>
  <c r="P88" i="10" s="1"/>
  <c r="O71" i="4"/>
  <c r="N71" i="4"/>
  <c r="L71" i="4"/>
  <c r="K71" i="4"/>
  <c r="K74" i="4" s="1"/>
  <c r="J71" i="4"/>
  <c r="J59" i="10" s="1"/>
  <c r="I71" i="4"/>
  <c r="I257" i="14" s="1"/>
  <c r="H71" i="4"/>
  <c r="H59" i="10" s="1"/>
  <c r="G71" i="4"/>
  <c r="G59" i="10" s="1"/>
  <c r="F71" i="4"/>
  <c r="F59" i="10" s="1"/>
  <c r="E71" i="4"/>
  <c r="E74" i="4" s="1"/>
  <c r="D71" i="4"/>
  <c r="C71" i="4"/>
  <c r="C257" i="14" s="1"/>
  <c r="U68" i="4"/>
  <c r="T68" i="4"/>
  <c r="S68" i="4"/>
  <c r="R68" i="4"/>
  <c r="Q68" i="4"/>
  <c r="P68" i="4"/>
  <c r="O68" i="4"/>
  <c r="N68" i="4"/>
  <c r="L68" i="4"/>
  <c r="K68" i="4"/>
  <c r="J68" i="4"/>
  <c r="I68" i="4"/>
  <c r="H68" i="4"/>
  <c r="G68" i="4"/>
  <c r="F68" i="4"/>
  <c r="E68" i="4"/>
  <c r="D68" i="4"/>
  <c r="C68" i="4"/>
  <c r="U67" i="4"/>
  <c r="T67" i="4"/>
  <c r="S67" i="4"/>
  <c r="R67" i="4"/>
  <c r="Q67" i="4"/>
  <c r="P67" i="4"/>
  <c r="O67" i="4"/>
  <c r="N67" i="4"/>
  <c r="L67" i="4"/>
  <c r="K67" i="4"/>
  <c r="J67" i="4"/>
  <c r="I67" i="4"/>
  <c r="H67" i="4"/>
  <c r="G67" i="4"/>
  <c r="F67" i="4"/>
  <c r="E67" i="4"/>
  <c r="D67" i="4"/>
  <c r="C67" i="4"/>
  <c r="U66" i="4"/>
  <c r="T66" i="4"/>
  <c r="S66" i="4"/>
  <c r="R66" i="4"/>
  <c r="Q66" i="4"/>
  <c r="P66" i="4"/>
  <c r="O66" i="4"/>
  <c r="N66" i="4"/>
  <c r="L66" i="4"/>
  <c r="K66" i="4"/>
  <c r="J66" i="4"/>
  <c r="I66" i="4"/>
  <c r="H66" i="4"/>
  <c r="G66" i="4"/>
  <c r="F66" i="4"/>
  <c r="E66" i="4"/>
  <c r="D66" i="4"/>
  <c r="C66" i="4"/>
  <c r="U65" i="4"/>
  <c r="T65" i="4"/>
  <c r="S65" i="4"/>
  <c r="R65" i="4"/>
  <c r="Q65" i="4"/>
  <c r="P65" i="4"/>
  <c r="O65" i="4"/>
  <c r="N65" i="4"/>
  <c r="L65" i="4"/>
  <c r="K65" i="4"/>
  <c r="J65" i="4"/>
  <c r="I65" i="4"/>
  <c r="H65" i="4"/>
  <c r="G65" i="4"/>
  <c r="F65" i="4"/>
  <c r="E65" i="4"/>
  <c r="D65" i="4"/>
  <c r="C65" i="4"/>
  <c r="U63" i="4"/>
  <c r="T63" i="4"/>
  <c r="S63" i="4"/>
  <c r="R63" i="4"/>
  <c r="Q63" i="4"/>
  <c r="P63" i="4"/>
  <c r="O63" i="4"/>
  <c r="N63" i="4"/>
  <c r="L62" i="4"/>
  <c r="K62" i="4"/>
  <c r="J62" i="4"/>
  <c r="I62" i="4"/>
  <c r="H62" i="4"/>
  <c r="G62" i="4"/>
  <c r="F62" i="4"/>
  <c r="E62" i="4"/>
  <c r="D62" i="4"/>
  <c r="C62" i="4"/>
  <c r="U27" i="4"/>
  <c r="U64" i="4" s="1"/>
  <c r="T27" i="4"/>
  <c r="T64" i="4" s="1"/>
  <c r="S27" i="4"/>
  <c r="S64" i="4" s="1"/>
  <c r="R27" i="4"/>
  <c r="R64" i="4" s="1"/>
  <c r="Q27" i="4"/>
  <c r="Q64" i="4" s="1"/>
  <c r="P27" i="4"/>
  <c r="P64" i="4" s="1"/>
  <c r="O27" i="4"/>
  <c r="O64" i="4" s="1"/>
  <c r="N27" i="4"/>
  <c r="N64" i="4" s="1"/>
  <c r="L27" i="4"/>
  <c r="L64" i="4" s="1"/>
  <c r="K27" i="4"/>
  <c r="K64" i="4" s="1"/>
  <c r="J27" i="4"/>
  <c r="J64" i="4" s="1"/>
  <c r="I27" i="4"/>
  <c r="I64" i="4" s="1"/>
  <c r="H27" i="4"/>
  <c r="H64" i="4" s="1"/>
  <c r="G27" i="4"/>
  <c r="G64" i="4" s="1"/>
  <c r="F27" i="4"/>
  <c r="F64" i="4" s="1"/>
  <c r="E27" i="4"/>
  <c r="E64" i="4" s="1"/>
  <c r="D27" i="4"/>
  <c r="D64" i="4" s="1"/>
  <c r="C27" i="4"/>
  <c r="C64" i="4" s="1"/>
  <c r="A12" i="4"/>
  <c r="A11" i="4"/>
  <c r="A10" i="4"/>
  <c r="A9" i="4"/>
  <c r="A8" i="4"/>
  <c r="A7" i="4"/>
  <c r="U70" i="3"/>
  <c r="T70" i="3"/>
  <c r="S70" i="3"/>
  <c r="R70" i="3"/>
  <c r="Q70" i="3"/>
  <c r="P70" i="3"/>
  <c r="O70" i="3"/>
  <c r="N70" i="3"/>
  <c r="L70" i="3"/>
  <c r="K70" i="3"/>
  <c r="J70" i="3"/>
  <c r="I70" i="3"/>
  <c r="H70" i="3"/>
  <c r="G70" i="3"/>
  <c r="F70" i="3"/>
  <c r="E70" i="3"/>
  <c r="D70" i="3"/>
  <c r="C70" i="3"/>
  <c r="U69" i="3"/>
  <c r="U71" i="3" s="1"/>
  <c r="T69" i="3"/>
  <c r="T71" i="3" s="1"/>
  <c r="S69" i="3"/>
  <c r="S71" i="3" s="1"/>
  <c r="R69" i="3"/>
  <c r="R71" i="3" s="1"/>
  <c r="Q69" i="3"/>
  <c r="Q71" i="3" s="1"/>
  <c r="P69" i="3"/>
  <c r="P71" i="3" s="1"/>
  <c r="O69" i="3"/>
  <c r="O71" i="3" s="1"/>
  <c r="N69" i="3"/>
  <c r="N71" i="3" s="1"/>
  <c r="L69" i="3"/>
  <c r="L71" i="3" s="1"/>
  <c r="K69" i="3"/>
  <c r="J69" i="3"/>
  <c r="I69" i="3"/>
  <c r="I40" i="10" s="1"/>
  <c r="H69" i="3"/>
  <c r="G69" i="3"/>
  <c r="F69" i="3"/>
  <c r="F71" i="3" s="1"/>
  <c r="E69" i="3"/>
  <c r="E71" i="3" s="1"/>
  <c r="D69" i="3"/>
  <c r="D40" i="10" s="1"/>
  <c r="C69" i="3"/>
  <c r="U66" i="3"/>
  <c r="T66" i="3"/>
  <c r="S66" i="3"/>
  <c r="R66" i="3"/>
  <c r="Q66" i="3"/>
  <c r="P66" i="3"/>
  <c r="O66" i="3"/>
  <c r="N66" i="3"/>
  <c r="L66" i="3"/>
  <c r="K66" i="3"/>
  <c r="J66" i="3"/>
  <c r="I66" i="3"/>
  <c r="H66" i="3"/>
  <c r="G66" i="3"/>
  <c r="F66" i="3"/>
  <c r="E66" i="3"/>
  <c r="D66" i="3"/>
  <c r="C66" i="3"/>
  <c r="U65" i="3"/>
  <c r="T65" i="3"/>
  <c r="S65" i="3"/>
  <c r="R65" i="3"/>
  <c r="Q65" i="3"/>
  <c r="P65" i="3"/>
  <c r="O65" i="3"/>
  <c r="N65" i="3"/>
  <c r="L65" i="3"/>
  <c r="K65" i="3"/>
  <c r="J65" i="3"/>
  <c r="I65" i="3"/>
  <c r="H65" i="3"/>
  <c r="G65" i="3"/>
  <c r="F65" i="3"/>
  <c r="E65" i="3"/>
  <c r="D65" i="3"/>
  <c r="C65" i="3"/>
  <c r="U64" i="3"/>
  <c r="T64" i="3"/>
  <c r="S64" i="3"/>
  <c r="R64" i="3"/>
  <c r="Q64" i="3"/>
  <c r="P64" i="3"/>
  <c r="O64" i="3"/>
  <c r="N64" i="3"/>
  <c r="L64" i="3"/>
  <c r="K64" i="3"/>
  <c r="J64" i="3"/>
  <c r="I64" i="3"/>
  <c r="H64" i="3"/>
  <c r="G64" i="3"/>
  <c r="F64" i="3"/>
  <c r="E64" i="3"/>
  <c r="D64" i="3"/>
  <c r="C64" i="3"/>
  <c r="U63" i="3"/>
  <c r="T63" i="3"/>
  <c r="S63" i="3"/>
  <c r="R63" i="3"/>
  <c r="Q63" i="3"/>
  <c r="P63" i="3"/>
  <c r="O63" i="3"/>
  <c r="N63" i="3"/>
  <c r="L63" i="3"/>
  <c r="K63" i="3"/>
  <c r="J63" i="3"/>
  <c r="I63" i="3"/>
  <c r="H63" i="3"/>
  <c r="G63" i="3"/>
  <c r="F63" i="3"/>
  <c r="E63" i="3"/>
  <c r="D63" i="3"/>
  <c r="C63" i="3"/>
  <c r="U62" i="3"/>
  <c r="T62" i="3"/>
  <c r="S62" i="3"/>
  <c r="R62" i="3"/>
  <c r="Q62" i="3"/>
  <c r="P62" i="3"/>
  <c r="O62" i="3"/>
  <c r="N62" i="3"/>
  <c r="L62" i="3"/>
  <c r="K62" i="3"/>
  <c r="J62" i="3"/>
  <c r="I62" i="3"/>
  <c r="H62" i="3"/>
  <c r="G62" i="3"/>
  <c r="F62" i="3"/>
  <c r="E62" i="3"/>
  <c r="D62" i="3"/>
  <c r="C62" i="3"/>
  <c r="U61" i="3"/>
  <c r="T61" i="3"/>
  <c r="S61" i="3"/>
  <c r="R61" i="3"/>
  <c r="Q61" i="3"/>
  <c r="P61" i="3"/>
  <c r="O61" i="3"/>
  <c r="N61" i="3"/>
  <c r="L61" i="3"/>
  <c r="K61" i="3"/>
  <c r="J61" i="3"/>
  <c r="I61" i="3"/>
  <c r="H61" i="3"/>
  <c r="G61" i="3"/>
  <c r="F61" i="3"/>
  <c r="E61" i="3"/>
  <c r="D61" i="3"/>
  <c r="C61" i="3"/>
  <c r="U58" i="3"/>
  <c r="T58" i="3"/>
  <c r="S58" i="3"/>
  <c r="R58" i="3"/>
  <c r="Q58" i="3"/>
  <c r="P58" i="3"/>
  <c r="O58" i="3"/>
  <c r="N58" i="3"/>
  <c r="L58" i="3"/>
  <c r="K58" i="3"/>
  <c r="J58" i="3"/>
  <c r="I58" i="3"/>
  <c r="H58" i="3"/>
  <c r="G58" i="3"/>
  <c r="F58" i="3"/>
  <c r="E58" i="3"/>
  <c r="D58" i="3"/>
  <c r="C58" i="3"/>
  <c r="A11" i="3"/>
  <c r="A10" i="3"/>
  <c r="A9" i="3"/>
  <c r="A8" i="3"/>
  <c r="A7" i="3"/>
  <c r="U58" i="2"/>
  <c r="T58" i="2"/>
  <c r="S58" i="2"/>
  <c r="R58" i="2"/>
  <c r="Q58" i="2"/>
  <c r="P58" i="2"/>
  <c r="O58" i="2"/>
  <c r="N58" i="2"/>
  <c r="L58" i="2"/>
  <c r="K58" i="2"/>
  <c r="J58" i="2"/>
  <c r="I58" i="2"/>
  <c r="H58" i="2"/>
  <c r="G58" i="2"/>
  <c r="F58" i="2"/>
  <c r="E58" i="2"/>
  <c r="D58" i="2"/>
  <c r="C58" i="2"/>
  <c r="U57" i="2"/>
  <c r="T57" i="2"/>
  <c r="S57" i="2"/>
  <c r="R57" i="2"/>
  <c r="Q57" i="2"/>
  <c r="P57" i="2"/>
  <c r="O57" i="2"/>
  <c r="N57" i="2"/>
  <c r="L57" i="2"/>
  <c r="K57" i="2"/>
  <c r="J57" i="2"/>
  <c r="I57" i="2"/>
  <c r="H57" i="2"/>
  <c r="G57" i="2"/>
  <c r="F57" i="2"/>
  <c r="E57" i="2"/>
  <c r="D57" i="2"/>
  <c r="C57" i="2"/>
  <c r="U56" i="2"/>
  <c r="T56" i="2"/>
  <c r="S56" i="2"/>
  <c r="R56" i="2"/>
  <c r="Q56" i="2"/>
  <c r="P56" i="2"/>
  <c r="O56" i="2"/>
  <c r="N56" i="2"/>
  <c r="L56" i="2"/>
  <c r="K56" i="2"/>
  <c r="J56" i="2"/>
  <c r="I56" i="2"/>
  <c r="H56" i="2"/>
  <c r="G56" i="2"/>
  <c r="F56" i="2"/>
  <c r="E56" i="2"/>
  <c r="D56" i="2"/>
  <c r="C56" i="2"/>
  <c r="U54" i="2"/>
  <c r="T54" i="2"/>
  <c r="S54" i="2"/>
  <c r="R54" i="2"/>
  <c r="Q54" i="2"/>
  <c r="P54" i="2"/>
  <c r="O54" i="2"/>
  <c r="N54" i="2"/>
  <c r="L54" i="2"/>
  <c r="K54" i="2"/>
  <c r="J54" i="2"/>
  <c r="I54" i="2"/>
  <c r="H54" i="2"/>
  <c r="G54" i="2"/>
  <c r="F54" i="2"/>
  <c r="E54" i="2"/>
  <c r="D54" i="2"/>
  <c r="C54" i="2"/>
  <c r="S51" i="2"/>
  <c r="H297" i="14" s="1"/>
  <c r="O51" i="2"/>
  <c r="D297" i="14" s="1"/>
  <c r="U48" i="2"/>
  <c r="T48" i="2"/>
  <c r="R48" i="2"/>
  <c r="L48" i="2"/>
  <c r="K48" i="2"/>
  <c r="J48" i="2"/>
  <c r="I48" i="2"/>
  <c r="H48" i="2"/>
  <c r="G48" i="2"/>
  <c r="F48" i="2"/>
  <c r="E48" i="2"/>
  <c r="D48" i="2"/>
  <c r="S47" i="2"/>
  <c r="S84" i="10" s="1"/>
  <c r="O47" i="2"/>
  <c r="O84" i="10" s="1"/>
  <c r="U43" i="2"/>
  <c r="T43" i="2"/>
  <c r="S43" i="2"/>
  <c r="R43" i="2"/>
  <c r="L43" i="2"/>
  <c r="K43" i="2"/>
  <c r="J43" i="2"/>
  <c r="I43" i="2"/>
  <c r="H43" i="2"/>
  <c r="G43" i="2"/>
  <c r="F43" i="2"/>
  <c r="E43" i="2"/>
  <c r="D43" i="2"/>
  <c r="U42" i="2"/>
  <c r="T42" i="2"/>
  <c r="S42" i="2"/>
  <c r="R42" i="2"/>
  <c r="Q42" i="2"/>
  <c r="P42" i="2"/>
  <c r="O42" i="2"/>
  <c r="N42" i="2"/>
  <c r="L42" i="2"/>
  <c r="K42" i="2"/>
  <c r="J42" i="2"/>
  <c r="I42" i="2"/>
  <c r="H42" i="2"/>
  <c r="G42" i="2"/>
  <c r="F42" i="2"/>
  <c r="E42" i="2"/>
  <c r="D42" i="2"/>
  <c r="C42" i="2"/>
  <c r="U35" i="2"/>
  <c r="T35" i="2"/>
  <c r="S35" i="2"/>
  <c r="R35" i="2"/>
  <c r="L35" i="2"/>
  <c r="K35" i="2"/>
  <c r="J35" i="2"/>
  <c r="I35" i="2"/>
  <c r="H35" i="2"/>
  <c r="G35" i="2"/>
  <c r="F35" i="2"/>
  <c r="E35" i="2"/>
  <c r="D35" i="2"/>
  <c r="U34" i="2"/>
  <c r="T34" i="2"/>
  <c r="S34" i="2"/>
  <c r="R34" i="2"/>
  <c r="Q34" i="2"/>
  <c r="P34" i="2"/>
  <c r="O34" i="2"/>
  <c r="N34" i="2"/>
  <c r="L34" i="2"/>
  <c r="K34" i="2"/>
  <c r="J34" i="2"/>
  <c r="I34" i="2"/>
  <c r="H34" i="2"/>
  <c r="G34" i="2"/>
  <c r="F34" i="2"/>
  <c r="E34" i="2"/>
  <c r="D34" i="2"/>
  <c r="C34" i="2"/>
  <c r="U30" i="2"/>
  <c r="T30" i="2"/>
  <c r="T21" i="10" s="1"/>
  <c r="S30" i="2"/>
  <c r="S21" i="10" s="1"/>
  <c r="R30" i="2"/>
  <c r="C39" i="14" s="1"/>
  <c r="Q30" i="2"/>
  <c r="P30" i="2"/>
  <c r="P21" i="10" s="1"/>
  <c r="O30" i="2"/>
  <c r="N30" i="2"/>
  <c r="L30" i="2"/>
  <c r="L138" i="5" s="1"/>
  <c r="K30" i="2"/>
  <c r="K265" i="14" s="1"/>
  <c r="J30" i="2"/>
  <c r="J265" i="14" s="1"/>
  <c r="I30" i="2"/>
  <c r="H30" i="2"/>
  <c r="H265" i="14" s="1"/>
  <c r="G30" i="2"/>
  <c r="F30" i="2"/>
  <c r="E30" i="2"/>
  <c r="E21" i="10" s="1"/>
  <c r="D30" i="2"/>
  <c r="D265" i="14" s="1"/>
  <c r="C30" i="2"/>
  <c r="C265" i="14" s="1"/>
  <c r="U25" i="2"/>
  <c r="T25" i="2"/>
  <c r="S25" i="2"/>
  <c r="R25" i="2"/>
  <c r="Q25" i="2"/>
  <c r="Q20" i="10" s="1"/>
  <c r="P25" i="2"/>
  <c r="O25" i="2"/>
  <c r="N25" i="2"/>
  <c r="L25" i="2"/>
  <c r="K25" i="2"/>
  <c r="J25" i="2"/>
  <c r="I25" i="2"/>
  <c r="H25" i="2"/>
  <c r="H125" i="5" s="1"/>
  <c r="G25" i="2"/>
  <c r="F25" i="2"/>
  <c r="E25" i="2"/>
  <c r="D25" i="2"/>
  <c r="C25" i="2"/>
  <c r="U18" i="2"/>
  <c r="T18" i="2"/>
  <c r="S18" i="2"/>
  <c r="R18" i="2"/>
  <c r="L18" i="2"/>
  <c r="K18" i="2"/>
  <c r="J18" i="2"/>
  <c r="I18" i="2"/>
  <c r="H18" i="2"/>
  <c r="G18" i="2"/>
  <c r="F18" i="2"/>
  <c r="E18" i="2"/>
  <c r="D18" i="2"/>
  <c r="L15" i="2"/>
  <c r="K15" i="2"/>
  <c r="J15" i="2"/>
  <c r="I15" i="2"/>
  <c r="H15" i="2"/>
  <c r="G15" i="2"/>
  <c r="F15" i="2"/>
  <c r="E15" i="2"/>
  <c r="D15" i="2"/>
  <c r="U13" i="2"/>
  <c r="T13" i="2"/>
  <c r="S13" i="2"/>
  <c r="R13" i="2"/>
  <c r="L13" i="2"/>
  <c r="K13" i="2"/>
  <c r="J13" i="2"/>
  <c r="I13" i="2"/>
  <c r="H13" i="2"/>
  <c r="G13" i="2"/>
  <c r="F13" i="2"/>
  <c r="E13" i="2"/>
  <c r="D13" i="2"/>
  <c r="A9" i="2"/>
  <c r="A8" i="2"/>
  <c r="A7" i="2"/>
  <c r="H327" i="14"/>
  <c r="S51" i="7" s="1"/>
  <c r="D327" i="14"/>
  <c r="O51" i="7" s="1"/>
  <c r="H326" i="14"/>
  <c r="S50" i="7" s="1"/>
  <c r="D326" i="14"/>
  <c r="O50" i="7" s="1"/>
  <c r="H325" i="14"/>
  <c r="S49" i="7" s="1"/>
  <c r="D325" i="14"/>
  <c r="O49" i="7" s="1"/>
  <c r="H324" i="14"/>
  <c r="D324" i="14"/>
  <c r="O48" i="7" s="1"/>
  <c r="H323" i="14"/>
  <c r="S43" i="6" s="1"/>
  <c r="D323" i="14"/>
  <c r="O43" i="6" s="1"/>
  <c r="H322" i="14"/>
  <c r="S42" i="6" s="1"/>
  <c r="D322" i="14"/>
  <c r="O42" i="6" s="1"/>
  <c r="H321" i="14"/>
  <c r="S41" i="6" s="1"/>
  <c r="D321" i="14"/>
  <c r="O41" i="6" s="1"/>
  <c r="H320" i="14"/>
  <c r="S40" i="6" s="1"/>
  <c r="D320" i="14"/>
  <c r="O40" i="6" s="1"/>
  <c r="H319" i="14"/>
  <c r="S109" i="5" s="1"/>
  <c r="D319" i="14"/>
  <c r="O109" i="5" s="1"/>
  <c r="H318" i="14"/>
  <c r="S108" i="5" s="1"/>
  <c r="D318" i="14"/>
  <c r="O108" i="5" s="1"/>
  <c r="H317" i="14"/>
  <c r="S107" i="5" s="1"/>
  <c r="D317" i="14"/>
  <c r="O107" i="5" s="1"/>
  <c r="H316" i="14"/>
  <c r="S104" i="5" s="1"/>
  <c r="D316" i="14"/>
  <c r="O104" i="5" s="1"/>
  <c r="H315" i="14"/>
  <c r="S102" i="5" s="1"/>
  <c r="H285" i="14" s="1"/>
  <c r="D315" i="14"/>
  <c r="O102" i="5" s="1"/>
  <c r="H314" i="14"/>
  <c r="S100" i="5" s="1"/>
  <c r="H283" i="14" s="1"/>
  <c r="D314" i="14"/>
  <c r="O100" i="5" s="1"/>
  <c r="H313" i="14"/>
  <c r="S98" i="5" s="1"/>
  <c r="H281" i="14" s="1"/>
  <c r="D313" i="14"/>
  <c r="O98" i="5" s="1"/>
  <c r="H311" i="14"/>
  <c r="S89" i="5" s="1"/>
  <c r="D311" i="14"/>
  <c r="O89" i="5" s="1"/>
  <c r="H310" i="14"/>
  <c r="S88" i="5" s="1"/>
  <c r="D310" i="14"/>
  <c r="O88" i="5" s="1"/>
  <c r="H309" i="14"/>
  <c r="S87" i="5" s="1"/>
  <c r="D309" i="14"/>
  <c r="O87" i="5" s="1"/>
  <c r="H307" i="14"/>
  <c r="S85" i="5" s="1"/>
  <c r="D307" i="14"/>
  <c r="O85" i="5" s="1"/>
  <c r="H306" i="14"/>
  <c r="S84" i="5" s="1"/>
  <c r="D306" i="14"/>
  <c r="O84" i="5" s="1"/>
  <c r="H305" i="14"/>
  <c r="S83" i="5" s="1"/>
  <c r="D305" i="14"/>
  <c r="O83" i="5" s="1"/>
  <c r="J301" i="14"/>
  <c r="I301" i="14"/>
  <c r="H301" i="14"/>
  <c r="G301" i="14"/>
  <c r="F301" i="14"/>
  <c r="E301" i="14"/>
  <c r="D301" i="14"/>
  <c r="C301" i="14"/>
  <c r="J300" i="14"/>
  <c r="I300" i="14"/>
  <c r="H300" i="14"/>
  <c r="G300" i="14"/>
  <c r="F300" i="14"/>
  <c r="E300" i="14"/>
  <c r="D300" i="14"/>
  <c r="C300" i="14"/>
  <c r="J299" i="14"/>
  <c r="I299" i="14"/>
  <c r="H299" i="14"/>
  <c r="G299" i="14"/>
  <c r="F299" i="14"/>
  <c r="E299" i="14"/>
  <c r="D299" i="14"/>
  <c r="C299" i="14"/>
  <c r="J298" i="14"/>
  <c r="I298" i="14"/>
  <c r="H298" i="14"/>
  <c r="G298" i="14"/>
  <c r="F298" i="14"/>
  <c r="E298" i="14"/>
  <c r="D298" i="14"/>
  <c r="C298" i="14"/>
  <c r="J297" i="14"/>
  <c r="I297" i="14"/>
  <c r="G297" i="14"/>
  <c r="F297" i="14"/>
  <c r="E297" i="14"/>
  <c r="C297" i="14"/>
  <c r="J295" i="14"/>
  <c r="I295" i="14"/>
  <c r="H295" i="14"/>
  <c r="G295" i="14"/>
  <c r="F295" i="14"/>
  <c r="E295" i="14"/>
  <c r="D295" i="14"/>
  <c r="C295" i="14"/>
  <c r="J292" i="14"/>
  <c r="I292" i="14"/>
  <c r="H292" i="14"/>
  <c r="G292" i="14"/>
  <c r="F292" i="14"/>
  <c r="E292" i="14"/>
  <c r="D292" i="14"/>
  <c r="C292" i="14"/>
  <c r="J291" i="14"/>
  <c r="I291" i="14"/>
  <c r="H291" i="14"/>
  <c r="G291" i="14"/>
  <c r="F291" i="14"/>
  <c r="E291" i="14"/>
  <c r="D291" i="14"/>
  <c r="C291" i="14"/>
  <c r="J290" i="14"/>
  <c r="I290" i="14"/>
  <c r="H290" i="14"/>
  <c r="G290" i="14"/>
  <c r="F290" i="14"/>
  <c r="E290" i="14"/>
  <c r="D290" i="14"/>
  <c r="C290" i="14"/>
  <c r="L277" i="14"/>
  <c r="K277" i="14"/>
  <c r="J277" i="14"/>
  <c r="I277" i="14"/>
  <c r="H277" i="14"/>
  <c r="G277" i="14"/>
  <c r="F277" i="14"/>
  <c r="E277" i="14"/>
  <c r="D277" i="14"/>
  <c r="C277" i="14"/>
  <c r="L276" i="14"/>
  <c r="K276" i="14"/>
  <c r="J276" i="14"/>
  <c r="I276" i="14"/>
  <c r="H276" i="14"/>
  <c r="G276" i="14"/>
  <c r="F276" i="14"/>
  <c r="E276" i="14"/>
  <c r="D276" i="14"/>
  <c r="C276" i="14"/>
  <c r="L275" i="14"/>
  <c r="K275" i="14"/>
  <c r="J275" i="14"/>
  <c r="I275" i="14"/>
  <c r="H275" i="14"/>
  <c r="G275" i="14"/>
  <c r="F275" i="14"/>
  <c r="E275" i="14"/>
  <c r="D275" i="14"/>
  <c r="C275" i="14"/>
  <c r="L274" i="14"/>
  <c r="K274" i="14"/>
  <c r="J274" i="14"/>
  <c r="I274" i="14"/>
  <c r="H274" i="14"/>
  <c r="G274" i="14"/>
  <c r="F274" i="14"/>
  <c r="E274" i="14"/>
  <c r="D274" i="14"/>
  <c r="C274" i="14"/>
  <c r="L272" i="14"/>
  <c r="K272" i="14"/>
  <c r="J272" i="14"/>
  <c r="I272" i="14"/>
  <c r="H272" i="14"/>
  <c r="G272" i="14"/>
  <c r="F272" i="14"/>
  <c r="E272" i="14"/>
  <c r="D272" i="14"/>
  <c r="C272" i="14"/>
  <c r="L270" i="14"/>
  <c r="K270" i="14"/>
  <c r="J270" i="14"/>
  <c r="I270" i="14"/>
  <c r="H270" i="14"/>
  <c r="G270" i="14"/>
  <c r="F270" i="14"/>
  <c r="E270" i="14"/>
  <c r="D270" i="14"/>
  <c r="C270" i="14"/>
  <c r="L268" i="14"/>
  <c r="K268" i="14"/>
  <c r="J268" i="14"/>
  <c r="I268" i="14"/>
  <c r="H268" i="14"/>
  <c r="G268" i="14"/>
  <c r="F268" i="14"/>
  <c r="E268" i="14"/>
  <c r="D268" i="14"/>
  <c r="C268" i="14"/>
  <c r="L264" i="14"/>
  <c r="K264" i="14"/>
  <c r="J264" i="14"/>
  <c r="I264" i="14"/>
  <c r="H264" i="14"/>
  <c r="G264" i="14"/>
  <c r="F264" i="14"/>
  <c r="E264" i="14"/>
  <c r="D264" i="14"/>
  <c r="C264" i="14"/>
  <c r="L262" i="14"/>
  <c r="K262" i="14"/>
  <c r="J262" i="14"/>
  <c r="I262" i="14"/>
  <c r="H262" i="14"/>
  <c r="G262" i="14"/>
  <c r="F262" i="14"/>
  <c r="E262" i="14"/>
  <c r="D262" i="14"/>
  <c r="C262" i="14"/>
  <c r="L261" i="14"/>
  <c r="K261" i="14"/>
  <c r="J261" i="14"/>
  <c r="I261" i="14"/>
  <c r="H261" i="14"/>
  <c r="G261" i="14"/>
  <c r="F261" i="14"/>
  <c r="E261" i="14"/>
  <c r="D261" i="14"/>
  <c r="C261" i="14"/>
  <c r="L259" i="14"/>
  <c r="K259" i="14"/>
  <c r="J259" i="14"/>
  <c r="I259" i="14"/>
  <c r="H259" i="14"/>
  <c r="G259" i="14"/>
  <c r="F259" i="14"/>
  <c r="E259" i="14"/>
  <c r="D259" i="14"/>
  <c r="C259" i="14"/>
  <c r="L256" i="14"/>
  <c r="K256" i="14"/>
  <c r="J256" i="14"/>
  <c r="I256" i="14"/>
  <c r="H256" i="14"/>
  <c r="G256" i="14"/>
  <c r="F256" i="14"/>
  <c r="E256" i="14"/>
  <c r="D256" i="14"/>
  <c r="C256" i="14"/>
  <c r="L255" i="14"/>
  <c r="K255" i="14"/>
  <c r="J255" i="14"/>
  <c r="I255" i="14"/>
  <c r="H255" i="14"/>
  <c r="G255" i="14"/>
  <c r="F255" i="14"/>
  <c r="E255" i="14"/>
  <c r="D255" i="14"/>
  <c r="C255" i="14"/>
  <c r="D254" i="14"/>
  <c r="C254" i="14"/>
  <c r="L253" i="14"/>
  <c r="K253" i="14"/>
  <c r="J253" i="14"/>
  <c r="I253" i="14"/>
  <c r="H253" i="14"/>
  <c r="G253" i="14"/>
  <c r="F253" i="14"/>
  <c r="E253" i="14"/>
  <c r="D253" i="14"/>
  <c r="C253" i="14"/>
  <c r="L252" i="14"/>
  <c r="K252" i="14"/>
  <c r="J252" i="14"/>
  <c r="I252" i="14"/>
  <c r="H252" i="14"/>
  <c r="G252" i="14"/>
  <c r="F252" i="14"/>
  <c r="E252" i="14"/>
  <c r="D252" i="14"/>
  <c r="C252" i="14"/>
  <c r="L247" i="14"/>
  <c r="K247" i="14"/>
  <c r="J247" i="14"/>
  <c r="I247" i="14"/>
  <c r="H247" i="14"/>
  <c r="G247" i="14"/>
  <c r="F247" i="14"/>
  <c r="E247" i="14"/>
  <c r="D247" i="14"/>
  <c r="C247" i="14"/>
  <c r="H226" i="14"/>
  <c r="G226" i="14"/>
  <c r="F226" i="14"/>
  <c r="E226" i="14"/>
  <c r="D226" i="14"/>
  <c r="H225" i="14"/>
  <c r="G225" i="14"/>
  <c r="F225" i="14"/>
  <c r="E225" i="14"/>
  <c r="D225" i="14"/>
  <c r="H224" i="14"/>
  <c r="G224" i="14"/>
  <c r="F224" i="14"/>
  <c r="E224" i="14"/>
  <c r="D224" i="14"/>
  <c r="C213" i="14"/>
  <c r="C212" i="14"/>
  <c r="H196" i="14"/>
  <c r="G196" i="14"/>
  <c r="F196" i="14"/>
  <c r="E196" i="14"/>
  <c r="D196" i="14"/>
  <c r="H191" i="14"/>
  <c r="G191" i="14"/>
  <c r="F191" i="14"/>
  <c r="E191" i="14"/>
  <c r="D191" i="14"/>
  <c r="H182" i="14"/>
  <c r="G182" i="14"/>
  <c r="F182" i="14"/>
  <c r="E182" i="14"/>
  <c r="D182" i="14"/>
  <c r="D181" i="14"/>
  <c r="E181" i="14" s="1"/>
  <c r="F181" i="14" s="1"/>
  <c r="G181" i="14" s="1"/>
  <c r="H181" i="14" s="1"/>
  <c r="H180" i="14"/>
  <c r="G180" i="14"/>
  <c r="F180" i="14"/>
  <c r="E180" i="14"/>
  <c r="D180" i="14"/>
  <c r="D157" i="14"/>
  <c r="D156" i="14"/>
  <c r="H153" i="14"/>
  <c r="H155" i="14" s="1"/>
  <c r="H161" i="14" s="1"/>
  <c r="G153" i="14"/>
  <c r="G155" i="14" s="1"/>
  <c r="G161" i="14" s="1"/>
  <c r="F153" i="14"/>
  <c r="E153" i="14"/>
  <c r="E155" i="14" s="1"/>
  <c r="E161" i="14" s="1"/>
  <c r="D153" i="14"/>
  <c r="D145" i="14"/>
  <c r="H100" i="14"/>
  <c r="G100" i="14"/>
  <c r="F100" i="14"/>
  <c r="E100" i="14"/>
  <c r="D100" i="14"/>
  <c r="H99" i="14"/>
  <c r="G99" i="14"/>
  <c r="F99" i="14"/>
  <c r="E99" i="14"/>
  <c r="D99" i="14"/>
  <c r="H98" i="14"/>
  <c r="G98" i="14"/>
  <c r="F98" i="14"/>
  <c r="E98" i="14"/>
  <c r="D98" i="14"/>
  <c r="G82" i="14"/>
  <c r="D81" i="14"/>
  <c r="C81" i="14"/>
  <c r="D80" i="14"/>
  <c r="C80" i="14"/>
  <c r="F79" i="14"/>
  <c r="E79" i="14"/>
  <c r="D72" i="14"/>
  <c r="C72" i="14"/>
  <c r="D71" i="14"/>
  <c r="C71" i="14"/>
  <c r="D70" i="14"/>
  <c r="C70" i="14"/>
  <c r="D69" i="14"/>
  <c r="C69" i="14"/>
  <c r="D68" i="14"/>
  <c r="C68" i="14"/>
  <c r="D67" i="14"/>
  <c r="C67" i="14"/>
  <c r="D62" i="14"/>
  <c r="C62" i="14"/>
  <c r="D61" i="14"/>
  <c r="C61" i="14"/>
  <c r="D60" i="14"/>
  <c r="C60" i="14"/>
  <c r="D58" i="14"/>
  <c r="C58" i="14"/>
  <c r="D57" i="14"/>
  <c r="C57" i="14"/>
  <c r="D56" i="14"/>
  <c r="C56" i="14"/>
  <c r="D51" i="14"/>
  <c r="C51" i="14"/>
  <c r="D50" i="14"/>
  <c r="C50" i="14"/>
  <c r="D49" i="14"/>
  <c r="C49" i="14"/>
  <c r="F48" i="14"/>
  <c r="E48" i="14"/>
  <c r="D48" i="14"/>
  <c r="C48" i="14"/>
  <c r="D47" i="14"/>
  <c r="C47" i="14"/>
  <c r="D46" i="14"/>
  <c r="C46" i="14"/>
  <c r="C44" i="14"/>
  <c r="E44" i="14" s="1"/>
  <c r="C43" i="14"/>
  <c r="E43" i="14" s="1"/>
  <c r="C42" i="14"/>
  <c r="E42" i="14" s="1"/>
  <c r="C41" i="14"/>
  <c r="E41" i="14" s="1"/>
  <c r="D40" i="14"/>
  <c r="C40" i="14"/>
  <c r="C37" i="14"/>
  <c r="C36" i="14"/>
  <c r="D35" i="14"/>
  <c r="F35" i="14" s="1"/>
  <c r="F36" i="14" s="1"/>
  <c r="C35" i="14"/>
  <c r="E35" i="14" s="1"/>
  <c r="E36" i="14" s="1"/>
  <c r="C34" i="14"/>
  <c r="E34" i="14" s="1"/>
  <c r="C33" i="14"/>
  <c r="E33" i="14" s="1"/>
  <c r="C32" i="14"/>
  <c r="E32" i="14" s="1"/>
  <c r="C31" i="14"/>
  <c r="E31" i="14" s="1"/>
  <c r="C30" i="14"/>
  <c r="E30" i="14" s="1"/>
  <c r="C29" i="14"/>
  <c r="E29" i="14" s="1"/>
  <c r="C28" i="14"/>
  <c r="E28" i="14" s="1"/>
  <c r="C27" i="14"/>
  <c r="E27" i="14" s="1"/>
  <c r="C26" i="14"/>
  <c r="E26" i="14" s="1"/>
  <c r="E254" i="14" l="1"/>
  <c r="J254" i="14"/>
  <c r="I254" i="14"/>
  <c r="H308" i="14"/>
  <c r="S86" i="5" s="1"/>
  <c r="Q123" i="5"/>
  <c r="G254" i="14"/>
  <c r="F254" i="14"/>
  <c r="H254" i="14"/>
  <c r="K254" i="14"/>
  <c r="L254" i="14"/>
  <c r="F293" i="14"/>
  <c r="F294" i="14" s="1"/>
  <c r="E72" i="14"/>
  <c r="F72" i="14" s="1"/>
  <c r="C119" i="14" s="1"/>
  <c r="D119" i="14" s="1"/>
  <c r="E119" i="14" s="1"/>
  <c r="F119" i="14" s="1"/>
  <c r="G119" i="14" s="1"/>
  <c r="H119" i="14" s="1"/>
  <c r="P116" i="5"/>
  <c r="P120" i="5"/>
  <c r="E24" i="10"/>
  <c r="E250" i="14"/>
  <c r="L265" i="14"/>
  <c r="R55" i="2"/>
  <c r="D39" i="14"/>
  <c r="K257" i="14"/>
  <c r="L273" i="14"/>
  <c r="D55" i="2"/>
  <c r="C211" i="14"/>
  <c r="E263" i="14"/>
  <c r="F263" i="14"/>
  <c r="D81" i="10"/>
  <c r="K273" i="14"/>
  <c r="Q77" i="4"/>
  <c r="J50" i="6"/>
  <c r="D64" i="14"/>
  <c r="D24" i="10"/>
  <c r="J74" i="4"/>
  <c r="K50" i="6"/>
  <c r="I42" i="10"/>
  <c r="U81" i="10"/>
  <c r="D52" i="10"/>
  <c r="U85" i="10"/>
  <c r="D41" i="14"/>
  <c r="F41" i="14" s="1"/>
  <c r="C179" i="14" s="1"/>
  <c r="D179" i="14" s="1"/>
  <c r="E179" i="14" s="1"/>
  <c r="F179" i="14" s="1"/>
  <c r="G179" i="14" s="1"/>
  <c r="H179" i="14" s="1"/>
  <c r="F257" i="14"/>
  <c r="J77" i="4"/>
  <c r="K81" i="10"/>
  <c r="R72" i="3"/>
  <c r="D85" i="10"/>
  <c r="F250" i="14"/>
  <c r="F296" i="14"/>
  <c r="P119" i="5"/>
  <c r="D66" i="14"/>
  <c r="E210" i="14"/>
  <c r="U55" i="2"/>
  <c r="P72" i="3"/>
  <c r="J260" i="14"/>
  <c r="L269" i="14"/>
  <c r="H296" i="14"/>
  <c r="G55" i="2"/>
  <c r="L38" i="10"/>
  <c r="E257" i="14"/>
  <c r="E258" i="14" s="1"/>
  <c r="I296" i="14"/>
  <c r="G87" i="10"/>
  <c r="I288" i="14"/>
  <c r="J293" i="14"/>
  <c r="E208" i="14" s="1"/>
  <c r="R79" i="10"/>
  <c r="J81" i="10"/>
  <c r="S79" i="10"/>
  <c r="P117" i="5"/>
  <c r="N123" i="5"/>
  <c r="D182" i="6"/>
  <c r="T79" i="10"/>
  <c r="T99" i="5"/>
  <c r="E85" i="10"/>
  <c r="C214" i="14"/>
  <c r="I269" i="14"/>
  <c r="I281" i="14"/>
  <c r="I282" i="14" s="1"/>
  <c r="Q72" i="3"/>
  <c r="O77" i="4"/>
  <c r="I84" i="7"/>
  <c r="G79" i="10"/>
  <c r="G85" i="10"/>
  <c r="H90" i="7"/>
  <c r="H248" i="14"/>
  <c r="J92" i="5"/>
  <c r="J95" i="5" s="1"/>
  <c r="I90" i="7"/>
  <c r="R83" i="10"/>
  <c r="J85" i="10"/>
  <c r="D248" i="14"/>
  <c r="D273" i="14"/>
  <c r="J94" i="5"/>
  <c r="S83" i="10"/>
  <c r="G250" i="14"/>
  <c r="J269" i="14"/>
  <c r="D32" i="14"/>
  <c r="F32" i="14" s="1"/>
  <c r="E67" i="14" s="1"/>
  <c r="F67" i="14" s="1"/>
  <c r="G263" i="14"/>
  <c r="C296" i="14"/>
  <c r="L31" i="10"/>
  <c r="T83" i="10"/>
  <c r="F258" i="14"/>
  <c r="L85" i="10"/>
  <c r="I87" i="10"/>
  <c r="G257" i="14"/>
  <c r="G258" i="14" s="1"/>
  <c r="G64" i="10"/>
  <c r="G52" i="10"/>
  <c r="K263" i="14"/>
  <c r="E271" i="14"/>
  <c r="T55" i="2"/>
  <c r="I258" i="14"/>
  <c r="H23" i="5"/>
  <c r="T124" i="5"/>
  <c r="R117" i="5"/>
  <c r="R121" i="5"/>
  <c r="S24" i="10"/>
  <c r="L87" i="10"/>
  <c r="G24" i="5"/>
  <c r="Q119" i="5"/>
  <c r="T121" i="5"/>
  <c r="J64" i="10"/>
  <c r="G103" i="6"/>
  <c r="T24" i="10"/>
  <c r="D75" i="14"/>
  <c r="D269" i="14"/>
  <c r="G271" i="14"/>
  <c r="H154" i="14"/>
  <c r="F260" i="14"/>
  <c r="H271" i="14"/>
  <c r="F74" i="4"/>
  <c r="E26" i="5"/>
  <c r="U117" i="5"/>
  <c r="J103" i="6"/>
  <c r="D29" i="14"/>
  <c r="F29" i="14" s="1"/>
  <c r="D37" i="14"/>
  <c r="D73" i="14"/>
  <c r="G269" i="14"/>
  <c r="P77" i="4"/>
  <c r="Q121" i="5"/>
  <c r="G104" i="6"/>
  <c r="E83" i="7"/>
  <c r="E88" i="7" s="1"/>
  <c r="E79" i="10"/>
  <c r="C75" i="14"/>
  <c r="H260" i="14"/>
  <c r="G75" i="4"/>
  <c r="C73" i="14"/>
  <c r="E81" i="14"/>
  <c r="E15" i="13" s="1"/>
  <c r="G154" i="14"/>
  <c r="O120" i="5"/>
  <c r="D44" i="14"/>
  <c r="F44" i="14" s="1"/>
  <c r="C182" i="14" s="1"/>
  <c r="K269" i="14"/>
  <c r="J285" i="14"/>
  <c r="J286" i="14" s="1"/>
  <c r="G296" i="14"/>
  <c r="E71" i="14"/>
  <c r="F71" i="14" s="1"/>
  <c r="C118" i="14" s="1"/>
  <c r="D118" i="14" s="1"/>
  <c r="E118" i="14" s="1"/>
  <c r="F118" i="14" s="1"/>
  <c r="G118" i="14" s="1"/>
  <c r="H118" i="14" s="1"/>
  <c r="T72" i="4"/>
  <c r="G77" i="4"/>
  <c r="H94" i="5"/>
  <c r="T49" i="6"/>
  <c r="T52" i="6" s="1"/>
  <c r="J31" i="10"/>
  <c r="R81" i="10"/>
  <c r="K248" i="14"/>
  <c r="C64" i="14"/>
  <c r="C74" i="14"/>
  <c r="C55" i="2"/>
  <c r="S72" i="3"/>
  <c r="U72" i="4"/>
  <c r="I27" i="5"/>
  <c r="R120" i="5"/>
  <c r="U49" i="6"/>
  <c r="U52" i="6" s="1"/>
  <c r="P51" i="6"/>
  <c r="T123" i="5"/>
  <c r="S81" i="10"/>
  <c r="I77" i="4"/>
  <c r="G50" i="6"/>
  <c r="P52" i="6"/>
  <c r="E32" i="10"/>
  <c r="T81" i="10"/>
  <c r="R87" i="10"/>
  <c r="E265" i="14"/>
  <c r="J60" i="10"/>
  <c r="P115" i="5"/>
  <c r="N116" i="5"/>
  <c r="P24" i="10"/>
  <c r="J32" i="10"/>
  <c r="J83" i="10"/>
  <c r="J296" i="14"/>
  <c r="E55" i="2"/>
  <c r="H250" i="14"/>
  <c r="G260" i="14"/>
  <c r="D271" i="14"/>
  <c r="T72" i="3"/>
  <c r="K60" i="10"/>
  <c r="T117" i="5"/>
  <c r="R118" i="5"/>
  <c r="Q124" i="5"/>
  <c r="D83" i="7"/>
  <c r="D88" i="7" s="1"/>
  <c r="U87" i="10"/>
  <c r="D293" i="14"/>
  <c r="D294" i="14" s="1"/>
  <c r="C258" i="14"/>
  <c r="F271" i="14"/>
  <c r="H288" i="14"/>
  <c r="E293" i="14"/>
  <c r="E294" i="14" s="1"/>
  <c r="Q117" i="5"/>
  <c r="P118" i="5"/>
  <c r="L71" i="10"/>
  <c r="F81" i="10"/>
  <c r="G81" i="10"/>
  <c r="D154" i="14"/>
  <c r="E156" i="14" s="1"/>
  <c r="J248" i="14"/>
  <c r="D210" i="14"/>
  <c r="D33" i="14"/>
  <c r="F33" i="14" s="1"/>
  <c r="E68" i="14" s="1"/>
  <c r="F154" i="14"/>
  <c r="H257" i="14"/>
  <c r="H258" i="14" s="1"/>
  <c r="J271" i="14"/>
  <c r="E285" i="14"/>
  <c r="I286" i="14" s="1"/>
  <c r="D296" i="14"/>
  <c r="D71" i="3"/>
  <c r="D38" i="10" s="1"/>
  <c r="H24" i="5"/>
  <c r="H37" i="5"/>
  <c r="J90" i="7"/>
  <c r="P75" i="4"/>
  <c r="D26" i="14"/>
  <c r="F26" i="14" s="1"/>
  <c r="E56" i="14" s="1"/>
  <c r="F56" i="14" s="1"/>
  <c r="N55" i="2"/>
  <c r="J37" i="5"/>
  <c r="D34" i="14"/>
  <c r="F34" i="14" s="1"/>
  <c r="E69" i="14" s="1"/>
  <c r="D43" i="14"/>
  <c r="F43" i="14" s="1"/>
  <c r="C181" i="14" s="1"/>
  <c r="J257" i="14"/>
  <c r="J258" i="14" s="1"/>
  <c r="G285" i="14"/>
  <c r="G286" i="14" s="1"/>
  <c r="H26" i="5"/>
  <c r="T116" i="5"/>
  <c r="D92" i="5"/>
  <c r="D95" i="5" s="1"/>
  <c r="N120" i="5"/>
  <c r="L75" i="10"/>
  <c r="S48" i="2"/>
  <c r="O72" i="3"/>
  <c r="I26" i="5"/>
  <c r="F31" i="10"/>
  <c r="G83" i="10"/>
  <c r="K87" i="10"/>
  <c r="O74" i="4"/>
  <c r="H77" i="4"/>
  <c r="E121" i="5"/>
  <c r="C209" i="14"/>
  <c r="D209" i="14"/>
  <c r="I248" i="14"/>
  <c r="I250" i="14"/>
  <c r="D260" i="14"/>
  <c r="H263" i="14"/>
  <c r="G273" i="14"/>
  <c r="G284" i="14"/>
  <c r="O119" i="5"/>
  <c r="C164" i="14"/>
  <c r="C186" i="14" s="1"/>
  <c r="Q74" i="4"/>
  <c r="I23" i="5"/>
  <c r="L37" i="5"/>
  <c r="F37" i="5"/>
  <c r="Q116" i="5"/>
  <c r="T101" i="5"/>
  <c r="H66" i="6"/>
  <c r="C103" i="6"/>
  <c r="H105" i="6"/>
  <c r="J84" i="7"/>
  <c r="J42" i="10"/>
  <c r="F63" i="10"/>
  <c r="F75" i="10"/>
  <c r="L83" i="10"/>
  <c r="U74" i="4"/>
  <c r="G37" i="5"/>
  <c r="R116" i="5"/>
  <c r="I118" i="5"/>
  <c r="J66" i="6"/>
  <c r="D103" i="6"/>
  <c r="J105" i="6"/>
  <c r="K84" i="7"/>
  <c r="E31" i="10"/>
  <c r="L42" i="10"/>
  <c r="D27" i="14"/>
  <c r="F27" i="14" s="1"/>
  <c r="E57" i="14" s="1"/>
  <c r="C128" i="14"/>
  <c r="C134" i="14" s="1"/>
  <c r="D134" i="14" s="1"/>
  <c r="D135" i="14" s="1"/>
  <c r="D137" i="14" s="1"/>
  <c r="D138" i="14" s="1"/>
  <c r="E209" i="14"/>
  <c r="F47" i="14"/>
  <c r="D59" i="14"/>
  <c r="K250" i="14"/>
  <c r="I271" i="14"/>
  <c r="I273" i="14"/>
  <c r="H72" i="4"/>
  <c r="F75" i="4"/>
  <c r="F27" i="5"/>
  <c r="F24" i="5"/>
  <c r="U121" i="5"/>
  <c r="U99" i="5"/>
  <c r="R101" i="5"/>
  <c r="T103" i="5"/>
  <c r="J118" i="5"/>
  <c r="K121" i="5"/>
  <c r="K66" i="6"/>
  <c r="K105" i="6"/>
  <c r="L84" i="7"/>
  <c r="I24" i="10"/>
  <c r="H63" i="10"/>
  <c r="I81" i="10"/>
  <c r="F85" i="10"/>
  <c r="G27" i="5"/>
  <c r="U120" i="5"/>
  <c r="J24" i="10"/>
  <c r="D79" i="10"/>
  <c r="H75" i="4"/>
  <c r="P123" i="5"/>
  <c r="T105" i="5"/>
  <c r="H103" i="6"/>
  <c r="H64" i="10"/>
  <c r="N72" i="3"/>
  <c r="J75" i="4"/>
  <c r="I24" i="5"/>
  <c r="J27" i="5"/>
  <c r="I93" i="5"/>
  <c r="N119" i="5"/>
  <c r="P121" i="5"/>
  <c r="T115" i="5"/>
  <c r="I103" i="6"/>
  <c r="Q19" i="10"/>
  <c r="Q24" i="10"/>
  <c r="Q55" i="10"/>
  <c r="F79" i="10"/>
  <c r="L81" i="10"/>
  <c r="U83" i="10"/>
  <c r="I85" i="10"/>
  <c r="D30" i="14"/>
  <c r="F30" i="14" s="1"/>
  <c r="L271" i="14"/>
  <c r="J288" i="14"/>
  <c r="I71" i="3"/>
  <c r="I38" i="10" s="1"/>
  <c r="O60" i="10"/>
  <c r="E25" i="5"/>
  <c r="J93" i="5"/>
  <c r="U103" i="5"/>
  <c r="R124" i="5"/>
  <c r="E71" i="10"/>
  <c r="O115" i="5"/>
  <c r="Q75" i="4"/>
  <c r="F25" i="5"/>
  <c r="E37" i="5"/>
  <c r="D94" i="5"/>
  <c r="I50" i="6"/>
  <c r="L103" i="6"/>
  <c r="K90" i="7"/>
  <c r="K52" i="10"/>
  <c r="H79" i="10"/>
  <c r="D83" i="10"/>
  <c r="K85" i="10"/>
  <c r="D87" i="10"/>
  <c r="S120" i="5"/>
  <c r="H269" i="14"/>
  <c r="D312" i="14"/>
  <c r="O90" i="5" s="1"/>
  <c r="O121" i="5" s="1"/>
  <c r="D36" i="14"/>
  <c r="K260" i="14"/>
  <c r="D63" i="14"/>
  <c r="E154" i="14"/>
  <c r="C260" i="14"/>
  <c r="I294" i="14"/>
  <c r="U75" i="4"/>
  <c r="K27" i="5"/>
  <c r="G25" i="5"/>
  <c r="Q115" i="5"/>
  <c r="T120" i="5"/>
  <c r="G94" i="5"/>
  <c r="C104" i="6"/>
  <c r="H83" i="7"/>
  <c r="H86" i="7" s="1"/>
  <c r="L90" i="7"/>
  <c r="I79" i="10"/>
  <c r="F83" i="10"/>
  <c r="F87" i="10"/>
  <c r="T87" i="10"/>
  <c r="E52" i="6"/>
  <c r="F248" i="14"/>
  <c r="D263" i="14"/>
  <c r="J282" i="14"/>
  <c r="H74" i="4"/>
  <c r="E23" i="5"/>
  <c r="F26" i="5"/>
  <c r="I104" i="6"/>
  <c r="H58" i="10"/>
  <c r="J79" i="10"/>
  <c r="R85" i="10"/>
  <c r="H87" i="10"/>
  <c r="G26" i="5"/>
  <c r="U119" i="5"/>
  <c r="U58" i="10"/>
  <c r="L79" i="10"/>
  <c r="I83" i="10"/>
  <c r="H83" i="10"/>
  <c r="T85" i="10"/>
  <c r="C66" i="14"/>
  <c r="D28" i="14"/>
  <c r="F28" i="14" s="1"/>
  <c r="E58" i="14" s="1"/>
  <c r="F58" i="14" s="1"/>
  <c r="C103" i="14" s="1"/>
  <c r="C38" i="14"/>
  <c r="F155" i="14"/>
  <c r="F161" i="14" s="1"/>
  <c r="G248" i="14"/>
  <c r="E269" i="14"/>
  <c r="I284" i="14"/>
  <c r="G288" i="14"/>
  <c r="U72" i="3"/>
  <c r="F60" i="10"/>
  <c r="H50" i="6"/>
  <c r="K104" i="6"/>
  <c r="H42" i="10"/>
  <c r="Q59" i="10"/>
  <c r="E81" i="10"/>
  <c r="E260" i="14"/>
  <c r="F72" i="3"/>
  <c r="F39" i="10" s="1"/>
  <c r="F38" i="10"/>
  <c r="R119" i="5"/>
  <c r="E70" i="14"/>
  <c r="F70" i="14" s="1"/>
  <c r="C117" i="14" s="1"/>
  <c r="D117" i="14" s="1"/>
  <c r="E117" i="14" s="1"/>
  <c r="F117" i="14" s="1"/>
  <c r="G117" i="14" s="1"/>
  <c r="H117" i="14" s="1"/>
  <c r="D38" i="14"/>
  <c r="O116" i="5"/>
  <c r="D283" i="14"/>
  <c r="H284" i="14" s="1"/>
  <c r="E38" i="14"/>
  <c r="E39" i="14" s="1"/>
  <c r="C191" i="14"/>
  <c r="F273" i="14"/>
  <c r="L60" i="10"/>
  <c r="L77" i="4"/>
  <c r="G282" i="14"/>
  <c r="F55" i="2"/>
  <c r="C63" i="14"/>
  <c r="J263" i="14"/>
  <c r="I263" i="14"/>
  <c r="E273" i="14"/>
  <c r="C59" i="14"/>
  <c r="C65" i="14"/>
  <c r="D285" i="14"/>
  <c r="H286" i="14" s="1"/>
  <c r="O117" i="5"/>
  <c r="I19" i="10"/>
  <c r="I251" i="14" s="1"/>
  <c r="I20" i="10"/>
  <c r="I125" i="5"/>
  <c r="I55" i="2"/>
  <c r="L59" i="10"/>
  <c r="L88" i="10"/>
  <c r="L55" i="10"/>
  <c r="L58" i="10"/>
  <c r="L56" i="10"/>
  <c r="L74" i="4"/>
  <c r="L257" i="14"/>
  <c r="L258" i="14" s="1"/>
  <c r="L75" i="4"/>
  <c r="N60" i="10"/>
  <c r="N77" i="4"/>
  <c r="N58" i="10"/>
  <c r="N59" i="10"/>
  <c r="N75" i="4"/>
  <c r="N74" i="4"/>
  <c r="N55" i="10"/>
  <c r="R72" i="4"/>
  <c r="N56" i="10"/>
  <c r="N88" i="10"/>
  <c r="C293" i="14"/>
  <c r="C294" i="14" s="1"/>
  <c r="S103" i="5"/>
  <c r="S117" i="5"/>
  <c r="J19" i="10"/>
  <c r="J251" i="14" s="1"/>
  <c r="J20" i="10"/>
  <c r="J125" i="5"/>
  <c r="F52" i="6"/>
  <c r="F67" i="10"/>
  <c r="F21" i="10"/>
  <c r="F138" i="5"/>
  <c r="F265" i="14"/>
  <c r="U21" i="10"/>
  <c r="D31" i="14"/>
  <c r="F31" i="14" s="1"/>
  <c r="C45" i="14"/>
  <c r="E40" i="14"/>
  <c r="D74" i="14"/>
  <c r="L260" i="14"/>
  <c r="D207" i="14"/>
  <c r="C207" i="14"/>
  <c r="L248" i="14"/>
  <c r="J250" i="14"/>
  <c r="O124" i="5"/>
  <c r="O118" i="5"/>
  <c r="O123" i="5"/>
  <c r="O49" i="6"/>
  <c r="O52" i="6" s="1"/>
  <c r="O51" i="6"/>
  <c r="K19" i="10"/>
  <c r="K251" i="14" s="1"/>
  <c r="K20" i="10"/>
  <c r="K125" i="5"/>
  <c r="K55" i="2"/>
  <c r="G67" i="10"/>
  <c r="G52" i="6"/>
  <c r="G21" i="10"/>
  <c r="G138" i="5"/>
  <c r="G265" i="14"/>
  <c r="S51" i="6"/>
  <c r="S49" i="6"/>
  <c r="S52" i="6" s="1"/>
  <c r="L19" i="10"/>
  <c r="L251" i="14" s="1"/>
  <c r="L20" i="10"/>
  <c r="L125" i="5"/>
  <c r="L55" i="2"/>
  <c r="H52" i="6"/>
  <c r="H67" i="10"/>
  <c r="H21" i="10"/>
  <c r="H138" i="5"/>
  <c r="F40" i="10"/>
  <c r="F33" i="10"/>
  <c r="F70" i="10"/>
  <c r="F43" i="10"/>
  <c r="F40" i="14"/>
  <c r="E248" i="14"/>
  <c r="L250" i="14"/>
  <c r="F269" i="14"/>
  <c r="K271" i="14"/>
  <c r="L72" i="3"/>
  <c r="L39" i="10" s="1"/>
  <c r="S119" i="5"/>
  <c r="S48" i="7"/>
  <c r="D42" i="14"/>
  <c r="F42" i="14" s="1"/>
  <c r="C180" i="14" s="1"/>
  <c r="O20" i="10"/>
  <c r="O19" i="10"/>
  <c r="D289" i="14" s="1"/>
  <c r="O55" i="2"/>
  <c r="J52" i="6"/>
  <c r="J67" i="10"/>
  <c r="J21" i="10"/>
  <c r="J138" i="5"/>
  <c r="H55" i="2"/>
  <c r="C88" i="10"/>
  <c r="C56" i="10"/>
  <c r="C59" i="10"/>
  <c r="C58" i="10"/>
  <c r="C74" i="4"/>
  <c r="D72" i="4"/>
  <c r="C75" i="4"/>
  <c r="C55" i="10"/>
  <c r="R88" i="10"/>
  <c r="R56" i="10"/>
  <c r="R59" i="10"/>
  <c r="R58" i="10"/>
  <c r="R74" i="4"/>
  <c r="R55" i="10"/>
  <c r="G293" i="14"/>
  <c r="G294" i="14" s="1"/>
  <c r="R75" i="4"/>
  <c r="U123" i="5"/>
  <c r="U118" i="5"/>
  <c r="U105" i="5"/>
  <c r="U124" i="5"/>
  <c r="D155" i="14"/>
  <c r="E157" i="14" s="1"/>
  <c r="S123" i="5"/>
  <c r="S105" i="5"/>
  <c r="S124" i="5"/>
  <c r="S118" i="5"/>
  <c r="C210" i="14"/>
  <c r="J273" i="14"/>
  <c r="P20" i="10"/>
  <c r="P55" i="2"/>
  <c r="P19" i="10"/>
  <c r="K52" i="6"/>
  <c r="K67" i="10"/>
  <c r="K21" i="10"/>
  <c r="K138" i="5"/>
  <c r="J55" i="2"/>
  <c r="D56" i="10"/>
  <c r="D88" i="10"/>
  <c r="D58" i="10"/>
  <c r="E72" i="4"/>
  <c r="D257" i="14"/>
  <c r="D258" i="14" s="1"/>
  <c r="D59" i="10"/>
  <c r="D75" i="4"/>
  <c r="D55" i="10"/>
  <c r="D74" i="4"/>
  <c r="S56" i="10"/>
  <c r="S88" i="10"/>
  <c r="S55" i="10"/>
  <c r="S58" i="10"/>
  <c r="S75" i="4"/>
  <c r="S59" i="10"/>
  <c r="S74" i="4"/>
  <c r="S72" i="4"/>
  <c r="H293" i="14"/>
  <c r="H294" i="14" s="1"/>
  <c r="Q51" i="6"/>
  <c r="Q49" i="6"/>
  <c r="Q52" i="6" s="1"/>
  <c r="D63" i="10"/>
  <c r="D68" i="10"/>
  <c r="E50" i="6"/>
  <c r="D64" i="10"/>
  <c r="L263" i="14"/>
  <c r="D211" i="14"/>
  <c r="E59" i="10"/>
  <c r="E55" i="10"/>
  <c r="E58" i="10"/>
  <c r="E88" i="10"/>
  <c r="E56" i="10"/>
  <c r="E75" i="4"/>
  <c r="F72" i="4"/>
  <c r="T59" i="10"/>
  <c r="T55" i="10"/>
  <c r="T58" i="10"/>
  <c r="T56" i="10"/>
  <c r="T88" i="10"/>
  <c r="T89" i="10" s="1"/>
  <c r="T75" i="4"/>
  <c r="T74" i="4"/>
  <c r="J284" i="14"/>
  <c r="E37" i="14"/>
  <c r="E47" i="14"/>
  <c r="D65" i="14"/>
  <c r="D281" i="14"/>
  <c r="H282" i="14" s="1"/>
  <c r="E296" i="14"/>
  <c r="N115" i="5"/>
  <c r="R99" i="5"/>
  <c r="E38" i="10"/>
  <c r="E72" i="3"/>
  <c r="E39" i="10" s="1"/>
  <c r="L63" i="10"/>
  <c r="L68" i="10"/>
  <c r="L64" i="10"/>
  <c r="F84" i="7"/>
  <c r="F90" i="7"/>
  <c r="F83" i="7"/>
  <c r="U101" i="5"/>
  <c r="U116" i="5"/>
  <c r="N124" i="5"/>
  <c r="E93" i="5"/>
  <c r="E118" i="5"/>
  <c r="E92" i="5"/>
  <c r="E95" i="5" s="1"/>
  <c r="E182" i="6"/>
  <c r="D24" i="5"/>
  <c r="E27" i="5"/>
  <c r="D25" i="5"/>
  <c r="D23" i="5"/>
  <c r="D26" i="5"/>
  <c r="L94" i="5"/>
  <c r="L121" i="5"/>
  <c r="N121" i="5"/>
  <c r="K258" i="14"/>
  <c r="H273" i="14"/>
  <c r="N20" i="10"/>
  <c r="N19" i="10"/>
  <c r="C289" i="14" s="1"/>
  <c r="I21" i="10"/>
  <c r="I52" i="6"/>
  <c r="I265" i="14"/>
  <c r="I67" i="10"/>
  <c r="I138" i="5"/>
  <c r="C43" i="10"/>
  <c r="C40" i="10"/>
  <c r="C33" i="10"/>
  <c r="F93" i="5"/>
  <c r="F118" i="5"/>
  <c r="F92" i="5"/>
  <c r="F95" i="5" s="1"/>
  <c r="F182" i="6"/>
  <c r="D50" i="6"/>
  <c r="C68" i="10"/>
  <c r="C63" i="10"/>
  <c r="R51" i="6"/>
  <c r="E64" i="10"/>
  <c r="I260" i="14"/>
  <c r="C19" i="10"/>
  <c r="C251" i="14" s="1"/>
  <c r="C20" i="10"/>
  <c r="R19" i="10"/>
  <c r="R20" i="10"/>
  <c r="N21" i="10"/>
  <c r="S85" i="10"/>
  <c r="G70" i="10"/>
  <c r="G43" i="10"/>
  <c r="G40" i="10"/>
  <c r="G33" i="10"/>
  <c r="G71" i="3"/>
  <c r="D52" i="6"/>
  <c r="F104" i="6"/>
  <c r="F105" i="6"/>
  <c r="F103" i="6"/>
  <c r="D37" i="5"/>
  <c r="K182" i="6"/>
  <c r="K93" i="5"/>
  <c r="K118" i="5"/>
  <c r="H312" i="14"/>
  <c r="S90" i="5" s="1"/>
  <c r="S121" i="5" s="1"/>
  <c r="D19" i="10"/>
  <c r="D251" i="14" s="1"/>
  <c r="D20" i="10"/>
  <c r="D125" i="5"/>
  <c r="S19" i="10"/>
  <c r="H289" i="14" s="1"/>
  <c r="S20" i="10"/>
  <c r="O21" i="10"/>
  <c r="D250" i="14"/>
  <c r="E20" i="10"/>
  <c r="E19" i="10"/>
  <c r="E251" i="14" s="1"/>
  <c r="E125" i="5"/>
  <c r="T20" i="10"/>
  <c r="T19" i="10"/>
  <c r="I289" i="14" s="1"/>
  <c r="K25" i="5"/>
  <c r="K23" i="5"/>
  <c r="K37" i="5"/>
  <c r="K24" i="5"/>
  <c r="L27" i="5"/>
  <c r="L93" i="5"/>
  <c r="L92" i="5"/>
  <c r="L95" i="5" s="1"/>
  <c r="L182" i="6"/>
  <c r="I59" i="10"/>
  <c r="I58" i="10"/>
  <c r="I75" i="4"/>
  <c r="I74" i="4"/>
  <c r="I55" i="10"/>
  <c r="I88" i="10"/>
  <c r="I56" i="10"/>
  <c r="I72" i="4"/>
  <c r="C77" i="4"/>
  <c r="C60" i="10"/>
  <c r="R60" i="10"/>
  <c r="R77" i="4"/>
  <c r="L23" i="5"/>
  <c r="L25" i="5"/>
  <c r="L24" i="5"/>
  <c r="F94" i="5"/>
  <c r="F121" i="5"/>
  <c r="I71" i="10"/>
  <c r="I66" i="6"/>
  <c r="S99" i="5"/>
  <c r="S115" i="5"/>
  <c r="F19" i="10"/>
  <c r="F251" i="14" s="1"/>
  <c r="F20" i="10"/>
  <c r="F125" i="5"/>
  <c r="U19" i="10"/>
  <c r="U20" i="10"/>
  <c r="Q21" i="10"/>
  <c r="Q55" i="2"/>
  <c r="J43" i="10"/>
  <c r="J33" i="10"/>
  <c r="J71" i="3"/>
  <c r="J70" i="10"/>
  <c r="J88" i="7"/>
  <c r="J40" i="10"/>
  <c r="G19" i="10"/>
  <c r="G251" i="14" s="1"/>
  <c r="G20" i="10"/>
  <c r="G125" i="5"/>
  <c r="C52" i="6"/>
  <c r="C67" i="10"/>
  <c r="C21" i="10"/>
  <c r="R21" i="10"/>
  <c r="R52" i="6"/>
  <c r="S55" i="2"/>
  <c r="K43" i="10"/>
  <c r="K70" i="10"/>
  <c r="K33" i="10"/>
  <c r="K40" i="10"/>
  <c r="K71" i="3"/>
  <c r="C71" i="3"/>
  <c r="J72" i="4"/>
  <c r="D77" i="4"/>
  <c r="D60" i="10"/>
  <c r="S60" i="10"/>
  <c r="S77" i="4"/>
  <c r="K92" i="5"/>
  <c r="K95" i="5" s="1"/>
  <c r="K88" i="7"/>
  <c r="K86" i="7"/>
  <c r="S101" i="5"/>
  <c r="S116" i="5"/>
  <c r="H20" i="10"/>
  <c r="H19" i="10"/>
  <c r="H251" i="14" s="1"/>
  <c r="D21" i="10"/>
  <c r="D67" i="10"/>
  <c r="D138" i="5"/>
  <c r="L40" i="10"/>
  <c r="L33" i="10"/>
  <c r="L70" i="10"/>
  <c r="L43" i="10"/>
  <c r="E60" i="10"/>
  <c r="E77" i="4"/>
  <c r="T60" i="10"/>
  <c r="T77" i="4"/>
  <c r="R103" i="5"/>
  <c r="N117" i="5"/>
  <c r="E33" i="10"/>
  <c r="E40" i="10"/>
  <c r="K55" i="10"/>
  <c r="K88" i="10"/>
  <c r="K56" i="10"/>
  <c r="H93" i="5"/>
  <c r="N24" i="10"/>
  <c r="N52" i="10"/>
  <c r="I31" i="10"/>
  <c r="P59" i="10"/>
  <c r="I88" i="7"/>
  <c r="K58" i="10"/>
  <c r="K83" i="10"/>
  <c r="O52" i="10"/>
  <c r="F55" i="10"/>
  <c r="H81" i="10"/>
  <c r="H70" i="10"/>
  <c r="O55" i="10"/>
  <c r="O88" i="10"/>
  <c r="O75" i="4"/>
  <c r="K72" i="4"/>
  <c r="G74" i="4"/>
  <c r="K77" i="4"/>
  <c r="J24" i="5"/>
  <c r="I37" i="5"/>
  <c r="G182" i="6"/>
  <c r="G92" i="5"/>
  <c r="G95" i="5" s="1"/>
  <c r="R105" i="5"/>
  <c r="Q120" i="5"/>
  <c r="U115" i="5"/>
  <c r="N118" i="5"/>
  <c r="N49" i="6"/>
  <c r="N52" i="6" s="1"/>
  <c r="L104" i="6"/>
  <c r="G83" i="7"/>
  <c r="L88" i="7"/>
  <c r="D32" i="10"/>
  <c r="O56" i="10"/>
  <c r="O58" i="10"/>
  <c r="Q88" i="10"/>
  <c r="P56" i="10"/>
  <c r="P55" i="10"/>
  <c r="L72" i="4"/>
  <c r="P60" i="10"/>
  <c r="H182" i="6"/>
  <c r="C84" i="7"/>
  <c r="C83" i="7"/>
  <c r="C90" i="7"/>
  <c r="E43" i="10"/>
  <c r="J55" i="10"/>
  <c r="Q56" i="10"/>
  <c r="P58" i="10"/>
  <c r="J63" i="10"/>
  <c r="E67" i="10"/>
  <c r="E87" i="10"/>
  <c r="Q60" i="10"/>
  <c r="H92" i="5"/>
  <c r="H95" i="5" s="1"/>
  <c r="G71" i="10"/>
  <c r="G66" i="6"/>
  <c r="D105" i="6"/>
  <c r="G31" i="10"/>
  <c r="G75" i="10"/>
  <c r="G32" i="10"/>
  <c r="J26" i="5"/>
  <c r="I92" i="5"/>
  <c r="I95" i="5" s="1"/>
  <c r="Q118" i="5"/>
  <c r="I121" i="5"/>
  <c r="E105" i="6"/>
  <c r="E104" i="6"/>
  <c r="G90" i="7"/>
  <c r="H75" i="10"/>
  <c r="H32" i="10"/>
  <c r="H43" i="10"/>
  <c r="G60" i="10"/>
  <c r="J87" i="10"/>
  <c r="F42" i="10"/>
  <c r="F24" i="10"/>
  <c r="F52" i="10"/>
  <c r="U24" i="10"/>
  <c r="U52" i="10"/>
  <c r="I43" i="10"/>
  <c r="K79" i="10"/>
  <c r="U59" i="10"/>
  <c r="U88" i="10"/>
  <c r="F77" i="4"/>
  <c r="U77" i="4"/>
  <c r="J23" i="5"/>
  <c r="D118" i="5"/>
  <c r="E68" i="10"/>
  <c r="E63" i="10"/>
  <c r="D84" i="7"/>
  <c r="K75" i="10"/>
  <c r="K31" i="10"/>
  <c r="D33" i="10"/>
  <c r="K64" i="10"/>
  <c r="E70" i="10"/>
  <c r="D75" i="10"/>
  <c r="H85" i="10"/>
  <c r="G56" i="10"/>
  <c r="G55" i="10"/>
  <c r="G58" i="10"/>
  <c r="R123" i="5"/>
  <c r="F64" i="10"/>
  <c r="E84" i="7"/>
  <c r="H24" i="10"/>
  <c r="U55" i="10"/>
  <c r="F68" i="10"/>
  <c r="L21" i="10"/>
  <c r="L67" i="10"/>
  <c r="L52" i="6"/>
  <c r="H71" i="3"/>
  <c r="H55" i="10"/>
  <c r="H88" i="10"/>
  <c r="P74" i="4"/>
  <c r="K75" i="4"/>
  <c r="H60" i="10"/>
  <c r="R115" i="5"/>
  <c r="P124" i="5"/>
  <c r="H33" i="10"/>
  <c r="G68" i="10"/>
  <c r="I70" i="10"/>
  <c r="I75" i="10"/>
  <c r="S87" i="10"/>
  <c r="I60" i="10"/>
  <c r="F50" i="6"/>
  <c r="F66" i="6"/>
  <c r="I33" i="10"/>
  <c r="F56" i="10"/>
  <c r="K59" i="10"/>
  <c r="E83" i="10"/>
  <c r="F88" i="10"/>
  <c r="D70" i="10"/>
  <c r="D43" i="10"/>
  <c r="J56" i="10"/>
  <c r="J58" i="10"/>
  <c r="J88" i="10"/>
  <c r="G72" i="4"/>
  <c r="H27" i="5"/>
  <c r="G93" i="5"/>
  <c r="T119" i="5"/>
  <c r="E138" i="5"/>
  <c r="I64" i="10"/>
  <c r="I63" i="10"/>
  <c r="L24" i="10"/>
  <c r="H31" i="10"/>
  <c r="H40" i="10"/>
  <c r="E42" i="10"/>
  <c r="H56" i="10"/>
  <c r="F58" i="10"/>
  <c r="O59" i="10"/>
  <c r="U60" i="10"/>
  <c r="J68" i="10"/>
  <c r="U79" i="10"/>
  <c r="G88" i="10"/>
  <c r="L50" i="6"/>
  <c r="G24" i="10"/>
  <c r="K24" i="10"/>
  <c r="C52" i="10"/>
  <c r="R52" i="10"/>
  <c r="C9" i="13"/>
  <c r="C47" i="13"/>
  <c r="K63" i="10"/>
  <c r="C24" i="10"/>
  <c r="E86" i="7" l="1"/>
  <c r="D86" i="7"/>
  <c r="E75" i="14"/>
  <c r="D72" i="3"/>
  <c r="D39" i="10" s="1"/>
  <c r="D76" i="14"/>
  <c r="J294" i="14"/>
  <c r="L89" i="10"/>
  <c r="E62" i="14"/>
  <c r="F62" i="14" s="1"/>
  <c r="F66" i="14" s="1"/>
  <c r="C106" i="14" s="1"/>
  <c r="D106" i="14" s="1"/>
  <c r="E106" i="14" s="1"/>
  <c r="F106" i="14" s="1"/>
  <c r="G106" i="14" s="1"/>
  <c r="H106" i="14" s="1"/>
  <c r="F38" i="14"/>
  <c r="F39" i="14" s="1"/>
  <c r="C187" i="14" s="1"/>
  <c r="E60" i="14"/>
  <c r="F60" i="14" s="1"/>
  <c r="F64" i="14" s="1"/>
  <c r="C104" i="14" s="1"/>
  <c r="D104" i="14" s="1"/>
  <c r="E104" i="14" s="1"/>
  <c r="F104" i="14" s="1"/>
  <c r="G104" i="14" s="1"/>
  <c r="H104" i="14" s="1"/>
  <c r="C76" i="14"/>
  <c r="E134" i="14"/>
  <c r="E135" i="14" s="1"/>
  <c r="E137" i="14" s="1"/>
  <c r="E138" i="14" s="1"/>
  <c r="G35" i="10"/>
  <c r="F69" i="14"/>
  <c r="C116" i="14" s="1"/>
  <c r="F45" i="14"/>
  <c r="E61" i="14"/>
  <c r="F61" i="14" s="1"/>
  <c r="E158" i="14"/>
  <c r="H88" i="7"/>
  <c r="F81" i="14"/>
  <c r="F156" i="14"/>
  <c r="G156" i="14" s="1"/>
  <c r="C190" i="14"/>
  <c r="D190" i="14" s="1"/>
  <c r="E190" i="14" s="1"/>
  <c r="F190" i="14" s="1"/>
  <c r="G190" i="14" s="1"/>
  <c r="H190" i="14" s="1"/>
  <c r="I72" i="3"/>
  <c r="I39" i="10" s="1"/>
  <c r="K35" i="10"/>
  <c r="D208" i="14"/>
  <c r="H35" i="10"/>
  <c r="D158" i="14"/>
  <c r="I89" i="10"/>
  <c r="O125" i="5"/>
  <c r="K89" i="10"/>
  <c r="S89" i="10"/>
  <c r="E35" i="10"/>
  <c r="F37" i="14"/>
  <c r="E59" i="14"/>
  <c r="F57" i="14"/>
  <c r="C102" i="14" s="1"/>
  <c r="D160" i="14"/>
  <c r="D35" i="10"/>
  <c r="L35" i="10"/>
  <c r="G89" i="10"/>
  <c r="T125" i="5"/>
  <c r="E89" i="10"/>
  <c r="J89" i="10"/>
  <c r="Q125" i="5"/>
  <c r="F289" i="14"/>
  <c r="J35" i="10"/>
  <c r="N125" i="5"/>
  <c r="C88" i="7"/>
  <c r="C86" i="7"/>
  <c r="R125" i="5"/>
  <c r="G289" i="14"/>
  <c r="F157" i="14"/>
  <c r="E160" i="14"/>
  <c r="E159" i="14"/>
  <c r="D161" i="14"/>
  <c r="D159" i="14"/>
  <c r="F35" i="10"/>
  <c r="C101" i="14"/>
  <c r="U125" i="5"/>
  <c r="J289" i="14"/>
  <c r="P125" i="5"/>
  <c r="E289" i="14"/>
  <c r="D45" i="14"/>
  <c r="G38" i="10"/>
  <c r="G72" i="3"/>
  <c r="G39" i="10" s="1"/>
  <c r="C208" i="14"/>
  <c r="H89" i="10"/>
  <c r="U89" i="10"/>
  <c r="C38" i="10"/>
  <c r="C72" i="3"/>
  <c r="C39" i="10" s="1"/>
  <c r="F88" i="7"/>
  <c r="F86" i="7"/>
  <c r="F89" i="10"/>
  <c r="D89" i="10"/>
  <c r="E45" i="14"/>
  <c r="E46" i="14" s="1"/>
  <c r="C178" i="14"/>
  <c r="I35" i="10"/>
  <c r="K38" i="10"/>
  <c r="K72" i="3"/>
  <c r="K39" i="10" s="1"/>
  <c r="R89" i="10"/>
  <c r="S125" i="5"/>
  <c r="J38" i="10"/>
  <c r="J72" i="3"/>
  <c r="J39" i="10" s="1"/>
  <c r="D103" i="14"/>
  <c r="H38" i="10"/>
  <c r="H72" i="3"/>
  <c r="H39" i="10" s="1"/>
  <c r="F73" i="14"/>
  <c r="C114" i="14"/>
  <c r="F68" i="14"/>
  <c r="E74" i="14"/>
  <c r="G86" i="7"/>
  <c r="G88" i="7"/>
  <c r="E73" i="14"/>
  <c r="D136" i="14"/>
  <c r="D139" i="14" s="1"/>
  <c r="E66" i="14" l="1"/>
  <c r="F63" i="14"/>
  <c r="C238" i="14" s="1"/>
  <c r="F75" i="14"/>
  <c r="E64" i="14"/>
  <c r="F134" i="14"/>
  <c r="F135" i="14" s="1"/>
  <c r="F137" i="14" s="1"/>
  <c r="F138" i="14" s="1"/>
  <c r="E65" i="14"/>
  <c r="E136" i="14"/>
  <c r="E139" i="14" s="1"/>
  <c r="E164" i="14" s="1"/>
  <c r="E186" i="14" s="1"/>
  <c r="E63" i="14"/>
  <c r="F46" i="14"/>
  <c r="F49" i="14" s="1"/>
  <c r="F50" i="14" s="1"/>
  <c r="F51" i="14" s="1"/>
  <c r="C109" i="14"/>
  <c r="F15" i="13"/>
  <c r="G81" i="14"/>
  <c r="G15" i="13" s="1"/>
  <c r="C24" i="13" s="1"/>
  <c r="D24" i="13" s="1"/>
  <c r="E24" i="13" s="1"/>
  <c r="F24" i="13" s="1"/>
  <c r="G24" i="13" s="1"/>
  <c r="H24" i="13" s="1"/>
  <c r="F158" i="14"/>
  <c r="F59" i="14"/>
  <c r="F65" i="14"/>
  <c r="C105" i="14" s="1"/>
  <c r="D105" i="14" s="1"/>
  <c r="E105" i="14" s="1"/>
  <c r="F105" i="14" s="1"/>
  <c r="G105" i="14" s="1"/>
  <c r="H105" i="14" s="1"/>
  <c r="D164" i="14"/>
  <c r="D186" i="14" s="1"/>
  <c r="E49" i="14"/>
  <c r="E103" i="14"/>
  <c r="D109" i="14"/>
  <c r="H156" i="14"/>
  <c r="H158" i="14" s="1"/>
  <c r="G158" i="14"/>
  <c r="D102" i="14"/>
  <c r="D178" i="14"/>
  <c r="C183" i="14"/>
  <c r="D101" i="14"/>
  <c r="C107" i="14"/>
  <c r="C115" i="14"/>
  <c r="F74" i="14"/>
  <c r="D114" i="14"/>
  <c r="C120" i="14"/>
  <c r="C122" i="14"/>
  <c r="D116" i="14"/>
  <c r="F160" i="14"/>
  <c r="F159" i="14"/>
  <c r="G157" i="14"/>
  <c r="E76" i="14"/>
  <c r="F76" i="14" l="1"/>
  <c r="C239" i="14" s="1"/>
  <c r="F136" i="14"/>
  <c r="F139" i="14" s="1"/>
  <c r="F164" i="14" s="1"/>
  <c r="F186" i="14" s="1"/>
  <c r="G134" i="14"/>
  <c r="G135" i="14" s="1"/>
  <c r="G137" i="14" s="1"/>
  <c r="G138" i="14" s="1"/>
  <c r="C189" i="14"/>
  <c r="C108" i="14"/>
  <c r="C110" i="14" s="1"/>
  <c r="C162" i="14" s="1"/>
  <c r="C185" i="14" s="1"/>
  <c r="F13" i="13"/>
  <c r="F80" i="14"/>
  <c r="F52" i="14"/>
  <c r="F14" i="13" s="1"/>
  <c r="D122" i="14"/>
  <c r="E116" i="14"/>
  <c r="D108" i="14"/>
  <c r="E102" i="14"/>
  <c r="E114" i="14"/>
  <c r="D120" i="14"/>
  <c r="D115" i="14"/>
  <c r="C121" i="14"/>
  <c r="C123" i="14" s="1"/>
  <c r="C184" i="14" s="1"/>
  <c r="H134" i="14"/>
  <c r="F103" i="14"/>
  <c r="E109" i="14"/>
  <c r="C192" i="14"/>
  <c r="E50" i="14"/>
  <c r="C195" i="14" s="1"/>
  <c r="E178" i="14"/>
  <c r="D183" i="14"/>
  <c r="D188" i="14" s="1"/>
  <c r="E101" i="14"/>
  <c r="D107" i="14"/>
  <c r="G159" i="14"/>
  <c r="G160" i="14"/>
  <c r="H157" i="14"/>
  <c r="C188" i="14"/>
  <c r="C240" i="14" s="1"/>
  <c r="C196" i="14" l="1"/>
  <c r="G136" i="14"/>
  <c r="G139" i="14" s="1"/>
  <c r="G164" i="14" s="1"/>
  <c r="G186" i="14" s="1"/>
  <c r="C241" i="14"/>
  <c r="E108" i="14"/>
  <c r="F102" i="14"/>
  <c r="F114" i="14"/>
  <c r="E120" i="14"/>
  <c r="E107" i="14"/>
  <c r="F101" i="14"/>
  <c r="E115" i="14"/>
  <c r="D121" i="14"/>
  <c r="D123" i="14" s="1"/>
  <c r="G103" i="14"/>
  <c r="F109" i="14"/>
  <c r="H135" i="14"/>
  <c r="H137" i="14" s="1"/>
  <c r="H138" i="14" s="1"/>
  <c r="H159" i="14"/>
  <c r="H160" i="14"/>
  <c r="E122" i="14"/>
  <c r="F116" i="14"/>
  <c r="F178" i="14"/>
  <c r="E183" i="14"/>
  <c r="E188" i="14" s="1"/>
  <c r="D110" i="14"/>
  <c r="E51" i="14"/>
  <c r="E110" i="14" l="1"/>
  <c r="E162" i="14" s="1"/>
  <c r="D184" i="14"/>
  <c r="D187" i="14" s="1"/>
  <c r="D124" i="14"/>
  <c r="H103" i="14"/>
  <c r="H109" i="14" s="1"/>
  <c r="G109" i="14"/>
  <c r="G116" i="14"/>
  <c r="F122" i="14"/>
  <c r="F107" i="14"/>
  <c r="G101" i="14"/>
  <c r="G102" i="14"/>
  <c r="F108" i="14"/>
  <c r="E121" i="14"/>
  <c r="E123" i="14" s="1"/>
  <c r="F115" i="14"/>
  <c r="H136" i="14"/>
  <c r="H139" i="14" s="1"/>
  <c r="H164" i="14" s="1"/>
  <c r="H186" i="14" s="1"/>
  <c r="G114" i="14"/>
  <c r="F120" i="14"/>
  <c r="E13" i="13"/>
  <c r="G13" i="13" s="1"/>
  <c r="C193" i="14"/>
  <c r="E52" i="14"/>
  <c r="E14" i="13" s="1"/>
  <c r="E80" i="14"/>
  <c r="G80" i="14" s="1"/>
  <c r="G83" i="14" s="1"/>
  <c r="D111" i="14"/>
  <c r="D162" i="14"/>
  <c r="G178" i="14"/>
  <c r="F183" i="14"/>
  <c r="F188" i="14" s="1"/>
  <c r="E111" i="14" l="1"/>
  <c r="G14" i="13"/>
  <c r="G16" i="13"/>
  <c r="C23" i="13"/>
  <c r="G107" i="14"/>
  <c r="H101" i="14"/>
  <c r="H107" i="14" s="1"/>
  <c r="F121" i="14"/>
  <c r="F123" i="14" s="1"/>
  <c r="G115" i="14"/>
  <c r="H102" i="14"/>
  <c r="H108" i="14" s="1"/>
  <c r="G108" i="14"/>
  <c r="E124" i="14"/>
  <c r="E184" i="14"/>
  <c r="E187" i="14" s="1"/>
  <c r="E163" i="14"/>
  <c r="E185" i="14"/>
  <c r="H116" i="14"/>
  <c r="H122" i="14" s="1"/>
  <c r="G122" i="14"/>
  <c r="F110" i="14"/>
  <c r="G17" i="13"/>
  <c r="H114" i="14"/>
  <c r="H120" i="14" s="1"/>
  <c r="G120" i="14"/>
  <c r="H178" i="14"/>
  <c r="H183" i="14" s="1"/>
  <c r="H188" i="14" s="1"/>
  <c r="G183" i="14"/>
  <c r="G188" i="14" s="1"/>
  <c r="D163" i="14"/>
  <c r="D185" i="14"/>
  <c r="D189" i="14" s="1"/>
  <c r="D192" i="14" s="1"/>
  <c r="E189" i="14" l="1"/>
  <c r="E192" i="14" s="1"/>
  <c r="E195" i="14" s="1"/>
  <c r="E193" i="14" s="1"/>
  <c r="G121" i="14"/>
  <c r="G123" i="14" s="1"/>
  <c r="H115" i="14"/>
  <c r="H121" i="14" s="1"/>
  <c r="H123" i="14" s="1"/>
  <c r="C25" i="13"/>
  <c r="K22" i="13" s="1"/>
  <c r="H110" i="14"/>
  <c r="G110" i="14"/>
  <c r="F162" i="14"/>
  <c r="F111" i="14"/>
  <c r="D195" i="14"/>
  <c r="D193" i="14" s="1"/>
  <c r="F124" i="14"/>
  <c r="F184" i="14"/>
  <c r="F187" i="14" s="1"/>
  <c r="D223" i="14" l="1"/>
  <c r="D194" i="14"/>
  <c r="E223" i="14"/>
  <c r="E194" i="14"/>
  <c r="C199" i="14"/>
  <c r="C201" i="14" s="1"/>
  <c r="G124" i="14"/>
  <c r="G184" i="14"/>
  <c r="G187" i="14" s="1"/>
  <c r="H184" i="14"/>
  <c r="H187" i="14" s="1"/>
  <c r="H124" i="14"/>
  <c r="H162" i="14"/>
  <c r="H111" i="14"/>
  <c r="G162" i="14"/>
  <c r="G111" i="14"/>
  <c r="F185" i="14"/>
  <c r="F189" i="14" s="1"/>
  <c r="F192" i="14" s="1"/>
  <c r="F163" i="14"/>
  <c r="E228" i="14" l="1"/>
  <c r="E227" i="14"/>
  <c r="E230" i="14"/>
  <c r="E55" i="13"/>
  <c r="E22" i="13" s="1"/>
  <c r="D55" i="13"/>
  <c r="C202" i="14"/>
  <c r="G185" i="14"/>
  <c r="G189" i="14" s="1"/>
  <c r="G192" i="14" s="1"/>
  <c r="G163" i="14"/>
  <c r="H185" i="14"/>
  <c r="H189" i="14" s="1"/>
  <c r="H192" i="14" s="1"/>
  <c r="H163" i="14"/>
  <c r="F195" i="14"/>
  <c r="F193" i="14" s="1"/>
  <c r="D228" i="14"/>
  <c r="D227" i="14"/>
  <c r="D230" i="14"/>
  <c r="F194" i="14" l="1"/>
  <c r="F223" i="14"/>
  <c r="D232" i="14"/>
  <c r="D233" i="14" s="1"/>
  <c r="D229" i="14"/>
  <c r="D231" i="14" s="1"/>
  <c r="D234" i="14" s="1"/>
  <c r="D22" i="13"/>
  <c r="C243" i="14"/>
  <c r="H195" i="14"/>
  <c r="H193" i="14" s="1"/>
  <c r="G195" i="14"/>
  <c r="G193" i="14" s="1"/>
  <c r="C203" i="14"/>
  <c r="E229" i="14"/>
  <c r="E231" i="14" s="1"/>
  <c r="E234" i="14" s="1"/>
  <c r="E232" i="14"/>
  <c r="E233" i="14" s="1"/>
  <c r="G194" i="14" l="1"/>
  <c r="G223" i="14"/>
  <c r="E199" i="14"/>
  <c r="H194" i="14"/>
  <c r="H223" i="14"/>
  <c r="D199" i="14"/>
  <c r="D201" i="14" s="1"/>
  <c r="D23" i="13"/>
  <c r="F228" i="14"/>
  <c r="F227" i="14"/>
  <c r="F230" i="14"/>
  <c r="F229" i="14" l="1"/>
  <c r="F231" i="14" s="1"/>
  <c r="F234" i="14" s="1"/>
  <c r="F232" i="14"/>
  <c r="F233" i="14" s="1"/>
  <c r="E23" i="13"/>
  <c r="D25" i="13"/>
  <c r="K23" i="13" s="1"/>
  <c r="H55" i="13"/>
  <c r="G55" i="13"/>
  <c r="G22" i="13" s="1"/>
  <c r="F55" i="13"/>
  <c r="F22" i="13" s="1"/>
  <c r="D202" i="14"/>
  <c r="D203" i="14" s="1"/>
  <c r="H228" i="14"/>
  <c r="H227" i="14"/>
  <c r="H230" i="14"/>
  <c r="G228" i="14"/>
  <c r="G227" i="14"/>
  <c r="G230" i="14"/>
  <c r="G229" i="14" l="1"/>
  <c r="G231" i="14" s="1"/>
  <c r="G234" i="14" s="1"/>
  <c r="G232" i="14"/>
  <c r="G233" i="14" s="1"/>
  <c r="H229" i="14"/>
  <c r="H231" i="14" s="1"/>
  <c r="H234" i="14" s="1"/>
  <c r="H232" i="14"/>
  <c r="H233" i="14" s="1"/>
  <c r="H22" i="13"/>
  <c r="C35" i="13" s="1"/>
  <c r="D243" i="14"/>
  <c r="E25" i="13"/>
  <c r="K24" i="13" s="1"/>
  <c r="F23" i="13"/>
  <c r="F30" i="13" l="1"/>
  <c r="E30" i="13"/>
  <c r="F32" i="13"/>
  <c r="F33" i="13" s="1"/>
  <c r="F50" i="13" s="1"/>
  <c r="E32" i="13"/>
  <c r="E33" i="13" s="1"/>
  <c r="E50" i="13" s="1"/>
  <c r="D32" i="13"/>
  <c r="D33" i="13" s="1"/>
  <c r="D50" i="13" s="1"/>
  <c r="F31" i="13"/>
  <c r="F34" i="13" s="1"/>
  <c r="E31" i="13"/>
  <c r="E34" i="13" s="1"/>
  <c r="D31" i="13"/>
  <c r="D34" i="13" s="1"/>
  <c r="D30" i="13"/>
  <c r="C36" i="13"/>
  <c r="F25" i="13"/>
  <c r="K25" i="13" s="1"/>
  <c r="G23" i="13"/>
  <c r="F48" i="13" l="1"/>
  <c r="F49" i="13"/>
  <c r="F51" i="13"/>
  <c r="G25" i="13"/>
  <c r="K26" i="13" s="1"/>
  <c r="H23" i="13"/>
  <c r="E51" i="13"/>
  <c r="E48" i="13"/>
  <c r="E47" i="13"/>
  <c r="E49" i="13"/>
  <c r="B42" i="13" s="1"/>
  <c r="B41" i="13"/>
  <c r="B44" i="13"/>
  <c r="B43" i="13"/>
  <c r="G30" i="13"/>
  <c r="G32" i="13"/>
  <c r="G33" i="13" s="1"/>
  <c r="G50" i="13" s="1"/>
  <c r="D51" i="13"/>
  <c r="D49" i="13"/>
  <c r="D48" i="13"/>
  <c r="D47" i="13"/>
  <c r="G31" i="13"/>
  <c r="G34" i="13" s="1"/>
  <c r="G51" i="13" l="1"/>
  <c r="G48" i="13"/>
  <c r="G49" i="13"/>
  <c r="H25" i="13"/>
  <c r="K27" i="13" s="1"/>
  <c r="H30" i="13"/>
  <c r="H32" i="13"/>
  <c r="H33" i="13" s="1"/>
  <c r="H31" i="13"/>
  <c r="H34" i="13" s="1"/>
  <c r="H50" i="13" l="1"/>
  <c r="C43" i="13"/>
  <c r="H49" i="13"/>
  <c r="H51" i="13"/>
  <c r="C44" i="13" s="1"/>
  <c r="H48" i="13"/>
  <c r="C41" i="13" s="1"/>
  <c r="T62" i="14"/>
  <c r="S62" i="14"/>
  <c r="R62" i="14"/>
  <c r="Q62" i="14"/>
  <c r="P62" i="14"/>
  <c r="O62" i="14"/>
  <c r="N62" i="14"/>
  <c r="M62" i="14"/>
  <c r="T61" i="14"/>
  <c r="S61" i="14"/>
  <c r="R61" i="14"/>
  <c r="Q61" i="14"/>
  <c r="P61" i="14"/>
  <c r="O61" i="14"/>
  <c r="N61" i="14"/>
  <c r="M61" i="14"/>
  <c r="L61" i="14"/>
  <c r="K61" i="14"/>
  <c r="R52" i="14"/>
  <c r="Q52" i="14"/>
  <c r="P52" i="14"/>
  <c r="O52" i="14"/>
  <c r="N52" i="14"/>
  <c r="M52" i="14"/>
  <c r="L52" i="14"/>
  <c r="K52" i="14"/>
  <c r="R51" i="14"/>
  <c r="Q51" i="14"/>
  <c r="P51" i="14"/>
  <c r="O51" i="14"/>
  <c r="N51" i="14"/>
  <c r="M51" i="14"/>
  <c r="L51" i="14"/>
  <c r="K51" i="14"/>
  <c r="R50" i="14"/>
  <c r="Q50" i="14"/>
  <c r="P50" i="14"/>
  <c r="O50" i="14"/>
  <c r="N50" i="14"/>
  <c r="M50" i="14"/>
  <c r="L50" i="14"/>
  <c r="K50" i="14"/>
  <c r="R49" i="14"/>
  <c r="Q49" i="14"/>
  <c r="P49" i="14"/>
  <c r="O49" i="14"/>
  <c r="N49" i="14"/>
  <c r="M49" i="14"/>
  <c r="L49" i="14"/>
  <c r="K49" i="14"/>
  <c r="R48" i="14"/>
  <c r="Q48" i="14"/>
  <c r="P48" i="14"/>
  <c r="O48" i="14"/>
  <c r="N48" i="14"/>
  <c r="M48" i="14"/>
  <c r="L48" i="14"/>
  <c r="K48" i="14"/>
  <c r="R47" i="14"/>
  <c r="Q47" i="14"/>
  <c r="P47" i="14"/>
  <c r="O47" i="14"/>
  <c r="N47" i="14"/>
  <c r="M47" i="14"/>
  <c r="L47" i="14"/>
  <c r="K47" i="14"/>
  <c r="R43" i="14"/>
  <c r="Q43" i="14"/>
  <c r="P43" i="14"/>
  <c r="O43" i="14"/>
  <c r="N43" i="14"/>
  <c r="M43" i="14"/>
  <c r="L43" i="14"/>
  <c r="K43" i="14"/>
  <c r="R42" i="14"/>
  <c r="Q42" i="14"/>
  <c r="P42" i="14"/>
  <c r="O42" i="14"/>
  <c r="N42" i="14"/>
  <c r="M42" i="14"/>
  <c r="L42" i="14"/>
  <c r="K42" i="14"/>
  <c r="R41" i="14"/>
  <c r="Q41" i="14"/>
  <c r="P41" i="14"/>
  <c r="O41" i="14"/>
  <c r="N41" i="14"/>
  <c r="M41" i="14"/>
  <c r="L41" i="14"/>
  <c r="K41" i="14"/>
  <c r="R40" i="14"/>
  <c r="Q40" i="14"/>
  <c r="P40" i="14"/>
  <c r="O40" i="14"/>
  <c r="N40" i="14"/>
  <c r="M40" i="14"/>
  <c r="L40" i="14"/>
  <c r="K40" i="14"/>
  <c r="R39" i="14"/>
  <c r="Q39" i="14"/>
  <c r="P39" i="14"/>
  <c r="O39" i="14"/>
  <c r="N39" i="14"/>
  <c r="M39" i="14"/>
  <c r="L39" i="14"/>
  <c r="K39" i="14"/>
  <c r="R38" i="14"/>
  <c r="Q38" i="14"/>
  <c r="P38" i="14"/>
  <c r="O38" i="14"/>
  <c r="N38" i="14"/>
  <c r="M38" i="14"/>
  <c r="L38" i="14"/>
  <c r="K38" i="14"/>
  <c r="R37" i="14"/>
  <c r="Q37" i="14"/>
  <c r="P37" i="14"/>
  <c r="O37" i="14"/>
  <c r="N37" i="14"/>
  <c r="M37" i="14"/>
  <c r="L37" i="14"/>
  <c r="K37" i="14"/>
  <c r="R36" i="14"/>
  <c r="Q36" i="14"/>
  <c r="P36" i="14"/>
  <c r="O36" i="14"/>
  <c r="N36" i="14"/>
  <c r="M36" i="14"/>
  <c r="L36" i="14"/>
  <c r="K36" i="14"/>
  <c r="R35" i="14"/>
  <c r="Q35" i="14"/>
  <c r="P35" i="14"/>
  <c r="O35" i="14"/>
  <c r="N35" i="14"/>
  <c r="M35" i="14"/>
  <c r="L35" i="14"/>
  <c r="K35" i="14"/>
  <c r="R34" i="14"/>
  <c r="Q34" i="14"/>
  <c r="P34" i="14"/>
  <c r="O34" i="14"/>
  <c r="N34" i="14"/>
  <c r="M34" i="14"/>
  <c r="L34" i="14"/>
  <c r="K34" i="14"/>
  <c r="R33" i="14"/>
  <c r="Q33" i="14"/>
  <c r="P33" i="14"/>
  <c r="O33" i="14"/>
  <c r="N33" i="14"/>
  <c r="M33" i="14"/>
  <c r="L33" i="14"/>
  <c r="K33" i="14"/>
  <c r="R32" i="14"/>
  <c r="Q32" i="14"/>
  <c r="P32" i="14"/>
  <c r="O32" i="14"/>
  <c r="N32" i="14"/>
  <c r="M32" i="14"/>
  <c r="L32" i="14"/>
  <c r="K32" i="14"/>
  <c r="R31" i="14"/>
  <c r="Q31" i="14"/>
  <c r="P31" i="14"/>
  <c r="O31" i="14"/>
  <c r="N31" i="14"/>
  <c r="M31" i="14"/>
  <c r="L31" i="14"/>
  <c r="K31" i="14"/>
  <c r="R30" i="14"/>
  <c r="Q30" i="14"/>
  <c r="P30" i="14"/>
  <c r="O30" i="14"/>
  <c r="N30" i="14"/>
  <c r="M30" i="14"/>
  <c r="L30" i="14"/>
  <c r="K30" i="14"/>
  <c r="R29" i="14"/>
  <c r="Q29" i="14"/>
  <c r="P29" i="14"/>
  <c r="O29" i="14"/>
  <c r="N29" i="14"/>
  <c r="M29" i="14"/>
  <c r="L29" i="14"/>
  <c r="K29" i="14"/>
  <c r="R28" i="14"/>
  <c r="Q28" i="14"/>
  <c r="P28" i="14"/>
  <c r="O28" i="14"/>
  <c r="N28" i="14"/>
  <c r="M28" i="14"/>
  <c r="L28" i="14"/>
  <c r="K28" i="14"/>
  <c r="R27" i="14"/>
  <c r="Q27" i="14"/>
  <c r="P27" i="14"/>
  <c r="O27" i="14"/>
  <c r="N27" i="14"/>
  <c r="M27" i="14"/>
  <c r="L27" i="14"/>
  <c r="K27" i="14"/>
  <c r="T23" i="14"/>
  <c r="S23" i="14"/>
  <c r="R23" i="14"/>
  <c r="Q23" i="14"/>
  <c r="P23" i="14"/>
  <c r="O23" i="14"/>
  <c r="N23" i="14"/>
  <c r="M23" i="14"/>
  <c r="L23" i="14"/>
  <c r="K23" i="14"/>
  <c r="D23" i="14"/>
  <c r="C23" i="14"/>
  <c r="T22" i="14"/>
  <c r="S22" i="14"/>
  <c r="R22" i="14"/>
  <c r="Q22" i="14"/>
  <c r="P22" i="14"/>
  <c r="O22" i="14"/>
  <c r="N22" i="14"/>
  <c r="M22" i="14"/>
  <c r="L22" i="14"/>
  <c r="K22" i="14"/>
  <c r="D22" i="14"/>
  <c r="C22" i="14"/>
  <c r="T21" i="14"/>
  <c r="S21" i="14"/>
  <c r="R21" i="14"/>
  <c r="Q21" i="14"/>
  <c r="P21" i="14"/>
  <c r="O21" i="14"/>
  <c r="N21" i="14"/>
  <c r="M21" i="14"/>
  <c r="L21" i="14"/>
  <c r="K21" i="14"/>
  <c r="D21" i="14"/>
  <c r="C21" i="14"/>
  <c r="T20" i="14"/>
  <c r="S20" i="14"/>
  <c r="R20" i="14"/>
  <c r="Q20" i="14"/>
  <c r="P20" i="14"/>
  <c r="O20" i="14"/>
  <c r="N20" i="14"/>
  <c r="M20" i="14"/>
  <c r="L20" i="14"/>
  <c r="K20" i="14"/>
  <c r="T19" i="14"/>
  <c r="S19" i="14"/>
  <c r="R19" i="14"/>
  <c r="Q19" i="14"/>
  <c r="P19" i="14"/>
  <c r="O19" i="14"/>
  <c r="N19" i="14"/>
  <c r="D19" i="14"/>
  <c r="C19" i="14"/>
  <c r="T18" i="14"/>
  <c r="S18" i="14"/>
  <c r="R18" i="14"/>
  <c r="Q18" i="14"/>
  <c r="P18" i="14"/>
  <c r="O18" i="14"/>
  <c r="N18" i="14"/>
  <c r="M18" i="14"/>
  <c r="L18" i="14"/>
  <c r="D18" i="14"/>
  <c r="C18" i="14"/>
  <c r="T17" i="14"/>
  <c r="S17" i="14"/>
  <c r="R17" i="14"/>
  <c r="Q17" i="14"/>
  <c r="P17" i="14"/>
  <c r="O17" i="14"/>
  <c r="N17" i="14"/>
  <c r="M17" i="14"/>
  <c r="L17" i="14"/>
  <c r="K17" i="14"/>
  <c r="D17" i="14"/>
  <c r="C17" i="14"/>
  <c r="T16" i="14"/>
  <c r="S16" i="14"/>
  <c r="R16" i="14"/>
  <c r="Q16" i="14"/>
  <c r="P16" i="14"/>
  <c r="O16" i="14"/>
  <c r="N16" i="14"/>
  <c r="M16" i="14"/>
  <c r="L16" i="14"/>
  <c r="D16" i="14"/>
  <c r="C16" i="14"/>
  <c r="T15" i="14"/>
  <c r="S15" i="14"/>
  <c r="R15" i="14"/>
  <c r="Q15" i="14"/>
  <c r="P15" i="14"/>
  <c r="O15" i="14"/>
  <c r="N15" i="14"/>
  <c r="M15" i="14"/>
  <c r="L15" i="14"/>
  <c r="K15" i="14"/>
  <c r="D15" i="14"/>
  <c r="C15" i="14"/>
  <c r="T14" i="14"/>
  <c r="S14" i="14"/>
  <c r="R14" i="14"/>
  <c r="Q14" i="14"/>
  <c r="P14" i="14"/>
  <c r="O14" i="14"/>
  <c r="N14" i="14"/>
  <c r="M14" i="14"/>
  <c r="L14" i="14"/>
  <c r="K14" i="14"/>
  <c r="D14" i="14"/>
  <c r="C14" i="14"/>
  <c r="T13" i="14"/>
  <c r="S13" i="14"/>
  <c r="R13" i="14"/>
  <c r="Q13" i="14"/>
  <c r="P13" i="14"/>
  <c r="O13" i="14"/>
  <c r="N13" i="14"/>
  <c r="M13" i="14"/>
  <c r="L13" i="14"/>
  <c r="D13" i="14"/>
  <c r="C13" i="14"/>
  <c r="T12" i="14"/>
  <c r="S12" i="14"/>
  <c r="R12" i="14"/>
  <c r="Q12" i="14"/>
  <c r="P12" i="14"/>
  <c r="O12" i="14"/>
  <c r="N12" i="14"/>
  <c r="M12" i="14"/>
  <c r="L12" i="14"/>
  <c r="D12" i="14"/>
  <c r="C12" i="14"/>
  <c r="T11" i="14"/>
  <c r="S11" i="14"/>
  <c r="R11" i="14"/>
  <c r="Q11" i="14"/>
  <c r="P11" i="14"/>
  <c r="O11" i="14"/>
  <c r="N11" i="14"/>
  <c r="M11" i="14"/>
  <c r="D11" i="14"/>
  <c r="C11" i="14"/>
  <c r="T10" i="14"/>
  <c r="S10" i="14"/>
  <c r="R10" i="14"/>
  <c r="Q10" i="14"/>
  <c r="P10" i="14"/>
  <c r="O10" i="14"/>
  <c r="N10" i="14"/>
  <c r="M10" i="14"/>
  <c r="D10" i="14"/>
  <c r="C10" i="14"/>
  <c r="T9" i="14"/>
  <c r="S9" i="14"/>
  <c r="R9" i="14"/>
  <c r="Q9" i="14"/>
  <c r="P9" i="14"/>
  <c r="O9" i="14"/>
  <c r="N9" i="14"/>
  <c r="M9" i="14"/>
  <c r="D9" i="14"/>
  <c r="C9" i="14"/>
  <c r="T8" i="14"/>
  <c r="S8" i="14"/>
  <c r="R8" i="14"/>
  <c r="Q8" i="14"/>
  <c r="P8" i="14"/>
  <c r="O8" i="14"/>
  <c r="N8" i="14"/>
  <c r="M8" i="14"/>
  <c r="D8" i="14"/>
  <c r="C8" i="14"/>
  <c r="T7" i="14"/>
  <c r="S7" i="14"/>
  <c r="R7" i="14"/>
  <c r="Q7" i="14"/>
  <c r="P7" i="14"/>
  <c r="O7" i="14"/>
  <c r="N7" i="14"/>
  <c r="M7" i="14"/>
  <c r="D7" i="14"/>
  <c r="C7" i="14"/>
  <c r="C42" i="13" l="1"/>
</calcChain>
</file>

<file path=xl/sharedStrings.xml><?xml version="1.0" encoding="utf-8"?>
<sst xmlns="http://schemas.openxmlformats.org/spreadsheetml/2006/main" count="2920" uniqueCount="1477">
  <si>
    <t>McDonald's Corporation — Cover</t>
  </si>
  <si>
    <t>$ in millions except per-share data  |  USD  |  as of 2026-10-08</t>
  </si>
  <si>
    <t>McDonald's Corporation - Financial Model Workbook</t>
  </si>
  <si>
    <t>Ticker / exchange</t>
  </si>
  <si>
    <t>MCD / NYSE</t>
  </si>
  <si>
    <t>SEC registrant / CIK</t>
  </si>
  <si>
    <t>MCDONALDS CORP / 0000063908</t>
  </si>
  <si>
    <t>Reporting framework</t>
  </si>
  <si>
    <t>US GAAP (per SEC Form 10-K / 10-Q); consolidated</t>
  </si>
  <si>
    <t>Fiscal year end</t>
  </si>
  <si>
    <t>December 31</t>
  </si>
  <si>
    <t>Currency and units</t>
  </si>
  <si>
    <t>USD millions except per-share data and restaurant counts</t>
  </si>
  <si>
    <t>Annual window</t>
  </si>
  <si>
    <t>FY2016-FY2025 (10 Form 10-K filings; latest-filing-wins precedence for restated periods)</t>
  </si>
  <si>
    <t>Quarterly window</t>
  </si>
  <si>
    <t>3Q2024-2Q2026 (6 Form 10-Q filings: 3Q24, 1Q25, 2Q25, 3Q25, 1Q26, 2Q26)</t>
  </si>
  <si>
    <t>Latest filing covered</t>
  </si>
  <si>
    <t>Form 10-Q for the quarter ended 2026-06-30 (filed 2026-08-07); 3Q2026 10-Q not yet filed at 2026-10-08</t>
  </si>
  <si>
    <t>Research as-of date</t>
  </si>
  <si>
    <t>2026-10-08</t>
  </si>
  <si>
    <t>Colour legend</t>
  </si>
  <si>
    <t>Blue</t>
  </si>
  <si>
    <t>Hard-coded value copied from a filed statement table</t>
  </si>
  <si>
    <t>Black</t>
  </si>
  <si>
    <t>Formula / analyst calculation</t>
  </si>
  <si>
    <t>Green</t>
  </si>
  <si>
    <t>Cross-sheet link</t>
  </si>
  <si>
    <t>Grey italic</t>
  </si>
  <si>
    <t>Memo / ratio rows</t>
  </si>
  <si>
    <t>Amber check rows</t>
  </si>
  <si>
    <t>Rounding tie-outs of as-filed integers (+/-2 expected); red = strict tie-out failure</t>
  </si>
  <si>
    <t>Sheet directory</t>
  </si>
  <si>
    <t>Income Statement (IS)</t>
  </si>
  <si>
    <t>As-reported income statement, per-share data, tie-outs</t>
  </si>
  <si>
    <t>Balance Sheet (BS)</t>
  </si>
  <si>
    <t>As-reported balance sheet, tie-outs, debt and lease summary</t>
  </si>
  <si>
    <t>Cash Flow (CF)</t>
  </si>
  <si>
    <t>As-reported cash flow, cash walk, free cash flow analytics</t>
  </si>
  <si>
    <t>Segments (SEG)</t>
  </si>
  <si>
    <t>Reportable-segment revenue, operating income, assets, capex, D&amp;A; revenue by type; restaurant margins by segment; SG&amp;A by segment and incentive compensation; superseded FY2016-FY2018 structure</t>
  </si>
  <si>
    <t>Operating Metrics (OM)</t>
  </si>
  <si>
    <t>Restaurant counts (type and segment), net additions, comparable sales and guest counts, systemwide sales growth, franchised sales, franchised revenue mix, currency translation impact, non-GAAP reconciliations, capex by purpose, shareholder returns, debt statistics</t>
  </si>
  <si>
    <t>Note Schedules (NS)</t>
  </si>
  <si>
    <t>Property and equipment, income taxes, other operating and nonoperating components, goodwill by segment, debt by currency and maturity, rent and lease commitments, franchise-arrangement assets, advertising, share-based compensation, text-only operating facts</t>
  </si>
  <si>
    <t>Year-End Schedules</t>
  </si>
  <si>
    <t>Debt, lease and minimum-rent maturity ladders (Dec 2025 and Dec 2024), restructuring reserve roll-forward, equity-method investees</t>
  </si>
  <si>
    <t>Outlook &amp; Text KPIs</t>
  </si>
  <si>
    <t>Verbatim management outlook statements FY2016-FY2025 10-Ks (FORWARD-LOOKING, not realised) and operating-KPI sentences FY2021-FY2025 with line locators</t>
  </si>
  <si>
    <t>Derived Metrics (DM)</t>
  </si>
  <si>
    <t>Margins, returns, leverage, liquidity, cash conversion, growth (formulas on the statements)</t>
  </si>
  <si>
    <t>Sources</t>
  </si>
  <si>
    <t>Filing register, extraction method, comparability and restatement notes</t>
  </si>
  <si>
    <t>Comparability and method notes</t>
  </si>
  <si>
    <t>4Q columns marked *</t>
  </si>
  <si>
    <t>Income statement and cash flow 4Q = FY (10-K) less nine-month YTD (10-Q): analyst derivation, not a filed quarterly statement. Balance-sheet 4Q columns are the filed 10-K year-end balances. EPS / share counts are not derived.</t>
  </si>
  <si>
    <t>Revenue recast</t>
  </si>
  <si>
    <t>FY2018-FY2019 were recast in the FY2020 10-K (new 'Other revenues' and 'Other restaurant expenses' lines; revenue and cost both higher, operating income unchanged). FY2016-FY2017 are as originally reported and are not comparable at line level.</t>
  </si>
  <si>
    <t>Segment structure</t>
  </si>
  <si>
    <t>Current segments (U.S. / International Operated Markets / International Developmental Licensed Markets &amp; Corporate) available from FY2017 (FY2019 10-K recast). FY2016 exists only under the superseded structure.</t>
  </si>
  <si>
    <t>Negative equity</t>
  </si>
  <si>
    <t>Shareholders' equity is a deficit in every period; ROE and debt/equity are not meaningful and are omitted.</t>
  </si>
  <si>
    <t>Precision</t>
  </si>
  <si>
    <t>FY2016-FY2019 10-K tables show one decimal; FY2018 onward as later recast are whole millions. Tie-outs therefore show +/-1-2 rounding in recent years.</t>
  </si>
  <si>
    <t>Systemwide sales</t>
  </si>
  <si>
    <t>The company does not tabulate Systemwide sales in dollars; the OM row reconstructs it as franchised sales + Company-owned and operated sales (analyst calculation). Cross-check: 2025 SG&amp;A / reconstructed Systemwide sales = 2.2%, equal to the company's own 'about 2.2% of Systemwide sales' statement.</t>
  </si>
  <si>
    <t>Text-only facts</t>
  </si>
  <si>
    <t>Rows built from MD&amp;A / note prose (advertising, variable rent, franchise-arrangement property, debt fair value, segment franchised %, employees, delivery / drive thru) are company statements rounded as printed; they are not audited tables.</t>
  </si>
  <si>
    <t>Guidance</t>
  </si>
  <si>
    <t>The Outlook &amp; Text KPIs sheet quotes management guidance and targets verbatim. They are forward-looking company statements (SEC filing text), not realised data.</t>
  </si>
  <si>
    <t>Not loaded</t>
  </si>
  <si>
    <t>Official-site material and earnings-call transcripts (out of scope); 1Q/2Q 2024 quarterly flows (prior-year comparatives in the 2025 10-Qs); deferred-tax components, effective-tax-rate reconciliation, unrecognised tax benefits, derivative / fair-value tables, option and RSU activity, monthly repurchase table and the 5-year shareholder-return index (financial-reporting detail outside the operating scope of this pass); FY2016-FY2018 old-structure MD&amp;A tables other than those shown in the superseded-structure block; 10-Q MD&amp;A KPI tables.</t>
  </si>
  <si>
    <t>McDonald's Corporation — Income Statement</t>
  </si>
  <si>
    <t>FY2016</t>
  </si>
  <si>
    <t>FY2017</t>
  </si>
  <si>
    <t>FY2018</t>
  </si>
  <si>
    <t>FY2019</t>
  </si>
  <si>
    <t>FY2020</t>
  </si>
  <si>
    <t>FY2021</t>
  </si>
  <si>
    <t>FY2022</t>
  </si>
  <si>
    <t>FY2023</t>
  </si>
  <si>
    <t>FY2024</t>
  </si>
  <si>
    <t>FY2025</t>
  </si>
  <si>
    <t>·</t>
  </si>
  <si>
    <t>3Q2024</t>
  </si>
  <si>
    <t>4Q2024*</t>
  </si>
  <si>
    <t>1Q2025</t>
  </si>
  <si>
    <t>2Q2025</t>
  </si>
  <si>
    <t>3Q2025</t>
  </si>
  <si>
    <t>4Q2025*</t>
  </si>
  <si>
    <t>1Q2026</t>
  </si>
  <si>
    <t>2Q2026</t>
  </si>
  <si>
    <t>2016-12-31</t>
  </si>
  <si>
    <t>2017-12-31</t>
  </si>
  <si>
    <t>2018-12-31</t>
  </si>
  <si>
    <t>2019-12-31</t>
  </si>
  <si>
    <t>2020-12-31</t>
  </si>
  <si>
    <t>2021-12-31</t>
  </si>
  <si>
    <t>2022-12-31</t>
  </si>
  <si>
    <t>2023-12-31</t>
  </si>
  <si>
    <t>2024-12-31</t>
  </si>
  <si>
    <t>2025-12-31</t>
  </si>
  <si>
    <t>2024-09-30</t>
  </si>
  <si>
    <t>2025-03-31</t>
  </si>
  <si>
    <t>2025-06-30</t>
  </si>
  <si>
    <t>2025-09-30</t>
  </si>
  <si>
    <t>2026-03-31</t>
  </si>
  <si>
    <t>2026-06-30</t>
  </si>
  <si>
    <t>CONTENTS</t>
  </si>
  <si>
    <t>1. INCOME STATEMENT - AS REPORTED</t>
  </si>
  <si>
    <t>Revenues from franchised restaurants</t>
  </si>
  <si>
    <t xml:space="preserve">  YoY Growth</t>
  </si>
  <si>
    <t>Sales by Company-owned and operated restaurants</t>
  </si>
  <si>
    <t>Captioned 'Sales by Company-operated restaurants' in 10-Ks through FY2023</t>
  </si>
  <si>
    <t>Other revenues</t>
  </si>
  <si>
    <t>Line first presented in FY2020 10-K with FY2018-FY2019 recast; FY2016-FY2017 pre-date the recast (no separate line)</t>
  </si>
  <si>
    <t>Total revenues</t>
  </si>
  <si>
    <t>Franchised restaurants-occupancy expenses</t>
  </si>
  <si>
    <t>Company-owned and operated: Food &amp; paper</t>
  </si>
  <si>
    <t>Company-owned and operated: Payroll &amp; employee benefits</t>
  </si>
  <si>
    <t>Company-owned and operated: Occupancy &amp; other operating expenses</t>
  </si>
  <si>
    <t>Company-owned and operated restaurant expenses (10-Q single-line)</t>
  </si>
  <si>
    <t>10-Q presents one line; 10-K presents the three components above. 4Q* = FY components less 9M YTD</t>
  </si>
  <si>
    <t>Company-owned and operated restaurant expenses</t>
  </si>
  <si>
    <t>Other restaurant expenses</t>
  </si>
  <si>
    <t>Line first presented in FY2020 10-K with FY2018-FY2019 recast</t>
  </si>
  <si>
    <t>SG&amp;A (single-line presentation, FY2016-FY2017)</t>
  </si>
  <si>
    <t>SG&amp;A: Depreciation and amortization</t>
  </si>
  <si>
    <t>SG&amp;A: Other</t>
  </si>
  <si>
    <t>Selling, general &amp; administrative expenses</t>
  </si>
  <si>
    <t>Analyst sum of as-filed components; filed as one line FY2016-FY2017</t>
  </si>
  <si>
    <t>Other operating (income) expense, net</t>
  </si>
  <si>
    <t>Total operating costs and expenses</t>
  </si>
  <si>
    <t>Operating income</t>
  </si>
  <si>
    <t xml:space="preserve">  Operating Margin</t>
  </si>
  <si>
    <t>Interest expense, net of capitalized interest</t>
  </si>
  <si>
    <t>Nonoperating (income) expense, net</t>
  </si>
  <si>
    <t>Income before provision for income taxes</t>
  </si>
  <si>
    <t>Provision for income taxes</t>
  </si>
  <si>
    <t>Net income</t>
  </si>
  <si>
    <t xml:space="preserve">  Net Margin</t>
  </si>
  <si>
    <t>2. PER-SHARE DATA AND SHARE COUNT</t>
  </si>
  <si>
    <t>Earnings per common share - basic ($)</t>
  </si>
  <si>
    <t>Earnings per common share - diluted ($)</t>
  </si>
  <si>
    <t>Dividends declared per common share ($)</t>
  </si>
  <si>
    <t>3Q2024 includes the declaration normally made in 4Q (timing); FY basis is the 10-K figure</t>
  </si>
  <si>
    <t>Weighted-average shares outstanding - basic (mm)</t>
  </si>
  <si>
    <t>Weighted-average shares outstanding - diluted (mm)</t>
  </si>
  <si>
    <t>3. TIE-OUT CHECKS</t>
  </si>
  <si>
    <t>Revenue components vs total (filed integers; rounding +/-2 expected)</t>
  </si>
  <si>
    <t>Operating cost lines vs total (rounding +/-2 expected)</t>
  </si>
  <si>
    <t>Revenue - operating costs - operating income (rounding)</t>
  </si>
  <si>
    <t>Operating income - interest - nonoperating - pre-tax (rounding)</t>
  </si>
  <si>
    <t>Pre-tax - tax - net income (rounding)</t>
  </si>
  <si>
    <t>McDonald's Corporation — Balance Sheet</t>
  </si>
  <si>
    <t>1. ASSETS</t>
  </si>
  <si>
    <t>Cash and equivalents</t>
  </si>
  <si>
    <t>Accounts and notes receivable</t>
  </si>
  <si>
    <t>Inventories, at cost, not in excess of market</t>
  </si>
  <si>
    <t>Prepaid expenses and other current assets</t>
  </si>
  <si>
    <t>Assets of businesses held for sale</t>
  </si>
  <si>
    <t>Total current assets</t>
  </si>
  <si>
    <t>Investments in and advances to affiliates</t>
  </si>
  <si>
    <t>Goodwill</t>
  </si>
  <si>
    <t>Miscellaneous other assets</t>
  </si>
  <si>
    <t>Total other assets</t>
  </si>
  <si>
    <t>Lease right-of-use asset, net</t>
  </si>
  <si>
    <t>Presented from FY2019 (ASC 842 adoption); no comparable line for FY2016-FY2018</t>
  </si>
  <si>
    <t>Property and equipment, at cost</t>
  </si>
  <si>
    <t>Accumulated depreciation and amortization</t>
  </si>
  <si>
    <t>Net property and equipment</t>
  </si>
  <si>
    <t>Total assets</t>
  </si>
  <si>
    <t>2. LIABILITIES</t>
  </si>
  <si>
    <t>Accounts payable</t>
  </si>
  <si>
    <t>Lease liability (current)</t>
  </si>
  <si>
    <t>Income taxes</t>
  </si>
  <si>
    <t>Other taxes</t>
  </si>
  <si>
    <t>Accrued interest</t>
  </si>
  <si>
    <t>Accrued payroll and other liabilities</t>
  </si>
  <si>
    <t>Dividend payable</t>
  </si>
  <si>
    <t>Separate line only in the 3Q2024 10-Q</t>
  </si>
  <si>
    <t>Short-term borrowings and current maturities of long-term debt</t>
  </si>
  <si>
    <t>Captioned 'Current maturities of long-term debt' through FY2021; line absent (nil) where blank</t>
  </si>
  <si>
    <t>Liabilities of businesses held for sale</t>
  </si>
  <si>
    <t>Total current liabilities</t>
  </si>
  <si>
    <t>Long-term debt</t>
  </si>
  <si>
    <t>Long-term lease liability</t>
  </si>
  <si>
    <t>Long-term income taxes</t>
  </si>
  <si>
    <t>Separate line from FY2017 10-K; FY2016 amount is within Other long-term liabilities (see restatement log)</t>
  </si>
  <si>
    <t>Deferred revenues - initial franchise fees</t>
  </si>
  <si>
    <t>Separate line from FY2018 10-K</t>
  </si>
  <si>
    <t>Other long-term liabilities</t>
  </si>
  <si>
    <t>Deferred income taxes</t>
  </si>
  <si>
    <t>3. SHAREHOLDERS' EQUITY (DEFICIT)</t>
  </si>
  <si>
    <t>Preferred stock (none issued)</t>
  </si>
  <si>
    <t>Common stock, $0.01 par value</t>
  </si>
  <si>
    <t>Additional paid-in capital</t>
  </si>
  <si>
    <t>Retained earnings</t>
  </si>
  <si>
    <t>Accumulated other comprehensive income (loss)</t>
  </si>
  <si>
    <t>Common stock in treasury, at cost</t>
  </si>
  <si>
    <t>Total shareholders' equity (deficit)</t>
  </si>
  <si>
    <t>Total liabilities and shareholders' equity (deficit)</t>
  </si>
  <si>
    <t xml:space="preserve">  Total liabilities (derived: total less equity)</t>
  </si>
  <si>
    <t>4. TIE-OUT CHECKS</t>
  </si>
  <si>
    <t>Balance Check: total assets - total liabilities and equity (should be ~0)</t>
  </si>
  <si>
    <t>Asset groups vs total assets (rounding +/-2 expected)</t>
  </si>
  <si>
    <t>Gross PP&amp;E - accumulated depreciation vs net PP&amp;E (rounding)</t>
  </si>
  <si>
    <t>Current liability lines vs total (rounding +/-2 expected)</t>
  </si>
  <si>
    <t>Equity components vs total equity (rounding +/-2 expected)</t>
  </si>
  <si>
    <t>Current asset lines vs total (rounding +/-2 expected)</t>
  </si>
  <si>
    <t>5. DEBT AND LEASE SUMMARY (ANALYST CALCULATION FROM FILED LINES)</t>
  </si>
  <si>
    <t>Total debt (short-term + long-term)</t>
  </si>
  <si>
    <t>Total lease liabilities (current + long-term)</t>
  </si>
  <si>
    <t>Net debt (total debt less cash and equivalents)</t>
  </si>
  <si>
    <t>Net debt including lease liabilities</t>
  </si>
  <si>
    <t>McDonald's Corporation — Cash Flow</t>
  </si>
  <si>
    <t>1. OPERATING ACTIVITIES</t>
  </si>
  <si>
    <t>Depreciation and amortization</t>
  </si>
  <si>
    <t>Share-based compensation</t>
  </si>
  <si>
    <t>Net (gain) loss on sale of restaurant and other businesses</t>
  </si>
  <si>
    <t>Separate line FY2017+ (recast); in 10-Qs it is included in 'Other' below</t>
  </si>
  <si>
    <t>Other</t>
  </si>
  <si>
    <t>10-Q 'Other' and 4Q* include the net gain/loss on sale line</t>
  </si>
  <si>
    <t>Working capital: Accounts receivable</t>
  </si>
  <si>
    <t>Working capital: Inventories, prepaid expenses and other current assets</t>
  </si>
  <si>
    <t>Working capital: Accounts payable</t>
  </si>
  <si>
    <t>Working capital: Income taxes</t>
  </si>
  <si>
    <t>Working capital: Other accrued liabilities</t>
  </si>
  <si>
    <t>Changes in working capital items (10-Q single-line)</t>
  </si>
  <si>
    <t>10-Q presents one line; 4Q* = FY sum of the five lines less 9M YTD</t>
  </si>
  <si>
    <t>Changes in working capital items</t>
  </si>
  <si>
    <t>Cash provided by operations</t>
  </si>
  <si>
    <t>2. INVESTING ACTIVITIES</t>
  </si>
  <si>
    <t>Capital expenditures</t>
  </si>
  <si>
    <t>Purchases of restaurant (and other) businesses</t>
  </si>
  <si>
    <t>Purchases of equity method investments</t>
  </si>
  <si>
    <t>Sales of restaurant (and other) businesses</t>
  </si>
  <si>
    <t>Proceeds from sale of businesses in China and Hong Kong</t>
  </si>
  <si>
    <t>Sales of property</t>
  </si>
  <si>
    <t>Other investing</t>
  </si>
  <si>
    <t>Cash provided by (used for) investing activities</t>
  </si>
  <si>
    <t>3. FINANCING ACTIVITIES</t>
  </si>
  <si>
    <t>Net short-term borrowings (repayments)</t>
  </si>
  <si>
    <t>Long-term financing issuances</t>
  </si>
  <si>
    <t>Long-term financing repayments</t>
  </si>
  <si>
    <t>Treasury stock purchases</t>
  </si>
  <si>
    <t>Common stock dividends</t>
  </si>
  <si>
    <t>Proceeds from stock option exercises</t>
  </si>
  <si>
    <t>Excess tax benefit on share-based compensation</t>
  </si>
  <si>
    <t>Other financing</t>
  </si>
  <si>
    <t>Cash provided by (used for) financing activities</t>
  </si>
  <si>
    <t>4. CASH RECONCILIATION AND SUPPLEMENTAL</t>
  </si>
  <si>
    <t>Effect of exchange rates on cash and equivalents</t>
  </si>
  <si>
    <t>Cash and equivalents increase (decrease)</t>
  </si>
  <si>
    <t>Change in cash balances of businesses held for sale</t>
  </si>
  <si>
    <t>Captioned 'Cash balance of businesses held for sale at end of year' in the FY2016 10-K</t>
  </si>
  <si>
    <t>Cash and equivalents at beginning of period</t>
  </si>
  <si>
    <t>Cash and equivalents at end of period</t>
  </si>
  <si>
    <t>Interest paid (supplemental)</t>
  </si>
  <si>
    <t>Supplemental disclosure in 10-K only</t>
  </si>
  <si>
    <t>Income taxes paid, net (supplemental)</t>
  </si>
  <si>
    <t>Supplemental disclosure in 10-K only; FY2025 moved to the Income Tax note under ASU 2023-09 (table T840 of the FY2025 10-K)</t>
  </si>
  <si>
    <t>5. TIE-OUT CHECKS</t>
  </si>
  <si>
    <t>Cash Walk Check (annual): begin + net change + held-for-sale change - end (filed integers; rounding +/-1 in FY2022-FY2023)</t>
  </si>
  <si>
    <t>Cash Walk Check (quarterly)</t>
  </si>
  <si>
    <t>Operating lines vs CFO (rounding +/-2 expected)</t>
  </si>
  <si>
    <t>Investing lines vs CFI (rounding +/-2 expected)</t>
  </si>
  <si>
    <t>Financing lines vs CFF (rounding +/-2 expected)</t>
  </si>
  <si>
    <t>CFO + CFI + CFF + FX vs net change (rounding +/-2 expected)</t>
  </si>
  <si>
    <t>Ending cash vs balance sheet cash (rounding)</t>
  </si>
  <si>
    <t>6. FREE CASH FLOW ANALYTICS (ANALYST CALCULATION)</t>
  </si>
  <si>
    <t>Free cash flow (CFO + capital expenditures)</t>
  </si>
  <si>
    <t xml:space="preserve">  Capital expenditures % of revenue</t>
  </si>
  <si>
    <t xml:space="preserve">  FCF margin</t>
  </si>
  <si>
    <t xml:space="preserve">  FCF conversion (FCF / net income)</t>
  </si>
  <si>
    <t>Dividends + treasury stock purchases (cash basis)</t>
  </si>
  <si>
    <t xml:space="preserve">  Shareholder returns % of FCF</t>
  </si>
  <si>
    <t>McDonald's Corporation — Segments</t>
  </si>
  <si>
    <t>1. SEGMENT REVENUES (CURRENT REPORTABLE-SEGMENT STRUCTURE, FY2017-FY2025)</t>
  </si>
  <si>
    <t>U.S.</t>
  </si>
  <si>
    <t>International Operated Markets</t>
  </si>
  <si>
    <t>International Developmental Licensed Markets &amp; Corporate</t>
  </si>
  <si>
    <t xml:space="preserve">  U.S. % of total</t>
  </si>
  <si>
    <t xml:space="preserve">  International Operated Markets % of total</t>
  </si>
  <si>
    <t xml:space="preserve">  International Developmental Licensed Markets &amp; Corporate % of total</t>
  </si>
  <si>
    <t>Segment revenue vs IS total revenues (rounding / recast timing)</t>
  </si>
  <si>
    <t>2. SEGMENT OPERATING INCOME</t>
  </si>
  <si>
    <t>Total operating income</t>
  </si>
  <si>
    <t xml:space="preserve">  U.S. margin</t>
  </si>
  <si>
    <t xml:space="preserve">  International Operated Markets margin</t>
  </si>
  <si>
    <t xml:space="preserve">  International Developmental Licensed Markets &amp; Corporate margin</t>
  </si>
  <si>
    <t xml:space="preserve">  Total margin</t>
  </si>
  <si>
    <t>Segment operating income vs IS operating income</t>
  </si>
  <si>
    <t>3. SEGMENT TOTAL ASSETS</t>
  </si>
  <si>
    <t>Segment assets vs BS total assets</t>
  </si>
  <si>
    <t>4. SEGMENT CAPITAL EXPENDITURES</t>
  </si>
  <si>
    <t>Total capital expenditures</t>
  </si>
  <si>
    <t>Segment capex vs CF capital expenditures (sign flipped)</t>
  </si>
  <si>
    <t>5. SEGMENT DEPRECIATION AND AMORTIZATION</t>
  </si>
  <si>
    <t>Total depreciation and amortization</t>
  </si>
  <si>
    <t>Segment D&amp;A vs CF depreciation and amortization</t>
  </si>
  <si>
    <t>6. SEGMENT EXPENSE DETAIL (DISCLOSED FROM FY2022 10-K, ASU 2023-07 PRESENTATION)</t>
  </si>
  <si>
    <t>Total franchised restaurants-occupancy expenses</t>
  </si>
  <si>
    <t>Total Company-operated restaurant expenses</t>
  </si>
  <si>
    <t>Total selling, general &amp; administrative expenses</t>
  </si>
  <si>
    <t>Total other segment items</t>
  </si>
  <si>
    <t>7. REVENUE BY TYPE AND SEGMENT (MD&amp;A REVENUE TABLE)</t>
  </si>
  <si>
    <t>Franchised revenues: U.S.</t>
  </si>
  <si>
    <t>Franchised revenues: International Operated Markets</t>
  </si>
  <si>
    <t>Franchised revenues: International Developmental Licensed Markets &amp; Corporate</t>
  </si>
  <si>
    <t>Total franchised revenues</t>
  </si>
  <si>
    <t>Company-owned and operated sales: U.S.</t>
  </si>
  <si>
    <t>Company-owned and operated sales: International Operated Markets</t>
  </si>
  <si>
    <t>Company-owned and operated sales: International Developmental Licensed Markets &amp; Corporate</t>
  </si>
  <si>
    <t>Total company-owned and operated sales</t>
  </si>
  <si>
    <t>Other revenues (total)</t>
  </si>
  <si>
    <t>Franchised revenues by segment vs IS (rounding)</t>
  </si>
  <si>
    <t>Company-operated sales by segment vs IS (rounding)</t>
  </si>
  <si>
    <t>Total revenues vs IS (rounding / FY2017 pre-recast)</t>
  </si>
  <si>
    <t>8. RESTAURANT MARGINS BY SEGMENT (MD&amp;A, FY2017-FY2025)</t>
  </si>
  <si>
    <t>Franchised margins: U.S.</t>
  </si>
  <si>
    <t>Franchised margins: International Operated Markets</t>
  </si>
  <si>
    <t>Franchised margins: International Developmental Licensed Markets &amp; Corporate</t>
  </si>
  <si>
    <t>Franchised margins: total</t>
  </si>
  <si>
    <t>Company-owned and operated margins: U.S.</t>
  </si>
  <si>
    <t>International Developmental Licensed Markets &amp; Corporate shown as n/m by the company</t>
  </si>
  <si>
    <t>Company-owned and operated margins: International Operated Markets</t>
  </si>
  <si>
    <t>Company-owned and operated margins: total</t>
  </si>
  <si>
    <t>Total restaurant margins: U.S.</t>
  </si>
  <si>
    <t>Reported from the FY2020 10-K (covers FY2018+)</t>
  </si>
  <si>
    <t>Total restaurant margins: International Operated Markets</t>
  </si>
  <si>
    <t>Total restaurant margins: total</t>
  </si>
  <si>
    <t xml:space="preserve">  Franchised margin % of franchised revenues: U.S.</t>
  </si>
  <si>
    <t xml:space="preserve">  Franchised margin % of franchised revenues: International Operated Markets</t>
  </si>
  <si>
    <t xml:space="preserve">  Franchised margin % of franchised revenues: International Developmental Licensed Markets &amp; Corporate</t>
  </si>
  <si>
    <t xml:space="preserve">  Franchised margin % of franchised revenues: total</t>
  </si>
  <si>
    <t xml:space="preserve">  Company-operated margin % of company-operated sales: U.S.</t>
  </si>
  <si>
    <t xml:space="preserve">  Company-operated margin % of company-operated sales: International Operated Markets</t>
  </si>
  <si>
    <t xml:space="preserve">  Company-operated margin % of company-operated sales: total</t>
  </si>
  <si>
    <t xml:space="preserve">  Franchised margins % of total restaurant margins</t>
  </si>
  <si>
    <t>Franchised margins vs income statement (revenues less occupancy; rounding)</t>
  </si>
  <si>
    <t>Franchised margins by segment vs total (rounding)</t>
  </si>
  <si>
    <t>Company-operated margins vs income statement (sales less restaurant expenses; rounding)</t>
  </si>
  <si>
    <t>Total restaurant margins vs franchised + company-operated (rounding)</t>
  </si>
  <si>
    <t>9. SELLING, GENERAL &amp; ADMINISTRATIVE EXPENSES BY SEGMENT AND INCENTIVE COMPENSATION (MD&amp;A, FY2017-FY2025)</t>
  </si>
  <si>
    <t>Less: incentive-based compensation (cash incentives and share-based compensation)</t>
  </si>
  <si>
    <t>Total excluding incentive-based compensation</t>
  </si>
  <si>
    <t xml:space="preserve">  Incentive-based compensation % of SG&amp;A</t>
  </si>
  <si>
    <t xml:space="preserve">  Excluding incentive compensation: YoY Growth</t>
  </si>
  <si>
    <t>MD&amp;A SG&amp;A vs income statement (rounding)</t>
  </si>
  <si>
    <t>SG&amp;A by segment vs total (rounding)</t>
  </si>
  <si>
    <t>Total less incentive vs excluding incentive (rounding)</t>
  </si>
  <si>
    <t>10. SUPERSEDED SEGMENT STRUCTURE (U.S. / INT'L LEAD / HIGH GROWTH / FOUNDATIONAL), FY2016-FY2018 - NOT COMPARABLE WITH BLOCKS ABOVE</t>
  </si>
  <si>
    <t>Revenues: U.S.</t>
  </si>
  <si>
    <t>Revenues: International Lead Markets</t>
  </si>
  <si>
    <t>Revenues: High Growth Markets</t>
  </si>
  <si>
    <t>Revenues: Foundational Markets &amp; Corporate</t>
  </si>
  <si>
    <t>Total revenues (as reported)</t>
  </si>
  <si>
    <t>Operating income: U.S.</t>
  </si>
  <si>
    <t>Operating income: International Lead Markets</t>
  </si>
  <si>
    <t>Operating income: High Growth Markets</t>
  </si>
  <si>
    <t>Operating income: Foundational Markets &amp; Corporate</t>
  </si>
  <si>
    <t>Total operating income (as reported)</t>
  </si>
  <si>
    <t>Total assets: U.S.</t>
  </si>
  <si>
    <t>Total assets: International Lead Markets</t>
  </si>
  <si>
    <t>Total assets: High Growth Markets</t>
  </si>
  <si>
    <t>Total assets: Foundational Markets &amp; Corporate</t>
  </si>
  <si>
    <t>Total total assets (as reported)</t>
  </si>
  <si>
    <t>Capital expenditures: U.S.</t>
  </si>
  <si>
    <t>Capital expenditures: International Lead Markets</t>
  </si>
  <si>
    <t>Capital expenditures: High Growth Markets</t>
  </si>
  <si>
    <t>Capital expenditures: Foundational Markets &amp; Corporate</t>
  </si>
  <si>
    <t>Total capital expenditures (as reported)</t>
  </si>
  <si>
    <t>Depreciation and amortization: U.S.</t>
  </si>
  <si>
    <t>Depreciation and amortization: International Lead Markets</t>
  </si>
  <si>
    <t>Depreciation and amortization: High Growth Markets</t>
  </si>
  <si>
    <t>Depreciation and amortization: Foundational Markets &amp; Corporate</t>
  </si>
  <si>
    <t>Total depreciation and amortization (as reported)</t>
  </si>
  <si>
    <t>Old-structure revenue by segment vs reported total</t>
  </si>
  <si>
    <t>Old-structure operating income by segment vs reported total</t>
  </si>
  <si>
    <t>McDonald's Corporation — Operating Metrics</t>
  </si>
  <si>
    <t>1. RESTAURANT COUNT (YEAR END)</t>
  </si>
  <si>
    <t>Conventional franchised</t>
  </si>
  <si>
    <t>Developmental licensed</t>
  </si>
  <si>
    <t>Foreign affiliated</t>
  </si>
  <si>
    <t>Total franchised restaurants</t>
  </si>
  <si>
    <t>FY2016 from Item 6 selected data (no type split)</t>
  </si>
  <si>
    <t>Company-owned and operated restaurants</t>
  </si>
  <si>
    <t>Total systemwide restaurants</t>
  </si>
  <si>
    <r>
      <t xml:space="preserve">Conventional franchised </t>
    </r>
    <r>
      <rPr>
        <sz val="10"/>
        <color rgb="FF333333"/>
        <rFont val="Microsoft YaHei"/>
        <family val="2"/>
      </rPr>
      <t>净增</t>
    </r>
  </si>
  <si>
    <r>
      <t xml:space="preserve">Developmental licensed </t>
    </r>
    <r>
      <rPr>
        <sz val="10"/>
        <color rgb="FF333333"/>
        <rFont val="Microsoft YaHei"/>
        <family val="2"/>
      </rPr>
      <t>净增</t>
    </r>
  </si>
  <si>
    <r>
      <t xml:space="preserve">Foreign affiliated </t>
    </r>
    <r>
      <rPr>
        <sz val="10"/>
        <color rgb="FF333333"/>
        <rFont val="Microsoft YaHei"/>
        <family val="2"/>
      </rPr>
      <t>净增</t>
    </r>
  </si>
  <si>
    <r>
      <t xml:space="preserve">Total franchised restaurants </t>
    </r>
    <r>
      <rPr>
        <b/>
        <sz val="10"/>
        <color rgb="FF333333"/>
        <rFont val="Microsoft YaHei"/>
        <family val="2"/>
      </rPr>
      <t>净增</t>
    </r>
  </si>
  <si>
    <r>
      <t xml:space="preserve">Company-owned and operated restaurants </t>
    </r>
    <r>
      <rPr>
        <sz val="10"/>
        <color rgb="FF333333"/>
        <rFont val="Microsoft YaHei"/>
        <family val="2"/>
      </rPr>
      <t>净增</t>
    </r>
  </si>
  <si>
    <r>
      <t xml:space="preserve">Total systemwide restaurants </t>
    </r>
    <r>
      <rPr>
        <b/>
        <sz val="10"/>
        <color rgb="FF333333"/>
        <rFont val="Microsoft YaHei"/>
        <family val="2"/>
      </rPr>
      <t>净增</t>
    </r>
  </si>
  <si>
    <t xml:space="preserve">  Franchised % of systemwide restaurants</t>
  </si>
  <si>
    <t>Franchised + company-operated vs systemwide</t>
  </si>
  <si>
    <t>2. FRANCHISED SALES AND SYSTEMWIDE SALES (MD&amp;A; FY2016 TOTAL FROM ITEM 6)</t>
  </si>
  <si>
    <t>International Developmental Licensed Markets</t>
  </si>
  <si>
    <t>Franchised sales: total</t>
  </si>
  <si>
    <t>FY2016 from Item 6 selected financial data (segment split not comparable); FY2017+ from the MD&amp;A franchised-sales table</t>
  </si>
  <si>
    <t>Systemwide sales (analyst: franchised sales + Company-owned and operated sales)</t>
  </si>
  <si>
    <t>Company defines Systemwide sales as sales at all restaurants; this sum is an analyst reconstruction from two disclosed components</t>
  </si>
  <si>
    <t xml:space="preserve">  Franchised revenues % of franchised sales</t>
  </si>
  <si>
    <t xml:space="preserve">  SG&amp;A % of Systemwide sales</t>
  </si>
  <si>
    <t xml:space="preserve">  Franchised sales per average franchised restaurant ($mm)</t>
  </si>
  <si>
    <t>Franchised sales by segment vs total (rounding)</t>
  </si>
  <si>
    <t>Franchised sales by ownership type vs total (rounding)</t>
  </si>
  <si>
    <t>3. RESTAURANTS BY SEGMENT AND NET ADDITIONS</t>
  </si>
  <si>
    <t>Net restaurant additions (year-over-year change)</t>
  </si>
  <si>
    <t xml:space="preserve">  Net unit growth %</t>
  </si>
  <si>
    <t xml:space="preserve">  Net additions: U.S.</t>
  </si>
  <si>
    <t xml:space="preserve">  Net additions: International Operated Markets</t>
  </si>
  <si>
    <t xml:space="preserve">  Net additions: International Developmental Licensed Markets &amp; Corporate</t>
  </si>
  <si>
    <t>Segment restaurants vs total (rounding)</t>
  </si>
  <si>
    <t>Segment restaurant total vs restaurant-count block</t>
  </si>
  <si>
    <t>4. COMPARABLE SALES GROWTH (U.S. / TOTAL FROM FY2016; SEGMENTS FROM FY2018; SEGMENT DEFINITIONS PER FY2019+ 10-KS)</t>
  </si>
  <si>
    <t>Comparable sales growth: U.S.</t>
  </si>
  <si>
    <t>FY2016-FY2017 from the FY2018/FY2019 10-K comparable-sales and guest-count tables (U.S. and Total Company definitions unchanged)</t>
  </si>
  <si>
    <t>Comparable sales growth: International Operated Markets</t>
  </si>
  <si>
    <t>Comparable sales growth: International Developmental Licensed Markets</t>
  </si>
  <si>
    <t>Comparable sales growth: Total Company</t>
  </si>
  <si>
    <t>Comparable guest counts growth: U.S.</t>
  </si>
  <si>
    <t>Guest-count tables were discontinued after the FY2019 10-K</t>
  </si>
  <si>
    <t>Comparable guest counts growth: International Operated Markets</t>
  </si>
  <si>
    <t>Comparable guest counts growth: International Developmental Licensed Markets &amp; Corporate</t>
  </si>
  <si>
    <t>Comparable guest counts growth: Total Company</t>
  </si>
  <si>
    <t>5. SYSTEMWIDE SALES GROWTH (FY2019-FY2025)</t>
  </si>
  <si>
    <t>Systemwide sales growth, as reported: U.S.</t>
  </si>
  <si>
    <t>Systemwide sales growth, as reported: International Operated Markets</t>
  </si>
  <si>
    <t>Systemwide sales growth, as reported: International Developmental Licensed Markets</t>
  </si>
  <si>
    <t>Systemwide sales growth, as reported: Total Company</t>
  </si>
  <si>
    <t>Systemwide sales growth, excluding currency translation: U.S.</t>
  </si>
  <si>
    <t>Systemwide sales growth, excluding currency translation: International Operated Markets</t>
  </si>
  <si>
    <t>Systemwide sales growth, excluding currency translation: International Developmental Licensed Markets</t>
  </si>
  <si>
    <t>Systemwide sales growth, excluding currency translation: Total Company</t>
  </si>
  <si>
    <t>6. MARKET DATA (ITEM 6 SELECTED FINANCIAL DATA, FY2016-FY2021 ONLY)</t>
  </si>
  <si>
    <t>Market price at year end ($, Item 6)</t>
  </si>
  <si>
    <t>Item 6 table discontinued after the FY2021 10-K</t>
  </si>
  <si>
    <t>Total debt ($mm, Item 6)</t>
  </si>
  <si>
    <t>7. FRANCHISED REVENUE COMPOSITION</t>
  </si>
  <si>
    <t>Rents</t>
  </si>
  <si>
    <t>Royalties</t>
  </si>
  <si>
    <t>Initial fees</t>
  </si>
  <si>
    <t xml:space="preserve">  Rents % of franchised revenues</t>
  </si>
  <si>
    <t xml:space="preserve">  Royalties % of franchised revenues</t>
  </si>
  <si>
    <t>Franchised revenue composition vs IS (rounding)</t>
  </si>
  <si>
    <t>8. SHAREHOLDER RETURNS (MD&amp;A TABLE)</t>
  </si>
  <si>
    <t>Number of shares repurchased (mm)</t>
  </si>
  <si>
    <t>Shares outstanding at year end (mm)</t>
  </si>
  <si>
    <t>Dividends declared per share ($)</t>
  </si>
  <si>
    <t>Treasury stock purchases (in shareholders' equity)</t>
  </si>
  <si>
    <t>Dividends paid</t>
  </si>
  <si>
    <t>Total returned to shareholders (as reported)</t>
  </si>
  <si>
    <t>Buybacks + dividends vs total returned (rounding)</t>
  </si>
  <si>
    <t>Dividends paid vs cash-flow dividends (rounding)</t>
  </si>
  <si>
    <t>9. DEBT STRUCTURE STATISTICS (MD&amp;A TABLE)</t>
  </si>
  <si>
    <t>Fixed-rate debt as % of total debt</t>
  </si>
  <si>
    <t>Weighted-average annual interest rate of total debt</t>
  </si>
  <si>
    <t>Foreign currency-denominated debt as % of total debt</t>
  </si>
  <si>
    <t>Total debt as % of total capitalization</t>
  </si>
  <si>
    <t>Cash provided by operations as % of total debt</t>
  </si>
  <si>
    <t>10. CURRENCY TRANSLATION IMPACT ON REPORTED RESULTS (COMPANY-DISCLOSED BENEFIT / (COST) VS PRIOR-YEAR RATES)</t>
  </si>
  <si>
    <t>Currency impact - Revenues</t>
  </si>
  <si>
    <t>Currency impact - Franchised margins</t>
  </si>
  <si>
    <t>Currency impact - Company-owned and operated margins</t>
  </si>
  <si>
    <t>Currency impact - Selling, general &amp; administrative expenses (negative = higher expense)</t>
  </si>
  <si>
    <t>Currency impact - Operating income</t>
  </si>
  <si>
    <t>Currency impact - Net income</t>
  </si>
  <si>
    <t>Currency impact - Earnings per common share - diluted ($)</t>
  </si>
  <si>
    <t xml:space="preserve">  Currency impact as % of reported operating income</t>
  </si>
  <si>
    <t xml:space="preserve">  Currency impact as % of reported revenues</t>
  </si>
  <si>
    <t>11. NON-GAAP RECONCILIATION: EARNINGS PER SHARE (ADJUSTMENT LINES AS PRESENTED IN THE FILING SUPPLYING EACH NON-GAAP FIGURE)</t>
  </si>
  <si>
    <t>GAAP earnings per share - diluted ($)</t>
  </si>
  <si>
    <t>(Gains) / charges (strategic charges, restructuring, impairments, disposals)</t>
  </si>
  <si>
    <t>Income tax (benefit) cost, net</t>
  </si>
  <si>
    <t>Tax settlement</t>
  </si>
  <si>
    <t>Non-GAAP earnings per share - diluted ($)</t>
  </si>
  <si>
    <t>GAAP + adjustments vs non-GAAP (disclosed rounding)</t>
  </si>
  <si>
    <t>GAAP figure vs income statement (rounding)</t>
  </si>
  <si>
    <t>12. NON-GAAP RECONCILIATION: NET INCOME (FY2021+)</t>
  </si>
  <si>
    <t>GAAP net income</t>
  </si>
  <si>
    <t>Non-GAAP net income</t>
  </si>
  <si>
    <t>13. NON-GAAP RECONCILIATION: OPERATING INCOME (FY2021+)</t>
  </si>
  <si>
    <t>GAAP operating income</t>
  </si>
  <si>
    <t>Russia sale charge</t>
  </si>
  <si>
    <t>Dynamic Yield sale gain</t>
  </si>
  <si>
    <t>Japan stock sale gains</t>
  </si>
  <si>
    <t>McDonald's Tech Labs sale charge</t>
  </si>
  <si>
    <t>Non-GAAP operating income</t>
  </si>
  <si>
    <t>Non-GAAP operating margin (as reported)</t>
  </si>
  <si>
    <t xml:space="preserve">  Non-GAAP operating margin (recomputed on total revenues)</t>
  </si>
  <si>
    <t>14. CAPITAL EXPENDITURES BY PURPOSE (DISCLOSED FY2016-FY2019 ONLY)</t>
  </si>
  <si>
    <t>New restaurants</t>
  </si>
  <si>
    <t>Existing restaurants</t>
  </si>
  <si>
    <t>Capex by purpose vs cash-flow capital expenditures (sign flipped; rounding)</t>
  </si>
  <si>
    <t>分部take rate</t>
  </si>
  <si>
    <t>McDonald's Corporation — Note Schedules</t>
  </si>
  <si>
    <t>1. PROPERTY AND EQUIPMENT (NOTE)</t>
  </si>
  <si>
    <t>Land</t>
  </si>
  <si>
    <t>Buildings and improvements on owned land</t>
  </si>
  <si>
    <t>Buildings and improvements on leased land</t>
  </si>
  <si>
    <t>Equipment, signs and seating</t>
  </si>
  <si>
    <t>Components vs cost (rounding)</t>
  </si>
  <si>
    <t>Note net PP&amp;E vs balance sheet (rounding)</t>
  </si>
  <si>
    <t>2. INCOME TAXES (NOTE)</t>
  </si>
  <si>
    <t>Income before taxes: U.S.</t>
  </si>
  <si>
    <t>Income before taxes: outside the U.S.</t>
  </si>
  <si>
    <t>Current: U.S. federal</t>
  </si>
  <si>
    <t>Current: U.S. state</t>
  </si>
  <si>
    <t>Current: outside the U.S.</t>
  </si>
  <si>
    <t>Current tax provision</t>
  </si>
  <si>
    <t>Deferred: U.S. federal</t>
  </si>
  <si>
    <t>Deferred: U.S. state</t>
  </si>
  <si>
    <t>Deferred: outside the U.S.</t>
  </si>
  <si>
    <t>Deferred tax (benefit) provision</t>
  </si>
  <si>
    <t xml:space="preserve">  U.S. share of pre-tax income</t>
  </si>
  <si>
    <t>Pre-tax split vs IS (rounding)</t>
  </si>
  <si>
    <t>Tax provision vs IS (rounding)</t>
  </si>
  <si>
    <t>Current + deferred vs total (rounding)</t>
  </si>
  <si>
    <t>3. OTHER OPERATING (INCOME) EXPENSE, NET - COMPONENTS (MD&amp;A / NOTE)</t>
  </si>
  <si>
    <t>Gains on sales of restaurant businesses</t>
  </si>
  <si>
    <t>Equity in earnings of unconsolidated affiliates</t>
  </si>
  <si>
    <t>Asset dispositions and other (income) expense, net</t>
  </si>
  <si>
    <t>Impairment and other charges (gains), net</t>
  </si>
  <si>
    <t>Components vs total (rounding)</t>
  </si>
  <si>
    <t>Total vs income statement (rounding)</t>
  </si>
  <si>
    <t>4. NONOPERATING (INCOME) EXPENSE, NET - COMPONENTS (MD&amp;A)</t>
  </si>
  <si>
    <t>Interest income</t>
  </si>
  <si>
    <t>Foreign currency and hedging activity</t>
  </si>
  <si>
    <t>Other (income) expense</t>
  </si>
  <si>
    <t>5. GOODWILL BY SEGMENT (YEAR END; NOTE)</t>
  </si>
  <si>
    <t>Goodwill: consolidated</t>
  </si>
  <si>
    <t>Goodwill by segment vs balance sheet (rounding)</t>
  </si>
  <si>
    <t>6. DEBT BY CURRENCY, FAIR VALUE AND MATURITY (FINANCING NOTE)</t>
  </si>
  <si>
    <t>Debt obligations: U.S. dollar</t>
  </si>
  <si>
    <t>Debt obligations: Euro</t>
  </si>
  <si>
    <t>Debt obligations: British pound sterling</t>
  </si>
  <si>
    <t>Debt obligations: Canadian dollar</t>
  </si>
  <si>
    <t>Debt obligations: Australian dollar</t>
  </si>
  <si>
    <t>Debt obligations: Japanese yen</t>
  </si>
  <si>
    <t>Debt obligations: Chinese renminbi</t>
  </si>
  <si>
    <t>Debt obligations: Other currencies</t>
  </si>
  <si>
    <t>Debt obligations before fair value adjustments and deferred debt costs</t>
  </si>
  <si>
    <t>Fair value adjustments</t>
  </si>
  <si>
    <t>Deferred debt costs</t>
  </si>
  <si>
    <t>Total debt obligations (carrying amount)</t>
  </si>
  <si>
    <t xml:space="preserve">  Non-U.S.-dollar share of debt before adjustments</t>
  </si>
  <si>
    <t>Fair value of debt obligations (debt note text; $mm, rounded to $0.1bn)</t>
  </si>
  <si>
    <t xml:space="preserve">  Fair value % of carrying amount</t>
  </si>
  <si>
    <t>Aggregate debt maturities falling due in the next year</t>
  </si>
  <si>
    <t>Total debt obligations vs balance sheet total debt (rounding)</t>
  </si>
  <si>
    <t>Aggregate debt maturities: total (sum of the maturity schedule)</t>
  </si>
  <si>
    <t>Maturity schedule total vs debt before adjustments (rounding)</t>
  </si>
  <si>
    <t>7. RENT, LEASE COMMITMENTS AND MINIMUM RENT RECEIVABLE</t>
  </si>
  <si>
    <t>Rent expense: restaurants</t>
  </si>
  <si>
    <t>FY2016-FY2018 filed on a different (company-operated / franchised) basis; only the total is comparable</t>
  </si>
  <si>
    <t>Rent expense: other</t>
  </si>
  <si>
    <t>Total rent expense</t>
  </si>
  <si>
    <t>Variable lease payments in excess of minimum rents: Company-owned and operated restaurants</t>
  </si>
  <si>
    <t>Disclosed in the lease note text</t>
  </si>
  <si>
    <t>Variable lease payments in excess of minimum rents: franchised restaurants</t>
  </si>
  <si>
    <t>Lease payments due in the next 12 months</t>
  </si>
  <si>
    <t>FY2016-FY2020: operating lease commitments per the contractual-obligations table; FY2021+: total (operating + finance) lease payments from the lease note</t>
  </si>
  <si>
    <t>Total remaining lease payments (undiscounted)</t>
  </si>
  <si>
    <t>Minimum rent receivable under franchise arrangements in the next 12 months</t>
  </si>
  <si>
    <t>Total minimum rent receivable under franchise arrangements (undiscounted)</t>
  </si>
  <si>
    <t xml:space="preserve">  Minimum rent receivable / lease payments, next 12 months</t>
  </si>
  <si>
    <t xml:space="preserve">  Minimum rent receivable / lease payments, total</t>
  </si>
  <si>
    <t>8. FRANCHISE-ARRANGEMENT ASSETS, ADVERTISING AND SHARE-BASED COMPENSATION</t>
  </si>
  <si>
    <t>Net property and equipment under franchise arrangements</t>
  </si>
  <si>
    <t>Disclosed in $bn to one decimal; converted to $mm</t>
  </si>
  <si>
    <t xml:space="preserve">  of which land</t>
  </si>
  <si>
    <t>Accumulated depreciation and amortization on franchise-arrangement property</t>
  </si>
  <si>
    <t xml:space="preserve">  Franchise-arrangement property % of balance sheet net PP&amp;E</t>
  </si>
  <si>
    <t>Advertising costs in Company-owned and operated restaurant expenses</t>
  </si>
  <si>
    <t>Advertising production and other marketing-related costs (in SG&amp;A)</t>
  </si>
  <si>
    <t xml:space="preserve">  Restaurant advertising % of Company-owned and operated sales</t>
  </si>
  <si>
    <t>Share-based compensation expense</t>
  </si>
  <si>
    <t>Share-based compensation expense, after tax</t>
  </si>
  <si>
    <t>Share-based compensation per diluted share ($)</t>
  </si>
  <si>
    <t>Share-based compensation vs cash-flow add-back (rounding)</t>
  </si>
  <si>
    <t>9. OTHER OPERATING FACTS DISCLOSED IN TEXT ONLY (APPROXIMATE; NOT TABULATED BY THE COMPANY)</t>
  </si>
  <si>
    <t>Franchised restaurants % of systemwide restaurants (text)</t>
  </si>
  <si>
    <t>Stated in MD&amp;A text for FY2018 and FY2023-FY2025 only</t>
  </si>
  <si>
    <t>Segment franchised %: U.S. (segment note text)</t>
  </si>
  <si>
    <t>Segment franchised %: International Operated Markets</t>
  </si>
  <si>
    <t>Segment franchised %: International Developmental Licensed Markets &amp; Corporate</t>
  </si>
  <si>
    <t>Share of operating income earned outside the U.S. (liquidity section text, approximate)</t>
  </si>
  <si>
    <t>Company employees worldwide (text, approximate; 'over' / 'approximately')</t>
  </si>
  <si>
    <t>Restaurants offering delivery (text, approximate)</t>
  </si>
  <si>
    <t>Drive thru locations (text, approximate)</t>
  </si>
  <si>
    <t>McDonald's Corporation — Derived Metrics</t>
  </si>
  <si>
    <t>1. PROFITABILITY</t>
  </si>
  <si>
    <t>Franchised margin ($mm)</t>
  </si>
  <si>
    <t>Franchised margin % of franchised revenues</t>
  </si>
  <si>
    <t>Company-operated margin ($mm)</t>
  </si>
  <si>
    <t>Company-operated margin % of company-operated sales</t>
  </si>
  <si>
    <t>SG&amp;A % of revenues</t>
  </si>
  <si>
    <t>Operating margin</t>
  </si>
  <si>
    <t>EBITDA ($mm; operating income + cash-flow D&amp;A)</t>
  </si>
  <si>
    <t>EBITDA margin</t>
  </si>
  <si>
    <t>Net margin</t>
  </si>
  <si>
    <t>Effective tax rate</t>
  </si>
  <si>
    <t>D&amp;A % of revenues</t>
  </si>
  <si>
    <t>2. RETURNS AND EFFICIENCY (ANNUAL; AVERAGE BALANCES)</t>
  </si>
  <si>
    <t>Average total assets ($mm)</t>
  </si>
  <si>
    <t>Return on average assets</t>
  </si>
  <si>
    <t>Asset turnover</t>
  </si>
  <si>
    <t>Invested capital ($mm; total debt + lease liabilities + equity)</t>
  </si>
  <si>
    <t>Lease liabilities are on the balance sheet from FY2019 (ASC 842); FY2016-FY2018 exclude them - not comparable across the FY2018/FY2019 boundary</t>
  </si>
  <si>
    <t>NOPAT ($mm; operating income x (1 - effective tax rate))</t>
  </si>
  <si>
    <t>ROIC (NOPAT / average invested capital)</t>
  </si>
  <si>
    <t>3. LEVERAGE AND COVERAGE (ANNUAL)</t>
  </si>
  <si>
    <t>Net debt / EBITDA</t>
  </si>
  <si>
    <t>Net debt incl. lease liabilities / EBITDA (EBITDA not rent-adjusted)</t>
  </si>
  <si>
    <t>Lease liabilities on balance sheet from FY2019 only (ASC 842)</t>
  </si>
  <si>
    <t>Total debt / total assets</t>
  </si>
  <si>
    <t>Interest coverage (operating income / interest expense)</t>
  </si>
  <si>
    <t>EBITDA / interest expense</t>
  </si>
  <si>
    <t>Cash provided by operations / total debt</t>
  </si>
  <si>
    <t>4. LIQUIDITY (PERIOD-END)</t>
  </si>
  <si>
    <t>Current ratio</t>
  </si>
  <si>
    <t>Quick ratio ((cash + receivables) / current liabilities)</t>
  </si>
  <si>
    <t>Cash ratio</t>
  </si>
  <si>
    <t>5. CASH CONVERSION AND CAPITAL ALLOCATION</t>
  </si>
  <si>
    <t>CFO margin</t>
  </si>
  <si>
    <t>CFO / EBITDA</t>
  </si>
  <si>
    <t>Capital expenditures % of revenues</t>
  </si>
  <si>
    <t>Capital expenditures / D&amp;A</t>
  </si>
  <si>
    <t>FCF margin</t>
  </si>
  <si>
    <t>FCF / net income</t>
  </si>
  <si>
    <t>Dividends paid % of net income</t>
  </si>
  <si>
    <t>Dividends paid % of FCF</t>
  </si>
  <si>
    <t>Treasury stock purchases % of FCF</t>
  </si>
  <si>
    <t>Dividends + buybacks % of FCF</t>
  </si>
  <si>
    <t>6. SYSTEMWIDE AND FRANCHISE ECONOMICS</t>
  </si>
  <si>
    <t>Systemwide sales ($mm; franchised sales + Company-operated sales)</t>
  </si>
  <si>
    <t>Systemwide sales growth (reported currency)</t>
  </si>
  <si>
    <t>Franchised revenues % of franchised sales</t>
  </si>
  <si>
    <t>Franchised margins % of franchised sales</t>
  </si>
  <si>
    <t>SG&amp;A % of Systemwide sales</t>
  </si>
  <si>
    <t>Operating income % of Systemwide sales</t>
  </si>
  <si>
    <t>Total revenues per average systemwide restaurant ($mm)</t>
  </si>
  <si>
    <t>Interest expense / average total debt</t>
  </si>
  <si>
    <t>Capital expenditures per net restaurant addition ($mm; net additions can be small or negative)</t>
  </si>
  <si>
    <t>7. EARNINGS QUALITY</t>
  </si>
  <si>
    <t>CFO / net income</t>
  </si>
  <si>
    <t>Accrual ratio ((net income - CFO) / average assets)</t>
  </si>
  <si>
    <t>8. GROWTH</t>
  </si>
  <si>
    <t>Diluted EPS ($)</t>
  </si>
  <si>
    <t>Free cash flow</t>
  </si>
  <si>
    <t>McDonald's Corporation — Year-End Schedules</t>
  </si>
  <si>
    <t>Year-end schedules disclosed in the notes (USD millions). Source: Form 10-K notes; table IDs refer to tables.json in this output folder.</t>
  </si>
  <si>
    <t>Aggregate debt maturities at December 31, 2025 (before fair value adjustments and deferred debt costs)</t>
  </si>
  <si>
    <t>Year</t>
  </si>
  <si>
    <t>Amount</t>
  </si>
  <si>
    <t>2026</t>
  </si>
  <si>
    <t>2027</t>
  </si>
  <si>
    <t>2028</t>
  </si>
  <si>
    <t>2029</t>
  </si>
  <si>
    <t>2030</t>
  </si>
  <si>
    <t>Thereafter</t>
  </si>
  <si>
    <t>Aggregate debt maturities at December 31, 2024 (before fair value adjustments and deferred debt costs)</t>
  </si>
  <si>
    <t>2025</t>
  </si>
  <si>
    <t>Minimum rent payments due to the Company under franchise arrangements at December 31, 2025 (table T828)</t>
  </si>
  <si>
    <t>Owned sites</t>
  </si>
  <si>
    <t>Leased sites</t>
  </si>
  <si>
    <t>Total</t>
  </si>
  <si>
    <t>Total minimum payments</t>
  </si>
  <si>
    <t>Minimum rent payments due to the Company under franchise arrangements at December 31, 2024 (table T763)</t>
  </si>
  <si>
    <t>Lease payment maturities at December 31, 2025 (table T833)</t>
  </si>
  <si>
    <t>Operating</t>
  </si>
  <si>
    <t>Finance</t>
  </si>
  <si>
    <t>Total (as filed)</t>
  </si>
  <si>
    <t>Total lease payments</t>
  </si>
  <si>
    <t>Less: imputed interest</t>
  </si>
  <si>
    <t>Present value of lease liability</t>
  </si>
  <si>
    <t>Lease payment maturities at December 31, 2024 (table T768)</t>
  </si>
  <si>
    <t>Restructuring reserve roll-forward - Accelerating the Organization (table T835)</t>
  </si>
  <si>
    <t>Line</t>
  </si>
  <si>
    <t>Employee termination benefits</t>
  </si>
  <si>
    <t>Costs to terminate contracts</t>
  </si>
  <si>
    <t>Professional services and other</t>
  </si>
  <si>
    <t>2023</t>
  </si>
  <si>
    <t>Accrued Balance at Beginning of Year</t>
  </si>
  <si>
    <t>Restructuring Costs Incurred</t>
  </si>
  <si>
    <t>Cash Payments</t>
  </si>
  <si>
    <t>Other Non-Cash Items</t>
  </si>
  <si>
    <t>Accrued Balance at December 31, 2023</t>
  </si>
  <si>
    <t>2024</t>
  </si>
  <si>
    <t>Accrued Balance at December 31, 2024</t>
  </si>
  <si>
    <t>Accrued Balance at December 31, 2025</t>
  </si>
  <si>
    <t>Equity-method investees (table T836); company-reported, Level 1 fair value where listed</t>
  </si>
  <si>
    <t>Investee</t>
  </si>
  <si>
    <t>Ownership 2025</t>
  </si>
  <si>
    <t>Fair value 2025</t>
  </si>
  <si>
    <t>Carrying 2025</t>
  </si>
  <si>
    <t>Ownership 2024</t>
  </si>
  <si>
    <t>Fair value 2024</t>
  </si>
  <si>
    <t>Carrying 2024</t>
  </si>
  <si>
    <t>Grand Foods Holding</t>
  </si>
  <si>
    <t>N/A</t>
  </si>
  <si>
    <t>McDonald's Japan Holdings Co., Ltd</t>
  </si>
  <si>
    <t>Summarised financial data of the equity-method investees (table T837)</t>
  </si>
  <si>
    <t>Revenue</t>
  </si>
  <si>
    <t>Equity in Earnings</t>
  </si>
  <si>
    <t>Accounts Receivable</t>
  </si>
  <si>
    <t>Dividends Received</t>
  </si>
  <si>
    <t>McDonald's Corporation — Outlook &amp; Text KPIs</t>
  </si>
  <si>
    <t>Management outlook and operating-KPI statements quoted verbatim from Form 10-K MD&amp;A text. Source tier: SEC filing (company statement). Nature: FORWARD-LOOKING guidance / targets or company-stated facts - not realised results, not audited, not verified independently.</t>
  </si>
  <si>
    <t>Locator = line number in the prepared document.md of the cited 10-K (sources/companies/US/MCD-mcdonalds/artifacts/ten_k/MCD-mcdonalds/FY&lt;year&gt;/psp_*/prepared/document.md). Management-stated conditions are preserved in the quoted text.</t>
  </si>
  <si>
    <t>10-K fiscal year</t>
  </si>
  <si>
    <t>Guided year</t>
  </si>
  <si>
    <t>Item</t>
  </si>
  <si>
    <t>Verbatim statement</t>
  </si>
  <si>
    <t>Net restaurant additions contribution to Systemwide sales growth</t>
  </si>
  <si>
    <t>Changes in Systemwide sales are driven by comparable sales and net restaurant unit expansion. The Company expects net restaurant additions to add approximately 1 percentage point to 2017 Systemwide sales growth (in constant currencies).</t>
  </si>
  <si>
    <t>SG&amp;A</t>
  </si>
  <si>
    <t>The Company expects full-year 2017 selling, general and administrative expenses to decrease about 7-8%, in constant currencies with fluctuations expected between the quarters. This includes incentive-based compensation costs of less than $ 300 million.</t>
  </si>
  <si>
    <t>Interest expense</t>
  </si>
  <si>
    <t>Based on current interest and foreign currency exchange rates, the Company expects interest expense for the full-year 2017 to increase about 5-10% compared with 2016 due to higher average debt balances.</t>
  </si>
  <si>
    <t>The Company expects the effective income tax rate for the full-year 2017 to be in the 31-33% range. Some volatility may result in a quarterly tax rate outside of the annual range.</t>
  </si>
  <si>
    <t>Capital expenditures / restaurant openings</t>
  </si>
  <si>
    <t>The Company expects capital expenditures for 2017 to be approximately $ 1.7 billion, about one-third of which will be used to open new restaurants. The Company expects to open about 900 restaurants, including about 500 restaurants in affiliated and developmental licensee markets where the Company generally does not fund any capital expenditures. The Company expects net additions of about 400 restaurants. The remaining two-thirds of capital will be used to reinvest in existing locations, including about 650 reimages</t>
  </si>
  <si>
    <t>Changes in Systemwide sales are driven by comparable sales, net restaurant unit expansion, and the potential impacts of hyper-inflation. The Company expects net restaurant additions to add approximately 1 percentage point to 2018 Systemwide sales growth (in constant currencies).</t>
  </si>
  <si>
    <t>The Company expects full-year 2018 selling, general and administrative expenses to decrease about 1% in constant currencies.</t>
  </si>
  <si>
    <t>Based on current interest and foreign currency exchange rates, the Company expects interest expense for the full-year 2018 to increase about 5% to 7% compared with 2017 due primarily to higher average debt balances.</t>
  </si>
  <si>
    <t>The Company expects the effective income tax rate for the full-year 2018 to be in the 25-27% range, with volatility between the quarters. Certain aspects of the Tax Act are expected to be clarified, and as such, could impact the Company's tax rate.</t>
  </si>
  <si>
    <t>The Company expects capital expenditures for 2018 to be approximately $ 2.4 billion. About $ 1.5 billion will be dedicated to our U.S. business, primarily focused on accelerating the pace of EOTF. We expect to complete EOTF at nearly 4,000 additional U.S. restaurants in 2018,</t>
  </si>
  <si>
    <t>Changes in Systemwide sales are driven by comparable sales, net restaurant unit expansion and the potential impacts of hyper-inflation. The Company expects net restaurant additions to add approximately 1 percentage point to 2019 Systemwide sales growth (in constant currencies).</t>
  </si>
  <si>
    <t>The Company expects full year 2019 selling, general and administrative expenses to decrease about 4% in constant currencies.</t>
  </si>
  <si>
    <t>Based on current interest and foreign currency exchange rates, the Company expects interest expense for the full year 2019 to increase about 10% to 12% due primarily to higher average debt balances.</t>
  </si>
  <si>
    <t>The Company expects the effective income tax rate for the full year 2019 to be in the 24% to 26% range. Some volatility may result in a quarterly tax rate outside of the annual range. Primarily due to tax costs associated with new regulations issued in January 2019, the effective income tax rate for the first quarter of 2019 is expected to be in the 28% to 29% range.</t>
  </si>
  <si>
    <t>The Company expects capital expenditures for 2019 to be approximately $ 2.3 billion. About $ 1.5 billion will be dedicated to our U.S. business, nearly two-thirds of which is allocated to approximately 2,000 EOTF projects. Globally, we expect to open roughly 1,200 restaurants. We will spend approximately $ 600 million in our wholly owned markets to open 300 restaurants and our developmental licensee and affiliated markets will contribute capital toward the remaining 900 restaurant openings in their respective marke</t>
  </si>
  <si>
    <t>Changes in Systemwide sales are driven by comparable sales, net restaurant unit expansion, and the potential impacts of hyper-inflation. The Company expects net restaurant additions to add approximately 1.5 percentage points to 2020 Systemwide sales growth (in constant currencies).</t>
  </si>
  <si>
    <t>The Company expects full year 2020 selling, general and administrative expenses to increase about 5% to 7% in constant currencies as the Company invests in technology and research &amp; development, and incurs costs related to the Worldwide Owner/Operator Convention, which will occur in the second quarter 2020.</t>
  </si>
  <si>
    <t>Based on current interest and foreign currency exchange rates, the Company expects interest expense for the full year 2020 to increase about 4% to 6% due primarily to higher average debt balances.</t>
  </si>
  <si>
    <t>The Company expects the effective income tax rate for the full year 2020 to be in the 23% to 25% range. Some volatility may result in a quarterly tax rate outside of the annual range.</t>
  </si>
  <si>
    <t>The Company expects capital expenditures for 2020 to be approximately $ 2.4 billion. About $ 1.3 billion will be dedicated to our U.S. business, over half of which is allocated to approximately 1,800 EOTF projects. Globally, we expect to open roughly 1,400 restaurants. We will spend approximately $ 800 million in the U.S. and International Operated segments to open 400 restaurants and our developmental licensees and affiliates will contribute capital towards the remaining 1,000 restaurant openings in the Internatio</t>
  </si>
  <si>
    <t>The Company expects 2021 Systemwide sales growth, in constant currencies, in the low double digits, and expects net restaurant unit expansion to contribute about 1% to 2021 Systemwide sales growth.</t>
  </si>
  <si>
    <t>The Company expects operating margin percent to be in the low-to-mid 40% range.</t>
  </si>
  <si>
    <t>The Company expects full year 2021 selling, general and administrative expenses of approximately 2.3% of Systemwide sales, reflecting a decrease of about 2% to 4% in constant currencies.</t>
  </si>
  <si>
    <t>Based on current interest and foreign currency exchange rates, the Company expects interest expense for the full year 2021 to decrease about 1% to 3% due primarily to lower average debt balances as the Company expects to pay down current debt levels to return to pre-COVID-19 leverage ratios.</t>
  </si>
  <si>
    <t>The Company expects the effective income tax rate for the full year 2021 to be in the 21% to 23% range. Some volatility may result in a quarterly tax rate outside of the annual range.</t>
  </si>
  <si>
    <t>The Company expects 2021 capital expenditures to be approximately $ 2.3 billion, about half of which will be directed towards new unit expansion across the U.S. and International Operated Markets.</t>
  </si>
  <si>
    <t>Free cash flow conversion</t>
  </si>
  <si>
    <t>The Company expects to achieve a free cash flow conversion rate greater than 90%.</t>
  </si>
  <si>
    <t>The Company expects net restaurant unit expansion will contribute about 1.5% to 2022 Systemwide sales growth, in constant currencies.</t>
  </si>
  <si>
    <t>The Company expects full year 2022 selling, general &amp; administrative expenses of between 2.2% and 2.3% of Systemwide sales.</t>
  </si>
  <si>
    <t>Based on current interest and foreign currency exchange rates, the Company expects interest expense for the full year 2022 to be relatively flat to 2021.</t>
  </si>
  <si>
    <t>Under current tax legislation, the Company expects the effective income tax rate for the full year 2022 to be in the 20% to 22% range. Some volatility may result in a quarterly tax rate outside of the annual range.</t>
  </si>
  <si>
    <t>The Company expects 2022 capital expenditures to be approximately $ 2.2 to $ 2.4 billion, about half of which will be directed towards new restaurant unit expansion across the U.S. and International Operated Markets. About 40% will be dedicated to the U.S. business, most of which will go towards reinvestment, including the completion of restaurant modernization efforts. Globally, the Company expects to open over 1,800 restaurants. The Company will open over 500 restaurants in the U.S. and International Operated Mar</t>
  </si>
  <si>
    <t>The Company expects net restaurant unit expansion will contribute nearly 1.5% to 2023 Systemwide sales growth, in constant currencies.</t>
  </si>
  <si>
    <t>The Company expects full year 2023 selling, general and administrative expenses of about 2.2% to 2.3% of Systemwide sales.</t>
  </si>
  <si>
    <t>The Company expects 2023 operating margin percent to be about 45%.</t>
  </si>
  <si>
    <t>Based on current interest and foreign currency exchange rates, the Company expects interest expense for the full year 2023 to increase between 10% and 12%, driven primarily by higher average interest rates.</t>
  </si>
  <si>
    <t>The Company expects the effective income tax rate for the full year 2023 to be in the 20% to 22% range. Some volatility may result in a quarterly tax rate outside of the annual range.</t>
  </si>
  <si>
    <t xml:space="preserve">The Company expects 2023 capital expenditures to be between $ 2.2 and $ 2.4 billion, about half of which will be directed towards new restaurant unit expansion across the U.S. and International Operated Markets. Globally, the Company expects to open about 1,900 restaurants. The Company will open more than 400 restaurants in the U.S. and International Operated Markets segments, and developmental licensees and affiliates will contribute capital towards about 1,500 restaurant openings in their respective markets. The </t>
  </si>
  <si>
    <t>The Company expects net restaurant unit expansion will contribute nearly 2% to 2024 Systemwide sales growth, in constant currencies.</t>
  </si>
  <si>
    <t>The Company expects full year 2024 selling, general and administrative expenses of about 2.2% of Systemwide sales.</t>
  </si>
  <si>
    <t>The Company expects 2024 operating margin percent to be in the mid-to-high 40% range.</t>
  </si>
  <si>
    <t>Based on current interest and foreign currency exchange rates, the Company expects interest expense for the full year 2024 to increase between 9% and 11% driven primarily by higher average interest rates and a higher average debt balance.</t>
  </si>
  <si>
    <t>The Company expects the effective income tax rate for the full year 2024 to be in the 20% to 22% range. Some volatility may result in a quarterly tax rate outside of the annual range.</t>
  </si>
  <si>
    <t>The Company expects 2024 capital expenditures to be between $ 2.5 and $ 2.7 billion, more than half of which will be directed towards new restaurant unit expansion across the U.S. and International Operated Markets. Globally, the Company expects to open more than 2,100 restaurants. The Company will open about 500 restaurants in the U.S. and International Operated Markets segments, and developmental licensees and affiliates will contribute capital towards more than 1,600 restaurant openings in their respective marke</t>
  </si>
  <si>
    <t>The Company expects to achieve a free cash flow conversion rate in the 90% range.</t>
  </si>
  <si>
    <t>The Company expects net restaurant unit expansion will contribute slightly over 2% to 2025 Systemwide sales growth, in constant currencies.</t>
  </si>
  <si>
    <t>The Company expects full year 2025 Selling, general and administrative expenses of about 2.2% of Systemwide sales.</t>
  </si>
  <si>
    <t>The Company expects 2025 operating margin percent to be in the mid-to-high 40% range.</t>
  </si>
  <si>
    <t>Based on current interest and foreign currency exchange rates, the Company expects interest expense for the full year 2025 to increase between 4% and 6% driven primarily by higher average debt balances and higher average interest rates.</t>
  </si>
  <si>
    <t>The Company expects the effective income tax rate for the full year 2025 to be between 20% and 22%. Some volatility may result in a quarterly tax rate outside of the annual range.</t>
  </si>
  <si>
    <t>The Company expects 2025 capital expenditures to be between $ 3.0 and $ 3.2 billion, with the majority directed towards new restaurant unit expansion across the U.S. and International Operated Markets. Globally, the Company expects to open approximately 2,200 restaurants. The Company expects to open about 600 restaurants in the U.S. and International Operated Markets segments, and that developmental licensees and affiliates will contribute capital towards about 1,600 restaurant openings in their respective markets.</t>
  </si>
  <si>
    <t>The Company expects to achieve a free cash flow conversion rate in the low-to-mid 80% range.</t>
  </si>
  <si>
    <t>The Company expects net restaurant unit expansion will contribute approximately 2.5% to 2026 Systemwide sales growth, in constant currencies.</t>
  </si>
  <si>
    <t>The Company expects full year 2026 Selling, general and administrative expenses of about 2.2% of Systemwide sales.</t>
  </si>
  <si>
    <t>The Company expects 2026 operating margin percent to be in the mid-to-high 40% range.</t>
  </si>
  <si>
    <t>Based on current interest and foreign currency exchange rates, the Company expects interest expense for the full year 2026 to increase between 4% and 6% driven primarily by higher average interest rates.</t>
  </si>
  <si>
    <t>The Company expects the effective income tax rate for the full year 2026 to be between 21% and 23%. Some volatility may result in a quarterly tax rate outside of the annual range.</t>
  </si>
  <si>
    <t>The Company expects 2026 capital expenditures to be between $ 3.7 and $ 3.9 billion, with the majority directed towards new restaurant unit expansion across the U.S. and International Operated Markets. Globally, the Company expects to open approximately 2,600 restaurants in 2026, with about 750 restaurants opening in the U.S. and International Operated Markets, and developmental licensees and affiliates contributing capital towards more than 1,800 restaurant openings in their respective markets. The Company expects</t>
  </si>
  <si>
    <t>The Company expects to achieve a free cash flow conversion rate in the low-to-mid 80% range for 2026.</t>
  </si>
  <si>
    <t>Operating KPI and strategy statements (FY2021-FY2025 10-Ks)</t>
  </si>
  <si>
    <t>Topic</t>
  </si>
  <si>
    <t>Loyalty / digital</t>
  </si>
  <si>
    <t>• Comparable sales in the U.S. increased 13.8%, benefiting primarily from strong average check growth, successful menu and marketing promotions and growth in digital channels, which benefited from the launch of the Company's loyalty program.</t>
  </si>
  <si>
    <t>Restaurant development</t>
  </si>
  <si>
    <t>• Capital expenditures of $ 2.0 billion were allocated mainly to reinvestment in existing restaurants and, to a lesser extent, to new restaurant openings.</t>
  </si>
  <si>
    <t>• Across the System, nearly 1,500 new restaurants (including those in developmental licensee and affiliate markets) were opened.</t>
  </si>
  <si>
    <t>The Company has successful loyalty programs in over 40 markets around the world, including “MyMcDonald’s Rewards” in the U.S., Germany and Canada, each of which launched in 2021.</t>
  </si>
  <si>
    <t>Just six months after its launch, MyMcDonald’s Rewards in the U.S. has enrolled 30 million members, with over 21 million active loyalty members earning rewards.</t>
  </si>
  <si>
    <t>Delivery</t>
  </si>
  <si>
    <t>◦ Delivery: The Company has expanded the number of restaurants offering delivery to over 33,000, representing over 80% of McDonald's restaurants, and delivery sales have grown significantly over the past few years.</t>
  </si>
  <si>
    <t>Drive thru</t>
  </si>
  <si>
    <t>◦ Drive Thru: The Company has drive thru locations in over 25,000 restaurants globally, including nearly 95% of the 13,000+ locations in the U.S.</t>
  </si>
  <si>
    <t>The Company will open over 500 restaurants in the U.S. and International Operated Markets segments, and developmental licensees and affiliates will contribute capital towards over 1,300 restaurant openings in their respective markets.</t>
  </si>
  <si>
    <t>• Capital expenditures of $ 1.9 billion were allocated approximately 50% to each of reinvestment in existing restaurants and new restaurant openings.</t>
  </si>
  <si>
    <t>• Across the System, over 1,500 new restaurants (including those in our developmental licensee and affiliated markets) were opened.</t>
  </si>
  <si>
    <t>The Company has successful loyalty programs in over 50 markets around the world, including its top six markets.</t>
  </si>
  <si>
    <t>As of December 31, 2022, the Company’s loyalty customers have proven to be highly engaged, with nearly 50 million active loyalty members across the top six markets in the last 90 days, including 28 million in the U.S.</t>
  </si>
  <si>
    <t>◦ Drive Thru: The Company has drive thru locations in over 26,000 restaurants globally, including nearly 95% of the over 13,000 locations in the U.S.</t>
  </si>
  <si>
    <t>The Company will open more than 400 restaurants in the U.S. and International Operated Markets segments, and developmental licensees and affiliates will contribute capital towards about 1,500 restaurant openings in their respective markets.</t>
  </si>
  <si>
    <t>Systemwide sales to loyalty members are measured across approximately 50 markets with loyalty programs globally.</t>
  </si>
  <si>
    <t>• Capital expenditures of $ 2.4 billion were allocated approximately 50% to each of reinvestment in existing restaurants and new restaurant openings.</t>
  </si>
  <si>
    <t>• Across the System, over 2,000 new restaurants (including those in our developmental licensee and affiliated markets) were opened.</t>
  </si>
  <si>
    <t>The Company has successful loyalty programs in approximately 50 markets around the world, including its top six markets.</t>
  </si>
  <si>
    <t>McDonald’s loyalty customers have proven to be highly engaged, and the Company plans to increase its 90-day active users from over 150 million today to 250 million by 2027.</t>
  </si>
  <si>
    <t>Further, the Company plans to grow its annual Systemwide sales to loyalty members from over $ 20 billion today to $ 45 billion by 2027.</t>
  </si>
  <si>
    <t>◦ Drive Thru: The Company is the largest drive thru player worldwide, with more than 27,000 drive thru locations globally, including nearly 95% of the approximately 13,500 locations in the U.S.</t>
  </si>
  <si>
    <t>In 2024, the Company plans to open more than 2,100 new restaurants across the globe, which will contribute to nearly 4% new unit growth.</t>
  </si>
  <si>
    <t>Accordingly, the Company will continue to build on its industry-leading development progress by targeting expansion to 50,000 restaurants by the end of 2027, which would make it the fastest period of growth in Company history.</t>
  </si>
  <si>
    <t>The Company will open about 500 restaurants in the U.S. and International Operated Markets segments, and developmental licensees and affiliates will contribute capital towards more than 1,600 restaurant openings in their respective markets.</t>
  </si>
  <si>
    <t>• Between 4% and 5% net new restaurant unit growth, targeting 50,000 global units by 2027 with a run rate of about 1,000 gross restaurant openings across the U.S. and International Operated Markets segments in 2027; and</t>
  </si>
  <si>
    <t>Systemwide sales to loyalty members are measured across 60 markets with loyalty programs.</t>
  </si>
  <si>
    <t>• Capital expenditures of $ 2.8 billion were mainly allocated to new restaurant openings and, to a lesser extent, to reinvestment in existing restaurants.</t>
  </si>
  <si>
    <t>• Across the System, over 2,100 new restaurants (including those in our developmental licensee and affiliated markets) were opened.</t>
  </si>
  <si>
    <t>The Company has successful loyalty programs in 60 markets, including its top six markets.</t>
  </si>
  <si>
    <t>McDonald’s loyalty customers have proven to be highly engaged, and the Company plans to increase its 90-day active users to 250 million by the end of 2027.</t>
  </si>
  <si>
    <t>Further, the Company plans to grow its annual Systemwide sales to loyalty members to $ 45.0 billion by the end of 2027.</t>
  </si>
  <si>
    <t>◦ Delivery: The Company offers delivery from over 38,000 restaurants across approximately 100 markets, representing nearly 90% of McDonald's restaurants.</t>
  </si>
  <si>
    <t>The Company continues to scale this capability and expects to increase the percentage of Systemwide delivery sales originating from our mobile app to 30% by the end of 2027.</t>
  </si>
  <si>
    <t>◦ Drive Thru: The Company has the most drive thru locations worldwide, with nearly 28,000 drive thru locations globally, including over 95% of the over 13,500 locations in the U.S.</t>
  </si>
  <si>
    <t>In 2025, the Company plans to open about 2,200 new restaurants across the globe, which will contribute to slightly over 4% new unit growth (net of closures).</t>
  </si>
  <si>
    <t>Further, the Company continues to build on its industry-leading development, by progressing toward the targeted expansion to 50,000 restaurants by the end of 2027, which would make it the fastest period of restaurant unit growth in Company history.</t>
  </si>
  <si>
    <t>The Company expects to open about 600 restaurants in the U.S. and International Operated Markets segments, and that developmental licensees and affiliates will contribute capital towards about 1,600 restaurant openings in their respective markets.</t>
  </si>
  <si>
    <t>Systemwide sales to loyalty members are measured across 70 markets with loyalty programs.</t>
  </si>
  <si>
    <t>• Capital expenditures of $ 3.4 billion were mainly allocated to new restaurant openings and, to a lesser extent, to reinvestment in existing restaurants.</t>
  </si>
  <si>
    <t>• Across the System, nearly 2,300 new restaurants (including those in our developmental licensee and affiliated markets) were opened.</t>
  </si>
  <si>
    <t>The Company has loyalty programs in 70 markets, including nearly all major markets.</t>
  </si>
  <si>
    <t>McDonald's loyalty customers have proven to be highly engaged, and the Company plans to increase its 90-day active users to 250 million by the end of 2027.</t>
  </si>
  <si>
    <t>◦ Delivery: The Company offers delivery from nearly 41,000 restaurants across approximately 100 markets, representing approximately 90% of McDonald's restaurants.</t>
  </si>
  <si>
    <t>◦ Drive Thru: The Company has the most drive thru locations worldwide, with nearly 29,000 drive thru locations globally, including over 95% of the approximately 13,700 locations in the U.S.</t>
  </si>
  <si>
    <t>In 2026, the Company plans to open approximately 2,600 new restaurants (gross) across the globe, which will contribute to slightly over 4.5% new unit growth (net of closures).</t>
  </si>
  <si>
    <t>Globally, the Company expects to open approximately 2,600 restaurants in 2026, with about 750 restaurants opening in the U.S. and International Operated Markets, and developmental licensees and affiliates contributing capital towards more than 1,800 restaurant openings in their respective markets.</t>
  </si>
  <si>
    <t>McDonald's Corporation — Sources</t>
  </si>
  <si>
    <t>Source ID</t>
  </si>
  <si>
    <t>Form / period</t>
  </si>
  <si>
    <t>Period end</t>
  </si>
  <si>
    <t>SEC URL (accession folder)</t>
  </si>
  <si>
    <t>Local path</t>
  </si>
  <si>
    <t>Raw source.html SHA-256</t>
  </si>
  <si>
    <t>Notes</t>
  </si>
  <si>
    <t>S001</t>
  </si>
  <si>
    <t>SEC 10-K - McDonald's Corporation FY2016 10-K</t>
  </si>
  <si>
    <t>https://www.sec.gov/Archives/edgar/data/63908/000006390817000017/</t>
  </si>
  <si>
    <t>sources/companies/US/MCD-mcdonalds/artifacts/ten_k/MCD-mcdonalds/FY2016/</t>
  </si>
  <si>
    <t>3850e57247214dacb2d6707f5d14d5cb94e0861e1f1e9eaf43a973ad3d18f21b</t>
  </si>
  <si>
    <t>Accession 0000063908-17-000017; filed 2017-03-01; package psp_7eec6fd72710477497d5550d77be8305; raw/source.html SHA-256 shown; prepared/docu</t>
  </si>
  <si>
    <t>S002</t>
  </si>
  <si>
    <t>SEC 10-K - McDonald's Corporation FY2017 10-K</t>
  </si>
  <si>
    <t>https://www.sec.gov/Archives/edgar/data/63908/000006390818000010/</t>
  </si>
  <si>
    <t>sources/companies/US/MCD-mcdonalds/artifacts/ten_k/MCD-mcdonalds/FY2017/</t>
  </si>
  <si>
    <t>0febf160f7c305eb50f271545fad1dad0615747544caf0fe455543b7c054de26</t>
  </si>
  <si>
    <t>Accession 0000063908-18-000010; filed 2018-02-23; package psp_70e820a9eb774ac39e1e7a22fffb2910; raw/source.html SHA-256 shown; prepared/docu</t>
  </si>
  <si>
    <t>S003</t>
  </si>
  <si>
    <t>SEC 10-K - McDonald's Corporation FY2018 10-K</t>
  </si>
  <si>
    <t>https://www.sec.gov/Archives/edgar/data/63908/000006390819000010/</t>
  </si>
  <si>
    <t>sources/companies/US/MCD-mcdonalds/artifacts/ten_k/MCD-mcdonalds/FY2018/</t>
  </si>
  <si>
    <t>e64dbaa45bfadd7815ce167b97a5c1fd178f4e4e5673586010fcde0a766fa75a</t>
  </si>
  <si>
    <t>Accession 0000063908-19-000010; filed 2019-02-22; package psp_54de7e747d424a1eb6b58080627b8671; raw/source.html SHA-256 shown; prepared/docu</t>
  </si>
  <si>
    <t>S004</t>
  </si>
  <si>
    <t>SEC 10-K - McDonald's Corporation FY2019 10-K</t>
  </si>
  <si>
    <t>https://www.sec.gov/Archives/edgar/data/63908/000006390820000022/</t>
  </si>
  <si>
    <t>sources/companies/US/MCD-mcdonalds/artifacts/ten_k/MCD-mcdonalds/FY2019/</t>
  </si>
  <si>
    <t>b4fe586c36906c1c31ed8389cd288bda28364810fe5bb5d6b59f015fd0d34b6c</t>
  </si>
  <si>
    <t>Accession 0000063908-20-000022; filed 2020-02-26; package psp_6a6839c598fb44cf84637ef78c8cca77; raw/source.html SHA-256 shown; prepared/docu</t>
  </si>
  <si>
    <t>S005</t>
  </si>
  <si>
    <t>SEC 10-K - McDonald's Corporation FY2020 10-K</t>
  </si>
  <si>
    <t>https://www.sec.gov/Archives/edgar/data/63908/000006390821000013/</t>
  </si>
  <si>
    <t>sources/companies/US/MCD-mcdonalds/artifacts/ten_k/MCD-mcdonalds/FY2020/</t>
  </si>
  <si>
    <t>81e96230b4bed3bb40e3b190c2ef68952261c449940ce498c511546764ecf5dd</t>
  </si>
  <si>
    <t>Accession 0000063908-21-000013; filed 2021-02-23; package psp_5aea50748dad4c96af9a2e472c4ee0ca; raw/source.html SHA-256 shown; prepared/docu</t>
  </si>
  <si>
    <t>S006</t>
  </si>
  <si>
    <t>SEC 10-K - McDonald's Corporation FY2021 10-K</t>
  </si>
  <si>
    <t>https://www.sec.gov/Archives/edgar/data/63908/000006390822000011/</t>
  </si>
  <si>
    <t>sources/companies/US/MCD-mcdonalds/artifacts/ten_k/MCD-mcdonalds/FY2021/</t>
  </si>
  <si>
    <t>dfa470c0ef8b9e08dd2da7d69463eb907ecd79afdeb840481a3d7854ec9a2d40</t>
  </si>
  <si>
    <t>Accession 0000063908-22-000011; filed 2022-02-24; package psp_f17120d116dd4836a7cf87a9a4d1eea5; raw/source.html SHA-256 shown; prepared/docu</t>
  </si>
  <si>
    <t>S007</t>
  </si>
  <si>
    <t>SEC 10-K - McDonald's Corporation FY2022 10-K</t>
  </si>
  <si>
    <t>https://www.sec.gov/Archives/edgar/data/63908/000006390823000012/</t>
  </si>
  <si>
    <t>sources/companies/US/MCD-mcdonalds/artifacts/ten_k/MCD-mcdonalds/FY2022/</t>
  </si>
  <si>
    <t>584b17313492be687b5266b463bd34aa218953607a877ed94a3566dbf8daed9a</t>
  </si>
  <si>
    <t>Accession 0000063908-23-000012; filed 2023-02-24; package psp_5c02e34023f4489ca3bd31125a064c4f; raw/source.html SHA-256 shown; prepared/docu</t>
  </si>
  <si>
    <t>S008</t>
  </si>
  <si>
    <t>SEC 10-K - McDonald's Corporation FY2023 10-K</t>
  </si>
  <si>
    <t>https://www.sec.gov/Archives/edgar/data/63908/000006390824000072/</t>
  </si>
  <si>
    <t>sources/companies/US/MCD-mcdonalds/artifacts/ten_k/MCD-mcdonalds/FY2023/</t>
  </si>
  <si>
    <t>3c88e1f965e57e2b3c6c0149e8c47a112c91bf6a58648ac069b17b16b10a0362</t>
  </si>
  <si>
    <t>Accession 0000063908-24-000072; filed 2024-02-22; package psp_ef1ae541a2824f9686a1c1fc99a30117; raw/source.html SHA-256 shown; prepared/docu</t>
  </si>
  <si>
    <t>S009</t>
  </si>
  <si>
    <t>SEC 10-Q - McDonald's Corporation 2024 Q3 10-Q</t>
  </si>
  <si>
    <t>https://www.sec.gov/Archives/edgar/data/63908/000006390824000156/</t>
  </si>
  <si>
    <t>sources/companies/US/MCD-mcdonalds/artifacts/ten_k/MCD-mcdonalds-10Q-Q3/FY2024/</t>
  </si>
  <si>
    <t>492598e17026b9e60d883c0722b3f6a0a1b610d1a67cb5234f4ff68fd5d5bc47</t>
  </si>
  <si>
    <t>Accession 0000063908-24-000156; filed 2024-11-07; package psp_9bb891694811468dafd1c2ff04bd55d5; raw/source.html SHA-256 shown; prepared/docu</t>
  </si>
  <si>
    <t>S010</t>
  </si>
  <si>
    <t>SEC 10-K - McDonald's Corporation FY2024 10-K</t>
  </si>
  <si>
    <t>https://www.sec.gov/Archives/edgar/data/63908/000006390825000012/</t>
  </si>
  <si>
    <t>sources/companies/US/MCD-mcdonalds/artifacts/ten_k/MCD-mcdonalds/FY2024/</t>
  </si>
  <si>
    <t>35b47dfeae166963f5c97d3a43ac61851ef6dae752b2e85a3849268d300e9564</t>
  </si>
  <si>
    <t>Accession 0000063908-25-000012; filed 2025-02-25; package psp_3dcad7a1d4024ad5afd45edf2d6ab8fa; raw/source.html SHA-256 shown; prepared/docu</t>
  </si>
  <si>
    <t>S011</t>
  </si>
  <si>
    <t>SEC 10-Q - McDonald's Corporation 2025 Q1 10-Q</t>
  </si>
  <si>
    <t>https://www.sec.gov/Archives/edgar/data/63908/000006390825000025/</t>
  </si>
  <si>
    <t>sources/companies/US/MCD-mcdonalds/artifacts/ten_k/MCD-mcdonalds-10Q-Q1/FY2025/</t>
  </si>
  <si>
    <t>a244127f7d114bf3b90c1cd2403b77857961c8d2d81e27c7945f55a9e030b0d4</t>
  </si>
  <si>
    <t>Accession 0000063908-25-000025; filed 2025-05-12; package psp_52b253d4e7c24d1a8d9ce36afc225215; raw/source.html SHA-256 shown; prepared/docu</t>
  </si>
  <si>
    <t>S012</t>
  </si>
  <si>
    <t>SEC 10-Q - McDonald's Corporation 2025 Q2 10-Q</t>
  </si>
  <si>
    <t>https://www.sec.gov/Archives/edgar/data/63908/000006390825000039/</t>
  </si>
  <si>
    <t>sources/companies/US/MCD-mcdonalds/artifacts/ten_k/MCD-mcdonalds-10Q-Q2/FY2025/</t>
  </si>
  <si>
    <t>93d49384f97f3ccc4480e9c3b0a42f7ac3d2503b53b07668f58e39a1421ecd7b</t>
  </si>
  <si>
    <t>Accession 0000063908-25-000039; filed 2025-08-06; package psp_5e5f96e2a1334ba1a5ecb3447f6c12c4; raw/source.html SHA-256 shown; prepared/docu</t>
  </si>
  <si>
    <t>S013</t>
  </si>
  <si>
    <t>SEC 10-Q - McDonald's Corporation 2025 Q3 10-Q</t>
  </si>
  <si>
    <t>https://www.sec.gov/Archives/edgar/data/63908/000006390825000059/</t>
  </si>
  <si>
    <t>sources/companies/US/MCD-mcdonalds/artifacts/ten_k/MCD-mcdonalds-10Q-Q3/FY2025/</t>
  </si>
  <si>
    <t>243f04a9926db4714ca28092e6e11beb74e19b3d5e605227a5498f50525e592d</t>
  </si>
  <si>
    <t>Accession 0000063908-25-000059; filed 2025-11-05; package psp_0fe32f1a1b434ab1bb968ddaf387aff6; raw/source.html SHA-256 shown; prepared/docu</t>
  </si>
  <si>
    <t>S014</t>
  </si>
  <si>
    <t>SEC 10-K - McDonald's Corporation FY2025 10-K</t>
  </si>
  <si>
    <t>https://www.sec.gov/Archives/edgar/data/63908/000006390826000035/</t>
  </si>
  <si>
    <t>sources/companies/US/MCD-mcdonalds/artifacts/ten_k/MCD-mcdonalds/FY2025/</t>
  </si>
  <si>
    <t>4055ac7240b6d6c6785a6c99ba91c6a39e5d3daefafdfca70e3700be626adf80</t>
  </si>
  <si>
    <t>Accession 0000063908-26-000035; filed 2026-02-24; package psp_ef32da6b010c46ea849b6125696072d0; raw/source.html SHA-256 shown; prepared/docu</t>
  </si>
  <si>
    <t>S015</t>
  </si>
  <si>
    <t>SEC 10-Q - McDonald's Corporation 2026 Q1 10-Q</t>
  </si>
  <si>
    <t>https://www.sec.gov/Archives/edgar/data/63908/000006390826000051/</t>
  </si>
  <si>
    <t>sources/companies/US/MCD-mcdonalds/artifacts/ten_k/MCD-mcdonalds-10Q-Q1/FY2026/</t>
  </si>
  <si>
    <t>ab10d0743d18aac6c570167817c506e570a4edca578aa32755fbcd3732fa21f7</t>
  </si>
  <si>
    <t>Accession 0000063908-26-000051; filed 2026-05-07; package psp_9a4070baa4b74501bc993b2070b13672; raw/source.html SHA-256 shown; prepared/docu</t>
  </si>
  <si>
    <t>S016</t>
  </si>
  <si>
    <t>SEC 10-Q - McDonald's Corporation 2026 Q2 10-Q</t>
  </si>
  <si>
    <t>https://www.sec.gov/Archives/edgar/data/63908/000006390826000073/</t>
  </si>
  <si>
    <t>sources/companies/US/MCD-mcdonalds/artifacts/ten_k/MCD-mcdonalds-10Q-Q2/FY2026/</t>
  </si>
  <si>
    <t>1f4c9ed2518b2a004ce1289ecf7e3e31f3852580482a24aa96203817914e52d2</t>
  </si>
  <si>
    <t>Accession 0000063908-26-000073; filed 2026-08-07; package psp_7f085b8ce86148ada0a6134bd63f3a28; raw/source.html SHA-256 shown; prepared/docu</t>
  </si>
  <si>
    <t>Extraction method</t>
  </si>
  <si>
    <t>Collector</t>
  </si>
  <si>
    <t>collect_tables.py over the 16 raw source.html files -&gt; tables.json (858 tables)</t>
  </si>
  <si>
    <t>Parser</t>
  </si>
  <si>
    <t>mcd_extract.py / mcd_extract2.py (statements, segments, KPIs) and mcd_extract3.py / mcd_extract4.py (MD&amp;A operating tables, note schedules, prose series, outlook text) map rows by caption and compact SEC split-cell negatives; no value is typed by hand</t>
  </si>
  <si>
    <t>Precedence</t>
  </si>
  <si>
    <t>For a period reported in several filings the latest filing is used; superseded differences &gt; 1.0 are listed in restatement_log.json</t>
  </si>
  <si>
    <t>Tier discipline</t>
  </si>
  <si>
    <t>Tier 2 per company-research-to-excel: SEC filing HTML only; no press releases, third-party data or research reports</t>
  </si>
  <si>
    <t>Restatement / reclassification log (differences &gt; 1.0 between filings)</t>
  </si>
  <si>
    <t>IS:total_revenues FY2018</t>
  </si>
  <si>
    <t>10-K FY2018: 21,025.2; 10-K FY2019: 21,025.2; 10-K FY2020: 21,257.9</t>
  </si>
  <si>
    <t>latest filing used</t>
  </si>
  <si>
    <t>IS:total_revenues FY2019</t>
  </si>
  <si>
    <t>10-K FY2019: 21,076.5; 10-K FY2020: 21,364.4; 10-K FY2021: 21,364.4</t>
  </si>
  <si>
    <t>IS:other_operating FY2018</t>
  </si>
  <si>
    <t>10-K FY2018: -236.8; 10-K FY2019: -236.8; 10-K FY2020: -190.2</t>
  </si>
  <si>
    <t>IS:other_operating FY2019</t>
  </si>
  <si>
    <t>10-K FY2019: -183.9; 10-K FY2020: -119.8; 10-K FY2021: -119.8</t>
  </si>
  <si>
    <t>IS:total_opex FY2018</t>
  </si>
  <si>
    <t>10-K FY2018: 12,202.6; 10-K FY2019: 12,202.6; 10-K FY2020: 12,435.3</t>
  </si>
  <si>
    <t>IS:total_opex FY2019</t>
  </si>
  <si>
    <t>10-K FY2019: 12,006.7; 10-K FY2020: 12,294.6; 10-K FY2021: 12,294.6</t>
  </si>
  <si>
    <t>BS:other_lt_liabilities FY2016</t>
  </si>
  <si>
    <t>10-K FY2016: 2,064.3; 10-K FY2017: 1,053.7</t>
  </si>
  <si>
    <t>CF:cf_other_charges FY2016</t>
  </si>
  <si>
    <t>10-K FY2016: 96.9; 10-K FY2017: 407.6; 10-K FY2018: 407.6</t>
  </si>
  <si>
    <t>年化股东回报率 IRR</t>
  </si>
  <si>
    <t>目标买入市值（按当前股份）</t>
  </si>
  <si>
    <t>持有期现金分红（按当前股份）</t>
  </si>
  <si>
    <t>退出市盈率 PE</t>
  </si>
  <si>
    <t>估值起点与控制项</t>
  </si>
  <si>
    <t>当前总市值</t>
  </si>
  <si>
    <t>要求年化回报率</t>
  </si>
  <si>
    <t>情景选择（1低 / 2基准 / 3高）</t>
  </si>
  <si>
    <t>估值日期</t>
  </si>
  <si>
    <t>单位</t>
  </si>
  <si>
    <t>%</t>
  </si>
  <si>
    <t>低情景</t>
  </si>
  <si>
    <t>基准情景</t>
  </si>
  <si>
    <t>高情景</t>
  </si>
  <si>
    <t>FCF转换率 c</t>
  </si>
  <si>
    <t>倍</t>
  </si>
  <si>
    <t>估值计算状态</t>
  </si>
  <si>
    <t>第1年</t>
  </si>
  <si>
    <t>第2年</t>
  </si>
  <si>
    <t>第3年</t>
  </si>
  <si>
    <t>第4年</t>
  </si>
  <si>
    <t>第5年</t>
  </si>
  <si>
    <t>净缩股速率</t>
  </si>
  <si>
    <t>现金分红支付率</t>
  </si>
  <si>
    <t>FCF转换率</t>
  </si>
  <si>
    <t>公司现金分红总额</t>
  </si>
  <si>
    <t>现金分红（按当前股份折算）</t>
  </si>
  <si>
    <t>公司FCF参考</t>
  </si>
  <si>
    <t>公司整体退出市值</t>
  </si>
  <si>
    <t>退出价值（按当前股份折算）</t>
  </si>
  <si>
    <t>两年：投资现金流</t>
  </si>
  <si>
    <t>五年：投资现金流</t>
  </si>
  <si>
    <t>现金分红现值（要求回报率）</t>
  </si>
  <si>
    <t>退出价值现值（要求回报率）</t>
  </si>
  <si>
    <t>模型口径与来源</t>
  </si>
  <si>
    <t>麦当劳年结日估值（FY2026E基期）</t>
  </si>
  <si>
    <t>链接原Valuation，可替换</t>
  </si>
  <si>
    <t>用于目标买入市值</t>
  </si>
  <si>
    <t>链接原Valuation日期</t>
  </si>
  <si>
    <t>模型状态</t>
  </si>
  <si>
    <t>FY2026E 年结日基期桥接</t>
  </si>
  <si>
    <t>项目</t>
  </si>
  <si>
    <t>说明</t>
  </si>
  <si>
    <t>FY2026 Q1A</t>
  </si>
  <si>
    <t>FY2026 Q2A</t>
  </si>
  <si>
    <t>FY2026 Q3E</t>
  </si>
  <si>
    <t>FY2026 Q4E</t>
  </si>
  <si>
    <t>FY2026E</t>
  </si>
  <si>
    <t>净利润</t>
  </si>
  <si>
    <t>百万美元</t>
  </si>
  <si>
    <t>同比增速</t>
  </si>
  <si>
    <t>稀释加权平均股数</t>
  </si>
  <si>
    <t>百万股</t>
  </si>
  <si>
    <t>EPS</t>
  </si>
  <si>
    <t>美元/股</t>
  </si>
  <si>
    <t>基期计算状态</t>
  </si>
  <si>
    <t>完整年度预测（FY2027E–FY2031E）</t>
  </si>
  <si>
    <t>EPS比较（模型 vs 卖方）</t>
  </si>
  <si>
    <t>FY2026E基期</t>
  </si>
  <si>
    <t>FY2027E</t>
  </si>
  <si>
    <t>FY2028E</t>
  </si>
  <si>
    <t>FY2029E</t>
  </si>
  <si>
    <t>FY2030E</t>
  </si>
  <si>
    <t>FY2031E</t>
  </si>
  <si>
    <t>年度</t>
  </si>
  <si>
    <t>模型EPS</t>
  </si>
  <si>
    <t>卖方EPS</t>
  </si>
  <si>
    <t>差额</t>
  </si>
  <si>
    <t>差额 %</t>
  </si>
  <si>
    <t>卖方来源/备注</t>
  </si>
  <si>
    <t>净利润增速</t>
  </si>
  <si>
    <t>待补卖方EPS</t>
  </si>
  <si>
    <t>公司净利润</t>
  </si>
  <si>
    <t>预测计算状态</t>
  </si>
  <si>
    <t>年结日估值结果</t>
  </si>
  <si>
    <t>指标</t>
  </si>
  <si>
    <t>按要求回报率折现</t>
  </si>
  <si>
    <t>退出价值（按当前股份）</t>
  </si>
  <si>
    <t>单独进入现金流</t>
  </si>
  <si>
    <t>1. FY2026 Q1/Q2净利润与稀释股数链接 Income Statement!T/U；FY2026 Q3/Q4为预测，不是已披露实际。</t>
  </si>
  <si>
    <t>3. FY2026E是估值年结日基期；FY2027E起才是完整持有年度。年结日模型不把FY2026E当作第一年退出。</t>
  </si>
  <si>
    <t>4. 净利润、股数、EPS、FCF、分红与退出价值均随黄色假设自动更新；回购仅通过净缩股速率提高当前股份对应价值。</t>
  </si>
  <si>
    <t>6. 卖方EPS对比区预留为黄色手工输入；若研报没有披露某年度EPS，保持空白，不填0。</t>
  </si>
  <si>
    <t>7. 资料截至最新已发布FY2026 Q2（2026-06-30）；管理层全年指引包括约2600家新开、约2100家净增、资本开支37–39亿美元。</t>
  </si>
  <si>
    <t>8. 来源：公司FY2026 Q2 10-Q及Income Statement底稿；卖方研报原文保存在 sources/companies/US/MCD-mcdonalds/inbox/foreign_reports_2026/。</t>
  </si>
  <si>
    <t>净利润增速 g（FY2027E–FY2031E）</t>
  </si>
  <si>
    <t>净缩股速率 s（正值为缩股，已含股权激励净影响）</t>
  </si>
  <si>
    <t>现金分红支付率 p（不含回购）</t>
  </si>
  <si>
    <t>按季度日数加权，下半年股数预测</t>
  </si>
  <si>
    <t>2. 年度股数按四季度日数加权，Q3/Q4股数为Valuation Driver Build预测。</t>
  </si>
  <si>
    <t>净利润同比</t>
  </si>
  <si>
    <t>加盟餐厅利润</t>
  </si>
  <si>
    <t>加盟利润同比</t>
  </si>
  <si>
    <t>直营餐厅利润</t>
  </si>
  <si>
    <t>经营利润</t>
  </si>
  <si>
    <t>利息费用</t>
  </si>
  <si>
    <t>有效税率</t>
  </si>
  <si>
    <t>经营现金流 CFO</t>
  </si>
  <si>
    <t>资本开支</t>
  </si>
  <si>
    <t>自由现金流 FCF</t>
  </si>
  <si>
    <t>现金分红</t>
  </si>
  <si>
    <t>现金分红 / 净利润</t>
  </si>
  <si>
    <t>回购现金</t>
  </si>
  <si>
    <t>稀释平均股数下降率（代理）</t>
  </si>
  <si>
    <t>股权激励 SBC</t>
  </si>
  <si>
    <t>历史链接三大报表与Derived Metrics同名科目。稀释平均股数变动用于EPS参考，实际净缩股另用期末股本。FY2016未按现三分部口径披露，留空而非填零。</t>
  </si>
  <si>
    <t>美国加盟利润</t>
  </si>
  <si>
    <t>美国加盟利润同比</t>
  </si>
  <si>
    <t>IOM加盟利润</t>
  </si>
  <si>
    <t>IOM加盟利润同比</t>
  </si>
  <si>
    <t>IDL加盟利润</t>
  </si>
  <si>
    <t>IDL加盟利润同比</t>
  </si>
  <si>
    <t>美国同店销售</t>
  </si>
  <si>
    <t>IOM同店销售</t>
  </si>
  <si>
    <t>IDL同店销售</t>
  </si>
  <si>
    <t>全球固定汇率体系销售</t>
  </si>
  <si>
    <t>疫情、俄罗斯退出及再加盟等结构变化不能机械外推。净利润CAGR用期初/期末；FCF与分红支付率用区间金额之和相除，不平均年度百分比。</t>
  </si>
  <si>
    <t>2024Q3</t>
  </si>
  <si>
    <t>2024Q4</t>
  </si>
  <si>
    <t>2025Q1</t>
  </si>
  <si>
    <t>2025Q2</t>
  </si>
  <si>
    <t>2025Q3</t>
  </si>
  <si>
    <t>2025Q4</t>
  </si>
  <si>
    <t>2026Q1</t>
  </si>
  <si>
    <t>2026Q2</t>
  </si>
  <si>
    <t>同比增长</t>
  </si>
  <si>
    <t>加盟利润合计</t>
  </si>
  <si>
    <t>直营利润</t>
  </si>
  <si>
    <t>FCF</t>
  </si>
  <si>
    <t>分红支付率</t>
  </si>
  <si>
    <t>稀释平均股数</t>
  </si>
  <si>
    <t>来源S1–S6及S12–S13：分部金额、同店及固定汇率增速。Q4金额按全年减9M计算，增长率不作相减。同比由同期金额计算，全年增速不等于四个季度增速的算术平均。</t>
  </si>
  <si>
    <t>2025 H1</t>
  </si>
  <si>
    <t>2026 H1</t>
  </si>
  <si>
    <t>美国加盟收入</t>
  </si>
  <si>
    <t>IOM加盟收入</t>
  </si>
  <si>
    <t>IDL加盟收入</t>
  </si>
  <si>
    <t>加盟收入合计</t>
  </si>
  <si>
    <t>美国加盟占用费用</t>
  </si>
  <si>
    <t>IOM加盟占用费用</t>
  </si>
  <si>
    <t>IDL加盟占用费用</t>
  </si>
  <si>
    <t>美国加盟门店销售</t>
  </si>
  <si>
    <t>IOM加盟门店销售</t>
  </si>
  <si>
    <t>IDL加盟门店销售</t>
  </si>
  <si>
    <t>美国直营门店销售</t>
  </si>
  <si>
    <t>IOM直营门店销售</t>
  </si>
  <si>
    <t>IDL直营门店销售</t>
  </si>
  <si>
    <t>美国体系销售</t>
  </si>
  <si>
    <t>IOM体系销售</t>
  </si>
  <si>
    <t>IDL体系销售</t>
  </si>
  <si>
    <t>体系销售合计</t>
  </si>
  <si>
    <t>美国同店销售增长</t>
  </si>
  <si>
    <t>美国新店销售贡献</t>
  </si>
  <si>
    <t>IOM同店销售增长</t>
  </si>
  <si>
    <t>IOM新店销售贡献</t>
  </si>
  <si>
    <t>IDL同店销售增长</t>
  </si>
  <si>
    <t>IDL新店销售贡献</t>
  </si>
  <si>
    <t>美国占用费用增速</t>
  </si>
  <si>
    <t>IOM占用费用增速</t>
  </si>
  <si>
    <t>IDL占用费用增速</t>
  </si>
  <si>
    <t>汇率对美元销售增速影响</t>
  </si>
  <si>
    <t>Take rate相对增速</t>
  </si>
  <si>
    <t>美国原加盟网络销售增速</t>
  </si>
  <si>
    <t>IOM原加盟网络销售增速</t>
  </si>
  <si>
    <t>IDL原加盟网络销售增速</t>
  </si>
  <si>
    <t>“同店＋新增门店销售贡献＋汇率”是百分点分解近似；公司未披露精确新店贡献。同店含客流和客单，不全部视为提价。先设增速，再算利润终值。</t>
  </si>
  <si>
    <t>美国原网络加盟收入</t>
  </si>
  <si>
    <t>IOM原网络加盟收入</t>
  </si>
  <si>
    <t>IDL原网络加盟收入</t>
  </si>
  <si>
    <t>美国原网络占用费用</t>
  </si>
  <si>
    <t>IOM原网络占用费用</t>
  </si>
  <si>
    <t>IDL原网络占用费用</t>
  </si>
  <si>
    <t>美国原网络加盟利润</t>
  </si>
  <si>
    <t>IOM原网络加盟利润</t>
  </si>
  <si>
    <t>IDL原网络加盟利润</t>
  </si>
  <si>
    <t>原网络加盟利润合计</t>
  </si>
  <si>
    <t>原网络加盟利润同比</t>
  </si>
  <si>
    <t>体系销售同比</t>
  </si>
  <si>
    <t>直营门店未转前销售增速</t>
  </si>
  <si>
    <t>累计转加盟销售占比</t>
  </si>
  <si>
    <t>转加盟后的收入留存率</t>
  </si>
  <si>
    <t>新增加盟业务利润率</t>
  </si>
  <si>
    <t>剩余直营利润率</t>
  </si>
  <si>
    <t>无转换情况下直营销售</t>
  </si>
  <si>
    <t>已转加盟门店销售</t>
  </si>
  <si>
    <t>剩余直营销售</t>
  </si>
  <si>
    <t>再加盟新增收入</t>
  </si>
  <si>
    <t>再加盟新增餐厅利润</t>
  </si>
  <si>
    <t>剩余直营利润（NEXT前）</t>
  </si>
  <si>
    <t>NEXT总量/口径</t>
  </si>
  <si>
    <t>数值</t>
  </si>
  <si>
    <t>2027–2030累计支持</t>
  </si>
  <si>
    <t>2027–2036累计支持</t>
  </si>
  <si>
    <t>前四年资本支持</t>
  </si>
  <si>
    <t>前四年租金支持</t>
  </si>
  <si>
    <t>前四年投入年数</t>
  </si>
  <si>
    <t>年</t>
  </si>
  <si>
    <t>后续投入年数</t>
  </si>
  <si>
    <t>摊销 / 折旧年限</t>
  </si>
  <si>
    <t>资本归入加盟物业比例</t>
  </si>
  <si>
    <t>投放当年计提比例</t>
  </si>
  <si>
    <t>常规年度资本开支</t>
  </si>
  <si>
    <t>NEXT当年支持现金总额</t>
  </si>
  <si>
    <t>当年租金支持现金</t>
  </si>
  <si>
    <t>当年资本支持现金</t>
  </si>
  <si>
    <t>年初累计租金支持</t>
  </si>
  <si>
    <t>年初累计资本支持</t>
  </si>
  <si>
    <t>当年租金摊销</t>
  </si>
  <si>
    <t>加盟物业新增折旧</t>
  </si>
  <si>
    <t>直营物业新增折旧</t>
  </si>
  <si>
    <t>含NEXT资本开支</t>
  </si>
  <si>
    <t>加盟餐厅利润（NEXT后）</t>
  </si>
  <si>
    <t>加盟餐厅利润同比</t>
  </si>
  <si>
    <t>直营餐厅利润（NEXT后）</t>
  </si>
  <si>
    <t>利润扣当期摊销/折旧，现金流容纳现金投入。前四年均匀投放、第五年沿用租金/资本配比均为研究假设。FCF选定转换率已含支持现金，不重复扣款。</t>
  </si>
  <si>
    <t>SG&amp;A / 体系销售</t>
  </si>
  <si>
    <t>利息费用增长</t>
  </si>
  <si>
    <t>其他收入净贡献增长</t>
  </si>
  <si>
    <t>联营企业收益增长</t>
  </si>
  <si>
    <t>资产处置费用增长</t>
  </si>
  <si>
    <t>资产处置费用（第1年）</t>
  </si>
  <si>
    <t>重组与减值费用</t>
  </si>
  <si>
    <t>餐厅出售收益</t>
  </si>
  <si>
    <t>非经营收入净额</t>
  </si>
  <si>
    <t>其他收入扣餐厅费用</t>
  </si>
  <si>
    <t>联营企业收益</t>
  </si>
  <si>
    <t>出售收益</t>
  </si>
  <si>
    <t>资产处置费用</t>
  </si>
  <si>
    <t>其他经营项目净贡献</t>
  </si>
  <si>
    <t>体系销售额</t>
  </si>
  <si>
    <t>其他经营净贡献</t>
  </si>
  <si>
    <t>税前利润</t>
  </si>
  <si>
    <t>预测税额</t>
  </si>
  <si>
    <t>实际 / 预测有效税率</t>
  </si>
  <si>
    <t>逐年桥接提取的CAGR</t>
  </si>
  <si>
    <t>估值参数精度</t>
  </si>
  <si>
    <t>传入模型的两阶段增速</t>
  </si>
  <si>
    <t>平滑后的第2/5年利润</t>
  </si>
  <si>
    <t>平滑与逐年桥接终值差额</t>
  </si>
  <si>
    <t>净利润CAGR</t>
  </si>
  <si>
    <t>区间FCF / 区间净利润</t>
  </si>
  <si>
    <t>区间分红 / 区间净利润</t>
  </si>
  <si>
    <t>CFO / 净利润</t>
  </si>
  <si>
    <t>稀释平均股数下降年化（代理）</t>
  </si>
  <si>
    <t>2025Q2 期末流通股</t>
  </si>
  <si>
    <t>2026Q2 期末流通股</t>
  </si>
  <si>
    <t>最近一年实际净缩股</t>
  </si>
  <si>
    <t>选定净缩股速率 s</t>
  </si>
  <si>
    <t>选定FCF转换率 c</t>
  </si>
  <si>
    <t>选定现金分红支付率 p</t>
  </si>
  <si>
    <t>选定退出市盈率 PE</t>
  </si>
  <si>
    <t>年均毛发行/激励摊薄假设</t>
  </si>
  <si>
    <t>回购执行PE假设</t>
  </si>
  <si>
    <t>FCF（已含NEXT现金影响）</t>
  </si>
  <si>
    <t>分红后可用现金</t>
  </si>
  <si>
    <t>净缩股＋发行补偿所需回购现金</t>
  </si>
  <si>
    <t>回购后现金余量</t>
  </si>
  <si>
    <t>支持所选c所需CFO</t>
  </si>
  <si>
    <t>隐含CFO / 净利润</t>
  </si>
  <si>
    <t>资金约束状态</t>
  </si>
  <si>
    <t>状态</t>
  </si>
  <si>
    <t>回购现金＝(净缩股＋毛发行)/剩余股数比例×利润×回购PE；未含并购、偿债等用途。c由研究选定，不是假装由利润表精确推出；隐含CFO要求与历史转换率对照。</t>
  </si>
  <si>
    <t>2026 Q1A</t>
  </si>
  <si>
    <t>2026 Q2A</t>
  </si>
  <si>
    <t>2026 Q3E</t>
  </si>
  <si>
    <t>2026 Q4E</t>
  </si>
  <si>
    <t>Q3/Q4平均稀释股数环比下降</t>
  </si>
  <si>
    <t>本期净利润</t>
  </si>
  <si>
    <t>平均稀释股数</t>
  </si>
  <si>
    <t>期间日数</t>
  </si>
  <si>
    <t>天</t>
  </si>
  <si>
    <t>年度EPS</t>
  </si>
  <si>
    <t>百分点</t>
  </si>
  <si>
    <t>年结日g联动差额</t>
  </si>
  <si>
    <t>美国原加盟网络门店销售</t>
  </si>
  <si>
    <t>IOM原加盟网络门店销售</t>
  </si>
  <si>
    <t>IDL原加盟网络门店销售</t>
  </si>
  <si>
    <t>美国原直营门店销售（转前）</t>
  </si>
  <si>
    <t>IOM原直营门店销售（转前）</t>
  </si>
  <si>
    <t>IDL原直营门店销售（转前）</t>
  </si>
  <si>
    <t>原加盟销售按分部同店＋新增贡献预测；原直营销售另按2.5%/3.3%预测。两者之和才是体系销售。再加盟只转移归属，15%留存另形成公司收入，不给体系销售增加第二次。</t>
  </si>
  <si>
    <t>加盟收入 美国</t>
  </si>
  <si>
    <t>S1 2024Q3</t>
  </si>
  <si>
    <t>sources/companies/US/MCD-mcdonalds/artifacts/ten_k/MCD-mcdonalds-10Q-Q3/FY2024/psp_9bb891694811468dafd1c2ff04bd55d5/prepared/document.md</t>
  </si>
  <si>
    <t>加盟收入 IOM</t>
  </si>
  <si>
    <t>S2 2025Q1</t>
  </si>
  <si>
    <t>sources/companies/US/MCD-mcdonalds/artifacts/ten_k/MCD-mcdonalds-10Q-Q1/FY2025/psp_52b253d4e7c24d1a8d9ce36afc225215/prepared/document.md</t>
  </si>
  <si>
    <t>加盟收入 IDL</t>
  </si>
  <si>
    <t>S3 2025Q2</t>
  </si>
  <si>
    <t>sources/companies/US/MCD-mcdonalds/artifacts/ten_k/MCD-mcdonalds-10Q-Q2/FY2025/psp_5e5f96e2a1334ba1a5ecb3447f6c12c4/prepared/document.md</t>
  </si>
  <si>
    <t>加盟收入 合计</t>
  </si>
  <si>
    <t>S4 2025Q3</t>
  </si>
  <si>
    <t>sources/companies/US/MCD-mcdonalds/artifacts/ten_k/MCD-mcdonalds-10Q-Q3/FY2025/psp_0fe32f1a1b434ab1bb968ddaf387aff6/prepared/document.md</t>
  </si>
  <si>
    <t>直营销售 美国</t>
  </si>
  <si>
    <t>S5 2026Q1</t>
  </si>
  <si>
    <t>sources/companies/US/MCD-mcdonalds/artifacts/ten_k/MCD-mcdonalds-10Q-Q1/FY2026/psp_9a4070baa4b74501bc993b2070b13672/prepared/document.md</t>
  </si>
  <si>
    <t>直营销售 IOM</t>
  </si>
  <si>
    <t>S6 2026Q2</t>
  </si>
  <si>
    <t>sources/companies/US/MCD-mcdonalds/artifacts/ten_k/MCD-mcdonalds-10Q-Q2/FY2026/psp_7f085b8ce86148ada0a6134bd63f3a28/prepared/document.md</t>
  </si>
  <si>
    <t>直营销售 IDL</t>
  </si>
  <si>
    <t>S12 2024Q4</t>
  </si>
  <si>
    <t>sources/companies/US/MCD-mcdonalds/earnings_8k/2024Q4_ex991.htm；同目录ex992为详细增速表</t>
  </si>
  <si>
    <t>直营销售 合计</t>
  </si>
  <si>
    <t>S13 2025Q4</t>
  </si>
  <si>
    <t>sources/companies/US/MCD-mcdonalds/earnings_8k/2025Q4_ex991.htm；同目录ex992为详细增速表</t>
  </si>
  <si>
    <t>加盟利润 美国</t>
  </si>
  <si>
    <t>加盟利润 IOM</t>
  </si>
  <si>
    <t>加盟利润 IDL</t>
  </si>
  <si>
    <t>加盟利润 合计</t>
  </si>
  <si>
    <t>直营利润 美国</t>
  </si>
  <si>
    <t>直营利润 IOM</t>
  </si>
  <si>
    <t>直营利润 合计</t>
  </si>
  <si>
    <t>加盟门店销售 美国</t>
  </si>
  <si>
    <t>加盟门店销售 IOM</t>
  </si>
  <si>
    <t>加盟门店销售 IDL</t>
  </si>
  <si>
    <t>加盟门店销售 合计</t>
  </si>
  <si>
    <t>餐厅出售损益（费用符号）</t>
  </si>
  <si>
    <t>联营收益（费用符号）</t>
  </si>
  <si>
    <t>资产处置（费用符号）</t>
  </si>
  <si>
    <t>重组与减值（费用符号）</t>
  </si>
  <si>
    <t>已披露稀释EPS</t>
  </si>
  <si>
    <t>已披露平均稀释股数</t>
  </si>
  <si>
    <t>2024 9M</t>
  </si>
  <si>
    <t>2025 9M</t>
  </si>
  <si>
    <t>FY2025全年</t>
  </si>
  <si>
    <t>S7 FY2025 10-K：sources/companies/US/MCD-mcdonalds/artifacts/ten_k/MCD-mcdonalds/FY2025/psp_ef32da6b010c46ea849b6125696072d0/prepared/document.md；其他经营明细。</t>
  </si>
  <si>
    <t>S8 NEXT正式公告：sources/companies/US/MCD-mcdonalds/earnings_8k/20260923_ex991.htm；支持额、资本开支与中期目标。</t>
  </si>
  <si>
    <t>S9 投资者日：research/companies/US/MCD-mcdonalds/data/transcripts/InvestorDay_20260923.md（纪要，与正式公告交叉核对）；再加盟与摊销期。</t>
  </si>
  <si>
    <t>S10 用户报告：/Users/tccc/Desktop/工作/投研笔记/麦当劳/麦当劳.docx，估值章节图表63–69：经营假设、再加盟、NEXT、费用及利润预测；S11 用户股本结构xlsx，期末股数保留在Valuation C89:C90。</t>
  </si>
  <si>
    <t>估值skill作方法参考；按用户确认修改：分红不含回购，退出PE直接输入，缩股另算。未来经营参数是研究假设，随披露更新。</t>
  </si>
  <si>
    <t>FY2027–FY2028</t>
  </si>
  <si>
    <t>FY2029–FY2031</t>
  </si>
  <si>
    <t>FY2025A</t>
  </si>
  <si>
    <t>2026 H1A</t>
  </si>
  <si>
    <t>2026 H2E</t>
  </si>
  <si>
    <t>FY2026E直营销售额</t>
  </si>
  <si>
    <t>FY2027–FY2031</t>
  </si>
  <si>
    <t>Q3/Q4净利润同比（计算）</t>
  </si>
  <si>
    <t>由下半年经营预测计算，不再单独填写净利润增长。</t>
  </si>
  <si>
    <t>2026Q2 FY2026E</t>
  </si>
  <si>
    <t>FY2026加盟分部与总额差异</t>
  </si>
  <si>
    <t>FY2026体系销售分部与总额差异</t>
  </si>
  <si>
    <t>其他经营明细与净贡献差异</t>
  </si>
  <si>
    <t>经营利润构成与基期差异</t>
  </si>
  <si>
    <t>年结日模型与平滑终值差异</t>
  </si>
  <si>
    <t>2025 Q3A</t>
  </si>
  <si>
    <t>2025 Q4A</t>
  </si>
  <si>
    <t>美国原网络销售/加盟收入增速</t>
  </si>
  <si>
    <t>IOM原网络销售/加盟收入增速</t>
  </si>
  <si>
    <t>IDL原网络销售/加盟收入增速</t>
  </si>
  <si>
    <t>美国加盟占用费用增速</t>
  </si>
  <si>
    <t>IOM加盟占用费用增速</t>
  </si>
  <si>
    <t>IDL加盟占用费用增速</t>
  </si>
  <si>
    <t>直营销售增长</t>
  </si>
  <si>
    <t>直营餐厅利润率</t>
  </si>
  <si>
    <t>FY2026全年利息费用增速</t>
  </si>
  <si>
    <t>下半年有效税率</t>
  </si>
  <si>
    <t>其他业务净贡献增长</t>
  </si>
  <si>
    <t>餐厅出售收益增长</t>
  </si>
  <si>
    <t>重组与减值费用增长</t>
  </si>
  <si>
    <t>加盟餐厅利润总额</t>
  </si>
  <si>
    <t>直营销售总额</t>
  </si>
  <si>
    <t>所得税费用</t>
  </si>
  <si>
    <t>其他收入扣其他餐厅费用</t>
  </si>
  <si>
    <t>联营收益</t>
  </si>
  <si>
    <t>FY2026 H2为假设驱动预测；公司整数披露差异保留，不设利润调节项。</t>
  </si>
  <si>
    <t>单位：百万美元；FY2026上半年为已披露实际，下半年由经营假设预测；FY2027–FY2031为完整年度。</t>
  </si>
  <si>
    <t>正式年结日模型情景</t>
  </si>
  <si>
    <t>同比由经营预测计算，假设在Valuation Driver Build调整</t>
  </si>
  <si>
    <t>五年（FY2031E）</t>
  </si>
  <si>
    <t>分红＋退出价值；缩股单独体现</t>
  </si>
  <si>
    <t>净利润×PE，再按缩股调整</t>
  </si>
  <si>
    <t>5. 基准参数由年结日经营预测推导；在Valuation Driver Build黄色区域调整假设。</t>
  </si>
  <si>
    <t>麦当劳年结日估值参数推导</t>
  </si>
  <si>
    <t>资料截至2026-10-12；百万美元、百万股。黄色为研究假设。</t>
  </si>
  <si>
    <t>先预测FY2026剩余季度，再建立全年基期，推导FY2027–FY2031及估值参数。来源与假设依据见末尾。</t>
  </si>
  <si>
    <t>一、FY2026剩余季度预测</t>
  </si>
  <si>
    <t>全年假设</t>
  </si>
  <si>
    <t>二、FY2026全年基期</t>
  </si>
  <si>
    <t>三、FY2027–FY2031原有网络预测</t>
  </si>
  <si>
    <t>四、再加盟与NEXT的利润和现金影响</t>
  </si>
  <si>
    <t>五、年度净利润与两阶段增速</t>
  </si>
  <si>
    <t>六、缩股、现金转换、分红与资金约束</t>
  </si>
  <si>
    <t>七、计算核对</t>
  </si>
  <si>
    <t>附录一、年度历史参考</t>
  </si>
  <si>
    <t>附录二、近期季度实际</t>
  </si>
  <si>
    <t>附录三、补充披露数据</t>
  </si>
  <si>
    <t>附录四、假设依据与来源索引</t>
  </si>
  <si>
    <t>口径与方法</t>
  </si>
  <si>
    <t>S10图表63；近期美国Q2同店0.8%，前两年保守，后期假设需求与执行恢复。（对应第87行）</t>
  </si>
  <si>
    <t>S10图表63；成熟市场贡献较低。销售贡献不等于门店数增速。（对应第88行）</t>
  </si>
  <si>
    <t>S10图表63；IOM复苏较强；近期美元增速包含汇率，不机械外推。（对应第89行）</t>
  </si>
  <si>
    <t>S10图表63；近期扩张加快，后期趋稳。（对应第90行）</t>
  </si>
  <si>
    <t>S10图表63；不能用美元单店销售倒推本币客单。（对应第91行）</t>
  </si>
  <si>
    <t>S10图表63；扩张贡献主要来自IDL，以销售贡献计，含新店爬坡。（对应第92行）</t>
  </si>
  <si>
    <t>S10图表63；常规租赁、折旧和物业费用；NEXT另列。（对应第93行）</t>
  </si>
  <si>
    <t>S10图表63；费用增长低于中期收入增速，提供有限经营杠杆。（对应第94行）</t>
  </si>
  <si>
    <t>IDL物业费用极低，保留FY2026E基数。（对应第95行）</t>
  </si>
  <si>
    <t>研究基准0；不外推2026H1汇率利好。（对应第96行）</t>
  </si>
  <si>
    <t>相同合作结构下稳定；再加盟影响下一节单列。（对应第97行）</t>
  </si>
  <si>
    <t>S10图表64–65：两年累计转55%是销售额占比假设；公司98%加盟门店目标不能直接转为销售转移率。（对应第130行）</t>
  </si>
  <si>
    <t>15%收入留存及82%新增加盟利润率为研究假设；新增加盟利润必须同时扣除已转出的直营利润。（对应第131行）</t>
  </si>
  <si>
    <t>S8公司2026-09-23公告：2030年前50亿美元。（对应第142行）</t>
  </si>
  <si>
    <t>S8：2036年前累计85亿美元，不在50亿美元之外再加85亿美元。（对应第143行）</t>
  </si>
  <si>
    <t>S8披露1500–2000；研究取中点1750。余下暂按递延租金支持，会计分类随披露更新。（对应第144行）</t>
  </si>
  <si>
    <t>均匀投放是S10图表66研究假设。（对应第146行）</t>
  </si>
  <si>
    <t>2031–2036六年。（对应第147行）</t>
  </si>
  <si>
    <t>S9投资者日Q&amp;A约10年；研究统一10年简化，不等于每项资产已披露寿命。（对应第148行）</t>
  </si>
  <si>
    <t>S10图表66：80%加盟物业、20%直营，属于研究分配，公司未披露。（对应第149行）</t>
  </si>
  <si>
    <t>均匀投放，当年按半年度计提的研究简化。（对应第150行）</t>
  </si>
  <si>
    <t>S8公司2027起常规资本开支约30亿美元，NEXT资本支持另加。（对应第151行）</t>
  </si>
  <si>
    <t>S10图表67/69：2.20%降至2.00%；S8公司2030目标约1.9%，研究兑现更慢。（对应第168行）</t>
  </si>
  <si>
    <t>S10：前两年5%、后三年3%；S6 FY2026指引4–6%，不假设大量加债来回购。（对应第169行）</t>
  </si>
  <si>
    <t>S6全年税率指引21–23%；预测期采用中点22%。（对应第170行）</t>
  </si>
  <si>
    <t>S10图表68：其他收入扣餐厅费用后净贡献+4%，联营收益+5%。（对应第171行）</t>
  </si>
  <si>
    <t>S10图表68：重组150、50后归零，资产处置80后每年+3%；出售收益不延续。（对应第175行）</t>
  </si>
  <si>
    <t>默认将两阶段增速四舍五入至0.1个百分点；调小精度可贴近原始桥接。（对应第200行）</t>
  </si>
  <si>
    <t>S11用户Wind股本表7.14亿→7.08亿；净缩股已含激励和发行等，取整使精度有限。（对应第214行）</t>
  </si>
  <si>
    <t>前两年低于近期约0.8%缩股，给NEXT与扩张留现金；后期恢复0.8%。不是回购金额/市值，不用平均稀释股数冒充期末缩股。（对应第216行）</t>
  </si>
  <si>
    <t>沿用确认82%/86%；S6近期low-to-mid80%，S8中期mid-to-high80%。c已含资本及租金支持现金，不再从FCF扣第二次。（对应第217行）</t>
  </si>
  <si>
    <t>沿用确认60%/57%；历史锚点用区间金额比率。p＝现金分红/净利润，回购不含在p内，p与c无须加总100%。（对应第218行）</t>
  </si>
  <si>
    <t>20倍是用户确认的估值判断；未提供完整历史PE分布，不声称由历史精确推出。退出价值不再乘c。（对应第219行）</t>
  </si>
  <si>
    <t>资金约束演算新增假设0.15%；真实毛发行股数缺失。可调，只影响资金检验，不改变估值净缩股。（对应第220行）</t>
  </si>
  <si>
    <t>回购价格演算假设；可调以检验高价回购，不等于退出PE必然实现。（对应第221行）</t>
  </si>
  <si>
    <t>年净缩股0.5%/4作为平均稀释股数的季度近似；可以改为独立预测，不冒充期末股数。（对应第79行）</t>
  </si>
  <si>
    <t>沿用报告物业费用假设；NEXT支持从FY2027起另列。（对应第10行）</t>
  </si>
  <si>
    <t>沿用报告常规物业费用假设。（对应第11行）</t>
  </si>
  <si>
    <t>接近零的物业费用保留同期基数。（对应第12行）</t>
  </si>
  <si>
    <t>沿用报告直营销售假设；FY2026不加入FY2027起再加盟转换。（对应第13行）</t>
  </si>
  <si>
    <t>FY2025直营利润率14.7%为下半年研究基准，可按季调整。（对应第14行）</t>
  </si>
  <si>
    <t>S6公司FY2026指引约2.2%，用于下半年预测。（对应第15行）</t>
  </si>
  <si>
    <t>S6公司全年指引4–6%，取5%；全年预算减上半年实际，按同期季度权重分配。（对应第16行）</t>
  </si>
  <si>
    <t>S6全年指引21–23%；下半年取中点，上半年税额保留实际。（对应第17行）</t>
  </si>
  <si>
    <t>沿用报告研究假设5%。（对应第18行）</t>
  </si>
  <si>
    <t>FY2025同期出售收益为FY2026下半年暂定假设。（对应第21行）</t>
  </si>
  <si>
    <t>保留FY2025同期费用；FY2027起按报告150、50、0预测。（对应第22行）</t>
  </si>
  <si>
    <t>下半年研究假设为零。（对应第23行）</t>
  </si>
  <si>
    <t>计算说明</t>
  </si>
  <si>
    <t>来源与方法</t>
  </si>
  <si>
    <t>S1–S6季报MD&amp;A：收入、同店、体系销售、餐厅利润及其他经营费用；S12–S13四季度ex991/ex992：同店/体系增速、EPS和股数。均对应下列原始路径。</t>
  </si>
  <si>
    <t>FY19–FY25</t>
    <phoneticPr fontId="33" type="noConversion"/>
  </si>
  <si>
    <t>FY23–FY25</t>
    <phoneticPr fontId="33" type="noConversion"/>
  </si>
  <si>
    <t>其他业务净贡献增长</t>
    <phoneticPr fontId="33" type="noConversion"/>
  </si>
  <si>
    <t>资产处置费用增长</t>
    <phoneticPr fontId="33" type="noConversion"/>
  </si>
  <si>
    <t>年度历史实际：FY2016–FY2025</t>
  </si>
  <si>
    <t>FY2016A</t>
  </si>
  <si>
    <t>FY2017A</t>
  </si>
  <si>
    <t>FY2018A</t>
  </si>
  <si>
    <t>FY2019A</t>
  </si>
  <si>
    <t>FY2020A</t>
  </si>
  <si>
    <t>FY2021A</t>
  </si>
  <si>
    <t>FY2022A</t>
  </si>
  <si>
    <t>FY2023A</t>
  </si>
  <si>
    <t>FY2024A</t>
  </si>
  <si>
    <t>美元报表同比</t>
  </si>
  <si>
    <t>美国加盟收入增长（美元）</t>
  </si>
  <si>
    <t>n.a.</t>
  </si>
  <si>
    <t>IOM加盟收入增长（美元）</t>
  </si>
  <si>
    <t>IDL加盟收入增长（美元）</t>
  </si>
  <si>
    <t>美国加盟占用费用增长</t>
  </si>
  <si>
    <t>IOM加盟占用费用增长</t>
  </si>
  <si>
    <t>IDL加盟占用费用（金额）</t>
  </si>
  <si>
    <t>全球直营销售增长（美元）</t>
  </si>
  <si>
    <t>全球直营餐厅利润率</t>
  </si>
  <si>
    <t>利息费用增速（预测填全年）</t>
  </si>
  <si>
    <t>历史见右表金额</t>
  </si>
  <si>
    <t>资产处置及其他净费用</t>
  </si>
  <si>
    <t>减值及其他净费用</t>
  </si>
  <si>
    <t>季度历史实际：2024Q3–2026Q2</t>
  </si>
  <si>
    <t>2024Q3A</t>
  </si>
  <si>
    <t>2024Q4A</t>
  </si>
  <si>
    <t>2025Q1A</t>
  </si>
  <si>
    <t>2025Q2A</t>
  </si>
  <si>
    <t>2025Q3A</t>
  </si>
  <si>
    <t>2025Q4A</t>
  </si>
  <si>
    <t>2026Q1A</t>
  </si>
  <si>
    <t>2026Q2A</t>
  </si>
  <si>
    <t>历史金额与固定汇率参照</t>
  </si>
  <si>
    <t>其他业务净贡献</t>
  </si>
  <si>
    <t>美国加盟收入增长（固定汇率）</t>
  </si>
  <si>
    <t>IOM加盟收入增长（固定汇率）</t>
  </si>
  <si>
    <t>IDL加盟收入增长（固定汇率）</t>
  </si>
  <si>
    <t>直营销售增长（固定汇率）</t>
  </si>
  <si>
    <t>稳定净贡献：年度金额参照</t>
  </si>
  <si>
    <t>附录四、历史参数补充披露与口径</t>
  </si>
  <si>
    <t>公司披露有效税率</t>
  </si>
  <si>
    <t>早期季度同比基数：已披露金额</t>
  </si>
  <si>
    <t>2023Q3A</t>
  </si>
  <si>
    <t>2023Q4A</t>
  </si>
  <si>
    <t>2024Q1A</t>
  </si>
  <si>
    <t>2024Q2A</t>
  </si>
  <si>
    <t>全球直营销售</t>
  </si>
  <si>
    <t>同比基数来源</t>
  </si>
  <si>
    <t>2023Q3：FY2024 Q3 10-Q同比列；2023Q4：2024Q4_ex992收入/利润及FY2023全年减9M。2024Q1/Q2：FY2025 Q1/Q2 10-Q同比列。</t>
  </si>
  <si>
    <t>占用费用口径</t>
  </si>
  <si>
    <t>未直接披露季度费用时，由加盟收入减加盟利润计算；2024Q1美国/IOM费用由2024H1费用减2024Q2费用计算。基数仅用于历史对照，不修改原始表。</t>
  </si>
  <si>
    <t>历史参数来源与计算口径</t>
  </si>
  <si>
    <t>来源与口径</t>
  </si>
  <si>
    <t>历史收入与销售增长采用美元报表同比；固定汇率增长单独列示。原网络销售/加盟收入增长为模型假设，不等同于公司披露同店增长。</t>
  </si>
  <si>
    <t>年度加盟收入：Segments / REVENUE BY TYPE AND SEGMENT；占用费用FY2022起用SEGMENT EXPENSE DETAIL，FY2017–FY2021用加盟收入减加盟利润。</t>
  </si>
  <si>
    <t>季度占用费用优先采用10-Q分部直接披露；2024Q4、2025Q4按全年减前三季度。IDL金额极小或为零，不用缺失增长率代替真实零金额。</t>
  </si>
  <si>
    <t>直营利润率优先采用Segments / RESTAURANT MARGINS BY SEGMENT；FY2016由利润表计算。SG&amp;A费用率＝Income Statement SG&amp;A / Operating Metrics体系销售额。</t>
  </si>
  <si>
    <t>联营收益与处置明细：Note Schedules / OTHER OPERATING (INCOME) EXPENSE, NET - COMPONENTS。其他业务净贡献＝Other revenues－Other restaurant expenses。</t>
  </si>
  <si>
    <t>资产处置及其他净费用、减值及其他净费用：正值减少利润，负值增加利润。餐厅出售收益、联营收益、非经营净收入：正值增加利润。</t>
  </si>
  <si>
    <t>近八季度增长已补齐上年同期基数。季度税率优先公司直接披露；季度费用率与全年指引须按全年金额加权衔接。</t>
  </si>
  <si>
    <t>季度费用/税率：FY2024 Q3、FY2025 Q1/Q2/Q3、FY2026 Q1/Q2 10-Q分部附注、税项及MD&amp;A；对应原始路径沿用附录三来源索引。</t>
  </si>
  <si>
    <t>固定汇率增长：对应季度10-Q MD&amp;A Revenues；Q4来自sources/companies/US/MCD-mcdonalds/earnings_8k/2024Q4_ex992.htm及2025Q4_ex992.htm。</t>
  </si>
  <si>
    <t>本次只新增历史参照及必要披露金额，保留原有E/F预测参数、G16全年利息假设、所有原有计算公式和估值输出。资料截至2026-10-12。</t>
  </si>
  <si>
    <t>研究假设：Q3同店−0.5%＋新店0.8个百分点＝0.3%；Q4同店0.5%＋新店0.8个百分点＝1.3%。投资者日预计Q3略负，−0.5%为研究取值；take rate不变，汇率增量影响为零。（对应第7行）</t>
  </si>
  <si>
    <t>FY2026 H2研究假设：Q3、Q4均为同店2%＋新店2个百分点＝4%；take rate不变，汇率增量影响为零。（对应第8行）</t>
  </si>
  <si>
    <t>FY2026 H2研究假设：Q3同店3%＋新店4.5个百分点＝7.5%；Q4同店2.5%＋新店4.5个百分点＝7%；take rate不变，汇率增量影响为零。（对应第9行）</t>
  </si>
  <si>
    <t>FY2026 H2研究假设：其他收入减其他餐厅费用后的净贡献同比零增长，保留FY2025同期金额；并非净贡献金额为零。（对应第19行）</t>
  </si>
  <si>
    <t>FY2026 H2研究假设：资产处置及其他净费用同比零增长，保留FY2025同期金额及正负号；并非费用金额为零。（对应第20行）</t>
  </si>
  <si>
    <t>两年（FY2028E）</t>
    <phoneticPr fontId="3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</si>
</sst>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76" formatCode="#,##0;\(#,##0\);&quot;-&quot;"/>
    <numFmt numFmtId="177" formatCode="0.0%;\(0.0%\);&quot;-&quot;"/>
    <numFmt numFmtId="178" formatCode="#,##0.00;\(#,##0.00\);&quot;-&quot;"/>
    <numFmt numFmtId="179" formatCode="#,##0.0;\(#,##0.0\);&quot;-&quot;"/>
    <numFmt numFmtId="180" formatCode="0.0&quot;x&quot;;\(0.0&quot;x&quot;\);&quot;-&quot;"/>
    <numFmt numFmtId="181" formatCode="0.0%"/>
    <numFmt numFmtId="182" formatCode="#,##0.0;\(#,##0.0\);&quot;–&quot;"/>
    <numFmt numFmtId="183" formatCode="0.0%;\(0.0%\);&quot;–&quot;"/>
    <numFmt numFmtId="184" formatCode="0.0&quot;x&quot;"/>
    <numFmt numFmtId="185" formatCode="yyyy\-mm\-dd"/>
    <numFmt numFmtId="186" formatCode="#,##0.0"/>
    <numFmt numFmtId="187" formatCode="0.0\x"/>
    <numFmt numFmtId="188" formatCode="0.00;\(0.00\);0.00"/>
    <numFmt numFmtId="189" formatCode="0.00%;\(0.00%\);&quot;–&quot;"/>
  </numFmts>
  <fonts count="48">
    <font>
      <sz val="11"/>
      <color theme="1"/>
      <name val="宋体"/>
      <family val="2"/>
      <scheme val="minor"/>
    </font>
    <font>
      <b/>
      <sz val="14"/>
      <color rgb="FFFFFFFF"/>
      <name val="Arial"/>
      <family val="2"/>
    </font>
    <font>
      <i/>
      <sz val="9"/>
      <color rgb="FF808080"/>
      <name val="Arial"/>
      <family val="2"/>
    </font>
    <font>
      <b/>
      <sz val="10"/>
      <name val="Arial"/>
      <family val="2"/>
    </font>
    <font>
      <sz val="10"/>
      <color rgb="FF333333"/>
      <name val="Arial"/>
      <family val="2"/>
    </font>
    <font>
      <b/>
      <sz val="10"/>
      <color rgb="FF333333"/>
      <name val="Arial"/>
      <family val="2"/>
    </font>
    <font>
      <i/>
      <sz val="8"/>
      <color rgb="FF808080"/>
      <name val="Arial"/>
      <family val="2"/>
    </font>
    <font>
      <i/>
      <sz val="9"/>
      <color rgb="FF999999"/>
      <name val="Arial"/>
      <family val="2"/>
    </font>
    <font>
      <u/>
      <sz val="9"/>
      <color rgb="FF0563C1"/>
      <name val="Arial"/>
      <family val="2"/>
    </font>
    <font>
      <b/>
      <sz val="10"/>
      <color rgb="FFFFFFFF"/>
      <name val="Arial"/>
      <family val="2"/>
    </font>
    <font>
      <sz val="10"/>
      <color rgb="FF0000CC"/>
      <name val="Arial"/>
      <family val="2"/>
    </font>
    <font>
      <b/>
      <sz val="10"/>
      <color rgb="FF0000CC"/>
      <name val="Arial"/>
      <family val="2"/>
    </font>
    <font>
      <i/>
      <sz val="10"/>
      <color rgb="FFBF8F00"/>
      <name val="Arial"/>
      <family val="2"/>
    </font>
    <font>
      <sz val="10"/>
      <color rgb="FF008000"/>
      <name val="Arial"/>
      <family val="2"/>
    </font>
    <font>
      <sz val="11"/>
      <color theme="1"/>
      <name val="宋体"/>
      <family val="2"/>
      <scheme val="minor"/>
    </font>
    <font>
      <b/>
      <sz val="10"/>
      <color rgb="FFFFFFFF"/>
      <name val="Arial"/>
      <family val="2"/>
    </font>
    <font>
      <i/>
      <sz val="9"/>
      <color rgb="FFFF0000"/>
      <name val="Arial"/>
      <family val="2"/>
    </font>
    <font>
      <sz val="11"/>
      <color rgb="FFFF0000"/>
      <name val="宋体"/>
      <family val="2"/>
      <scheme val="minor"/>
    </font>
    <font>
      <sz val="10"/>
      <color rgb="FF333333"/>
      <name val="Arial"/>
      <family val="2"/>
    </font>
    <font>
      <b/>
      <sz val="10"/>
      <color theme="0" tint="-0.34998626667073579"/>
      <name val="Arial"/>
      <family val="2"/>
    </font>
    <font>
      <sz val="10"/>
      <color rgb="FF333333"/>
      <name val="Microsoft YaHei"/>
      <family val="2"/>
    </font>
    <font>
      <b/>
      <sz val="10"/>
      <color rgb="FF333333"/>
      <name val="Microsoft YaHei"/>
      <family val="2"/>
    </font>
    <font>
      <b/>
      <sz val="10"/>
      <color rgb="FF333333"/>
      <name val="Arial"/>
      <family val="2"/>
    </font>
    <font>
      <i/>
      <sz val="9"/>
      <color theme="1" tint="0.34998626667073579"/>
      <name val="Arial"/>
      <family val="2"/>
    </font>
    <font>
      <sz val="11"/>
      <color theme="1" tint="0.34998626667073579"/>
      <name val="宋体"/>
      <family val="2"/>
      <scheme val="minor"/>
    </font>
    <font>
      <b/>
      <i/>
      <sz val="9"/>
      <color theme="1" tint="0.34998626667073579"/>
      <name val="Arial"/>
      <family val="2"/>
    </font>
    <font>
      <u/>
      <sz val="11"/>
      <color theme="10"/>
      <name val="宋体"/>
      <family val="2"/>
      <scheme val="minor"/>
    </font>
    <font>
      <i/>
      <sz val="10"/>
      <color rgb="FF404040"/>
      <name val="宋体"/>
      <family val="2"/>
      <scheme val="minor"/>
    </font>
    <font>
      <sz val="10"/>
      <color theme="1"/>
      <name val="宋体"/>
      <family val="2"/>
      <scheme val="minor"/>
    </font>
    <font>
      <b/>
      <sz val="10"/>
      <color rgb="FF1F1F1F"/>
      <name val="宋体"/>
      <family val="2"/>
      <scheme val="minor"/>
    </font>
    <font>
      <b/>
      <sz val="10"/>
      <color theme="1"/>
      <name val="宋体"/>
      <family val="2"/>
      <scheme val="minor"/>
    </font>
    <font>
      <b/>
      <sz val="14"/>
      <color rgb="FFFFFFFF"/>
      <name val="宋体"/>
      <family val="2"/>
      <scheme val="minor"/>
    </font>
    <font>
      <i/>
      <sz val="10"/>
      <color rgb="FF555555"/>
      <name val="宋体"/>
      <family val="2"/>
      <scheme val="minor"/>
    </font>
    <font>
      <sz val="9"/>
      <name val="宋体"/>
      <family val="3"/>
      <charset val="134"/>
      <scheme val="minor"/>
    </font>
    <font>
      <sz val="10"/>
      <color rgb="FF172B4D"/>
      <name val="Arial"/>
      <family val="2"/>
    </font>
    <font>
      <b/>
      <sz val="11"/>
      <color rgb="FFFFFFFF"/>
      <name val="Arial"/>
      <family val="2"/>
    </font>
    <font>
      <sz val="10"/>
      <color rgb="FF0000FF"/>
      <name val="Arial"/>
      <family val="2"/>
    </font>
    <font>
      <sz val="10"/>
      <color rgb="FF111111"/>
      <name val="Arial"/>
      <family val="2"/>
    </font>
    <font>
      <sz val="10"/>
      <color rgb="FF008000"/>
      <name val="Arial"/>
      <family val="2"/>
    </font>
    <font>
      <b/>
      <sz val="10"/>
      <color rgb="FF172B4D"/>
      <name val="Arial"/>
      <family val="2"/>
    </font>
    <font>
      <b/>
      <sz val="10"/>
      <color rgb="FF008000"/>
      <name val="Arial"/>
      <family val="2"/>
    </font>
    <font>
      <b/>
      <sz val="10"/>
      <color rgb="FF111111"/>
      <name val="Arial"/>
      <family val="2"/>
    </font>
    <font>
      <b/>
      <sz val="10"/>
      <color rgb="FF17365D"/>
      <name val="Arial"/>
      <family val="2"/>
    </font>
    <font>
      <sz val="10"/>
      <color rgb="FF172B4D"/>
      <name val="Microsoft YaHei"/>
      <family val="2"/>
      <charset val="134"/>
    </font>
    <font>
      <sz val="10"/>
      <color rgb="FF000000"/>
      <name val="Arial"/>
      <family val="2"/>
    </font>
    <font>
      <b/>
      <sz val="10"/>
      <color rgb="FFFFFFFF"/>
      <name val="Arial"/>
      <family val="2"/>
    </font>
    <font>
      <sz val="10"/>
      <color rgb="FF008000"/>
      <name val="Arial"/>
      <family val="2"/>
    </font>
    <font>
      <sz val="10"/>
      <color rgb="FFFF0000"/>
      <name val="宋体"/>
      <family val="2"/>
      <scheme val="minor"/>
    </font>
  </fonts>
  <fills count="18">
    <fill>
      <patternFill patternType="none"/>
    </fill>
    <fill>
      <patternFill patternType="gray125"/>
    </fill>
    <fill>
      <patternFill patternType="solid">
        <fgColor rgb="FF1F4E79"/>
      </patternFill>
    </fill>
    <fill>
      <patternFill patternType="solid">
        <fgColor rgb="FFD6E4F0"/>
      </patternFill>
    </fill>
    <fill>
      <patternFill patternType="solid">
        <fgColor rgb="FFF2F2F2"/>
      </patternFill>
    </fill>
    <fill>
      <patternFill patternType="solid">
        <fgColor rgb="FF1F4E78"/>
      </patternFill>
    </fill>
    <fill>
      <patternFill patternType="solid">
        <fgColor rgb="FFD9EAF7"/>
      </patternFill>
    </fill>
    <fill>
      <patternFill patternType="solid">
        <fgColor rgb="FFE2F0D9"/>
      </patternFill>
    </fill>
    <fill>
      <patternFill patternType="solid">
        <fgColor rgb="FFFFF2CC"/>
      </patternFill>
    </fill>
    <fill>
      <patternFill patternType="none"/>
    </fill>
    <fill>
      <patternFill patternType="solid">
        <fgColor rgb="FFFFFFFF"/>
      </patternFill>
    </fill>
    <fill>
      <patternFill patternType="solid">
        <fgColor rgb="FF17365D"/>
      </patternFill>
    </fill>
    <fill>
      <patternFill patternType="solid">
        <fgColor rgb="FFFFF2CC"/>
      </patternFill>
    </fill>
    <fill>
      <patternFill patternType="solid">
        <fgColor rgb="FFE8F0F8"/>
      </patternFill>
    </fill>
    <fill>
      <patternFill patternType="solid">
        <fgColor rgb="FFDCE6F1"/>
      </patternFill>
    </fill>
    <fill>
      <patternFill patternType="none"/>
    </fill>
    <fill>
      <patternFill patternType="solid">
        <fgColor rgb="FF1F4E78"/>
      </patternFill>
    </fill>
    <fill>
      <patternFill patternType="solid">
        <fgColor rgb="FFEAF2F8"/>
      </patternFill>
    </fill>
  </fills>
  <borders count="18">
    <border>
      <left/>
      <right/>
      <top/>
      <bottom/>
      <diagonal/>
    </border>
    <border>
      <left/>
      <right/>
      <top/>
      <bottom style="thin">
        <color rgb="FF999999"/>
      </bottom>
      <diagonal/>
    </border>
    <border>
      <left/>
      <right/>
      <top style="thin">
        <color rgb="FF999999"/>
      </top>
      <bottom/>
      <diagonal/>
    </border>
    <border>
      <left/>
      <right/>
      <top style="thin">
        <color rgb="FF999999"/>
      </top>
      <bottom style="thin">
        <color indexed="64"/>
      </bottom>
      <diagonal/>
    </border>
    <border>
      <left/>
      <right/>
      <top/>
      <bottom style="thin">
        <color indexed="64"/>
      </bottom>
      <diagonal/>
    </border>
    <border>
      <left/>
      <right/>
      <top/>
      <bottom/>
      <diagonal/>
    </border>
    <border>
      <left style="thin">
        <color rgb="FFB7C9D6"/>
      </left>
      <right style="thin">
        <color rgb="FFB7C9D6"/>
      </right>
      <top style="thin">
        <color rgb="FFB7C9D6"/>
      </top>
      <bottom style="thin">
        <color rgb="FFB7C9D6"/>
      </bottom>
      <diagonal/>
    </border>
    <border>
      <left style="thin">
        <color rgb="FFD9D9D9"/>
      </left>
      <right style="thin">
        <color rgb="FFD9D9D9"/>
      </right>
      <top style="thin">
        <color rgb="FFD9D9D9"/>
      </top>
      <bottom style="thin">
        <color rgb="FFD9D9D9"/>
      </bottom>
      <diagonal/>
    </border>
    <border>
      <left/>
      <right/>
      <top/>
      <bottom/>
      <diagonal/>
    </border>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D9D9D9"/>
      </right>
      <top style="thin">
        <color rgb="FFD9D9D9"/>
      </top>
      <bottom style="thin">
        <color rgb="FFD9D9D9"/>
      </bottom>
      <diagonal/>
    </border>
    <border>
      <left style="thin">
        <color rgb="FFD9D9D9"/>
      </left>
      <right style="medium">
        <color indexed="64"/>
      </right>
      <top style="thin">
        <color rgb="FFD9D9D9"/>
      </top>
      <bottom style="thin">
        <color rgb="FFD9D9D9"/>
      </bottom>
      <diagonal/>
    </border>
    <border>
      <left style="medium">
        <color indexed="64"/>
      </left>
      <right style="thin">
        <color rgb="FFD9D9D9"/>
      </right>
      <top style="thin">
        <color rgb="FFD9D9D9"/>
      </top>
      <bottom style="medium">
        <color indexed="64"/>
      </bottom>
      <diagonal/>
    </border>
    <border>
      <left style="thin">
        <color rgb="FFD9D9D9"/>
      </left>
      <right style="thin">
        <color rgb="FFD9D9D9"/>
      </right>
      <top style="thin">
        <color rgb="FFD9D9D9"/>
      </top>
      <bottom style="medium">
        <color indexed="64"/>
      </bottom>
      <diagonal/>
    </border>
    <border>
      <left style="thin">
        <color rgb="FFD9D9D9"/>
      </left>
      <right style="medium">
        <color indexed="64"/>
      </right>
      <top style="thin">
        <color rgb="FFD9D9D9"/>
      </top>
      <bottom style="medium">
        <color indexed="64"/>
      </bottom>
      <diagonal/>
    </border>
  </borders>
  <cellStyleXfs count="4">
    <xf numFmtId="0" fontId="0" fillId="0" borderId="0"/>
    <xf numFmtId="9" fontId="14" fillId="0" borderId="0" applyFont="0" applyFill="0" applyBorder="0" applyAlignment="0" applyProtection="0">
      <alignment vertical="center"/>
    </xf>
    <xf numFmtId="0" fontId="26" fillId="0" borderId="0" applyNumberFormat="0" applyFill="0" applyBorder="0" applyAlignment="0" applyProtection="0"/>
    <xf numFmtId="0" fontId="2" fillId="0" borderId="0" xfId="0" applyFont="1"/>
  </cellStyleXfs>
  <cellXfs count="132">
    <xf numFmtId="0" fontId="0" fillId="0" borderId="0" xfId="0"/>
    <xf numFmtId="0" fontId="0" fillId="2" borderId="0" xfId="0" applyFill="1"/>
    <xf numFmtId="0" fontId="1" fillId="2" borderId="0" xfId="0" applyFont="1" applyFill="1" applyAlignment="1">
      <alignment vertical="center"/>
    </xf>
    <xf numFmtId="0" fontId="2" fillId="0" borderId="0" xfId="0" applyFont="1"/>
    <xf numFmtId="0" fontId="3" fillId="0" borderId="0" xfId="0" applyFont="1"/>
    <xf numFmtId="0" fontId="4" fillId="0" borderId="0" xfId="0" applyFont="1"/>
    <xf numFmtId="0" fontId="5" fillId="3" borderId="1" xfId="0" applyFont="1" applyFill="1" applyBorder="1" applyAlignment="1">
      <alignment horizontal="center"/>
    </xf>
    <xf numFmtId="0" fontId="7" fillId="4" borderId="0" xfId="0" applyFont="1" applyFill="1" applyAlignment="1">
      <alignment horizontal="center"/>
    </xf>
    <xf numFmtId="0" fontId="6" fillId="0" borderId="0" xfId="0" applyFont="1" applyAlignment="1">
      <alignment horizontal="center"/>
    </xf>
    <xf numFmtId="0" fontId="0" fillId="4" borderId="0" xfId="0" applyFill="1"/>
    <xf numFmtId="0" fontId="5" fillId="0" borderId="0" xfId="0" applyFont="1"/>
    <xf numFmtId="0" fontId="8" fillId="0" borderId="0" xfId="0" applyFont="1"/>
    <xf numFmtId="0" fontId="9" fillId="2" borderId="0" xfId="0" applyFont="1" applyFill="1"/>
    <xf numFmtId="176" fontId="10" fillId="0" borderId="0" xfId="0" applyNumberFormat="1" applyFont="1" applyAlignment="1">
      <alignment horizontal="right"/>
    </xf>
    <xf numFmtId="0" fontId="6" fillId="0" borderId="0" xfId="0" applyFont="1" applyAlignment="1">
      <alignment vertical="top" wrapText="1"/>
    </xf>
    <xf numFmtId="176" fontId="11" fillId="0" borderId="2" xfId="0" applyNumberFormat="1" applyFont="1" applyBorder="1" applyAlignment="1">
      <alignment horizontal="right"/>
    </xf>
    <xf numFmtId="0" fontId="0" fillId="4" borderId="2" xfId="0" applyFill="1" applyBorder="1"/>
    <xf numFmtId="0" fontId="7" fillId="0" borderId="0" xfId="0" applyFont="1"/>
    <xf numFmtId="177" fontId="7" fillId="0" borderId="0" xfId="0" applyNumberFormat="1" applyFont="1" applyAlignment="1">
      <alignment horizontal="right"/>
    </xf>
    <xf numFmtId="176" fontId="4" fillId="0" borderId="0" xfId="0" applyNumberFormat="1" applyFont="1" applyAlignment="1">
      <alignment horizontal="right"/>
    </xf>
    <xf numFmtId="178" fontId="10" fillId="0" borderId="0" xfId="0" applyNumberFormat="1" applyFont="1" applyAlignment="1">
      <alignment horizontal="right"/>
    </xf>
    <xf numFmtId="178" fontId="11" fillId="0" borderId="0" xfId="0" applyNumberFormat="1" applyFont="1" applyAlignment="1">
      <alignment horizontal="right"/>
    </xf>
    <xf numFmtId="179" fontId="10" fillId="0" borderId="0" xfId="0" applyNumberFormat="1" applyFont="1" applyAlignment="1">
      <alignment horizontal="right"/>
    </xf>
    <xf numFmtId="176" fontId="12" fillId="0" borderId="0" xfId="0" applyNumberFormat="1" applyFont="1" applyAlignment="1">
      <alignment horizontal="right"/>
    </xf>
    <xf numFmtId="176" fontId="7" fillId="0" borderId="0" xfId="0" applyNumberFormat="1" applyFont="1" applyAlignment="1">
      <alignment horizontal="right"/>
    </xf>
    <xf numFmtId="176" fontId="5" fillId="0" borderId="0" xfId="0" applyNumberFormat="1" applyFont="1" applyAlignment="1">
      <alignment horizontal="right"/>
    </xf>
    <xf numFmtId="176" fontId="11" fillId="0" borderId="0" xfId="0" applyNumberFormat="1" applyFont="1" applyAlignment="1">
      <alignment horizontal="right"/>
    </xf>
    <xf numFmtId="176" fontId="5" fillId="0" borderId="2" xfId="0" applyNumberFormat="1" applyFont="1" applyBorder="1" applyAlignment="1">
      <alignment horizontal="right"/>
    </xf>
    <xf numFmtId="178" fontId="7" fillId="0" borderId="0" xfId="0" applyNumberFormat="1" applyFont="1" applyAlignment="1">
      <alignment horizontal="right"/>
    </xf>
    <xf numFmtId="177" fontId="10" fillId="0" borderId="0" xfId="0" applyNumberFormat="1" applyFont="1" applyAlignment="1">
      <alignment horizontal="right"/>
    </xf>
    <xf numFmtId="177" fontId="11" fillId="0" borderId="0" xfId="0" applyNumberFormat="1" applyFont="1" applyAlignment="1">
      <alignment horizontal="right"/>
    </xf>
    <xf numFmtId="178" fontId="11" fillId="0" borderId="2" xfId="0" applyNumberFormat="1" applyFont="1" applyBorder="1" applyAlignment="1">
      <alignment horizontal="right"/>
    </xf>
    <xf numFmtId="180" fontId="7" fillId="0" borderId="0" xfId="0" applyNumberFormat="1" applyFont="1" applyAlignment="1">
      <alignment horizontal="right"/>
    </xf>
    <xf numFmtId="176" fontId="13" fillId="0" borderId="0" xfId="0" applyNumberFormat="1" applyFont="1" applyAlignment="1">
      <alignment horizontal="right"/>
    </xf>
    <xf numFmtId="178" fontId="13" fillId="0" borderId="0" xfId="0" applyNumberFormat="1" applyFont="1" applyAlignment="1">
      <alignment horizontal="right"/>
    </xf>
    <xf numFmtId="0" fontId="15" fillId="2" borderId="0" xfId="0" applyFont="1" applyFill="1"/>
    <xf numFmtId="0" fontId="16" fillId="0" borderId="0" xfId="0" applyFont="1"/>
    <xf numFmtId="0" fontId="17" fillId="0" borderId="0" xfId="0" applyFont="1"/>
    <xf numFmtId="177" fontId="16" fillId="0" borderId="0" xfId="0" applyNumberFormat="1" applyFont="1" applyAlignment="1">
      <alignment horizontal="right"/>
    </xf>
    <xf numFmtId="181" fontId="0" fillId="0" borderId="0" xfId="1" applyNumberFormat="1" applyFont="1" applyAlignment="1"/>
    <xf numFmtId="0" fontId="18" fillId="0" borderId="0" xfId="0" applyFont="1"/>
    <xf numFmtId="176" fontId="19" fillId="0" borderId="0" xfId="0" applyNumberFormat="1" applyFont="1" applyAlignment="1">
      <alignment horizontal="right"/>
    </xf>
    <xf numFmtId="176" fontId="11" fillId="0" borderId="3" xfId="0" applyNumberFormat="1" applyFont="1" applyBorder="1" applyAlignment="1">
      <alignment horizontal="right"/>
    </xf>
    <xf numFmtId="0" fontId="22" fillId="0" borderId="0" xfId="0" applyFont="1"/>
    <xf numFmtId="0" fontId="23" fillId="0" borderId="0" xfId="0" applyFont="1"/>
    <xf numFmtId="0" fontId="24" fillId="0" borderId="0" xfId="0" applyFont="1"/>
    <xf numFmtId="177" fontId="23" fillId="0" borderId="0" xfId="0" applyNumberFormat="1" applyFont="1" applyAlignment="1">
      <alignment horizontal="right"/>
    </xf>
    <xf numFmtId="0" fontId="24" fillId="0" borderId="4" xfId="0" applyFont="1" applyBorder="1"/>
    <xf numFmtId="0" fontId="25" fillId="0" borderId="0" xfId="0" applyFont="1"/>
    <xf numFmtId="177" fontId="25" fillId="0" borderId="4" xfId="0" applyNumberFormat="1" applyFont="1" applyBorder="1" applyAlignment="1">
      <alignment horizontal="right"/>
    </xf>
    <xf numFmtId="177" fontId="25" fillId="0" borderId="0" xfId="0" applyNumberFormat="1" applyFont="1" applyAlignment="1">
      <alignment horizontal="right"/>
    </xf>
    <xf numFmtId="0" fontId="0" fillId="4" borderId="5" xfId="0" applyFill="1" applyBorder="1"/>
    <xf numFmtId="0" fontId="27" fillId="0" borderId="0" xfId="0" applyFont="1" applyAlignment="1">
      <alignment vertical="center" wrapText="1"/>
    </xf>
    <xf numFmtId="0" fontId="30" fillId="7" borderId="6" xfId="0" applyFont="1" applyFill="1" applyBorder="1" applyAlignment="1">
      <alignment vertical="center" wrapText="1"/>
    </xf>
    <xf numFmtId="0" fontId="30" fillId="7" borderId="7" xfId="0" applyFont="1" applyFill="1" applyBorder="1" applyAlignment="1">
      <alignment vertical="center" wrapText="1"/>
    </xf>
    <xf numFmtId="0" fontId="30" fillId="6" borderId="0" xfId="0" applyFont="1" applyFill="1" applyAlignment="1">
      <alignment vertical="center" wrapText="1"/>
    </xf>
    <xf numFmtId="0" fontId="32" fillId="0" borderId="0" xfId="0" applyFont="1" applyAlignment="1">
      <alignment vertical="center" wrapText="1"/>
    </xf>
    <xf numFmtId="0" fontId="31" fillId="5" borderId="0" xfId="0" applyFont="1" applyFill="1" applyAlignment="1">
      <alignment vertical="center" wrapText="1"/>
    </xf>
    <xf numFmtId="0" fontId="28" fillId="0" borderId="0" xfId="0" applyFont="1" applyAlignment="1">
      <alignment vertical="center" wrapText="1"/>
    </xf>
    <xf numFmtId="0" fontId="29" fillId="6" borderId="0" xfId="0" applyFont="1" applyFill="1" applyAlignment="1">
      <alignment vertical="center" wrapText="1"/>
    </xf>
    <xf numFmtId="186" fontId="28" fillId="0" borderId="0" xfId="0" applyNumberFormat="1" applyFont="1" applyAlignment="1">
      <alignment vertical="center" wrapText="1"/>
    </xf>
    <xf numFmtId="181" fontId="28" fillId="0" borderId="0" xfId="0" applyNumberFormat="1" applyFont="1" applyAlignment="1">
      <alignment vertical="center" wrapText="1"/>
    </xf>
    <xf numFmtId="0" fontId="28" fillId="8" borderId="0" xfId="0" applyFont="1" applyFill="1" applyAlignment="1">
      <alignment vertical="center" wrapText="1"/>
    </xf>
    <xf numFmtId="185" fontId="28" fillId="0" borderId="0" xfId="0" applyNumberFormat="1" applyFont="1" applyAlignment="1">
      <alignment vertical="center" wrapText="1"/>
    </xf>
    <xf numFmtId="0" fontId="30" fillId="0" borderId="7" xfId="0" applyFont="1" applyBorder="1" applyAlignment="1">
      <alignment vertical="center" wrapText="1"/>
    </xf>
    <xf numFmtId="0" fontId="28" fillId="0" borderId="7" xfId="0" applyFont="1" applyBorder="1" applyAlignment="1">
      <alignment vertical="center" wrapText="1"/>
    </xf>
    <xf numFmtId="186" fontId="28" fillId="0" borderId="7" xfId="0" applyNumberFormat="1" applyFont="1" applyBorder="1" applyAlignment="1">
      <alignment vertical="center" wrapText="1"/>
    </xf>
    <xf numFmtId="181" fontId="28" fillId="8" borderId="7" xfId="0" applyNumberFormat="1" applyFont="1" applyFill="1" applyBorder="1" applyAlignment="1">
      <alignment vertical="center" wrapText="1"/>
    </xf>
    <xf numFmtId="181" fontId="28" fillId="0" borderId="7" xfId="0" applyNumberFormat="1" applyFont="1" applyBorder="1" applyAlignment="1">
      <alignment vertical="center" wrapText="1"/>
    </xf>
    <xf numFmtId="2" fontId="28" fillId="0" borderId="7" xfId="0" applyNumberFormat="1" applyFont="1" applyBorder="1" applyAlignment="1">
      <alignment vertical="center" wrapText="1"/>
    </xf>
    <xf numFmtId="2" fontId="28" fillId="8" borderId="7" xfId="0" applyNumberFormat="1" applyFont="1" applyFill="1" applyBorder="1" applyAlignment="1">
      <alignment vertical="center" wrapText="1"/>
    </xf>
    <xf numFmtId="187" fontId="28" fillId="0" borderId="7" xfId="0" applyNumberFormat="1" applyFont="1" applyBorder="1" applyAlignment="1">
      <alignment vertical="center" wrapText="1"/>
    </xf>
    <xf numFmtId="187" fontId="28" fillId="8" borderId="7" xfId="0" applyNumberFormat="1" applyFont="1" applyFill="1" applyBorder="1" applyAlignment="1">
      <alignment vertical="center" wrapText="1"/>
    </xf>
    <xf numFmtId="0" fontId="34" fillId="9" borderId="8" xfId="3">
      <alignment vertical="center"/>
    </xf>
    <xf numFmtId="182" fontId="34" fillId="9" borderId="8" xfId="3" applyNumberFormat="1">
      <alignment vertical="center"/>
    </xf>
    <xf numFmtId="182" fontId="36" fillId="12" borderId="8" xfId="3" applyNumberFormat="1" applyFont="1" applyFill="1">
      <alignment vertical="center"/>
    </xf>
    <xf numFmtId="183" fontId="36" fillId="12" borderId="8" xfId="3" applyNumberFormat="1" applyFont="1" applyFill="1">
      <alignment vertical="center"/>
    </xf>
    <xf numFmtId="183" fontId="34" fillId="9" borderId="8" xfId="3" applyNumberFormat="1">
      <alignment vertical="center"/>
    </xf>
    <xf numFmtId="182" fontId="37" fillId="10" borderId="8" xfId="3" applyNumberFormat="1" applyFont="1" applyFill="1">
      <alignment vertical="center"/>
    </xf>
    <xf numFmtId="182" fontId="38" fillId="10" borderId="8" xfId="3" applyNumberFormat="1" applyFont="1" applyFill="1">
      <alignment vertical="center"/>
    </xf>
    <xf numFmtId="0" fontId="39" fillId="13" borderId="8" xfId="3" applyFont="1" applyFill="1">
      <alignment vertical="center"/>
    </xf>
    <xf numFmtId="182" fontId="40" fillId="13" borderId="8" xfId="3" applyNumberFormat="1" applyFont="1" applyFill="1">
      <alignment vertical="center"/>
    </xf>
    <xf numFmtId="182" fontId="41" fillId="13" borderId="8" xfId="3" applyNumberFormat="1" applyFont="1" applyFill="1">
      <alignment vertical="center"/>
    </xf>
    <xf numFmtId="182" fontId="39" fillId="13" borderId="8" xfId="3" applyNumberFormat="1" applyFont="1" applyFill="1">
      <alignment vertical="center"/>
    </xf>
    <xf numFmtId="183" fontId="37" fillId="10" borderId="8" xfId="3" applyNumberFormat="1" applyFont="1" applyFill="1">
      <alignment vertical="center"/>
    </xf>
    <xf numFmtId="183" fontId="38" fillId="10" borderId="8" xfId="3" applyNumberFormat="1" applyFont="1" applyFill="1">
      <alignment vertical="center"/>
    </xf>
    <xf numFmtId="183" fontId="41" fillId="13" borderId="8" xfId="3" applyNumberFormat="1" applyFont="1" applyFill="1">
      <alignment vertical="center"/>
    </xf>
    <xf numFmtId="183" fontId="39" fillId="13" borderId="8" xfId="3" applyNumberFormat="1" applyFont="1" applyFill="1">
      <alignment vertical="center"/>
    </xf>
    <xf numFmtId="184" fontId="36" fillId="12" borderId="8" xfId="3" applyNumberFormat="1" applyFont="1" applyFill="1">
      <alignment vertical="center"/>
    </xf>
    <xf numFmtId="188" fontId="37" fillId="10" borderId="8" xfId="3" applyNumberFormat="1" applyFont="1" applyFill="1">
      <alignment vertical="center"/>
    </xf>
    <xf numFmtId="188" fontId="38" fillId="10" borderId="8" xfId="3" applyNumberFormat="1" applyFont="1" applyFill="1">
      <alignment vertical="center"/>
    </xf>
    <xf numFmtId="188" fontId="34" fillId="9" borderId="8" xfId="3" applyNumberFormat="1">
      <alignment vertical="center"/>
    </xf>
    <xf numFmtId="0" fontId="42" fillId="14" borderId="8" xfId="3" applyFont="1" applyFill="1">
      <alignment vertical="center"/>
    </xf>
    <xf numFmtId="182" fontId="42" fillId="14" borderId="8" xfId="3" applyNumberFormat="1" applyFont="1" applyFill="1">
      <alignment vertical="center"/>
    </xf>
    <xf numFmtId="10" fontId="36" fillId="12" borderId="8" xfId="3" applyNumberFormat="1" applyFont="1" applyFill="1">
      <alignment vertical="center"/>
    </xf>
    <xf numFmtId="182" fontId="35" fillId="11" borderId="8" xfId="3" applyNumberFormat="1" applyFont="1" applyFill="1">
      <alignment vertical="center"/>
    </xf>
    <xf numFmtId="0" fontId="43" fillId="9" borderId="8" xfId="3" applyFont="1">
      <alignment vertical="center"/>
    </xf>
    <xf numFmtId="0" fontId="44" fillId="15" borderId="9" xfId="0" applyFont="1" applyFill="1" applyBorder="1" applyAlignment="1">
      <alignment horizontal="left" vertical="center"/>
    </xf>
    <xf numFmtId="0" fontId="45" fillId="16" borderId="9" xfId="0" applyFont="1" applyFill="1" applyBorder="1" applyAlignment="1">
      <alignment horizontal="center" vertical="center"/>
    </xf>
    <xf numFmtId="182" fontId="44" fillId="15" borderId="9" xfId="0" applyNumberFormat="1" applyFont="1" applyFill="1" applyBorder="1" applyAlignment="1">
      <alignment horizontal="right" vertical="center"/>
    </xf>
    <xf numFmtId="183" fontId="44" fillId="15" borderId="9" xfId="0" applyNumberFormat="1" applyFont="1" applyFill="1" applyBorder="1" applyAlignment="1">
      <alignment horizontal="right" vertical="center"/>
    </xf>
    <xf numFmtId="183" fontId="46" fillId="15" borderId="9" xfId="0" applyNumberFormat="1" applyFont="1" applyFill="1" applyBorder="1" applyAlignment="1">
      <alignment horizontal="right" vertical="center"/>
    </xf>
    <xf numFmtId="183" fontId="46" fillId="17" borderId="9" xfId="0" applyNumberFormat="1" applyFont="1" applyFill="1" applyBorder="1" applyAlignment="1">
      <alignment horizontal="right" vertical="center"/>
    </xf>
    <xf numFmtId="183" fontId="44" fillId="17" borderId="9" xfId="0" applyNumberFormat="1" applyFont="1" applyFill="1" applyBorder="1" applyAlignment="1">
      <alignment horizontal="right" vertical="center"/>
    </xf>
    <xf numFmtId="183" fontId="44" fillId="15" borderId="9" xfId="0" applyNumberFormat="1" applyFont="1" applyFill="1" applyBorder="1" applyAlignment="1">
      <alignment horizontal="left" vertical="center"/>
    </xf>
    <xf numFmtId="183" fontId="44" fillId="17" borderId="9" xfId="0" applyNumberFormat="1" applyFont="1" applyFill="1" applyBorder="1" applyAlignment="1">
      <alignment horizontal="left" vertical="center"/>
    </xf>
    <xf numFmtId="182" fontId="46" fillId="15" borderId="9" xfId="0" applyNumberFormat="1" applyFont="1" applyFill="1" applyBorder="1" applyAlignment="1">
      <alignment horizontal="right" vertical="center"/>
    </xf>
    <xf numFmtId="182" fontId="46" fillId="17" borderId="9" xfId="0" applyNumberFormat="1" applyFont="1" applyFill="1" applyBorder="1" applyAlignment="1">
      <alignment horizontal="right" vertical="center"/>
    </xf>
    <xf numFmtId="182" fontId="44" fillId="15" borderId="9" xfId="0" applyNumberFormat="1" applyFont="1" applyFill="1" applyBorder="1" applyAlignment="1">
      <alignment horizontal="left" vertical="center"/>
    </xf>
    <xf numFmtId="189" fontId="46" fillId="15" borderId="9" xfId="0" applyNumberFormat="1" applyFont="1" applyFill="1" applyBorder="1" applyAlignment="1">
      <alignment horizontal="right" vertical="center"/>
    </xf>
    <xf numFmtId="0" fontId="29" fillId="6" borderId="10" xfId="0" applyFont="1" applyFill="1" applyBorder="1" applyAlignment="1">
      <alignment vertical="center" wrapText="1"/>
    </xf>
    <xf numFmtId="0" fontId="29" fillId="6" borderId="11" xfId="0" applyFont="1" applyFill="1" applyBorder="1" applyAlignment="1">
      <alignment vertical="center" wrapText="1"/>
    </xf>
    <xf numFmtId="0" fontId="29" fillId="6" borderId="12" xfId="0" applyFont="1" applyFill="1" applyBorder="1" applyAlignment="1">
      <alignment vertical="center" wrapText="1"/>
    </xf>
    <xf numFmtId="0" fontId="30" fillId="7" borderId="13" xfId="0" applyFont="1" applyFill="1" applyBorder="1" applyAlignment="1">
      <alignment vertical="center" wrapText="1"/>
    </xf>
    <xf numFmtId="0" fontId="30" fillId="7" borderId="14" xfId="0" applyFont="1" applyFill="1" applyBorder="1" applyAlignment="1">
      <alignment vertical="center" wrapText="1"/>
    </xf>
    <xf numFmtId="0" fontId="30" fillId="0" borderId="13" xfId="0" applyFont="1" applyBorder="1" applyAlignment="1">
      <alignment vertical="center" wrapText="1"/>
    </xf>
    <xf numFmtId="0" fontId="28" fillId="0" borderId="14" xfId="0" applyFont="1" applyBorder="1" applyAlignment="1">
      <alignment vertical="center" wrapText="1"/>
    </xf>
    <xf numFmtId="0" fontId="30" fillId="0" borderId="15" xfId="0" applyFont="1" applyBorder="1" applyAlignment="1">
      <alignment vertical="center" wrapText="1"/>
    </xf>
    <xf numFmtId="186" fontId="28" fillId="0" borderId="16" xfId="0" applyNumberFormat="1" applyFont="1" applyBorder="1" applyAlignment="1">
      <alignment vertical="center" wrapText="1"/>
    </xf>
    <xf numFmtId="0" fontId="28" fillId="0" borderId="16" xfId="0" applyFont="1" applyBorder="1" applyAlignment="1">
      <alignment vertical="center" wrapText="1"/>
    </xf>
    <xf numFmtId="0" fontId="28" fillId="0" borderId="17" xfId="0" applyFont="1" applyBorder="1" applyAlignment="1">
      <alignment vertical="center" wrapText="1"/>
    </xf>
    <xf numFmtId="181" fontId="47" fillId="0" borderId="7" xfId="0" applyNumberFormat="1" applyFont="1" applyBorder="1" applyAlignment="1">
      <alignment vertical="center" wrapText="1"/>
    </xf>
    <xf numFmtId="0" fontId="28" fillId="0" borderId="9" xfId="0" applyFont="1" applyBorder="1" applyAlignment="1">
      <alignment vertical="center" wrapText="1"/>
    </xf>
    <xf numFmtId="0" fontId="0" fillId="0" borderId="0" xfId="0"/>
    <xf numFmtId="0" fontId="45" fillId="16" borderId="9" xfId="0" applyFont="1" applyFill="1" applyBorder="1" applyAlignment="1">
      <alignment horizontal="left" vertical="center"/>
    </xf>
    <xf numFmtId="182" fontId="35" fillId="11" borderId="8" xfId="3" applyNumberFormat="1" applyFont="1" applyFill="1" applyBorder="1" applyAlignment="1">
      <alignment vertical="center"/>
    </xf>
    <xf numFmtId="182" fontId="42" fillId="14" borderId="8" xfId="3" applyNumberFormat="1" applyFont="1" applyFill="1" applyBorder="1" applyAlignment="1">
      <alignment vertical="center"/>
    </xf>
    <xf numFmtId="182" fontId="34" fillId="9" borderId="8" xfId="3" applyNumberFormat="1" applyFont="1" applyFill="1" applyBorder="1" applyAlignment="1">
      <alignment vertical="center"/>
    </xf>
    <xf numFmtId="182" fontId="34" fillId="9" borderId="8" xfId="3" applyNumberFormat="1" applyFont="1" applyFill="1" applyBorder="1" applyAlignment="1">
      <alignment vertical="center" wrapText="1"/>
    </xf>
    <xf numFmtId="0" fontId="35" fillId="11" borderId="8" xfId="3" applyFont="1" applyFill="1" applyBorder="1" applyAlignment="1">
      <alignment vertical="center"/>
    </xf>
    <xf numFmtId="0" fontId="34" fillId="9" borderId="8" xfId="3" applyFont="1" applyFill="1" applyBorder="1" applyAlignment="1">
      <alignment vertical="center"/>
    </xf>
    <xf numFmtId="0" fontId="31" fillId="5" borderId="0" xfId="0" applyFont="1" applyFill="1" applyAlignment="1">
      <alignment horizontal="left" vertical="center" wrapText="1"/>
    </xf>
  </cellXfs>
  <cellStyles count="3">
    <cellStyle name="百分比" xfId="1" xr:uid="{00000000-0005-0000-0000-000000000000}"/>
    <cellStyle name="常规" xfId="0" builtinId="0"/>
    <cellStyle name="超链接" xfId="2" xr:uid="{00000000-0005-0000-0000-000002000000}"/>
  </cellStyles>
  <dxfs count="4">
    <dxf>
      <font>
        <b/>
        <sz val="10"/>
        <color rgb="FFFF0000"/>
        <name val="Arial"/>
      </font>
    </dxf>
    <dxf>
      <font>
        <b/>
        <sz val="10"/>
        <color rgb="FFFF0000"/>
        <name val="Arial"/>
      </font>
    </dxf>
    <dxf>
      <font>
        <b/>
        <sz val="10"/>
        <color rgb="FFFF0000"/>
        <name val="Arial"/>
      </font>
    </dxf>
    <dxf>
      <font>
        <b/>
        <sz val="10"/>
        <color rgb="FFFF0000"/>
        <name val="Arial"/>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AD7B7-9FC4-CD49-BE8E-B4F4B258F2E7}">
  <sheetPr>
    <tabColor rgb="FF1F4E79"/>
  </sheetPr>
  <dimension ref="A1:H44"/>
  <sheetViews>
    <sheetView showGridLines="0" workbookViewId="0">
      <pane ySplit="3" topLeftCell="A4" activePane="bottomLeft" state="frozen"/>
      <selection pane="bottomLeft"/>
    </sheetView>
  </sheetViews>
  <sheetFormatPr baseColWidth="10" defaultColWidth="8.83203125" defaultRowHeight="14"/>
  <cols>
    <col min="1" max="1" width="30" customWidth="1"/>
    <col min="2" max="2" width="120" customWidth="1"/>
  </cols>
  <sheetData>
    <row r="1" spans="1:8" ht="28" customHeight="1">
      <c r="A1" s="2" t="s">
        <v>0</v>
      </c>
      <c r="B1" s="1"/>
      <c r="C1" s="1"/>
      <c r="D1" s="1"/>
      <c r="E1" s="1"/>
      <c r="F1" s="1"/>
      <c r="G1" s="1"/>
      <c r="H1" s="1"/>
    </row>
    <row r="2" spans="1:8" ht="16" customHeight="1">
      <c r="A2" s="3" t="s">
        <v>1</v>
      </c>
    </row>
    <row r="4" spans="1:8">
      <c r="A4" s="4" t="s">
        <v>2</v>
      </c>
    </row>
    <row r="6" spans="1:8">
      <c r="A6" s="5" t="s">
        <v>3</v>
      </c>
      <c r="B6" s="5" t="s">
        <v>4</v>
      </c>
    </row>
    <row r="7" spans="1:8">
      <c r="A7" s="5" t="s">
        <v>5</v>
      </c>
      <c r="B7" s="5" t="s">
        <v>6</v>
      </c>
    </row>
    <row r="8" spans="1:8">
      <c r="A8" s="5" t="s">
        <v>7</v>
      </c>
      <c r="B8" s="5" t="s">
        <v>8</v>
      </c>
    </row>
    <row r="9" spans="1:8">
      <c r="A9" s="5" t="s">
        <v>9</v>
      </c>
      <c r="B9" s="5" t="s">
        <v>10</v>
      </c>
    </row>
    <row r="10" spans="1:8">
      <c r="A10" s="5" t="s">
        <v>11</v>
      </c>
      <c r="B10" s="5" t="s">
        <v>12</v>
      </c>
    </row>
    <row r="11" spans="1:8">
      <c r="A11" s="5" t="s">
        <v>13</v>
      </c>
      <c r="B11" s="5" t="s">
        <v>14</v>
      </c>
    </row>
    <row r="12" spans="1:8">
      <c r="A12" s="5" t="s">
        <v>15</v>
      </c>
      <c r="B12" s="5" t="s">
        <v>16</v>
      </c>
    </row>
    <row r="13" spans="1:8">
      <c r="A13" s="5" t="s">
        <v>17</v>
      </c>
      <c r="B13" s="5" t="s">
        <v>18</v>
      </c>
    </row>
    <row r="14" spans="1:8">
      <c r="A14" s="5" t="s">
        <v>19</v>
      </c>
      <c r="B14" s="5" t="s">
        <v>20</v>
      </c>
    </row>
    <row r="16" spans="1:8">
      <c r="A16" s="4" t="s">
        <v>21</v>
      </c>
    </row>
    <row r="17" spans="1:2">
      <c r="A17" s="5" t="s">
        <v>22</v>
      </c>
      <c r="B17" s="5" t="s">
        <v>23</v>
      </c>
    </row>
    <row r="18" spans="1:2">
      <c r="A18" s="5" t="s">
        <v>24</v>
      </c>
      <c r="B18" s="5" t="s">
        <v>25</v>
      </c>
    </row>
    <row r="19" spans="1:2">
      <c r="A19" s="5" t="s">
        <v>26</v>
      </c>
      <c r="B19" s="5" t="s">
        <v>27</v>
      </c>
    </row>
    <row r="20" spans="1:2">
      <c r="A20" s="5" t="s">
        <v>28</v>
      </c>
      <c r="B20" s="5" t="s">
        <v>29</v>
      </c>
    </row>
    <row r="21" spans="1:2">
      <c r="A21" s="5" t="s">
        <v>30</v>
      </c>
      <c r="B21" s="5" t="s">
        <v>31</v>
      </c>
    </row>
    <row r="23" spans="1:2">
      <c r="A23" s="4" t="s">
        <v>32</v>
      </c>
    </row>
    <row r="24" spans="1:2">
      <c r="A24" s="5" t="s">
        <v>33</v>
      </c>
      <c r="B24" s="5" t="s">
        <v>34</v>
      </c>
    </row>
    <row r="25" spans="1:2">
      <c r="A25" s="5" t="s">
        <v>35</v>
      </c>
      <c r="B25" s="5" t="s">
        <v>36</v>
      </c>
    </row>
    <row r="26" spans="1:2">
      <c r="A26" s="5" t="s">
        <v>37</v>
      </c>
      <c r="B26" s="5" t="s">
        <v>38</v>
      </c>
    </row>
    <row r="27" spans="1:2">
      <c r="A27" s="5" t="s">
        <v>39</v>
      </c>
      <c r="B27" s="5" t="s">
        <v>40</v>
      </c>
    </row>
    <row r="28" spans="1:2">
      <c r="A28" s="5" t="s">
        <v>41</v>
      </c>
      <c r="B28" s="5" t="s">
        <v>42</v>
      </c>
    </row>
    <row r="29" spans="1:2">
      <c r="A29" s="5" t="s">
        <v>43</v>
      </c>
      <c r="B29" s="5" t="s">
        <v>44</v>
      </c>
    </row>
    <row r="30" spans="1:2">
      <c r="A30" s="5" t="s">
        <v>45</v>
      </c>
      <c r="B30" s="5" t="s">
        <v>46</v>
      </c>
    </row>
    <row r="31" spans="1:2">
      <c r="A31" s="5" t="s">
        <v>47</v>
      </c>
      <c r="B31" s="5" t="s">
        <v>48</v>
      </c>
    </row>
    <row r="32" spans="1:2">
      <c r="A32" s="5" t="s">
        <v>49</v>
      </c>
      <c r="B32" s="5" t="s">
        <v>50</v>
      </c>
    </row>
    <row r="33" spans="1:2">
      <c r="A33" s="5" t="s">
        <v>51</v>
      </c>
      <c r="B33" s="5" t="s">
        <v>52</v>
      </c>
    </row>
    <row r="35" spans="1:2">
      <c r="A35" s="4" t="s">
        <v>53</v>
      </c>
    </row>
    <row r="36" spans="1:2">
      <c r="A36" s="5" t="s">
        <v>54</v>
      </c>
      <c r="B36" s="5" t="s">
        <v>55</v>
      </c>
    </row>
    <row r="37" spans="1:2">
      <c r="A37" s="5" t="s">
        <v>56</v>
      </c>
      <c r="B37" s="5" t="s">
        <v>57</v>
      </c>
    </row>
    <row r="38" spans="1:2">
      <c r="A38" s="5" t="s">
        <v>58</v>
      </c>
      <c r="B38" s="5" t="s">
        <v>59</v>
      </c>
    </row>
    <row r="39" spans="1:2">
      <c r="A39" s="5" t="s">
        <v>60</v>
      </c>
      <c r="B39" s="5" t="s">
        <v>61</v>
      </c>
    </row>
    <row r="40" spans="1:2">
      <c r="A40" s="5" t="s">
        <v>62</v>
      </c>
      <c r="B40" s="5" t="s">
        <v>63</v>
      </c>
    </row>
    <row r="41" spans="1:2">
      <c r="A41" s="5" t="s">
        <v>64</v>
      </c>
      <c r="B41" s="5" t="s">
        <v>65</v>
      </c>
    </row>
    <row r="42" spans="1:2">
      <c r="A42" s="5" t="s">
        <v>66</v>
      </c>
      <c r="B42" s="5" t="s">
        <v>67</v>
      </c>
    </row>
    <row r="43" spans="1:2">
      <c r="A43" s="5" t="s">
        <v>68</v>
      </c>
      <c r="B43" s="5" t="s">
        <v>69</v>
      </c>
    </row>
    <row r="44" spans="1:2">
      <c r="A44" s="5" t="s">
        <v>70</v>
      </c>
      <c r="B44" s="5" t="s">
        <v>71</v>
      </c>
    </row>
  </sheetData>
  <phoneticPr fontId="33"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85041-9325-2C47-A4D0-3C7AC51901B0}">
  <sheetPr>
    <tabColor rgb="FF1F4E79"/>
  </sheetPr>
  <dimension ref="A1:U59"/>
  <sheetViews>
    <sheetView showGridLines="0" zoomScale="120" zoomScaleNormal="120" workbookViewId="0">
      <pane xSplit="2" ySplit="5" topLeftCell="C17" activePane="bottomRight" state="frozen"/>
      <selection pane="topRight"/>
      <selection pane="bottomLeft"/>
      <selection pane="bottomRight" activeCell="U43" sqref="U43"/>
    </sheetView>
  </sheetViews>
  <sheetFormatPr baseColWidth="10" defaultColWidth="8.83203125" defaultRowHeight="14"/>
  <cols>
    <col min="1" max="1" width="46" customWidth="1"/>
    <col min="2" max="2" width="34" hidden="1" customWidth="1"/>
    <col min="3" max="12" width="12" customWidth="1"/>
    <col min="13" max="13" width="9" customWidth="1"/>
    <col min="14" max="17" width="12" hidden="1" customWidth="1"/>
    <col min="18" max="21" width="12" customWidth="1"/>
  </cols>
  <sheetData>
    <row r="1" spans="1:21" ht="28" customHeight="1">
      <c r="A1" s="2" t="s">
        <v>72</v>
      </c>
      <c r="B1" s="1"/>
      <c r="C1" s="1"/>
      <c r="D1" s="1"/>
      <c r="E1" s="1"/>
      <c r="F1" s="1"/>
      <c r="G1" s="1"/>
      <c r="H1" s="1"/>
      <c r="I1" s="1"/>
      <c r="J1" s="1"/>
      <c r="K1" s="1"/>
      <c r="L1" s="1"/>
      <c r="M1" s="1"/>
      <c r="N1" s="1"/>
      <c r="O1" s="1"/>
      <c r="P1" s="1"/>
      <c r="Q1" s="1"/>
      <c r="R1" s="1"/>
      <c r="S1" s="1"/>
      <c r="T1" s="1"/>
      <c r="U1" s="1"/>
    </row>
    <row r="2" spans="1:21" ht="16" customHeight="1">
      <c r="A2" s="3" t="s">
        <v>1</v>
      </c>
    </row>
    <row r="3" spans="1:21">
      <c r="C3" s="6" t="s">
        <v>73</v>
      </c>
      <c r="D3" s="6" t="s">
        <v>74</v>
      </c>
      <c r="E3" s="6" t="s">
        <v>75</v>
      </c>
      <c r="F3" s="6" t="s">
        <v>76</v>
      </c>
      <c r="G3" s="6" t="s">
        <v>77</v>
      </c>
      <c r="H3" s="6" t="s">
        <v>78</v>
      </c>
      <c r="I3" s="6" t="s">
        <v>79</v>
      </c>
      <c r="J3" s="6" t="s">
        <v>80</v>
      </c>
      <c r="K3" s="6" t="s">
        <v>81</v>
      </c>
      <c r="L3" s="6" t="s">
        <v>82</v>
      </c>
      <c r="M3" s="7" t="s">
        <v>83</v>
      </c>
      <c r="N3" s="6" t="s">
        <v>84</v>
      </c>
      <c r="O3" s="6" t="s">
        <v>85</v>
      </c>
      <c r="P3" s="6" t="s">
        <v>86</v>
      </c>
      <c r="Q3" s="6" t="s">
        <v>87</v>
      </c>
      <c r="R3" s="6" t="s">
        <v>88</v>
      </c>
      <c r="S3" s="6" t="s">
        <v>89</v>
      </c>
      <c r="T3" s="6" t="s">
        <v>90</v>
      </c>
      <c r="U3" s="6" t="s">
        <v>91</v>
      </c>
    </row>
    <row r="4" spans="1:21">
      <c r="C4" s="8" t="s">
        <v>92</v>
      </c>
      <c r="D4" s="8" t="s">
        <v>93</v>
      </c>
      <c r="E4" s="8" t="s">
        <v>94</v>
      </c>
      <c r="F4" s="8" t="s">
        <v>95</v>
      </c>
      <c r="G4" s="8" t="s">
        <v>96</v>
      </c>
      <c r="H4" s="8" t="s">
        <v>97</v>
      </c>
      <c r="I4" s="8" t="s">
        <v>98</v>
      </c>
      <c r="J4" s="8" t="s">
        <v>99</v>
      </c>
      <c r="K4" s="8" t="s">
        <v>100</v>
      </c>
      <c r="L4" s="8" t="s">
        <v>101</v>
      </c>
      <c r="M4" s="9"/>
      <c r="N4" s="8" t="s">
        <v>102</v>
      </c>
      <c r="O4" s="8" t="s">
        <v>100</v>
      </c>
      <c r="P4" s="8" t="s">
        <v>103</v>
      </c>
      <c r="Q4" s="8" t="s">
        <v>104</v>
      </c>
      <c r="R4" s="8" t="s">
        <v>105</v>
      </c>
      <c r="S4" s="8" t="s">
        <v>101</v>
      </c>
      <c r="T4" s="8" t="s">
        <v>106</v>
      </c>
      <c r="U4" s="8" t="s">
        <v>107</v>
      </c>
    </row>
    <row r="5" spans="1:21">
      <c r="M5" s="9"/>
    </row>
    <row r="6" spans="1:21">
      <c r="A6" s="10" t="s">
        <v>108</v>
      </c>
      <c r="M6" s="9"/>
    </row>
    <row r="7" spans="1:21">
      <c r="A7" s="11" t="str">
        <f>HYPERLINK("#'Income Statement'!A11","1. INCOME STATEMENT - AS REPORTED")</f>
        <v>1. INCOME STATEMENT - AS REPORTED</v>
      </c>
      <c r="M7" s="9"/>
    </row>
    <row r="8" spans="1:21">
      <c r="A8" s="11" t="str">
        <f>HYPERLINK("#'Income Statement'!A43","2. PER-SHARE DATA AND SHARE COUNT")</f>
        <v>2. PER-SHARE DATA AND SHARE COUNT</v>
      </c>
      <c r="M8" s="9"/>
    </row>
    <row r="9" spans="1:21">
      <c r="A9" s="11" t="str">
        <f>HYPERLINK("#'Income Statement'!A51","3. TIE-OUT CHECKS")</f>
        <v>3. TIE-OUT CHECKS</v>
      </c>
      <c r="M9" s="9"/>
    </row>
    <row r="10" spans="1:21" ht="8" customHeight="1">
      <c r="M10" s="9"/>
    </row>
    <row r="11" spans="1:21" ht="20" customHeight="1">
      <c r="A11" s="12" t="s">
        <v>109</v>
      </c>
      <c r="B11" s="1"/>
      <c r="C11" s="1"/>
      <c r="D11" s="1"/>
      <c r="E11" s="1"/>
      <c r="F11" s="1"/>
      <c r="G11" s="1"/>
      <c r="H11" s="1"/>
      <c r="I11" s="1"/>
      <c r="J11" s="1"/>
      <c r="K11" s="1"/>
      <c r="L11" s="1"/>
      <c r="M11" s="9"/>
      <c r="N11" s="1"/>
      <c r="O11" s="1"/>
      <c r="P11" s="1"/>
      <c r="Q11" s="1"/>
      <c r="R11" s="1"/>
      <c r="S11" s="1"/>
      <c r="T11" s="1"/>
      <c r="U11" s="1"/>
    </row>
    <row r="12" spans="1:21">
      <c r="A12" s="5" t="s">
        <v>110</v>
      </c>
      <c r="C12" s="13">
        <v>9326.9</v>
      </c>
      <c r="D12" s="13">
        <v>10101.5</v>
      </c>
      <c r="E12" s="13">
        <v>11012.5</v>
      </c>
      <c r="F12" s="13">
        <v>11655.7</v>
      </c>
      <c r="G12" s="13">
        <v>10726.1</v>
      </c>
      <c r="H12" s="13">
        <v>13085.4</v>
      </c>
      <c r="I12" s="13">
        <v>14106</v>
      </c>
      <c r="J12" s="13">
        <v>15437</v>
      </c>
      <c r="K12" s="13">
        <v>15715</v>
      </c>
      <c r="L12" s="13">
        <v>16548</v>
      </c>
      <c r="M12" s="9"/>
      <c r="N12" s="13">
        <v>4094</v>
      </c>
      <c r="O12" s="13">
        <v>3959</v>
      </c>
      <c r="P12" s="13">
        <v>3661</v>
      </c>
      <c r="Q12" s="13">
        <v>4213</v>
      </c>
      <c r="R12" s="13">
        <v>4363</v>
      </c>
      <c r="S12" s="13">
        <v>4310</v>
      </c>
      <c r="T12" s="13">
        <v>4007</v>
      </c>
      <c r="U12" s="13">
        <v>4393</v>
      </c>
    </row>
    <row r="13" spans="1:21">
      <c r="A13" s="17" t="s">
        <v>111</v>
      </c>
      <c r="D13" s="18">
        <f t="shared" ref="D13" si="0">IF(N(C12)=0,"",D12/C12-1)</f>
        <v>8.3050102392006053E-2</v>
      </c>
      <c r="E13" s="18">
        <f t="shared" ref="E13" si="1">IF(N(D12)=0,"",E12/D12-1)</f>
        <v>9.0184626045636707E-2</v>
      </c>
      <c r="F13" s="18">
        <f t="shared" ref="F13" si="2">IF(N(E12)=0,"",F12/E12-1)</f>
        <v>5.8406356413166938E-2</v>
      </c>
      <c r="G13" s="18">
        <f t="shared" ref="G13" si="3">IF(N(F12)=0,"",G12/F12-1)</f>
        <v>-7.9754969671491205E-2</v>
      </c>
      <c r="H13" s="18">
        <f t="shared" ref="H13" si="4">IF(N(G12)=0,"",H12/G12-1)</f>
        <v>0.21995879210523861</v>
      </c>
      <c r="I13" s="18">
        <f t="shared" ref="I13" si="5">IF(N(H12)=0,"",I12/H12-1)</f>
        <v>7.7995323031775809E-2</v>
      </c>
      <c r="J13" s="18">
        <f t="shared" ref="J13" si="6">IF(N(I12)=0,"",J12/I12-1)</f>
        <v>9.4357011200907337E-2</v>
      </c>
      <c r="K13" s="18">
        <f t="shared" ref="K13" si="7">IF(N(J12)=0,"",K12/J12-1)</f>
        <v>1.800868044309123E-2</v>
      </c>
      <c r="L13" s="18">
        <f t="shared" ref="L13" si="8">IF(N(K12)=0,"",L12/K12-1)</f>
        <v>5.3006681514476517E-2</v>
      </c>
      <c r="M13" s="9"/>
      <c r="N13" s="13"/>
      <c r="O13" s="13"/>
      <c r="P13" s="13"/>
      <c r="Q13" s="13"/>
      <c r="R13" s="18">
        <f>R12/N12-1</f>
        <v>6.570591108939916E-2</v>
      </c>
      <c r="S13" s="18">
        <f t="shared" ref="S13:U13" si="9">S12/O12-1</f>
        <v>8.8658752210154068E-2</v>
      </c>
      <c r="T13" s="18">
        <f t="shared" si="9"/>
        <v>9.4509696804151888E-2</v>
      </c>
      <c r="U13" s="18">
        <f t="shared" si="9"/>
        <v>4.2724899121765914E-2</v>
      </c>
    </row>
    <row r="14" spans="1:21" ht="14" customHeight="1">
      <c r="A14" s="5" t="s">
        <v>112</v>
      </c>
      <c r="B14" s="14" t="s">
        <v>113</v>
      </c>
      <c r="C14" s="13">
        <v>15295</v>
      </c>
      <c r="D14" s="13">
        <v>12718.9</v>
      </c>
      <c r="E14" s="13">
        <v>10012.700000000001</v>
      </c>
      <c r="F14" s="13">
        <v>9420.7999999999993</v>
      </c>
      <c r="G14" s="13">
        <v>8139.2</v>
      </c>
      <c r="H14" s="13">
        <v>9787.4</v>
      </c>
      <c r="I14" s="13">
        <v>8748</v>
      </c>
      <c r="J14" s="13">
        <v>9742</v>
      </c>
      <c r="K14" s="13">
        <v>9782</v>
      </c>
      <c r="L14" s="13">
        <v>9690</v>
      </c>
      <c r="M14" s="9"/>
      <c r="N14" s="13">
        <v>2656</v>
      </c>
      <c r="O14" s="13">
        <v>2310</v>
      </c>
      <c r="P14" s="13">
        <v>2132</v>
      </c>
      <c r="Q14" s="13">
        <v>2458</v>
      </c>
      <c r="R14" s="13">
        <v>2563</v>
      </c>
      <c r="S14" s="13">
        <v>2536</v>
      </c>
      <c r="T14" s="13">
        <v>2317</v>
      </c>
      <c r="U14" s="13">
        <v>2525</v>
      </c>
    </row>
    <row r="15" spans="1:21" ht="14" customHeight="1">
      <c r="A15" s="17" t="s">
        <v>111</v>
      </c>
      <c r="D15" s="18">
        <f t="shared" ref="D15" si="10">IF(N(C14)=0,"",D14/C14-1)</f>
        <v>-0.16842759071592028</v>
      </c>
      <c r="E15" s="18">
        <f t="shared" ref="E15" si="11">IF(N(D14)=0,"",E14/D14-1)</f>
        <v>-0.21276997224602745</v>
      </c>
      <c r="F15" s="18">
        <f t="shared" ref="F15" si="12">IF(N(E14)=0,"",F14/E14-1)</f>
        <v>-5.9114924046461126E-2</v>
      </c>
      <c r="G15" s="18">
        <f t="shared" ref="G15" si="13">IF(N(F14)=0,"",G14/F14-1)</f>
        <v>-0.13603940217391297</v>
      </c>
      <c r="H15" s="18">
        <f t="shared" ref="H15" si="14">IF(N(G14)=0,"",H14/G14-1)</f>
        <v>0.20250147434637311</v>
      </c>
      <c r="I15" s="18">
        <f t="shared" ref="I15" si="15">IF(N(H14)=0,"",I14/H14-1)</f>
        <v>-0.10619776447268936</v>
      </c>
      <c r="J15" s="18">
        <f t="shared" ref="J15" si="16">IF(N(I14)=0,"",J14/I14-1)</f>
        <v>0.1136259716506629</v>
      </c>
      <c r="K15" s="18">
        <f t="shared" ref="K15" si="17">IF(N(J14)=0,"",K14/J14-1)</f>
        <v>4.1059330732908794E-3</v>
      </c>
      <c r="L15" s="18">
        <f t="shared" ref="L15" si="18">IF(N(K14)=0,"",L14/K14-1)</f>
        <v>-9.405029646289087E-3</v>
      </c>
      <c r="M15" s="9"/>
      <c r="N15" s="13"/>
      <c r="O15" s="13"/>
      <c r="P15" s="13"/>
      <c r="Q15" s="13"/>
      <c r="R15" s="13"/>
      <c r="S15" s="13"/>
      <c r="T15" s="13"/>
      <c r="U15" s="13"/>
    </row>
    <row r="16" spans="1:21" ht="14" customHeight="1">
      <c r="A16" s="5" t="s">
        <v>114</v>
      </c>
      <c r="B16" s="14" t="s">
        <v>115</v>
      </c>
      <c r="E16" s="13">
        <v>232.7</v>
      </c>
      <c r="F16" s="13">
        <v>287.89999999999998</v>
      </c>
      <c r="G16" s="13">
        <v>342.5</v>
      </c>
      <c r="H16" s="13">
        <v>350.1</v>
      </c>
      <c r="I16" s="13">
        <v>328</v>
      </c>
      <c r="J16" s="13">
        <v>316</v>
      </c>
      <c r="K16" s="13">
        <v>423</v>
      </c>
      <c r="L16" s="13">
        <v>647</v>
      </c>
      <c r="M16" s="9"/>
      <c r="N16" s="13">
        <v>124</v>
      </c>
      <c r="O16" s="13">
        <v>119</v>
      </c>
      <c r="P16" s="13">
        <v>162</v>
      </c>
      <c r="Q16" s="13">
        <v>172</v>
      </c>
      <c r="R16" s="13">
        <v>151</v>
      </c>
      <c r="S16" s="13">
        <v>162</v>
      </c>
      <c r="T16" s="13">
        <v>193</v>
      </c>
      <c r="U16" s="13">
        <v>182</v>
      </c>
    </row>
    <row r="17" spans="1:21">
      <c r="A17" s="10" t="s">
        <v>116</v>
      </c>
      <c r="C17" s="15">
        <v>24621.9</v>
      </c>
      <c r="D17" s="15">
        <v>22820.400000000001</v>
      </c>
      <c r="E17" s="15">
        <v>21257.9</v>
      </c>
      <c r="F17" s="15">
        <v>21364.400000000001</v>
      </c>
      <c r="G17" s="15">
        <v>19207.8</v>
      </c>
      <c r="H17" s="15">
        <v>23222.9</v>
      </c>
      <c r="I17" s="15">
        <v>23183</v>
      </c>
      <c r="J17" s="15">
        <v>25494</v>
      </c>
      <c r="K17" s="15">
        <v>25920</v>
      </c>
      <c r="L17" s="15">
        <v>26885</v>
      </c>
      <c r="M17" s="16"/>
      <c r="N17" s="15">
        <v>6873</v>
      </c>
      <c r="O17" s="15">
        <v>6388</v>
      </c>
      <c r="P17" s="15">
        <v>5956</v>
      </c>
      <c r="Q17" s="15">
        <v>6843</v>
      </c>
      <c r="R17" s="15">
        <v>7078</v>
      </c>
      <c r="S17" s="15">
        <v>7009</v>
      </c>
      <c r="T17" s="15">
        <v>6517</v>
      </c>
      <c r="U17" s="15">
        <v>7099</v>
      </c>
    </row>
    <row r="18" spans="1:21">
      <c r="A18" s="17" t="s">
        <v>111</v>
      </c>
      <c r="D18" s="18">
        <f t="shared" ref="D18:L18" si="19">IF(N(C17)=0,"",D17/C17-1)</f>
        <v>-7.3166571223179377E-2</v>
      </c>
      <c r="E18" s="18">
        <f t="shared" si="19"/>
        <v>-6.8469439624195938E-2</v>
      </c>
      <c r="F18" s="18">
        <f t="shared" si="19"/>
        <v>5.0099022010641203E-3</v>
      </c>
      <c r="G18" s="18">
        <f t="shared" si="19"/>
        <v>-0.10094362584486349</v>
      </c>
      <c r="H18" s="18">
        <f t="shared" si="19"/>
        <v>0.20903487125022147</v>
      </c>
      <c r="I18" s="18">
        <f t="shared" si="19"/>
        <v>-1.7181316717550521E-3</v>
      </c>
      <c r="J18" s="18">
        <f t="shared" si="19"/>
        <v>9.9685114092222804E-2</v>
      </c>
      <c r="K18" s="18">
        <f t="shared" si="19"/>
        <v>1.6709814073899709E-2</v>
      </c>
      <c r="L18" s="18">
        <f t="shared" si="19"/>
        <v>3.7229938271605034E-2</v>
      </c>
      <c r="M18" s="9"/>
      <c r="R18" s="18">
        <f>IF(N(N17)=0,"",R17/N17-1)</f>
        <v>2.982685872253743E-2</v>
      </c>
      <c r="S18" s="18">
        <f>IF(N(O17)=0,"",S17/O17-1)</f>
        <v>9.7213525360050124E-2</v>
      </c>
      <c r="T18" s="18">
        <f>IF(N(P17)=0,"",T17/P17-1)</f>
        <v>9.4190732034922675E-2</v>
      </c>
      <c r="U18" s="18">
        <f>IF(N(Q17)=0,"",U17/Q17-1)</f>
        <v>3.741049247406103E-2</v>
      </c>
    </row>
    <row r="19" spans="1:21">
      <c r="M19" s="9"/>
    </row>
    <row r="20" spans="1:21">
      <c r="A20" s="5" t="s">
        <v>117</v>
      </c>
      <c r="C20" s="13">
        <v>1718.4</v>
      </c>
      <c r="D20" s="13">
        <v>1790</v>
      </c>
      <c r="E20" s="13">
        <v>1973.3</v>
      </c>
      <c r="F20" s="13">
        <v>2200.6</v>
      </c>
      <c r="G20" s="13">
        <v>2207.5</v>
      </c>
      <c r="H20" s="13">
        <v>2335</v>
      </c>
      <c r="I20" s="13">
        <v>2350</v>
      </c>
      <c r="J20" s="13">
        <v>2475</v>
      </c>
      <c r="K20" s="13">
        <v>2536</v>
      </c>
      <c r="L20" s="13">
        <v>2618</v>
      </c>
      <c r="M20" s="9"/>
      <c r="N20" s="13">
        <v>646</v>
      </c>
      <c r="O20" s="13">
        <v>634</v>
      </c>
      <c r="P20" s="13">
        <v>620</v>
      </c>
      <c r="Q20" s="13">
        <v>654</v>
      </c>
      <c r="R20" s="13">
        <v>666</v>
      </c>
      <c r="S20" s="13">
        <v>678</v>
      </c>
      <c r="T20" s="13">
        <v>676</v>
      </c>
      <c r="U20" s="13">
        <v>680</v>
      </c>
    </row>
    <row r="21" spans="1:21">
      <c r="A21" s="5" t="s">
        <v>118</v>
      </c>
      <c r="C21" s="13">
        <v>4896.8999999999996</v>
      </c>
      <c r="D21" s="13">
        <v>4033.5</v>
      </c>
      <c r="E21" s="13">
        <v>3153.8</v>
      </c>
      <c r="F21" s="13">
        <v>2980.3</v>
      </c>
      <c r="G21" s="13">
        <v>2564.1999999999998</v>
      </c>
      <c r="H21" s="13">
        <v>3096.8</v>
      </c>
      <c r="I21" s="13">
        <v>2737</v>
      </c>
      <c r="J21" s="13">
        <v>3039</v>
      </c>
      <c r="K21" s="13">
        <v>2995</v>
      </c>
      <c r="L21" s="13">
        <v>3006</v>
      </c>
      <c r="M21" s="9"/>
    </row>
    <row r="22" spans="1:21">
      <c r="A22" s="5" t="s">
        <v>119</v>
      </c>
      <c r="C22" s="13">
        <v>4134.2</v>
      </c>
      <c r="D22" s="13">
        <v>3528.5</v>
      </c>
      <c r="E22" s="13">
        <v>2937.9</v>
      </c>
      <c r="F22" s="13">
        <v>2704.4</v>
      </c>
      <c r="G22" s="13">
        <v>2416.4</v>
      </c>
      <c r="H22" s="13">
        <v>2677.2</v>
      </c>
      <c r="I22" s="13">
        <v>2617</v>
      </c>
      <c r="J22" s="13">
        <v>2886</v>
      </c>
      <c r="K22" s="13">
        <v>2959</v>
      </c>
      <c r="L22" s="13">
        <v>2905</v>
      </c>
      <c r="M22" s="9"/>
    </row>
    <row r="23" spans="1:21">
      <c r="A23" s="5" t="s">
        <v>120</v>
      </c>
      <c r="C23" s="13">
        <v>3667.7</v>
      </c>
      <c r="D23" s="13">
        <v>2847.6</v>
      </c>
      <c r="E23" s="13">
        <v>2174.1999999999998</v>
      </c>
      <c r="F23" s="13">
        <v>2075.9</v>
      </c>
      <c r="G23" s="13">
        <v>2000.6</v>
      </c>
      <c r="H23" s="13">
        <v>2273.3000000000002</v>
      </c>
      <c r="I23" s="13">
        <v>2026</v>
      </c>
      <c r="J23" s="13">
        <v>2299</v>
      </c>
      <c r="K23" s="13">
        <v>2381</v>
      </c>
      <c r="L23" s="13">
        <v>2358</v>
      </c>
      <c r="M23" s="9"/>
    </row>
    <row r="24" spans="1:21" ht="24">
      <c r="A24" s="5" t="s">
        <v>121</v>
      </c>
      <c r="B24" s="14" t="s">
        <v>122</v>
      </c>
      <c r="M24" s="9"/>
      <c r="N24" s="13">
        <v>2248</v>
      </c>
      <c r="O24" s="13">
        <v>1977</v>
      </c>
      <c r="P24" s="13">
        <v>1859</v>
      </c>
      <c r="Q24" s="13">
        <v>2078</v>
      </c>
      <c r="R24" s="13">
        <v>2172</v>
      </c>
      <c r="S24" s="13">
        <v>2160</v>
      </c>
      <c r="T24" s="13">
        <v>2032</v>
      </c>
      <c r="U24" s="13">
        <v>2138</v>
      </c>
    </row>
    <row r="25" spans="1:21">
      <c r="A25" s="5" t="s">
        <v>123</v>
      </c>
      <c r="C25" s="19">
        <f t="shared" ref="C25:L25" si="20">C21+C22+C23</f>
        <v>12698.8</v>
      </c>
      <c r="D25" s="19">
        <f t="shared" si="20"/>
        <v>10409.6</v>
      </c>
      <c r="E25" s="19">
        <f t="shared" si="20"/>
        <v>8265.9000000000015</v>
      </c>
      <c r="F25" s="19">
        <f t="shared" si="20"/>
        <v>7760.6</v>
      </c>
      <c r="G25" s="19">
        <f t="shared" si="20"/>
        <v>6981.2000000000007</v>
      </c>
      <c r="H25" s="19">
        <f t="shared" si="20"/>
        <v>8047.3</v>
      </c>
      <c r="I25" s="19">
        <f t="shared" si="20"/>
        <v>7380</v>
      </c>
      <c r="J25" s="19">
        <f t="shared" si="20"/>
        <v>8224</v>
      </c>
      <c r="K25" s="19">
        <f t="shared" si="20"/>
        <v>8335</v>
      </c>
      <c r="L25" s="19">
        <f t="shared" si="20"/>
        <v>8269</v>
      </c>
      <c r="M25" s="9"/>
      <c r="N25" s="19">
        <f t="shared" ref="N25:U25" si="21">N24</f>
        <v>2248</v>
      </c>
      <c r="O25" s="19">
        <f t="shared" si="21"/>
        <v>1977</v>
      </c>
      <c r="P25" s="19">
        <f t="shared" si="21"/>
        <v>1859</v>
      </c>
      <c r="Q25" s="19">
        <f t="shared" si="21"/>
        <v>2078</v>
      </c>
      <c r="R25" s="19">
        <f t="shared" si="21"/>
        <v>2172</v>
      </c>
      <c r="S25" s="19">
        <f t="shared" si="21"/>
        <v>2160</v>
      </c>
      <c r="T25" s="19">
        <f t="shared" si="21"/>
        <v>2032</v>
      </c>
      <c r="U25" s="19">
        <f t="shared" si="21"/>
        <v>2138</v>
      </c>
    </row>
    <row r="26" spans="1:21" ht="14" customHeight="1">
      <c r="A26" s="5" t="s">
        <v>124</v>
      </c>
      <c r="B26" s="14" t="s">
        <v>125</v>
      </c>
      <c r="E26" s="13">
        <v>186.1</v>
      </c>
      <c r="F26" s="13">
        <v>223.8</v>
      </c>
      <c r="G26" s="13">
        <v>267</v>
      </c>
      <c r="H26" s="13">
        <v>260.39999999999998</v>
      </c>
      <c r="I26" s="13">
        <v>245</v>
      </c>
      <c r="J26" s="13">
        <v>232</v>
      </c>
      <c r="K26" s="13">
        <v>339</v>
      </c>
      <c r="L26" s="13">
        <v>564</v>
      </c>
      <c r="M26" s="9"/>
      <c r="N26" s="13">
        <v>104</v>
      </c>
      <c r="O26" s="13">
        <v>98</v>
      </c>
      <c r="P26" s="13">
        <v>140</v>
      </c>
      <c r="Q26" s="13">
        <v>149</v>
      </c>
      <c r="R26" s="13">
        <v>135</v>
      </c>
      <c r="S26" s="13">
        <v>140</v>
      </c>
      <c r="T26" s="13">
        <v>166</v>
      </c>
      <c r="U26" s="13">
        <v>163</v>
      </c>
    </row>
    <row r="27" spans="1:21" ht="14" customHeight="1">
      <c r="A27" s="5" t="s">
        <v>126</v>
      </c>
      <c r="C27" s="13">
        <v>2384.5</v>
      </c>
      <c r="D27" s="13">
        <v>2231.3000000000002</v>
      </c>
      <c r="M27" s="9"/>
    </row>
    <row r="28" spans="1:21" ht="14" customHeight="1">
      <c r="A28" s="5" t="s">
        <v>127</v>
      </c>
      <c r="E28" s="13">
        <v>214.8</v>
      </c>
      <c r="F28" s="13">
        <v>262.5</v>
      </c>
      <c r="G28" s="13">
        <v>300.60000000000002</v>
      </c>
      <c r="H28" s="13">
        <v>329.7</v>
      </c>
      <c r="I28" s="13">
        <v>370</v>
      </c>
      <c r="J28" s="13">
        <v>382</v>
      </c>
      <c r="K28" s="13">
        <v>447</v>
      </c>
      <c r="L28" s="13">
        <v>457</v>
      </c>
      <c r="M28" s="9"/>
      <c r="N28" s="13">
        <v>111</v>
      </c>
      <c r="O28" s="13">
        <v>136</v>
      </c>
      <c r="P28" s="13">
        <v>107</v>
      </c>
      <c r="Q28" s="13">
        <v>106</v>
      </c>
      <c r="R28" s="13">
        <v>121</v>
      </c>
      <c r="S28" s="13">
        <v>124</v>
      </c>
      <c r="T28" s="13">
        <v>111</v>
      </c>
      <c r="U28" s="13">
        <v>111</v>
      </c>
    </row>
    <row r="29" spans="1:21" ht="14" customHeight="1">
      <c r="A29" s="5" t="s">
        <v>128</v>
      </c>
      <c r="E29" s="13">
        <v>1985.4</v>
      </c>
      <c r="F29" s="13">
        <v>1966.9</v>
      </c>
      <c r="G29" s="13">
        <v>2245</v>
      </c>
      <c r="H29" s="13">
        <v>2377.8000000000002</v>
      </c>
      <c r="I29" s="13">
        <v>2492</v>
      </c>
      <c r="J29" s="13">
        <v>2435</v>
      </c>
      <c r="K29" s="13">
        <v>2412</v>
      </c>
      <c r="L29" s="13">
        <v>2583</v>
      </c>
      <c r="M29" s="9"/>
      <c r="N29" s="13">
        <v>536</v>
      </c>
      <c r="O29" s="13">
        <v>664</v>
      </c>
      <c r="P29" s="13">
        <v>575</v>
      </c>
      <c r="Q29" s="13">
        <v>595</v>
      </c>
      <c r="R29" s="13">
        <v>664</v>
      </c>
      <c r="S29" s="13">
        <v>749</v>
      </c>
      <c r="T29" s="13">
        <v>648</v>
      </c>
      <c r="U29" s="13">
        <v>706</v>
      </c>
    </row>
    <row r="30" spans="1:21" ht="24">
      <c r="A30" s="5" t="s">
        <v>129</v>
      </c>
      <c r="B30" s="14" t="s">
        <v>130</v>
      </c>
      <c r="C30" s="19">
        <f t="shared" ref="C30:L30" si="22">C27+C28+C29</f>
        <v>2384.5</v>
      </c>
      <c r="D30" s="19">
        <f t="shared" si="22"/>
        <v>2231.3000000000002</v>
      </c>
      <c r="E30" s="19">
        <f t="shared" si="22"/>
        <v>2200.2000000000003</v>
      </c>
      <c r="F30" s="19">
        <f t="shared" si="22"/>
        <v>2229.4</v>
      </c>
      <c r="G30" s="19">
        <f t="shared" si="22"/>
        <v>2545.6</v>
      </c>
      <c r="H30" s="19">
        <f t="shared" si="22"/>
        <v>2707.5</v>
      </c>
      <c r="I30" s="19">
        <f t="shared" si="22"/>
        <v>2862</v>
      </c>
      <c r="J30" s="19">
        <f t="shared" si="22"/>
        <v>2817</v>
      </c>
      <c r="K30" s="19">
        <f t="shared" si="22"/>
        <v>2859</v>
      </c>
      <c r="L30" s="19">
        <f t="shared" si="22"/>
        <v>3040</v>
      </c>
      <c r="M30" s="9"/>
      <c r="N30" s="19">
        <f t="shared" ref="N30:U30" si="23">N27+N28+N29</f>
        <v>647</v>
      </c>
      <c r="O30" s="19">
        <f t="shared" si="23"/>
        <v>800</v>
      </c>
      <c r="P30" s="19">
        <f t="shared" si="23"/>
        <v>682</v>
      </c>
      <c r="Q30" s="19">
        <f t="shared" si="23"/>
        <v>701</v>
      </c>
      <c r="R30" s="19">
        <f t="shared" si="23"/>
        <v>785</v>
      </c>
      <c r="S30" s="19">
        <f t="shared" si="23"/>
        <v>873</v>
      </c>
      <c r="T30" s="19">
        <f t="shared" si="23"/>
        <v>759</v>
      </c>
      <c r="U30" s="19">
        <f t="shared" si="23"/>
        <v>817</v>
      </c>
    </row>
    <row r="31" spans="1:21">
      <c r="A31" s="5" t="s">
        <v>131</v>
      </c>
      <c r="C31" s="13">
        <v>75.7</v>
      </c>
      <c r="D31" s="13">
        <v>-1163.2</v>
      </c>
      <c r="E31" s="13">
        <v>-190.2</v>
      </c>
      <c r="F31" s="13">
        <v>-119.8</v>
      </c>
      <c r="G31" s="13">
        <v>-117.5</v>
      </c>
      <c r="H31" s="13">
        <v>-483.3</v>
      </c>
      <c r="I31" s="13">
        <v>974</v>
      </c>
      <c r="J31" s="13">
        <v>99</v>
      </c>
      <c r="K31" s="13">
        <v>139</v>
      </c>
      <c r="L31" s="13">
        <v>2</v>
      </c>
      <c r="M31" s="9"/>
      <c r="N31" s="13">
        <v>39</v>
      </c>
      <c r="O31" s="13">
        <v>10</v>
      </c>
      <c r="P31" s="13">
        <v>7</v>
      </c>
      <c r="Q31" s="13">
        <v>29</v>
      </c>
      <c r="R31" s="13">
        <v>-37</v>
      </c>
      <c r="S31" s="13">
        <v>3</v>
      </c>
      <c r="T31" s="13">
        <v>-69</v>
      </c>
      <c r="U31" s="13">
        <v>-37</v>
      </c>
    </row>
    <row r="32" spans="1:21">
      <c r="A32" s="10" t="s">
        <v>132</v>
      </c>
      <c r="C32" s="15">
        <v>16877.400000000001</v>
      </c>
      <c r="D32" s="15">
        <v>13267.7</v>
      </c>
      <c r="E32" s="15">
        <v>12435.3</v>
      </c>
      <c r="F32" s="15">
        <v>12294.6</v>
      </c>
      <c r="G32" s="15">
        <v>11883.8</v>
      </c>
      <c r="H32" s="15">
        <v>12866.9</v>
      </c>
      <c r="I32" s="15">
        <v>13812</v>
      </c>
      <c r="J32" s="15">
        <v>13847</v>
      </c>
      <c r="K32" s="15">
        <v>14208</v>
      </c>
      <c r="L32" s="15">
        <v>14492</v>
      </c>
      <c r="M32" s="16"/>
      <c r="N32" s="15">
        <v>3685</v>
      </c>
      <c r="O32" s="15">
        <v>3520</v>
      </c>
      <c r="P32" s="15">
        <v>3308</v>
      </c>
      <c r="Q32" s="15">
        <v>3611</v>
      </c>
      <c r="R32" s="15">
        <v>3721</v>
      </c>
      <c r="S32" s="15">
        <v>3853</v>
      </c>
      <c r="T32" s="15">
        <v>3564</v>
      </c>
      <c r="U32" s="15">
        <v>3760</v>
      </c>
    </row>
    <row r="33" spans="1:21">
      <c r="A33" s="10" t="s">
        <v>133</v>
      </c>
      <c r="C33" s="15">
        <v>7744.5</v>
      </c>
      <c r="D33" s="15">
        <v>9552.7000000000007</v>
      </c>
      <c r="E33" s="15">
        <v>8822.6</v>
      </c>
      <c r="F33" s="15">
        <v>9069.7999999999993</v>
      </c>
      <c r="G33" s="15">
        <v>7324</v>
      </c>
      <c r="H33" s="15">
        <v>10356</v>
      </c>
      <c r="I33" s="15">
        <v>9371</v>
      </c>
      <c r="J33" s="15">
        <v>11647</v>
      </c>
      <c r="K33" s="15">
        <v>11712</v>
      </c>
      <c r="L33" s="15">
        <v>12393</v>
      </c>
      <c r="M33" s="16"/>
      <c r="N33" s="15">
        <v>3188</v>
      </c>
      <c r="O33" s="15">
        <v>2868</v>
      </c>
      <c r="P33" s="15">
        <v>2648</v>
      </c>
      <c r="Q33" s="15">
        <v>3232</v>
      </c>
      <c r="R33" s="15">
        <v>3357</v>
      </c>
      <c r="S33" s="15">
        <v>3156</v>
      </c>
      <c r="T33" s="15">
        <v>2953</v>
      </c>
      <c r="U33" s="15">
        <v>3338</v>
      </c>
    </row>
    <row r="34" spans="1:21">
      <c r="A34" s="17" t="s">
        <v>134</v>
      </c>
      <c r="C34" s="18">
        <f t="shared" ref="C34:L34" si="24">C33/C17</f>
        <v>0.3145370584723356</v>
      </c>
      <c r="D34" s="18">
        <f t="shared" si="24"/>
        <v>0.41860353017475593</v>
      </c>
      <c r="E34" s="18">
        <f t="shared" si="24"/>
        <v>0.41502688412307892</v>
      </c>
      <c r="F34" s="18">
        <f t="shared" si="24"/>
        <v>0.42452865514594368</v>
      </c>
      <c r="G34" s="18">
        <f t="shared" si="24"/>
        <v>0.3813034288153771</v>
      </c>
      <c r="H34" s="18">
        <f t="shared" si="24"/>
        <v>0.44593913766153231</v>
      </c>
      <c r="I34" s="18">
        <f t="shared" si="24"/>
        <v>0.40421860846309798</v>
      </c>
      <c r="J34" s="18">
        <f t="shared" si="24"/>
        <v>0.45685259276692552</v>
      </c>
      <c r="K34" s="18">
        <f t="shared" si="24"/>
        <v>0.45185185185185184</v>
      </c>
      <c r="L34" s="18">
        <f t="shared" si="24"/>
        <v>0.4609633624697787</v>
      </c>
      <c r="M34" s="9"/>
      <c r="N34" s="18">
        <f t="shared" ref="N34:U34" si="25">N33/N17</f>
        <v>0.4638440273534119</v>
      </c>
      <c r="O34" s="18">
        <f t="shared" si="25"/>
        <v>0.44896681277395117</v>
      </c>
      <c r="P34" s="18">
        <f t="shared" si="25"/>
        <v>0.44459368703828073</v>
      </c>
      <c r="Q34" s="18">
        <f t="shared" si="25"/>
        <v>0.47230746748502117</v>
      </c>
      <c r="R34" s="18">
        <f t="shared" si="25"/>
        <v>0.47428652161627577</v>
      </c>
      <c r="S34" s="18">
        <f t="shared" si="25"/>
        <v>0.45027821372521043</v>
      </c>
      <c r="T34" s="18">
        <f t="shared" si="25"/>
        <v>0.45312260242442842</v>
      </c>
      <c r="U34" s="18">
        <f t="shared" si="25"/>
        <v>0.47020707141850965</v>
      </c>
    </row>
    <row r="35" spans="1:21">
      <c r="A35" s="17" t="s">
        <v>111</v>
      </c>
      <c r="D35" s="18">
        <f t="shared" ref="D35:L35" si="26">IF(N(C33)=0,"",D33/C33-1)</f>
        <v>0.23348182581186649</v>
      </c>
      <c r="E35" s="18">
        <f t="shared" si="26"/>
        <v>-7.6428653679064595E-2</v>
      </c>
      <c r="F35" s="18">
        <f t="shared" si="26"/>
        <v>2.801895132953991E-2</v>
      </c>
      <c r="G35" s="18">
        <f t="shared" si="26"/>
        <v>-0.19248495005402533</v>
      </c>
      <c r="H35" s="18">
        <f t="shared" si="26"/>
        <v>0.41398143091206996</v>
      </c>
      <c r="I35" s="18">
        <f t="shared" si="26"/>
        <v>-9.5113943607570528E-2</v>
      </c>
      <c r="J35" s="18">
        <f t="shared" si="26"/>
        <v>0.24287696083662369</v>
      </c>
      <c r="K35" s="18">
        <f t="shared" si="26"/>
        <v>5.580836266849909E-3</v>
      </c>
      <c r="L35" s="18">
        <f t="shared" si="26"/>
        <v>5.8145491803278659E-2</v>
      </c>
      <c r="M35" s="9"/>
      <c r="R35" s="18">
        <f>IF(N(N33)=0,"",R33/N33-1)</f>
        <v>5.3011292346298644E-2</v>
      </c>
      <c r="S35" s="18">
        <f>IF(N(O33)=0,"",S33/O33-1)</f>
        <v>0.10041841004184104</v>
      </c>
      <c r="T35" s="18">
        <f>IF(N(P33)=0,"",T33/P33-1)</f>
        <v>0.11518126888217517</v>
      </c>
      <c r="U35" s="18">
        <f>IF(N(Q33)=0,"",U33/Q33-1)</f>
        <v>3.2797029702970271E-2</v>
      </c>
    </row>
    <row r="36" spans="1:21">
      <c r="M36" s="9"/>
    </row>
    <row r="37" spans="1:21">
      <c r="A37" s="5" t="s">
        <v>135</v>
      </c>
      <c r="C37" s="13">
        <v>884.8</v>
      </c>
      <c r="D37" s="13">
        <v>921.3</v>
      </c>
      <c r="E37" s="13">
        <v>981.2</v>
      </c>
      <c r="F37" s="13">
        <v>1121.9000000000001</v>
      </c>
      <c r="G37" s="13">
        <v>1218.0999999999999</v>
      </c>
      <c r="H37" s="13">
        <v>1185.8</v>
      </c>
      <c r="I37" s="13">
        <v>1207</v>
      </c>
      <c r="J37" s="13">
        <v>1361</v>
      </c>
      <c r="K37" s="13">
        <v>1506</v>
      </c>
      <c r="L37" s="13">
        <v>1582</v>
      </c>
      <c r="M37" s="9"/>
      <c r="N37" s="13">
        <v>381</v>
      </c>
      <c r="O37" s="13">
        <v>380</v>
      </c>
      <c r="P37" s="13">
        <v>376</v>
      </c>
      <c r="Q37" s="13">
        <v>390</v>
      </c>
      <c r="R37" s="13">
        <v>406</v>
      </c>
      <c r="S37" s="13">
        <v>410</v>
      </c>
      <c r="T37" s="13">
        <v>400</v>
      </c>
      <c r="U37" s="13">
        <v>409</v>
      </c>
    </row>
    <row r="38" spans="1:21">
      <c r="A38" s="5" t="s">
        <v>136</v>
      </c>
      <c r="C38" s="13">
        <v>-6.3</v>
      </c>
      <c r="D38" s="13">
        <v>57.9</v>
      </c>
      <c r="E38" s="13">
        <v>25.3</v>
      </c>
      <c r="F38" s="13">
        <v>-70.2</v>
      </c>
      <c r="G38" s="13">
        <v>-34.799999999999997</v>
      </c>
      <c r="H38" s="13">
        <v>42.3</v>
      </c>
      <c r="I38" s="13">
        <v>339</v>
      </c>
      <c r="J38" s="13">
        <v>-236</v>
      </c>
      <c r="K38" s="13">
        <v>-139</v>
      </c>
      <c r="L38" s="13">
        <v>-87</v>
      </c>
      <c r="M38" s="9"/>
      <c r="N38" s="13">
        <v>-36</v>
      </c>
      <c r="O38" s="13">
        <v>-49</v>
      </c>
      <c r="P38" s="13">
        <v>-57</v>
      </c>
      <c r="Q38" s="13">
        <v>-18</v>
      </c>
      <c r="R38" s="13">
        <v>1</v>
      </c>
      <c r="S38" s="13">
        <v>-12</v>
      </c>
      <c r="T38" s="13">
        <v>11</v>
      </c>
      <c r="U38" s="13">
        <v>-6</v>
      </c>
    </row>
    <row r="39" spans="1:21">
      <c r="A39" s="10" t="s">
        <v>137</v>
      </c>
      <c r="C39" s="15">
        <v>6866</v>
      </c>
      <c r="D39" s="15">
        <v>8573.5</v>
      </c>
      <c r="E39" s="15">
        <v>7816.1</v>
      </c>
      <c r="F39" s="15">
        <v>8018.1</v>
      </c>
      <c r="G39" s="15">
        <v>6140.7</v>
      </c>
      <c r="H39" s="15">
        <v>9127.9</v>
      </c>
      <c r="I39" s="15">
        <v>7825</v>
      </c>
      <c r="J39" s="15">
        <v>10522</v>
      </c>
      <c r="K39" s="15">
        <v>10345</v>
      </c>
      <c r="L39" s="15">
        <v>10897</v>
      </c>
      <c r="M39" s="16"/>
      <c r="N39" s="15">
        <v>2843</v>
      </c>
      <c r="O39" s="15">
        <v>2538</v>
      </c>
      <c r="P39" s="15">
        <v>2330</v>
      </c>
      <c r="Q39" s="15">
        <v>2861</v>
      </c>
      <c r="R39" s="15">
        <v>2949</v>
      </c>
      <c r="S39" s="15">
        <v>2757</v>
      </c>
      <c r="T39" s="15">
        <v>2542</v>
      </c>
      <c r="U39" s="15">
        <v>2936</v>
      </c>
    </row>
    <row r="40" spans="1:21">
      <c r="A40" s="5" t="s">
        <v>138</v>
      </c>
      <c r="C40" s="13">
        <v>2179.5</v>
      </c>
      <c r="D40" s="13">
        <v>3381.2</v>
      </c>
      <c r="E40" s="13">
        <v>1891.8</v>
      </c>
      <c r="F40" s="13">
        <v>1992.7</v>
      </c>
      <c r="G40" s="13">
        <v>1410.2</v>
      </c>
      <c r="H40" s="13">
        <v>1582.7</v>
      </c>
      <c r="I40" s="13">
        <v>1648</v>
      </c>
      <c r="J40" s="13">
        <v>2053</v>
      </c>
      <c r="K40" s="13">
        <v>2121</v>
      </c>
      <c r="L40" s="13">
        <v>2334</v>
      </c>
      <c r="M40" s="9"/>
      <c r="N40" s="13">
        <v>588</v>
      </c>
      <c r="O40" s="13">
        <v>521</v>
      </c>
      <c r="P40" s="13">
        <v>461</v>
      </c>
      <c r="Q40" s="13">
        <v>608</v>
      </c>
      <c r="R40" s="13">
        <v>671</v>
      </c>
      <c r="S40" s="13">
        <v>594</v>
      </c>
      <c r="T40" s="13">
        <v>559</v>
      </c>
      <c r="U40" s="13">
        <v>574</v>
      </c>
    </row>
    <row r="41" spans="1:21">
      <c r="A41" s="10" t="s">
        <v>139</v>
      </c>
      <c r="C41" s="15">
        <v>4686.5</v>
      </c>
      <c r="D41" s="15">
        <v>5192.3</v>
      </c>
      <c r="E41" s="15">
        <v>5924.3</v>
      </c>
      <c r="F41" s="15">
        <v>6025.4</v>
      </c>
      <c r="G41" s="15">
        <v>4730.5</v>
      </c>
      <c r="H41" s="15">
        <v>7545.2</v>
      </c>
      <c r="I41" s="15">
        <v>6177</v>
      </c>
      <c r="J41" s="15">
        <v>8469</v>
      </c>
      <c r="K41" s="15">
        <v>8223</v>
      </c>
      <c r="L41" s="15">
        <v>8563</v>
      </c>
      <c r="M41" s="16"/>
      <c r="N41" s="15">
        <v>2255</v>
      </c>
      <c r="O41" s="15">
        <v>2016</v>
      </c>
      <c r="P41" s="15">
        <v>1868</v>
      </c>
      <c r="Q41" s="15">
        <v>2253</v>
      </c>
      <c r="R41" s="15">
        <v>2278</v>
      </c>
      <c r="S41" s="15">
        <v>2164</v>
      </c>
      <c r="T41" s="15">
        <v>1983</v>
      </c>
      <c r="U41" s="15">
        <v>2362</v>
      </c>
    </row>
    <row r="42" spans="1:21">
      <c r="A42" s="17" t="s">
        <v>140</v>
      </c>
      <c r="C42" s="18">
        <f t="shared" ref="C42:L42" si="27">C41/C17</f>
        <v>0.19033868223004721</v>
      </c>
      <c r="D42" s="18">
        <f t="shared" si="27"/>
        <v>0.22752887767085589</v>
      </c>
      <c r="E42" s="18">
        <f t="shared" si="27"/>
        <v>0.27868698225130423</v>
      </c>
      <c r="F42" s="18">
        <f t="shared" si="27"/>
        <v>0.28202991893055734</v>
      </c>
      <c r="G42" s="18">
        <f t="shared" si="27"/>
        <v>0.24628015701954414</v>
      </c>
      <c r="H42" s="18">
        <f t="shared" si="27"/>
        <v>0.32490343583273407</v>
      </c>
      <c r="I42" s="18">
        <f t="shared" si="27"/>
        <v>0.26644524004658587</v>
      </c>
      <c r="J42" s="18">
        <f t="shared" si="27"/>
        <v>0.33219581077900684</v>
      </c>
      <c r="K42" s="18">
        <f t="shared" si="27"/>
        <v>0.31724537037037037</v>
      </c>
      <c r="L42" s="18">
        <f t="shared" si="27"/>
        <v>0.31850474242142457</v>
      </c>
      <c r="M42" s="9"/>
      <c r="N42" s="18">
        <f t="shared" ref="N42:U42" si="28">N41/N17</f>
        <v>0.32809544594791212</v>
      </c>
      <c r="O42" s="18">
        <f t="shared" si="28"/>
        <v>0.31559173450219163</v>
      </c>
      <c r="P42" s="18">
        <f t="shared" si="28"/>
        <v>0.31363331094694424</v>
      </c>
      <c r="Q42" s="18">
        <f t="shared" si="28"/>
        <v>0.32924156071898292</v>
      </c>
      <c r="R42" s="18">
        <f t="shared" si="28"/>
        <v>0.32184232834133936</v>
      </c>
      <c r="S42" s="18">
        <f t="shared" si="28"/>
        <v>0.30874589813097447</v>
      </c>
      <c r="T42" s="18">
        <f t="shared" si="28"/>
        <v>0.30428111094061683</v>
      </c>
      <c r="U42" s="18">
        <f t="shared" si="28"/>
        <v>0.33272291872094661</v>
      </c>
    </row>
    <row r="43" spans="1:21">
      <c r="A43" s="17" t="s">
        <v>111</v>
      </c>
      <c r="D43" s="18">
        <f t="shared" ref="D43:L43" si="29">IF(N(C41)=0,"",D41/C41-1)</f>
        <v>0.10792702443187885</v>
      </c>
      <c r="E43" s="18">
        <f t="shared" si="29"/>
        <v>0.14097798663405436</v>
      </c>
      <c r="F43" s="18">
        <f t="shared" si="29"/>
        <v>1.7065307293688603E-2</v>
      </c>
      <c r="G43" s="18">
        <f t="shared" si="29"/>
        <v>-0.21490689414810626</v>
      </c>
      <c r="H43" s="18">
        <f t="shared" si="29"/>
        <v>0.59501109819258002</v>
      </c>
      <c r="I43" s="18">
        <f t="shared" si="29"/>
        <v>-0.18133382812914167</v>
      </c>
      <c r="J43" s="18">
        <f t="shared" si="29"/>
        <v>0.37105390966488594</v>
      </c>
      <c r="K43" s="18">
        <f t="shared" si="29"/>
        <v>-2.904711300035423E-2</v>
      </c>
      <c r="L43" s="18">
        <f t="shared" si="29"/>
        <v>4.1347440107016853E-2</v>
      </c>
      <c r="M43" s="9"/>
      <c r="R43" s="18">
        <f>IF(N(N41)=0,"",R41/N41-1)</f>
        <v>1.0199556541020005E-2</v>
      </c>
      <c r="S43" s="18">
        <f>IF(N(O41)=0,"",S41/O41-1)</f>
        <v>7.3412698412698374E-2</v>
      </c>
      <c r="T43" s="18">
        <f>IF(N(P41)=0,"",T41/P41-1)</f>
        <v>6.1563169164882137E-2</v>
      </c>
      <c r="U43" s="18">
        <f>IF(N(Q41)=0,"",U41/Q41-1)</f>
        <v>4.8379937860630218E-2</v>
      </c>
    </row>
    <row r="44" spans="1:21" ht="8" customHeight="1">
      <c r="M44" s="9"/>
    </row>
    <row r="45" spans="1:21" ht="20" customHeight="1">
      <c r="A45" s="12" t="s">
        <v>141</v>
      </c>
      <c r="B45" s="1"/>
      <c r="C45" s="1"/>
      <c r="D45" s="1"/>
      <c r="E45" s="1"/>
      <c r="F45" s="1"/>
      <c r="G45" s="1"/>
      <c r="H45" s="1"/>
      <c r="I45" s="1"/>
      <c r="J45" s="1"/>
      <c r="K45" s="1"/>
      <c r="L45" s="1"/>
      <c r="M45" s="9"/>
      <c r="N45" s="1"/>
      <c r="O45" s="1"/>
      <c r="P45" s="1"/>
      <c r="Q45" s="1"/>
      <c r="R45" s="1"/>
      <c r="S45" s="1"/>
      <c r="T45" s="1"/>
      <c r="U45" s="1"/>
    </row>
    <row r="46" spans="1:21">
      <c r="A46" s="5" t="s">
        <v>142</v>
      </c>
      <c r="C46" s="20">
        <v>5.49</v>
      </c>
      <c r="D46" s="20">
        <v>6.43</v>
      </c>
      <c r="E46" s="20">
        <v>7.61</v>
      </c>
      <c r="F46" s="20">
        <v>7.95</v>
      </c>
      <c r="G46" s="20">
        <v>6.35</v>
      </c>
      <c r="H46" s="20">
        <v>10.11</v>
      </c>
      <c r="I46" s="20">
        <v>8.39</v>
      </c>
      <c r="J46" s="20">
        <v>11.63</v>
      </c>
      <c r="K46" s="20">
        <v>11.45</v>
      </c>
      <c r="L46" s="20">
        <v>12</v>
      </c>
      <c r="M46" s="9"/>
      <c r="N46" s="20">
        <v>3.15</v>
      </c>
      <c r="P46" s="20">
        <v>2.61</v>
      </c>
      <c r="Q46" s="20">
        <v>3.15</v>
      </c>
      <c r="R46" s="20">
        <v>3.2</v>
      </c>
      <c r="T46" s="20">
        <v>2.79</v>
      </c>
      <c r="U46" s="20">
        <v>3.33</v>
      </c>
    </row>
    <row r="47" spans="1:21">
      <c r="A47" s="10" t="s">
        <v>143</v>
      </c>
      <c r="C47" s="21">
        <v>5.44</v>
      </c>
      <c r="D47" s="21">
        <v>6.37</v>
      </c>
      <c r="E47" s="21">
        <v>7.54</v>
      </c>
      <c r="F47" s="21">
        <v>7.88</v>
      </c>
      <c r="G47" s="21">
        <v>6.31</v>
      </c>
      <c r="H47" s="21">
        <v>10.039999999999999</v>
      </c>
      <c r="I47" s="21">
        <v>8.33</v>
      </c>
      <c r="J47" s="21">
        <v>11.56</v>
      </c>
      <c r="K47" s="21">
        <v>11.39</v>
      </c>
      <c r="L47" s="21">
        <v>11.95</v>
      </c>
      <c r="M47" s="9"/>
      <c r="N47" s="21">
        <v>3.13</v>
      </c>
      <c r="O47">
        <f>'Valuation Driver Build'!D328</f>
        <v>2.8</v>
      </c>
      <c r="P47" s="21">
        <v>2.6</v>
      </c>
      <c r="Q47" s="21">
        <v>3.14</v>
      </c>
      <c r="R47" s="21">
        <v>3.18</v>
      </c>
      <c r="S47">
        <f>'Valuation Driver Build'!H328</f>
        <v>3.03</v>
      </c>
      <c r="T47" s="21">
        <v>2.78</v>
      </c>
      <c r="U47" s="21">
        <v>3.32</v>
      </c>
    </row>
    <row r="48" spans="1:21">
      <c r="A48" s="17" t="s">
        <v>111</v>
      </c>
      <c r="D48" s="18">
        <f t="shared" ref="D48:L48" si="30">IF(N(C47)=0,"",D47/C47-1)</f>
        <v>0.17095588235294112</v>
      </c>
      <c r="E48" s="18">
        <f t="shared" si="30"/>
        <v>0.18367346938775508</v>
      </c>
      <c r="F48" s="18">
        <f t="shared" si="30"/>
        <v>4.5092838196286511E-2</v>
      </c>
      <c r="G48" s="18">
        <f t="shared" si="30"/>
        <v>-0.19923857868020312</v>
      </c>
      <c r="H48" s="18">
        <f t="shared" si="30"/>
        <v>0.59112519809825659</v>
      </c>
      <c r="I48" s="18">
        <f t="shared" si="30"/>
        <v>-0.17031872509960155</v>
      </c>
      <c r="J48" s="18">
        <f t="shared" si="30"/>
        <v>0.38775510204081631</v>
      </c>
      <c r="K48" s="18">
        <f t="shared" si="30"/>
        <v>-1.4705882352941124E-2</v>
      </c>
      <c r="L48" s="18">
        <f t="shared" si="30"/>
        <v>4.9165935030728525E-2</v>
      </c>
      <c r="M48" s="9"/>
      <c r="R48" s="18">
        <f>IF(N(N47)=0,"",R47/N47-1)</f>
        <v>1.5974440894568787E-2</v>
      </c>
      <c r="S48" s="18">
        <f>IF(N(O47)=0,"",S47/O47-1)</f>
        <v>8.2142857142857073E-2</v>
      </c>
      <c r="T48" s="18">
        <f>IF(N(P47)=0,"",T47/P47-1)</f>
        <v>6.9230769230769207E-2</v>
      </c>
      <c r="U48" s="18">
        <f>IF(N(Q47)=0,"",U47/Q47-1)</f>
        <v>5.7324840764331197E-2</v>
      </c>
    </row>
    <row r="49" spans="1:21" ht="24">
      <c r="A49" s="5" t="s">
        <v>144</v>
      </c>
      <c r="B49" s="14" t="s">
        <v>145</v>
      </c>
      <c r="C49" s="20">
        <v>3.61</v>
      </c>
      <c r="D49" s="20">
        <v>3.83</v>
      </c>
      <c r="E49" s="20">
        <v>4.1900000000000004</v>
      </c>
      <c r="F49" s="20">
        <v>4.7300000000000004</v>
      </c>
      <c r="G49" s="20">
        <v>5.04</v>
      </c>
      <c r="H49" s="20">
        <v>5.25</v>
      </c>
      <c r="I49" s="20">
        <v>5.66</v>
      </c>
      <c r="J49" s="20">
        <v>6.23</v>
      </c>
      <c r="K49" s="20">
        <v>6.78</v>
      </c>
      <c r="L49" s="20">
        <v>7.17</v>
      </c>
      <c r="M49" s="9"/>
      <c r="N49" s="20">
        <v>3.44</v>
      </c>
      <c r="P49" s="20">
        <v>1.77</v>
      </c>
      <c r="Q49" s="20">
        <v>1.77</v>
      </c>
      <c r="R49" s="20">
        <v>1.77</v>
      </c>
      <c r="T49" s="20">
        <v>1.86</v>
      </c>
      <c r="U49" s="20">
        <v>1.86</v>
      </c>
    </row>
    <row r="50" spans="1:21">
      <c r="A50" s="5" t="s">
        <v>146</v>
      </c>
      <c r="C50" s="22">
        <v>854.4</v>
      </c>
      <c r="D50" s="22">
        <v>807.4</v>
      </c>
      <c r="E50" s="22">
        <v>778.2</v>
      </c>
      <c r="F50" s="22">
        <v>758.1</v>
      </c>
      <c r="G50" s="22">
        <v>744.6</v>
      </c>
      <c r="H50" s="22">
        <v>746.3</v>
      </c>
      <c r="I50" s="22">
        <v>736.5</v>
      </c>
      <c r="J50" s="22">
        <v>727.9</v>
      </c>
      <c r="K50" s="22">
        <v>718.3</v>
      </c>
      <c r="L50" s="22">
        <v>713.4</v>
      </c>
      <c r="M50" s="9"/>
      <c r="N50" s="22">
        <v>716.7</v>
      </c>
      <c r="P50" s="22">
        <v>714.9</v>
      </c>
      <c r="Q50" s="22">
        <v>714.5</v>
      </c>
      <c r="R50" s="22">
        <v>712.9</v>
      </c>
      <c r="T50" s="22">
        <v>710.7</v>
      </c>
      <c r="U50" s="22">
        <v>709.1</v>
      </c>
    </row>
    <row r="51" spans="1:21">
      <c r="A51" s="5" t="s">
        <v>147</v>
      </c>
      <c r="C51" s="22">
        <v>861.2</v>
      </c>
      <c r="D51" s="22">
        <v>815.5</v>
      </c>
      <c r="E51" s="22">
        <v>785.6</v>
      </c>
      <c r="F51" s="22">
        <v>764.9</v>
      </c>
      <c r="G51" s="22">
        <v>750.1</v>
      </c>
      <c r="H51" s="22">
        <v>751.8</v>
      </c>
      <c r="I51" s="22">
        <v>741.3</v>
      </c>
      <c r="J51" s="22">
        <v>732.3</v>
      </c>
      <c r="K51" s="22">
        <v>721.9</v>
      </c>
      <c r="L51" s="22">
        <v>716.4</v>
      </c>
      <c r="M51" s="9"/>
      <c r="N51" s="22">
        <v>720</v>
      </c>
      <c r="O51">
        <f>'Valuation Driver Build'!D329</f>
        <v>719.7</v>
      </c>
      <c r="P51" s="22">
        <v>718.2</v>
      </c>
      <c r="Q51" s="22">
        <v>717.6</v>
      </c>
      <c r="R51" s="22">
        <v>715.9</v>
      </c>
      <c r="S51">
        <f>'Valuation Driver Build'!H329</f>
        <v>714.2</v>
      </c>
      <c r="T51" s="22">
        <v>713.5</v>
      </c>
      <c r="U51" s="22">
        <v>711.1</v>
      </c>
    </row>
    <row r="52" spans="1:21" ht="8" customHeight="1">
      <c r="M52" s="9"/>
    </row>
    <row r="53" spans="1:21" ht="20" customHeight="1">
      <c r="A53" s="12" t="s">
        <v>148</v>
      </c>
      <c r="B53" s="1"/>
      <c r="C53" s="1"/>
      <c r="D53" s="1"/>
      <c r="E53" s="1"/>
      <c r="F53" s="1"/>
      <c r="G53" s="1"/>
      <c r="H53" s="1"/>
      <c r="I53" s="1"/>
      <c r="J53" s="1"/>
      <c r="K53" s="1"/>
      <c r="L53" s="1"/>
      <c r="M53" s="9"/>
      <c r="N53" s="1"/>
      <c r="O53" s="1"/>
      <c r="P53" s="1"/>
      <c r="Q53" s="1"/>
      <c r="R53" s="1"/>
      <c r="S53" s="1"/>
      <c r="T53" s="1"/>
      <c r="U53" s="1"/>
    </row>
    <row r="54" spans="1:21">
      <c r="A54" s="17" t="s">
        <v>149</v>
      </c>
      <c r="C54" s="23">
        <f t="shared" ref="C54:L54" si="31">C12+C14+C16-C17</f>
        <v>0</v>
      </c>
      <c r="D54" s="23">
        <f t="shared" si="31"/>
        <v>0</v>
      </c>
      <c r="E54" s="23">
        <f t="shared" si="31"/>
        <v>0</v>
      </c>
      <c r="F54" s="23">
        <f t="shared" si="31"/>
        <v>0</v>
      </c>
      <c r="G54" s="23">
        <f t="shared" si="31"/>
        <v>0</v>
      </c>
      <c r="H54" s="23">
        <f t="shared" si="31"/>
        <v>0</v>
      </c>
      <c r="I54" s="23">
        <f t="shared" si="31"/>
        <v>-1</v>
      </c>
      <c r="J54" s="23">
        <f t="shared" si="31"/>
        <v>1</v>
      </c>
      <c r="K54" s="23">
        <f t="shared" si="31"/>
        <v>0</v>
      </c>
      <c r="L54" s="23">
        <f t="shared" si="31"/>
        <v>0</v>
      </c>
      <c r="M54" s="9"/>
      <c r="N54" s="23">
        <f t="shared" ref="N54:U54" si="32">N12+N14+N16-N17</f>
        <v>1</v>
      </c>
      <c r="O54" s="23">
        <f t="shared" si="32"/>
        <v>0</v>
      </c>
      <c r="P54" s="23">
        <f t="shared" si="32"/>
        <v>-1</v>
      </c>
      <c r="Q54" s="23">
        <f t="shared" si="32"/>
        <v>0</v>
      </c>
      <c r="R54" s="23">
        <f t="shared" si="32"/>
        <v>-1</v>
      </c>
      <c r="S54" s="23">
        <f t="shared" si="32"/>
        <v>-1</v>
      </c>
      <c r="T54" s="23">
        <f t="shared" si="32"/>
        <v>0</v>
      </c>
      <c r="U54" s="23">
        <f t="shared" si="32"/>
        <v>1</v>
      </c>
    </row>
    <row r="55" spans="1:21">
      <c r="A55" s="17" t="s">
        <v>150</v>
      </c>
      <c r="C55" s="23">
        <f t="shared" ref="C55:L55" si="33">C20+C25+C26+C30+C31-C32</f>
        <v>0</v>
      </c>
      <c r="D55" s="23">
        <f t="shared" si="33"/>
        <v>0</v>
      </c>
      <c r="E55" s="23">
        <f t="shared" si="33"/>
        <v>0</v>
      </c>
      <c r="F55" s="23">
        <f t="shared" si="33"/>
        <v>0</v>
      </c>
      <c r="G55" s="23">
        <f t="shared" si="33"/>
        <v>0</v>
      </c>
      <c r="H55" s="23">
        <f t="shared" si="33"/>
        <v>0</v>
      </c>
      <c r="I55" s="23">
        <f t="shared" si="33"/>
        <v>-1</v>
      </c>
      <c r="J55" s="23">
        <f t="shared" si="33"/>
        <v>0</v>
      </c>
      <c r="K55" s="23">
        <f t="shared" si="33"/>
        <v>0</v>
      </c>
      <c r="L55" s="23">
        <f t="shared" si="33"/>
        <v>1</v>
      </c>
      <c r="M55" s="9"/>
      <c r="N55" s="23">
        <f t="shared" ref="N55:U55" si="34">N20+N25+N26+N30+N31-N32</f>
        <v>-1</v>
      </c>
      <c r="O55" s="23">
        <f t="shared" si="34"/>
        <v>-1</v>
      </c>
      <c r="P55" s="23">
        <f t="shared" si="34"/>
        <v>0</v>
      </c>
      <c r="Q55" s="23">
        <f t="shared" si="34"/>
        <v>0</v>
      </c>
      <c r="R55" s="23">
        <f t="shared" si="34"/>
        <v>0</v>
      </c>
      <c r="S55" s="23">
        <f t="shared" si="34"/>
        <v>1</v>
      </c>
      <c r="T55" s="23">
        <f t="shared" si="34"/>
        <v>0</v>
      </c>
      <c r="U55" s="23">
        <f t="shared" si="34"/>
        <v>1</v>
      </c>
    </row>
    <row r="56" spans="1:21">
      <c r="A56" s="17" t="s">
        <v>151</v>
      </c>
      <c r="C56" s="23">
        <f t="shared" ref="C56:L56" si="35">C17-C32-C33</f>
        <v>0</v>
      </c>
      <c r="D56" s="23">
        <f t="shared" si="35"/>
        <v>0</v>
      </c>
      <c r="E56" s="23">
        <f t="shared" si="35"/>
        <v>0</v>
      </c>
      <c r="F56" s="23">
        <f t="shared" si="35"/>
        <v>0</v>
      </c>
      <c r="G56" s="23">
        <f t="shared" si="35"/>
        <v>0</v>
      </c>
      <c r="H56" s="23">
        <f t="shared" si="35"/>
        <v>0</v>
      </c>
      <c r="I56" s="23">
        <f t="shared" si="35"/>
        <v>0</v>
      </c>
      <c r="J56" s="23">
        <f t="shared" si="35"/>
        <v>0</v>
      </c>
      <c r="K56" s="23">
        <f t="shared" si="35"/>
        <v>0</v>
      </c>
      <c r="L56" s="23">
        <f t="shared" si="35"/>
        <v>0</v>
      </c>
      <c r="M56" s="9"/>
      <c r="N56" s="23">
        <f t="shared" ref="N56:U56" si="36">N17-N32-N33</f>
        <v>0</v>
      </c>
      <c r="O56" s="23">
        <f t="shared" si="36"/>
        <v>0</v>
      </c>
      <c r="P56" s="23">
        <f t="shared" si="36"/>
        <v>0</v>
      </c>
      <c r="Q56" s="23">
        <f t="shared" si="36"/>
        <v>0</v>
      </c>
      <c r="R56" s="23">
        <f t="shared" si="36"/>
        <v>0</v>
      </c>
      <c r="S56" s="23">
        <f t="shared" si="36"/>
        <v>0</v>
      </c>
      <c r="T56" s="23">
        <f t="shared" si="36"/>
        <v>0</v>
      </c>
      <c r="U56" s="23">
        <f t="shared" si="36"/>
        <v>1</v>
      </c>
    </row>
    <row r="57" spans="1:21">
      <c r="A57" s="17" t="s">
        <v>152</v>
      </c>
      <c r="C57" s="23">
        <f t="shared" ref="C57:L57" si="37">C33-C37-C38-C39</f>
        <v>0</v>
      </c>
      <c r="D57" s="23">
        <f t="shared" si="37"/>
        <v>0</v>
      </c>
      <c r="E57" s="23">
        <f t="shared" si="37"/>
        <v>0</v>
      </c>
      <c r="F57" s="23">
        <f t="shared" si="37"/>
        <v>0</v>
      </c>
      <c r="G57" s="23">
        <f t="shared" si="37"/>
        <v>0</v>
      </c>
      <c r="H57" s="23">
        <f t="shared" si="37"/>
        <v>0</v>
      </c>
      <c r="I57" s="23">
        <f t="shared" si="37"/>
        <v>0</v>
      </c>
      <c r="J57" s="23">
        <f t="shared" si="37"/>
        <v>0</v>
      </c>
      <c r="K57" s="23">
        <f t="shared" si="37"/>
        <v>0</v>
      </c>
      <c r="L57" s="23">
        <f t="shared" si="37"/>
        <v>1</v>
      </c>
      <c r="M57" s="9"/>
      <c r="N57" s="23">
        <f t="shared" ref="N57:U57" si="38">N33-N37-N38-N39</f>
        <v>0</v>
      </c>
      <c r="O57" s="23">
        <f t="shared" si="38"/>
        <v>-1</v>
      </c>
      <c r="P57" s="23">
        <f t="shared" si="38"/>
        <v>-1</v>
      </c>
      <c r="Q57" s="23">
        <f t="shared" si="38"/>
        <v>-1</v>
      </c>
      <c r="R57" s="23">
        <f t="shared" si="38"/>
        <v>1</v>
      </c>
      <c r="S57" s="23">
        <f t="shared" si="38"/>
        <v>1</v>
      </c>
      <c r="T57" s="23">
        <f t="shared" si="38"/>
        <v>0</v>
      </c>
      <c r="U57" s="23">
        <f t="shared" si="38"/>
        <v>-1</v>
      </c>
    </row>
    <row r="58" spans="1:21">
      <c r="A58" s="17" t="s">
        <v>153</v>
      </c>
      <c r="C58" s="23">
        <f t="shared" ref="C58:L58" si="39">C39-C40-C41</f>
        <v>0</v>
      </c>
      <c r="D58" s="23">
        <f t="shared" si="39"/>
        <v>0</v>
      </c>
      <c r="E58" s="23">
        <f t="shared" si="39"/>
        <v>0</v>
      </c>
      <c r="F58" s="23">
        <f t="shared" si="39"/>
        <v>0</v>
      </c>
      <c r="G58" s="23">
        <f t="shared" si="39"/>
        <v>0</v>
      </c>
      <c r="H58" s="23">
        <f t="shared" si="39"/>
        <v>0</v>
      </c>
      <c r="I58" s="23">
        <f t="shared" si="39"/>
        <v>0</v>
      </c>
      <c r="J58" s="23">
        <f t="shared" si="39"/>
        <v>0</v>
      </c>
      <c r="K58" s="23">
        <f t="shared" si="39"/>
        <v>1</v>
      </c>
      <c r="L58" s="23">
        <f t="shared" si="39"/>
        <v>0</v>
      </c>
      <c r="M58" s="9"/>
      <c r="N58" s="23">
        <f t="shared" ref="N58:U58" si="40">N39-N40-N41</f>
        <v>0</v>
      </c>
      <c r="O58" s="23">
        <f t="shared" si="40"/>
        <v>1</v>
      </c>
      <c r="P58" s="23">
        <f t="shared" si="40"/>
        <v>1</v>
      </c>
      <c r="Q58" s="23">
        <f t="shared" si="40"/>
        <v>0</v>
      </c>
      <c r="R58" s="23">
        <f t="shared" si="40"/>
        <v>0</v>
      </c>
      <c r="S58" s="23">
        <f t="shared" si="40"/>
        <v>-1</v>
      </c>
      <c r="T58" s="23">
        <f t="shared" si="40"/>
        <v>0</v>
      </c>
      <c r="U58" s="23">
        <f t="shared" si="40"/>
        <v>0</v>
      </c>
    </row>
    <row r="59" spans="1:21">
      <c r="M59" s="9"/>
    </row>
  </sheetData>
  <phoneticPr fontId="3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E92EBB-01DA-F34F-BC11-C99650306676}">
  <sheetPr>
    <tabColor rgb="FF1F4E79"/>
  </sheetPr>
  <dimension ref="A1:U73"/>
  <sheetViews>
    <sheetView showGridLines="0" workbookViewId="0">
      <pane xSplit="2" ySplit="5" topLeftCell="C6" activePane="bottomRight" state="frozen"/>
      <selection pane="topRight"/>
      <selection pane="bottomLeft"/>
      <selection pane="bottomRight" activeCell="C6" sqref="C6"/>
    </sheetView>
  </sheetViews>
  <sheetFormatPr baseColWidth="10" defaultColWidth="8.83203125" defaultRowHeight="14"/>
  <cols>
    <col min="1" max="1" width="46" customWidth="1"/>
    <col min="2" max="2" width="34" hidden="1" customWidth="1"/>
    <col min="3" max="12" width="12" customWidth="1"/>
    <col min="13" max="13" width="9" customWidth="1"/>
    <col min="14" max="21" width="12" customWidth="1"/>
  </cols>
  <sheetData>
    <row r="1" spans="1:21" ht="28" customHeight="1">
      <c r="A1" s="2" t="s">
        <v>154</v>
      </c>
      <c r="B1" s="1"/>
      <c r="C1" s="1"/>
      <c r="D1" s="1"/>
      <c r="E1" s="1"/>
      <c r="F1" s="1"/>
      <c r="G1" s="1"/>
      <c r="H1" s="1"/>
      <c r="I1" s="1"/>
      <c r="J1" s="1"/>
      <c r="K1" s="1"/>
      <c r="L1" s="1"/>
      <c r="M1" s="1"/>
      <c r="N1" s="1"/>
      <c r="O1" s="1"/>
      <c r="P1" s="1"/>
      <c r="Q1" s="1"/>
      <c r="R1" s="1"/>
      <c r="S1" s="1"/>
      <c r="T1" s="1"/>
      <c r="U1" s="1"/>
    </row>
    <row r="2" spans="1:21" ht="16" customHeight="1">
      <c r="A2" s="3" t="s">
        <v>1</v>
      </c>
    </row>
    <row r="3" spans="1:21">
      <c r="C3" s="6" t="s">
        <v>73</v>
      </c>
      <c r="D3" s="6" t="s">
        <v>74</v>
      </c>
      <c r="E3" s="6" t="s">
        <v>75</v>
      </c>
      <c r="F3" s="6" t="s">
        <v>76</v>
      </c>
      <c r="G3" s="6" t="s">
        <v>77</v>
      </c>
      <c r="H3" s="6" t="s">
        <v>78</v>
      </c>
      <c r="I3" s="6" t="s">
        <v>79</v>
      </c>
      <c r="J3" s="6" t="s">
        <v>80</v>
      </c>
      <c r="K3" s="6" t="s">
        <v>81</v>
      </c>
      <c r="L3" s="6" t="s">
        <v>82</v>
      </c>
      <c r="M3" s="7" t="s">
        <v>83</v>
      </c>
      <c r="N3" s="6" t="s">
        <v>84</v>
      </c>
      <c r="O3" s="6" t="s">
        <v>85</v>
      </c>
      <c r="P3" s="6" t="s">
        <v>86</v>
      </c>
      <c r="Q3" s="6" t="s">
        <v>87</v>
      </c>
      <c r="R3" s="6" t="s">
        <v>88</v>
      </c>
      <c r="S3" s="6" t="s">
        <v>89</v>
      </c>
      <c r="T3" s="6" t="s">
        <v>90</v>
      </c>
      <c r="U3" s="6" t="s">
        <v>91</v>
      </c>
    </row>
    <row r="4" spans="1:21">
      <c r="C4" s="8" t="s">
        <v>92</v>
      </c>
      <c r="D4" s="8" t="s">
        <v>93</v>
      </c>
      <c r="E4" s="8" t="s">
        <v>94</v>
      </c>
      <c r="F4" s="8" t="s">
        <v>95</v>
      </c>
      <c r="G4" s="8" t="s">
        <v>96</v>
      </c>
      <c r="H4" s="8" t="s">
        <v>97</v>
      </c>
      <c r="I4" s="8" t="s">
        <v>98</v>
      </c>
      <c r="J4" s="8" t="s">
        <v>99</v>
      </c>
      <c r="K4" s="8" t="s">
        <v>100</v>
      </c>
      <c r="L4" s="8" t="s">
        <v>101</v>
      </c>
      <c r="M4" s="9"/>
      <c r="N4" s="8" t="s">
        <v>102</v>
      </c>
      <c r="O4" s="8" t="s">
        <v>100</v>
      </c>
      <c r="P4" s="8" t="s">
        <v>103</v>
      </c>
      <c r="Q4" s="8" t="s">
        <v>104</v>
      </c>
      <c r="R4" s="8" t="s">
        <v>105</v>
      </c>
      <c r="S4" s="8" t="s">
        <v>101</v>
      </c>
      <c r="T4" s="8" t="s">
        <v>106</v>
      </c>
      <c r="U4" s="8" t="s">
        <v>107</v>
      </c>
    </row>
    <row r="5" spans="1:21">
      <c r="M5" s="9"/>
    </row>
    <row r="6" spans="1:21">
      <c r="A6" s="10" t="s">
        <v>108</v>
      </c>
      <c r="M6" s="9"/>
    </row>
    <row r="7" spans="1:21">
      <c r="A7" s="11" t="str">
        <f>HYPERLINK("#'Balance Sheet'!A13","1. ASSETS")</f>
        <v>1. ASSETS</v>
      </c>
      <c r="M7" s="9"/>
    </row>
    <row r="8" spans="1:21">
      <c r="A8" s="11" t="str">
        <f>HYPERLINK("#'Balance Sheet'!A31","2. LIABILITIES")</f>
        <v>2. LIABILITIES</v>
      </c>
      <c r="M8" s="9"/>
    </row>
    <row r="9" spans="1:21">
      <c r="A9" s="11" t="str">
        <f>HYPERLINK("#'Balance Sheet'!A49","3. SHAREHOLDERS' EQUITY (DEFICIT)")</f>
        <v>3. SHAREHOLDERS' EQUITY (DEFICIT)</v>
      </c>
      <c r="M9" s="9"/>
    </row>
    <row r="10" spans="1:21">
      <c r="A10" s="11" t="str">
        <f>HYPERLINK("#'Balance Sheet'!A60","4. TIE-OUT CHECKS")</f>
        <v>4. TIE-OUT CHECKS</v>
      </c>
      <c r="M10" s="9"/>
    </row>
    <row r="11" spans="1:21">
      <c r="A11" s="11" t="str">
        <f>HYPERLINK("#'Balance Sheet'!A68","5. DEBT AND LEASE SUMMARY (ANALYST CALCULATION FROM FILED LINES)")</f>
        <v>5. DEBT AND LEASE SUMMARY (ANALYST CALCULATION FROM FILED LINES)</v>
      </c>
      <c r="M11" s="9"/>
    </row>
    <row r="12" spans="1:21" ht="8" customHeight="1">
      <c r="M12" s="9"/>
    </row>
    <row r="13" spans="1:21" ht="20" customHeight="1">
      <c r="A13" s="12" t="s">
        <v>155</v>
      </c>
      <c r="B13" s="1"/>
      <c r="C13" s="1"/>
      <c r="D13" s="1"/>
      <c r="E13" s="1"/>
      <c r="F13" s="1"/>
      <c r="G13" s="1"/>
      <c r="H13" s="1"/>
      <c r="I13" s="1"/>
      <c r="J13" s="1"/>
      <c r="K13" s="1"/>
      <c r="L13" s="1"/>
      <c r="M13" s="9"/>
      <c r="N13" s="1"/>
      <c r="O13" s="1"/>
      <c r="P13" s="1"/>
      <c r="Q13" s="1"/>
      <c r="R13" s="1"/>
      <c r="S13" s="1"/>
      <c r="T13" s="1"/>
      <c r="U13" s="1"/>
    </row>
    <row r="14" spans="1:21">
      <c r="A14" s="5" t="s">
        <v>156</v>
      </c>
      <c r="C14" s="13">
        <v>1223.4000000000001</v>
      </c>
      <c r="D14" s="13">
        <v>2463.8000000000002</v>
      </c>
      <c r="E14" s="13">
        <v>866</v>
      </c>
      <c r="F14" s="13">
        <v>898.5</v>
      </c>
      <c r="G14" s="13">
        <v>3449.1</v>
      </c>
      <c r="H14" s="13">
        <v>4709.2</v>
      </c>
      <c r="I14" s="13">
        <v>2583.8000000000002</v>
      </c>
      <c r="J14" s="13">
        <v>4579</v>
      </c>
      <c r="K14" s="13">
        <v>1085</v>
      </c>
      <c r="L14" s="13">
        <v>774</v>
      </c>
      <c r="M14" s="9"/>
      <c r="N14" s="13">
        <v>1221</v>
      </c>
      <c r="O14" s="13">
        <v>1085</v>
      </c>
      <c r="P14" s="13">
        <v>1238</v>
      </c>
      <c r="Q14" s="13">
        <v>1876</v>
      </c>
      <c r="R14" s="13">
        <v>2413</v>
      </c>
      <c r="S14" s="13">
        <v>774</v>
      </c>
      <c r="T14" s="13">
        <v>1170</v>
      </c>
      <c r="U14" s="13">
        <v>822</v>
      </c>
    </row>
    <row r="15" spans="1:21">
      <c r="A15" s="5" t="s">
        <v>157</v>
      </c>
      <c r="C15" s="13">
        <v>1474.1</v>
      </c>
      <c r="D15" s="13">
        <v>1976.2</v>
      </c>
      <c r="E15" s="13">
        <v>2441.5</v>
      </c>
      <c r="F15" s="13">
        <v>2224.1999999999998</v>
      </c>
      <c r="G15" s="13">
        <v>2110.3000000000002</v>
      </c>
      <c r="H15" s="13">
        <v>1872.4</v>
      </c>
      <c r="I15" s="13">
        <v>2115</v>
      </c>
      <c r="J15" s="13">
        <v>2488</v>
      </c>
      <c r="K15" s="13">
        <v>2383</v>
      </c>
      <c r="L15" s="13">
        <v>2466</v>
      </c>
      <c r="M15" s="9"/>
      <c r="N15" s="13">
        <v>2460</v>
      </c>
      <c r="O15" s="13">
        <v>2383</v>
      </c>
      <c r="P15" s="13">
        <v>2387</v>
      </c>
      <c r="Q15" s="13">
        <v>2550</v>
      </c>
      <c r="R15" s="13">
        <v>2579</v>
      </c>
      <c r="S15" s="13">
        <v>2466</v>
      </c>
      <c r="T15" s="13">
        <v>2432</v>
      </c>
      <c r="U15" s="13">
        <v>2485</v>
      </c>
    </row>
    <row r="16" spans="1:21">
      <c r="A16" s="5" t="s">
        <v>158</v>
      </c>
      <c r="C16" s="13">
        <v>58.9</v>
      </c>
      <c r="D16" s="13">
        <v>58.8</v>
      </c>
      <c r="E16" s="13">
        <v>51.1</v>
      </c>
      <c r="F16" s="13">
        <v>50.2</v>
      </c>
      <c r="G16" s="13">
        <v>51.1</v>
      </c>
      <c r="H16" s="13">
        <v>55.6</v>
      </c>
      <c r="I16" s="13">
        <v>52</v>
      </c>
      <c r="J16" s="13">
        <v>53</v>
      </c>
      <c r="K16" s="13">
        <v>56</v>
      </c>
      <c r="L16" s="13">
        <v>61</v>
      </c>
      <c r="M16" s="9"/>
      <c r="N16" s="13">
        <v>54</v>
      </c>
      <c r="O16" s="13">
        <v>56</v>
      </c>
      <c r="P16" s="13">
        <v>51</v>
      </c>
      <c r="Q16" s="13">
        <v>55</v>
      </c>
      <c r="R16" s="13">
        <v>55</v>
      </c>
      <c r="S16" s="13">
        <v>61</v>
      </c>
      <c r="T16" s="13">
        <v>61</v>
      </c>
      <c r="U16" s="13">
        <v>58</v>
      </c>
    </row>
    <row r="17" spans="1:21">
      <c r="A17" s="5" t="s">
        <v>159</v>
      </c>
      <c r="C17" s="13">
        <v>565.20000000000005</v>
      </c>
      <c r="D17" s="13">
        <v>828.4</v>
      </c>
      <c r="E17" s="13">
        <v>694.6</v>
      </c>
      <c r="F17" s="13">
        <v>385</v>
      </c>
      <c r="G17" s="13">
        <v>632.70000000000005</v>
      </c>
      <c r="H17" s="13">
        <v>511.3</v>
      </c>
      <c r="I17" s="13">
        <v>673.4</v>
      </c>
      <c r="J17" s="13">
        <v>866</v>
      </c>
      <c r="K17" s="13">
        <v>1074</v>
      </c>
      <c r="L17" s="13">
        <v>863</v>
      </c>
      <c r="M17" s="9"/>
      <c r="N17" s="13">
        <v>1176</v>
      </c>
      <c r="O17" s="13">
        <v>1074</v>
      </c>
      <c r="P17" s="13">
        <v>1060</v>
      </c>
      <c r="Q17" s="13">
        <v>1120</v>
      </c>
      <c r="R17" s="13">
        <v>1032</v>
      </c>
      <c r="S17" s="13">
        <v>863</v>
      </c>
      <c r="T17" s="13">
        <v>1046</v>
      </c>
      <c r="U17" s="13">
        <v>980</v>
      </c>
    </row>
    <row r="18" spans="1:21">
      <c r="A18" s="5" t="s">
        <v>160</v>
      </c>
      <c r="C18" s="13">
        <v>1527</v>
      </c>
      <c r="D18" s="13">
        <v>0</v>
      </c>
      <c r="M18" s="9"/>
    </row>
    <row r="19" spans="1:21">
      <c r="A19" s="10" t="s">
        <v>161</v>
      </c>
      <c r="C19" s="15">
        <v>4848.6000000000004</v>
      </c>
      <c r="D19" s="15">
        <v>5327.2</v>
      </c>
      <c r="E19" s="15">
        <v>4053.2</v>
      </c>
      <c r="F19" s="15">
        <v>3557.9</v>
      </c>
      <c r="G19" s="15">
        <v>6243.2</v>
      </c>
      <c r="H19" s="15">
        <v>7148.5</v>
      </c>
      <c r="I19" s="15">
        <v>5424.2</v>
      </c>
      <c r="J19" s="15">
        <v>7986</v>
      </c>
      <c r="K19" s="15">
        <v>4599</v>
      </c>
      <c r="L19" s="15">
        <v>4163</v>
      </c>
      <c r="M19" s="16"/>
      <c r="N19" s="15">
        <v>4912</v>
      </c>
      <c r="O19" s="15">
        <v>4599</v>
      </c>
      <c r="P19" s="15">
        <v>4735</v>
      </c>
      <c r="Q19" s="15">
        <v>5601</v>
      </c>
      <c r="R19" s="15">
        <v>6079</v>
      </c>
      <c r="S19" s="15">
        <v>4163</v>
      </c>
      <c r="T19" s="15">
        <v>4709</v>
      </c>
      <c r="U19" s="15">
        <v>4345</v>
      </c>
    </row>
    <row r="20" spans="1:21">
      <c r="M20" s="9"/>
    </row>
    <row r="21" spans="1:21">
      <c r="A21" s="5" t="s">
        <v>162</v>
      </c>
      <c r="C21" s="13">
        <v>725.9</v>
      </c>
      <c r="D21" s="13">
        <v>1085.7</v>
      </c>
      <c r="E21" s="13">
        <v>1202.8</v>
      </c>
      <c r="F21" s="13">
        <v>1270.3</v>
      </c>
      <c r="G21" s="13">
        <v>1297.2</v>
      </c>
      <c r="H21" s="13">
        <v>1201.2</v>
      </c>
      <c r="I21" s="13">
        <v>1064.5</v>
      </c>
      <c r="J21" s="13">
        <v>1080</v>
      </c>
      <c r="K21" s="13">
        <v>2710</v>
      </c>
      <c r="L21" s="13">
        <v>2820</v>
      </c>
      <c r="M21" s="9"/>
      <c r="N21" s="13">
        <v>2960</v>
      </c>
      <c r="O21" s="13">
        <v>2710</v>
      </c>
      <c r="P21" s="13">
        <v>2751</v>
      </c>
      <c r="Q21" s="13">
        <v>2827</v>
      </c>
      <c r="R21" s="13">
        <v>2864</v>
      </c>
      <c r="S21" s="13">
        <v>2820</v>
      </c>
      <c r="T21" s="13">
        <v>2865</v>
      </c>
      <c r="U21" s="13">
        <v>2896</v>
      </c>
    </row>
    <row r="22" spans="1:21">
      <c r="A22" s="5" t="s">
        <v>163</v>
      </c>
      <c r="C22" s="13">
        <v>2336.5</v>
      </c>
      <c r="D22" s="13">
        <v>2379.6999999999998</v>
      </c>
      <c r="E22" s="13">
        <v>2331.5</v>
      </c>
      <c r="F22" s="13">
        <v>2677.4</v>
      </c>
      <c r="G22" s="13">
        <v>2773.1</v>
      </c>
      <c r="H22" s="13">
        <v>2782.5</v>
      </c>
      <c r="I22" s="13">
        <v>2900.4</v>
      </c>
      <c r="J22" s="13">
        <v>3040</v>
      </c>
      <c r="K22" s="13">
        <v>3145</v>
      </c>
      <c r="L22" s="13">
        <v>3354</v>
      </c>
      <c r="M22" s="9"/>
      <c r="N22" s="13">
        <v>3220</v>
      </c>
      <c r="O22" s="13">
        <v>3145</v>
      </c>
      <c r="P22" s="13">
        <v>3186</v>
      </c>
      <c r="Q22" s="13">
        <v>3308</v>
      </c>
      <c r="R22" s="13">
        <v>3306</v>
      </c>
      <c r="S22" s="13">
        <v>3354</v>
      </c>
      <c r="T22" s="13">
        <v>3349</v>
      </c>
      <c r="U22" s="13">
        <v>3347</v>
      </c>
    </row>
    <row r="23" spans="1:21">
      <c r="A23" s="5" t="s">
        <v>164</v>
      </c>
      <c r="C23" s="13">
        <v>1855.3</v>
      </c>
      <c r="D23" s="13">
        <v>2562.8000000000002</v>
      </c>
      <c r="E23" s="13">
        <v>2381</v>
      </c>
      <c r="F23" s="13">
        <v>2584</v>
      </c>
      <c r="G23" s="13">
        <v>3527.4</v>
      </c>
      <c r="H23" s="13">
        <v>4449.5</v>
      </c>
      <c r="I23" s="13">
        <v>4707.2</v>
      </c>
      <c r="J23" s="13">
        <v>5618</v>
      </c>
      <c r="K23" s="13">
        <v>6095</v>
      </c>
      <c r="L23" s="13">
        <v>6331</v>
      </c>
      <c r="M23" s="9"/>
      <c r="N23" s="13">
        <v>5673</v>
      </c>
      <c r="O23" s="13">
        <v>6095</v>
      </c>
      <c r="P23" s="13">
        <v>6265</v>
      </c>
      <c r="Q23" s="13">
        <v>6492</v>
      </c>
      <c r="R23" s="13">
        <v>6588</v>
      </c>
      <c r="S23" s="13">
        <v>6331</v>
      </c>
      <c r="T23" s="13">
        <v>6357</v>
      </c>
      <c r="U23" s="13">
        <v>6393</v>
      </c>
    </row>
    <row r="24" spans="1:21">
      <c r="A24" s="10" t="s">
        <v>165</v>
      </c>
      <c r="C24" s="15">
        <v>4917.7</v>
      </c>
      <c r="D24" s="15">
        <v>6028.2</v>
      </c>
      <c r="E24" s="15">
        <v>5915.3</v>
      </c>
      <c r="F24" s="15">
        <v>6531.7</v>
      </c>
      <c r="G24" s="15">
        <v>7597.7</v>
      </c>
      <c r="H24" s="15">
        <v>8433.2000000000007</v>
      </c>
      <c r="I24" s="15">
        <v>8672.1</v>
      </c>
      <c r="J24" s="15">
        <v>9738</v>
      </c>
      <c r="K24" s="15">
        <v>11950</v>
      </c>
      <c r="L24" s="15">
        <v>12505</v>
      </c>
      <c r="M24" s="16"/>
      <c r="N24" s="15">
        <v>11853</v>
      </c>
      <c r="O24" s="15">
        <v>11950</v>
      </c>
      <c r="P24" s="15">
        <v>12202</v>
      </c>
      <c r="Q24" s="15">
        <v>12628</v>
      </c>
      <c r="R24" s="15">
        <v>12758</v>
      </c>
      <c r="S24" s="15">
        <v>12505</v>
      </c>
      <c r="T24" s="15">
        <v>12571</v>
      </c>
      <c r="U24" s="15">
        <v>12637</v>
      </c>
    </row>
    <row r="25" spans="1:21" ht="24">
      <c r="A25" s="40" t="s">
        <v>166</v>
      </c>
      <c r="B25" s="14" t="s">
        <v>167</v>
      </c>
      <c r="E25" s="13">
        <v>0</v>
      </c>
      <c r="F25" s="13">
        <v>13261.2</v>
      </c>
      <c r="G25" s="13">
        <v>13827.7</v>
      </c>
      <c r="H25" s="13">
        <v>13552</v>
      </c>
      <c r="I25" s="13">
        <v>12565.7</v>
      </c>
      <c r="J25" s="13">
        <v>13514</v>
      </c>
      <c r="K25" s="13">
        <v>13339</v>
      </c>
      <c r="L25" s="13">
        <v>14606</v>
      </c>
      <c r="M25" s="9"/>
      <c r="N25" s="13">
        <v>13632</v>
      </c>
      <c r="O25" s="13">
        <v>13339</v>
      </c>
      <c r="P25" s="13">
        <v>13642</v>
      </c>
      <c r="Q25" s="13">
        <v>14286</v>
      </c>
      <c r="R25" s="13">
        <v>14285</v>
      </c>
      <c r="S25" s="13">
        <v>14606</v>
      </c>
      <c r="T25" s="13">
        <v>14513</v>
      </c>
      <c r="U25" s="13">
        <v>14459</v>
      </c>
    </row>
    <row r="26" spans="1:21">
      <c r="A26" s="40" t="s">
        <v>168</v>
      </c>
      <c r="C26" s="13">
        <v>34443.4</v>
      </c>
      <c r="D26" s="13">
        <v>36626.400000000001</v>
      </c>
      <c r="E26" s="13">
        <v>37193.599999999999</v>
      </c>
      <c r="F26" s="13">
        <v>39050.9</v>
      </c>
      <c r="G26" s="13">
        <v>41476.5</v>
      </c>
      <c r="H26" s="13">
        <v>41916.6</v>
      </c>
      <c r="I26" s="13">
        <v>41037.599999999999</v>
      </c>
      <c r="J26" s="13">
        <v>43570</v>
      </c>
      <c r="K26" s="13">
        <v>44177</v>
      </c>
      <c r="L26" s="13">
        <v>49290</v>
      </c>
      <c r="M26" s="9"/>
      <c r="N26" s="13">
        <v>45178</v>
      </c>
      <c r="O26" s="13">
        <v>44177</v>
      </c>
      <c r="P26" s="13">
        <v>45258</v>
      </c>
      <c r="Q26" s="13">
        <v>47609</v>
      </c>
      <c r="R26" s="13">
        <v>48215</v>
      </c>
      <c r="S26" s="13">
        <v>49290</v>
      </c>
      <c r="T26" s="13">
        <v>49477</v>
      </c>
      <c r="U26" s="13">
        <v>49943</v>
      </c>
    </row>
    <row r="27" spans="1:21">
      <c r="A27" s="5" t="s">
        <v>169</v>
      </c>
      <c r="C27" s="13">
        <v>-13185.8</v>
      </c>
      <c r="D27" s="13">
        <v>-14178.1</v>
      </c>
      <c r="E27" s="13">
        <v>-14350.9</v>
      </c>
      <c r="F27" s="13">
        <v>-14890.9</v>
      </c>
      <c r="G27" s="13">
        <v>-16518.3</v>
      </c>
      <c r="H27" s="13">
        <v>-17196</v>
      </c>
      <c r="I27" s="13">
        <v>-17264</v>
      </c>
      <c r="J27" s="13">
        <v>-18662</v>
      </c>
      <c r="K27" s="13">
        <v>-18882</v>
      </c>
      <c r="L27" s="13">
        <v>-21049</v>
      </c>
      <c r="M27" s="9"/>
      <c r="N27" s="13">
        <v>-19403</v>
      </c>
      <c r="O27" s="13">
        <v>-18882</v>
      </c>
      <c r="P27" s="13">
        <v>-19509</v>
      </c>
      <c r="Q27" s="13">
        <v>-20570</v>
      </c>
      <c r="R27" s="13">
        <v>-20729</v>
      </c>
      <c r="S27" s="13">
        <v>-21049</v>
      </c>
      <c r="T27" s="13">
        <v>-21232</v>
      </c>
      <c r="U27" s="13">
        <v>-21464</v>
      </c>
    </row>
    <row r="28" spans="1:21">
      <c r="A28" s="10" t="s">
        <v>170</v>
      </c>
      <c r="C28" s="15">
        <v>21257.599999999999</v>
      </c>
      <c r="D28" s="15">
        <v>22448.3</v>
      </c>
      <c r="E28" s="15">
        <v>22842.7</v>
      </c>
      <c r="F28" s="15">
        <v>24160</v>
      </c>
      <c r="G28" s="15">
        <v>24958.2</v>
      </c>
      <c r="H28" s="15">
        <v>24720.6</v>
      </c>
      <c r="I28" s="15">
        <v>23773.599999999999</v>
      </c>
      <c r="J28" s="15">
        <v>24908</v>
      </c>
      <c r="K28" s="15">
        <v>25295</v>
      </c>
      <c r="L28" s="15">
        <v>28241</v>
      </c>
      <c r="M28" s="16"/>
      <c r="N28" s="15">
        <v>25775</v>
      </c>
      <c r="O28" s="15">
        <v>25295</v>
      </c>
      <c r="P28" s="15">
        <v>25749</v>
      </c>
      <c r="Q28" s="15">
        <v>27039</v>
      </c>
      <c r="R28" s="15">
        <v>27486</v>
      </c>
      <c r="S28" s="15">
        <v>28241</v>
      </c>
      <c r="T28" s="15">
        <v>28245</v>
      </c>
      <c r="U28" s="15">
        <v>28479</v>
      </c>
    </row>
    <row r="29" spans="1:21">
      <c r="A29" s="10" t="s">
        <v>171</v>
      </c>
      <c r="C29" s="15">
        <v>31023.9</v>
      </c>
      <c r="D29" s="15">
        <v>33803.699999999997</v>
      </c>
      <c r="E29" s="15">
        <v>32811.199999999997</v>
      </c>
      <c r="F29" s="15">
        <v>47510.8</v>
      </c>
      <c r="G29" s="15">
        <v>52626.8</v>
      </c>
      <c r="H29" s="15">
        <v>53854.3</v>
      </c>
      <c r="I29" s="15">
        <v>50435.6</v>
      </c>
      <c r="J29" s="15">
        <v>56147</v>
      </c>
      <c r="K29" s="15">
        <v>55182</v>
      </c>
      <c r="L29" s="15">
        <v>59515</v>
      </c>
      <c r="M29" s="16"/>
      <c r="N29" s="15">
        <v>56172</v>
      </c>
      <c r="O29" s="15">
        <v>55182</v>
      </c>
      <c r="P29" s="15">
        <v>56329</v>
      </c>
      <c r="Q29" s="15">
        <v>59555</v>
      </c>
      <c r="R29" s="15">
        <v>60608</v>
      </c>
      <c r="S29" s="15">
        <v>59515</v>
      </c>
      <c r="T29" s="15">
        <v>60037</v>
      </c>
      <c r="U29" s="15">
        <v>59920</v>
      </c>
    </row>
    <row r="30" spans="1:21" ht="8" customHeight="1">
      <c r="M30" s="9"/>
    </row>
    <row r="31" spans="1:21" ht="20" customHeight="1">
      <c r="A31" s="12" t="s">
        <v>172</v>
      </c>
      <c r="B31" s="1"/>
      <c r="C31" s="1"/>
      <c r="D31" s="1"/>
      <c r="E31" s="1"/>
      <c r="F31" s="1"/>
      <c r="G31" s="1"/>
      <c r="H31" s="1"/>
      <c r="I31" s="1"/>
      <c r="J31" s="1"/>
      <c r="K31" s="1"/>
      <c r="L31" s="1"/>
      <c r="M31" s="9"/>
      <c r="N31" s="1"/>
      <c r="O31" s="1"/>
      <c r="P31" s="1"/>
      <c r="Q31" s="1"/>
      <c r="R31" s="1"/>
      <c r="S31" s="1"/>
      <c r="T31" s="1"/>
      <c r="U31" s="1"/>
    </row>
    <row r="32" spans="1:21">
      <c r="A32" s="5" t="s">
        <v>173</v>
      </c>
      <c r="C32" s="13">
        <v>756</v>
      </c>
      <c r="D32" s="13">
        <v>924.8</v>
      </c>
      <c r="E32" s="13">
        <v>1207.9000000000001</v>
      </c>
      <c r="F32" s="13">
        <v>988.2</v>
      </c>
      <c r="G32" s="13">
        <v>741.3</v>
      </c>
      <c r="H32" s="13">
        <v>1006.8</v>
      </c>
      <c r="I32" s="13">
        <v>980.2</v>
      </c>
      <c r="J32" s="13">
        <v>1103</v>
      </c>
      <c r="K32" s="13">
        <v>1029</v>
      </c>
      <c r="L32" s="13">
        <v>1149</v>
      </c>
      <c r="M32" s="9"/>
      <c r="N32" s="13">
        <v>944</v>
      </c>
      <c r="O32" s="13">
        <v>1029</v>
      </c>
      <c r="P32" s="13">
        <v>882</v>
      </c>
      <c r="Q32" s="13">
        <v>838</v>
      </c>
      <c r="R32" s="13">
        <v>972</v>
      </c>
      <c r="S32" s="13">
        <v>1149</v>
      </c>
      <c r="T32" s="13">
        <v>1091</v>
      </c>
      <c r="U32" s="13">
        <v>1114</v>
      </c>
    </row>
    <row r="33" spans="1:21">
      <c r="A33" s="5" t="s">
        <v>174</v>
      </c>
      <c r="E33" s="13">
        <v>0</v>
      </c>
      <c r="F33" s="13">
        <v>621</v>
      </c>
      <c r="G33" s="13">
        <v>701.5</v>
      </c>
      <c r="H33" s="13">
        <v>705.5</v>
      </c>
      <c r="I33" s="13">
        <v>661.1</v>
      </c>
      <c r="J33" s="13">
        <v>688</v>
      </c>
      <c r="K33" s="13">
        <v>636</v>
      </c>
      <c r="L33" s="13">
        <v>694</v>
      </c>
      <c r="M33" s="9"/>
      <c r="N33" s="13">
        <v>668</v>
      </c>
      <c r="O33" s="13">
        <v>636</v>
      </c>
      <c r="P33" s="13">
        <v>663</v>
      </c>
      <c r="Q33" s="13">
        <v>686</v>
      </c>
      <c r="R33" s="13">
        <v>698</v>
      </c>
      <c r="S33" s="13">
        <v>694</v>
      </c>
      <c r="T33" s="13">
        <v>707</v>
      </c>
      <c r="U33" s="13">
        <v>690</v>
      </c>
    </row>
    <row r="34" spans="1:21">
      <c r="A34" s="5" t="s">
        <v>175</v>
      </c>
      <c r="C34" s="13">
        <v>267.2</v>
      </c>
      <c r="D34" s="13">
        <v>265.8</v>
      </c>
      <c r="E34" s="13">
        <v>228.3</v>
      </c>
      <c r="F34" s="13">
        <v>331.7</v>
      </c>
      <c r="G34" s="13">
        <v>741.1</v>
      </c>
      <c r="H34" s="13">
        <v>360.7</v>
      </c>
      <c r="I34" s="13">
        <v>274.89999999999998</v>
      </c>
      <c r="J34" s="13">
        <v>705</v>
      </c>
      <c r="K34" s="13">
        <v>361</v>
      </c>
      <c r="L34" s="13">
        <v>250</v>
      </c>
      <c r="M34" s="9"/>
      <c r="N34" s="13">
        <v>786</v>
      </c>
      <c r="O34" s="13">
        <v>361</v>
      </c>
      <c r="P34" s="13">
        <v>556</v>
      </c>
      <c r="Q34" s="13">
        <v>24</v>
      </c>
      <c r="R34" s="13">
        <v>367</v>
      </c>
      <c r="S34" s="13">
        <v>250</v>
      </c>
      <c r="T34" s="13">
        <v>391</v>
      </c>
      <c r="U34" s="13">
        <v>327</v>
      </c>
    </row>
    <row r="35" spans="1:21">
      <c r="A35" s="5" t="s">
        <v>176</v>
      </c>
      <c r="C35" s="13">
        <v>266.3</v>
      </c>
      <c r="D35" s="13">
        <v>275.39999999999998</v>
      </c>
      <c r="E35" s="13">
        <v>253.7</v>
      </c>
      <c r="F35" s="13">
        <v>247.5</v>
      </c>
      <c r="G35" s="13">
        <v>227</v>
      </c>
      <c r="H35" s="13">
        <v>236.7</v>
      </c>
      <c r="I35" s="13">
        <v>255.1</v>
      </c>
      <c r="J35" s="13">
        <v>268</v>
      </c>
      <c r="K35" s="13">
        <v>224</v>
      </c>
      <c r="L35" s="13">
        <v>247</v>
      </c>
      <c r="M35" s="9"/>
      <c r="N35" s="13">
        <v>263</v>
      </c>
      <c r="O35" s="13">
        <v>224</v>
      </c>
      <c r="P35" s="13">
        <v>235</v>
      </c>
      <c r="Q35" s="13">
        <v>245</v>
      </c>
      <c r="R35" s="13">
        <v>242</v>
      </c>
      <c r="S35" s="13">
        <v>247</v>
      </c>
      <c r="T35" s="13">
        <v>253</v>
      </c>
      <c r="U35" s="13">
        <v>261</v>
      </c>
    </row>
    <row r="36" spans="1:21">
      <c r="A36" s="5" t="s">
        <v>177</v>
      </c>
      <c r="C36" s="13">
        <v>247.5</v>
      </c>
      <c r="D36" s="13">
        <v>278.39999999999998</v>
      </c>
      <c r="E36" s="13">
        <v>297</v>
      </c>
      <c r="F36" s="13">
        <v>337.8</v>
      </c>
      <c r="G36" s="13">
        <v>388.4</v>
      </c>
      <c r="H36" s="13">
        <v>363.3</v>
      </c>
      <c r="I36" s="13">
        <v>393.4</v>
      </c>
      <c r="J36" s="13">
        <v>469</v>
      </c>
      <c r="K36" s="13">
        <v>482</v>
      </c>
      <c r="L36" s="13">
        <v>533</v>
      </c>
      <c r="M36" s="9"/>
      <c r="N36" s="13">
        <v>433</v>
      </c>
      <c r="O36" s="13">
        <v>482</v>
      </c>
      <c r="P36" s="13">
        <v>401</v>
      </c>
      <c r="Q36" s="13">
        <v>451</v>
      </c>
      <c r="R36" s="13">
        <v>471</v>
      </c>
      <c r="S36" s="13">
        <v>533</v>
      </c>
      <c r="T36" s="13">
        <v>448</v>
      </c>
      <c r="U36" s="13">
        <v>428</v>
      </c>
    </row>
    <row r="37" spans="1:21">
      <c r="A37" s="5" t="s">
        <v>178</v>
      </c>
      <c r="C37" s="13">
        <v>1159.3</v>
      </c>
      <c r="D37" s="13">
        <v>1146.2</v>
      </c>
      <c r="E37" s="13">
        <v>986.6</v>
      </c>
      <c r="F37" s="13">
        <v>1035.7</v>
      </c>
      <c r="G37" s="13">
        <v>1138.3</v>
      </c>
      <c r="H37" s="13">
        <v>1347</v>
      </c>
      <c r="I37" s="13">
        <v>1237.4000000000001</v>
      </c>
      <c r="J37" s="13">
        <v>1434</v>
      </c>
      <c r="K37" s="13">
        <v>1129</v>
      </c>
      <c r="L37" s="13">
        <v>1488</v>
      </c>
      <c r="M37" s="9"/>
      <c r="N37" s="13">
        <v>1353</v>
      </c>
      <c r="O37" s="13">
        <v>1129</v>
      </c>
      <c r="P37" s="13">
        <v>1191</v>
      </c>
      <c r="Q37" s="13">
        <v>1452</v>
      </c>
      <c r="R37" s="13">
        <v>1529</v>
      </c>
      <c r="S37" s="13">
        <v>1488</v>
      </c>
      <c r="T37" s="13">
        <v>1257</v>
      </c>
      <c r="U37" s="13">
        <v>1198</v>
      </c>
    </row>
    <row r="38" spans="1:21">
      <c r="A38" s="5" t="s">
        <v>179</v>
      </c>
      <c r="B38" s="14" t="s">
        <v>180</v>
      </c>
      <c r="M38" s="9"/>
      <c r="N38" s="13">
        <v>1265</v>
      </c>
    </row>
    <row r="39" spans="1:21" ht="24">
      <c r="A39" s="5" t="s">
        <v>181</v>
      </c>
      <c r="B39" s="14" t="s">
        <v>182</v>
      </c>
      <c r="C39" s="13">
        <v>77.2</v>
      </c>
      <c r="D39" s="13">
        <v>0</v>
      </c>
      <c r="E39" s="13">
        <v>0</v>
      </c>
      <c r="F39" s="13">
        <v>59.1</v>
      </c>
      <c r="G39" s="13">
        <v>2243.6</v>
      </c>
      <c r="H39" s="13">
        <v>0</v>
      </c>
      <c r="I39" s="13">
        <v>0</v>
      </c>
      <c r="J39" s="13">
        <v>2192</v>
      </c>
      <c r="K39" s="13">
        <v>0</v>
      </c>
      <c r="M39" s="9"/>
      <c r="N39" s="13">
        <v>596</v>
      </c>
      <c r="O39" s="13">
        <v>0</v>
      </c>
      <c r="P39" s="13">
        <v>80</v>
      </c>
      <c r="Q39" s="13">
        <v>602</v>
      </c>
      <c r="R39" s="13">
        <v>1800</v>
      </c>
    </row>
    <row r="40" spans="1:21">
      <c r="A40" s="5" t="s">
        <v>183</v>
      </c>
      <c r="C40" s="13">
        <v>694.8</v>
      </c>
      <c r="D40" s="13">
        <v>0</v>
      </c>
      <c r="M40" s="9"/>
    </row>
    <row r="41" spans="1:21">
      <c r="A41" s="10" t="s">
        <v>184</v>
      </c>
      <c r="C41" s="15">
        <v>3468.3</v>
      </c>
      <c r="D41" s="15">
        <v>2890.6</v>
      </c>
      <c r="E41" s="15">
        <v>2973.5</v>
      </c>
      <c r="F41" s="15">
        <v>3621</v>
      </c>
      <c r="G41" s="15">
        <v>6181.2</v>
      </c>
      <c r="H41" s="15">
        <v>4020</v>
      </c>
      <c r="I41" s="15">
        <v>3802.1</v>
      </c>
      <c r="J41" s="15">
        <v>6859</v>
      </c>
      <c r="K41" s="15">
        <v>3861</v>
      </c>
      <c r="L41" s="15">
        <v>4361</v>
      </c>
      <c r="M41" s="16"/>
      <c r="N41" s="15">
        <v>6308</v>
      </c>
      <c r="O41" s="15">
        <v>3861</v>
      </c>
      <c r="P41" s="15">
        <v>4008</v>
      </c>
      <c r="Q41" s="15">
        <v>4298</v>
      </c>
      <c r="R41" s="15">
        <v>6079</v>
      </c>
      <c r="S41" s="15">
        <v>4361</v>
      </c>
      <c r="T41" s="15">
        <v>4146</v>
      </c>
      <c r="U41" s="15">
        <v>4018</v>
      </c>
    </row>
    <row r="42" spans="1:21">
      <c r="A42" s="5" t="s">
        <v>185</v>
      </c>
      <c r="C42" s="13">
        <v>25878.5</v>
      </c>
      <c r="D42" s="13">
        <v>29536.400000000001</v>
      </c>
      <c r="E42" s="13">
        <v>31075.3</v>
      </c>
      <c r="F42" s="13">
        <v>34118.1</v>
      </c>
      <c r="G42" s="13">
        <v>35196.800000000003</v>
      </c>
      <c r="H42" s="13">
        <v>35622.699999999997</v>
      </c>
      <c r="I42" s="13">
        <v>35903.5</v>
      </c>
      <c r="J42" s="13">
        <v>37153</v>
      </c>
      <c r="K42" s="13">
        <v>38424</v>
      </c>
      <c r="L42" s="13">
        <v>39973</v>
      </c>
      <c r="M42" s="9"/>
      <c r="N42" s="13">
        <v>38990</v>
      </c>
      <c r="O42" s="13">
        <v>38424</v>
      </c>
      <c r="P42" s="13">
        <v>38845</v>
      </c>
      <c r="Q42" s="13">
        <v>40801</v>
      </c>
      <c r="R42" s="13">
        <v>39483</v>
      </c>
      <c r="S42" s="13">
        <v>39973</v>
      </c>
      <c r="T42" s="13">
        <v>40105</v>
      </c>
      <c r="U42" s="13">
        <v>39863</v>
      </c>
    </row>
    <row r="43" spans="1:21">
      <c r="A43" s="5" t="s">
        <v>186</v>
      </c>
      <c r="E43" s="13">
        <v>0</v>
      </c>
      <c r="F43" s="13">
        <v>12757.8</v>
      </c>
      <c r="G43" s="13">
        <v>13321.3</v>
      </c>
      <c r="H43" s="13">
        <v>13020.9</v>
      </c>
      <c r="I43" s="13">
        <v>12134.4</v>
      </c>
      <c r="J43" s="13">
        <v>13058</v>
      </c>
      <c r="K43" s="13">
        <v>12888</v>
      </c>
      <c r="L43" s="13">
        <v>14147</v>
      </c>
      <c r="M43" s="9"/>
      <c r="N43" s="13">
        <v>13157</v>
      </c>
      <c r="O43" s="13">
        <v>12888</v>
      </c>
      <c r="P43" s="13">
        <v>13175</v>
      </c>
      <c r="Q43" s="13">
        <v>13778</v>
      </c>
      <c r="R43" s="13">
        <v>13837</v>
      </c>
      <c r="S43" s="13">
        <v>14147</v>
      </c>
      <c r="T43" s="13">
        <v>14069</v>
      </c>
      <c r="U43" s="13">
        <v>14039</v>
      </c>
    </row>
    <row r="44" spans="1:21" ht="24">
      <c r="A44" s="5" t="s">
        <v>187</v>
      </c>
      <c r="B44" s="14" t="s">
        <v>188</v>
      </c>
      <c r="C44" s="13">
        <v>1010.6</v>
      </c>
      <c r="D44" s="13">
        <v>2370.9</v>
      </c>
      <c r="E44" s="13">
        <v>2081.1999999999998</v>
      </c>
      <c r="F44" s="13">
        <v>2265.9</v>
      </c>
      <c r="G44" s="13">
        <v>1970.7</v>
      </c>
      <c r="H44" s="13">
        <v>1896.8</v>
      </c>
      <c r="I44" s="13">
        <v>791.9</v>
      </c>
      <c r="J44" s="13">
        <v>363</v>
      </c>
      <c r="K44" s="13">
        <v>344</v>
      </c>
      <c r="L44" s="13">
        <v>139</v>
      </c>
      <c r="M44" s="9"/>
      <c r="N44" s="13">
        <v>74</v>
      </c>
      <c r="O44" s="13">
        <v>344</v>
      </c>
      <c r="P44" s="13">
        <v>365</v>
      </c>
      <c r="Q44" s="13">
        <v>292</v>
      </c>
      <c r="R44" s="13">
        <v>285</v>
      </c>
      <c r="S44" s="13">
        <v>139</v>
      </c>
      <c r="T44" s="13">
        <v>151</v>
      </c>
      <c r="U44" s="13">
        <v>176</v>
      </c>
    </row>
    <row r="45" spans="1:21">
      <c r="A45" s="5" t="s">
        <v>189</v>
      </c>
      <c r="B45" s="14" t="s">
        <v>190</v>
      </c>
      <c r="D45" s="13">
        <v>0</v>
      </c>
      <c r="E45" s="13">
        <v>627.79999999999995</v>
      </c>
      <c r="F45" s="13">
        <v>660.6</v>
      </c>
      <c r="G45" s="13">
        <v>702</v>
      </c>
      <c r="H45" s="13">
        <v>738.3</v>
      </c>
      <c r="I45" s="13">
        <v>757.8</v>
      </c>
      <c r="J45" s="13">
        <v>790</v>
      </c>
      <c r="K45" s="13">
        <v>778</v>
      </c>
      <c r="L45" s="13">
        <v>945</v>
      </c>
      <c r="M45" s="9"/>
      <c r="N45" s="13">
        <v>800</v>
      </c>
      <c r="O45" s="13">
        <v>778</v>
      </c>
      <c r="P45" s="13">
        <v>914</v>
      </c>
      <c r="Q45" s="13">
        <v>933</v>
      </c>
      <c r="R45" s="13">
        <v>936</v>
      </c>
      <c r="S45" s="13">
        <v>945</v>
      </c>
      <c r="T45" s="13">
        <v>946</v>
      </c>
      <c r="U45" s="13">
        <v>946</v>
      </c>
    </row>
    <row r="46" spans="1:21">
      <c r="A46" s="5" t="s">
        <v>191</v>
      </c>
      <c r="C46" s="13">
        <v>1053.7</v>
      </c>
      <c r="D46" s="13">
        <v>1154.4000000000001</v>
      </c>
      <c r="E46" s="13">
        <v>1096.3</v>
      </c>
      <c r="F46" s="13">
        <v>979.6</v>
      </c>
      <c r="G46" s="13">
        <v>1054.0999999999999</v>
      </c>
      <c r="H46" s="13">
        <v>1081</v>
      </c>
      <c r="I46" s="13">
        <v>1051.8</v>
      </c>
      <c r="J46" s="13">
        <v>950</v>
      </c>
      <c r="K46" s="13">
        <v>771</v>
      </c>
      <c r="L46" s="13">
        <v>704</v>
      </c>
      <c r="M46" s="9"/>
      <c r="N46" s="13">
        <v>855</v>
      </c>
      <c r="O46" s="13">
        <v>771</v>
      </c>
      <c r="P46" s="13">
        <v>755</v>
      </c>
      <c r="Q46" s="13">
        <v>790</v>
      </c>
      <c r="R46" s="13">
        <v>694</v>
      </c>
      <c r="S46" s="13">
        <v>704</v>
      </c>
      <c r="T46" s="13">
        <v>686</v>
      </c>
      <c r="U46" s="13">
        <v>677</v>
      </c>
    </row>
    <row r="47" spans="1:21">
      <c r="A47" s="5" t="s">
        <v>192</v>
      </c>
      <c r="C47" s="13">
        <v>1817.1</v>
      </c>
      <c r="D47" s="13">
        <v>1119.4000000000001</v>
      </c>
      <c r="E47" s="13">
        <v>1215.5</v>
      </c>
      <c r="F47" s="13">
        <v>1318.1</v>
      </c>
      <c r="G47" s="13">
        <v>2025.6</v>
      </c>
      <c r="H47" s="13">
        <v>2075.6</v>
      </c>
      <c r="I47" s="13">
        <v>1997.5</v>
      </c>
      <c r="J47" s="13">
        <v>1681</v>
      </c>
      <c r="K47" s="13">
        <v>1914</v>
      </c>
      <c r="L47" s="13">
        <v>1038</v>
      </c>
      <c r="M47" s="9"/>
      <c r="N47" s="13">
        <v>1166</v>
      </c>
      <c r="O47" s="13">
        <v>1914</v>
      </c>
      <c r="P47" s="13">
        <v>1721</v>
      </c>
      <c r="Q47" s="13">
        <v>1423</v>
      </c>
      <c r="R47" s="13">
        <v>1457</v>
      </c>
      <c r="S47" s="13">
        <v>1038</v>
      </c>
      <c r="T47" s="13">
        <v>1220</v>
      </c>
      <c r="U47" s="13">
        <v>1222</v>
      </c>
    </row>
    <row r="48" spans="1:21" ht="8" customHeight="1">
      <c r="M48" s="9"/>
    </row>
    <row r="49" spans="1:21" ht="20" customHeight="1">
      <c r="A49" s="12" t="s">
        <v>193</v>
      </c>
      <c r="B49" s="1"/>
      <c r="C49" s="1"/>
      <c r="D49" s="1"/>
      <c r="E49" s="1"/>
      <c r="F49" s="1"/>
      <c r="G49" s="1"/>
      <c r="H49" s="1"/>
      <c r="I49" s="1"/>
      <c r="J49" s="1"/>
      <c r="K49" s="1"/>
      <c r="L49" s="1"/>
      <c r="M49" s="9"/>
      <c r="N49" s="1"/>
      <c r="O49" s="1"/>
      <c r="P49" s="1"/>
      <c r="Q49" s="1"/>
      <c r="R49" s="1"/>
      <c r="S49" s="1"/>
      <c r="T49" s="1"/>
      <c r="U49" s="1"/>
    </row>
    <row r="50" spans="1:21">
      <c r="A50" s="5" t="s">
        <v>194</v>
      </c>
      <c r="C50" s="13">
        <v>0</v>
      </c>
      <c r="D50" s="13">
        <v>0</v>
      </c>
      <c r="E50" s="13">
        <v>0</v>
      </c>
      <c r="F50" s="13">
        <v>0</v>
      </c>
      <c r="G50" s="13">
        <v>0</v>
      </c>
      <c r="H50" s="13">
        <v>0</v>
      </c>
      <c r="I50" s="13">
        <v>0</v>
      </c>
      <c r="J50" s="13">
        <v>0</v>
      </c>
      <c r="K50" s="13">
        <v>0</v>
      </c>
      <c r="L50" s="13">
        <v>0</v>
      </c>
      <c r="M50" s="9"/>
      <c r="N50" s="13">
        <v>0</v>
      </c>
      <c r="O50" s="13">
        <v>0</v>
      </c>
      <c r="P50" s="13">
        <v>0</v>
      </c>
      <c r="Q50" s="13">
        <v>0</v>
      </c>
      <c r="R50" s="13">
        <v>0</v>
      </c>
      <c r="S50" s="13">
        <v>0</v>
      </c>
      <c r="T50" s="13">
        <v>0</v>
      </c>
      <c r="U50" s="13">
        <v>0</v>
      </c>
    </row>
    <row r="51" spans="1:21">
      <c r="A51" s="5" t="s">
        <v>195</v>
      </c>
      <c r="C51" s="13">
        <v>16.600000000000001</v>
      </c>
      <c r="D51" s="13">
        <v>16.600000000000001</v>
      </c>
      <c r="E51" s="13">
        <v>16.600000000000001</v>
      </c>
      <c r="F51" s="13">
        <v>16.600000000000001</v>
      </c>
      <c r="G51" s="13">
        <v>16.600000000000001</v>
      </c>
      <c r="H51" s="13">
        <v>16.600000000000001</v>
      </c>
      <c r="I51" s="13">
        <v>16.600000000000001</v>
      </c>
      <c r="J51" s="13">
        <v>17</v>
      </c>
      <c r="K51" s="13">
        <v>17</v>
      </c>
      <c r="L51" s="13">
        <v>17</v>
      </c>
      <c r="M51" s="9"/>
      <c r="N51" s="13">
        <v>17</v>
      </c>
      <c r="O51" s="13">
        <v>17</v>
      </c>
      <c r="P51" s="13">
        <v>17</v>
      </c>
      <c r="Q51" s="13">
        <v>17</v>
      </c>
      <c r="R51" s="13">
        <v>17</v>
      </c>
      <c r="S51" s="13">
        <v>17</v>
      </c>
      <c r="T51" s="13">
        <v>17</v>
      </c>
      <c r="U51" s="13">
        <v>17</v>
      </c>
    </row>
    <row r="52" spans="1:21">
      <c r="A52" s="5" t="s">
        <v>196</v>
      </c>
      <c r="C52" s="13">
        <v>6757.9</v>
      </c>
      <c r="D52" s="13">
        <v>7072.4</v>
      </c>
      <c r="E52" s="13">
        <v>7376</v>
      </c>
      <c r="F52" s="13">
        <v>7653.9</v>
      </c>
      <c r="G52" s="13">
        <v>7903.6</v>
      </c>
      <c r="H52" s="13">
        <v>8231.6</v>
      </c>
      <c r="I52" s="13">
        <v>8547.1</v>
      </c>
      <c r="J52" s="13">
        <v>8893</v>
      </c>
      <c r="K52" s="13">
        <v>9281</v>
      </c>
      <c r="L52" s="13">
        <v>9641</v>
      </c>
      <c r="M52" s="9"/>
      <c r="N52" s="13">
        <v>9194</v>
      </c>
      <c r="O52" s="13">
        <v>9281</v>
      </c>
      <c r="P52" s="13">
        <v>9423</v>
      </c>
      <c r="Q52" s="13">
        <v>9500</v>
      </c>
      <c r="R52" s="13">
        <v>9560</v>
      </c>
      <c r="S52" s="13">
        <v>9641</v>
      </c>
      <c r="T52" s="13">
        <v>9792</v>
      </c>
      <c r="U52" s="13">
        <v>9841</v>
      </c>
    </row>
    <row r="53" spans="1:21">
      <c r="A53" s="5" t="s">
        <v>197</v>
      </c>
      <c r="C53" s="13">
        <v>46222.7</v>
      </c>
      <c r="D53" s="13">
        <v>48325.8</v>
      </c>
      <c r="E53" s="13">
        <v>50487</v>
      </c>
      <c r="F53" s="13">
        <v>52930.5</v>
      </c>
      <c r="G53" s="13">
        <v>53908.1</v>
      </c>
      <c r="H53" s="13">
        <v>57534.7</v>
      </c>
      <c r="I53" s="13">
        <v>59543.9</v>
      </c>
      <c r="J53" s="13">
        <v>63480</v>
      </c>
      <c r="K53" s="13">
        <v>66834</v>
      </c>
      <c r="L53" s="13">
        <v>70282</v>
      </c>
      <c r="M53" s="9"/>
      <c r="N53" s="13">
        <v>64819</v>
      </c>
      <c r="O53" s="13">
        <v>66834</v>
      </c>
      <c r="P53" s="13">
        <v>67436</v>
      </c>
      <c r="Q53" s="13">
        <v>68424</v>
      </c>
      <c r="R53" s="13">
        <v>69440</v>
      </c>
      <c r="S53" s="13">
        <v>70282</v>
      </c>
      <c r="T53" s="13">
        <v>70942</v>
      </c>
      <c r="U53" s="13">
        <v>71987</v>
      </c>
    </row>
    <row r="54" spans="1:21">
      <c r="A54" s="5" t="s">
        <v>198</v>
      </c>
      <c r="C54" s="13">
        <v>-3092.9</v>
      </c>
      <c r="D54" s="13">
        <v>-2178.4</v>
      </c>
      <c r="E54" s="13">
        <v>-2609.5</v>
      </c>
      <c r="F54" s="13">
        <v>-2482.6999999999998</v>
      </c>
      <c r="G54" s="13">
        <v>-2586.8000000000002</v>
      </c>
      <c r="H54" s="13">
        <v>-2573.6999999999998</v>
      </c>
      <c r="I54" s="13">
        <v>-2486.6</v>
      </c>
      <c r="J54" s="13">
        <v>-2456</v>
      </c>
      <c r="K54" s="13">
        <v>-2553</v>
      </c>
      <c r="L54" s="13">
        <v>-2414</v>
      </c>
      <c r="M54" s="9"/>
      <c r="N54" s="13">
        <v>-2337</v>
      </c>
      <c r="O54" s="13">
        <v>-2553</v>
      </c>
      <c r="P54" s="13">
        <v>-2557</v>
      </c>
      <c r="Q54" s="13">
        <v>-2430</v>
      </c>
      <c r="R54" s="13">
        <v>-2414</v>
      </c>
      <c r="S54" s="13">
        <v>-2414</v>
      </c>
      <c r="T54" s="13">
        <v>-2363</v>
      </c>
      <c r="U54" s="13">
        <v>-2340</v>
      </c>
    </row>
    <row r="55" spans="1:21">
      <c r="A55" s="5" t="s">
        <v>199</v>
      </c>
      <c r="C55" s="13">
        <v>-52108.6</v>
      </c>
      <c r="D55" s="13">
        <v>-56504.4</v>
      </c>
      <c r="E55" s="13">
        <v>-61528.5</v>
      </c>
      <c r="F55" s="13">
        <v>-66328.600000000006</v>
      </c>
      <c r="G55" s="13">
        <v>-67066.399999999994</v>
      </c>
      <c r="H55" s="13">
        <v>-67810.2</v>
      </c>
      <c r="I55" s="13">
        <v>-71624.399999999994</v>
      </c>
      <c r="J55" s="13">
        <v>-74640</v>
      </c>
      <c r="K55" s="13">
        <v>-77375</v>
      </c>
      <c r="L55" s="13">
        <v>-79316</v>
      </c>
      <c r="M55" s="9"/>
      <c r="N55" s="13">
        <v>-76870</v>
      </c>
      <c r="O55" s="13">
        <v>-77375</v>
      </c>
      <c r="P55" s="13">
        <v>-77773</v>
      </c>
      <c r="Q55" s="13">
        <v>-78271</v>
      </c>
      <c r="R55" s="13">
        <v>-78766</v>
      </c>
      <c r="S55" s="13">
        <v>-79316</v>
      </c>
      <c r="T55" s="13">
        <v>-79673</v>
      </c>
      <c r="U55" s="13">
        <v>-80527</v>
      </c>
    </row>
    <row r="56" spans="1:21">
      <c r="A56" s="10" t="s">
        <v>200</v>
      </c>
      <c r="C56" s="15">
        <v>-2204.3000000000002</v>
      </c>
      <c r="D56" s="15">
        <v>-3268</v>
      </c>
      <c r="E56" s="15">
        <v>-6258.4</v>
      </c>
      <c r="F56" s="15">
        <v>-8210.2999999999993</v>
      </c>
      <c r="G56" s="15">
        <v>-7824.9</v>
      </c>
      <c r="H56" s="15">
        <v>-4601</v>
      </c>
      <c r="I56" s="15">
        <v>-6003.4</v>
      </c>
      <c r="J56" s="15">
        <v>-4707</v>
      </c>
      <c r="K56" s="15">
        <v>-3797</v>
      </c>
      <c r="L56" s="15">
        <v>-1791</v>
      </c>
      <c r="M56" s="16"/>
      <c r="N56" s="15">
        <v>-5177</v>
      </c>
      <c r="O56" s="15">
        <v>-3797</v>
      </c>
      <c r="P56" s="15">
        <v>-3454</v>
      </c>
      <c r="Q56" s="15">
        <v>-2760</v>
      </c>
      <c r="R56" s="15">
        <v>-2163</v>
      </c>
      <c r="S56" s="15">
        <v>-1791</v>
      </c>
      <c r="T56" s="15">
        <v>-1286</v>
      </c>
      <c r="U56" s="15">
        <v>-1023</v>
      </c>
    </row>
    <row r="57" spans="1:21">
      <c r="A57" s="10" t="s">
        <v>201</v>
      </c>
      <c r="C57" s="15">
        <v>31023.9</v>
      </c>
      <c r="D57" s="15">
        <v>33803.699999999997</v>
      </c>
      <c r="E57" s="15">
        <v>32811.199999999997</v>
      </c>
      <c r="F57" s="15">
        <v>47510.8</v>
      </c>
      <c r="G57" s="15">
        <v>52626.8</v>
      </c>
      <c r="H57" s="15">
        <v>53854.3</v>
      </c>
      <c r="I57" s="15">
        <v>50435.6</v>
      </c>
      <c r="J57" s="15">
        <v>56147</v>
      </c>
      <c r="K57" s="15">
        <v>55182</v>
      </c>
      <c r="L57" s="15">
        <v>59515</v>
      </c>
      <c r="M57" s="16"/>
      <c r="N57" s="15">
        <v>56172</v>
      </c>
      <c r="O57" s="15">
        <v>55182</v>
      </c>
      <c r="P57" s="15">
        <v>56329</v>
      </c>
      <c r="Q57" s="15">
        <v>59555</v>
      </c>
      <c r="R57" s="15">
        <v>60608</v>
      </c>
      <c r="S57" s="15">
        <v>59515</v>
      </c>
      <c r="T57" s="15">
        <v>60037</v>
      </c>
      <c r="U57" s="15">
        <v>59920</v>
      </c>
    </row>
    <row r="58" spans="1:21">
      <c r="A58" s="17" t="s">
        <v>202</v>
      </c>
      <c r="C58" s="24">
        <f t="shared" ref="C58:L58" si="0">C57-C56</f>
        <v>33228.200000000004</v>
      </c>
      <c r="D58" s="24">
        <f t="shared" si="0"/>
        <v>37071.699999999997</v>
      </c>
      <c r="E58" s="24">
        <f t="shared" si="0"/>
        <v>39069.599999999999</v>
      </c>
      <c r="F58" s="24">
        <f t="shared" si="0"/>
        <v>55721.100000000006</v>
      </c>
      <c r="G58" s="24">
        <f t="shared" si="0"/>
        <v>60451.700000000004</v>
      </c>
      <c r="H58" s="24">
        <f t="shared" si="0"/>
        <v>58455.3</v>
      </c>
      <c r="I58" s="24">
        <f t="shared" si="0"/>
        <v>56439</v>
      </c>
      <c r="J58" s="24">
        <f t="shared" si="0"/>
        <v>60854</v>
      </c>
      <c r="K58" s="24">
        <f t="shared" si="0"/>
        <v>58979</v>
      </c>
      <c r="L58" s="24">
        <f t="shared" si="0"/>
        <v>61306</v>
      </c>
      <c r="M58" s="9"/>
      <c r="N58" s="24">
        <f t="shared" ref="N58:U58" si="1">N57-N56</f>
        <v>61349</v>
      </c>
      <c r="O58" s="24">
        <f t="shared" si="1"/>
        <v>58979</v>
      </c>
      <c r="P58" s="24">
        <f t="shared" si="1"/>
        <v>59783</v>
      </c>
      <c r="Q58" s="24">
        <f t="shared" si="1"/>
        <v>62315</v>
      </c>
      <c r="R58" s="24">
        <f t="shared" si="1"/>
        <v>62771</v>
      </c>
      <c r="S58" s="24">
        <f t="shared" si="1"/>
        <v>61306</v>
      </c>
      <c r="T58" s="24">
        <f t="shared" si="1"/>
        <v>61323</v>
      </c>
      <c r="U58" s="24">
        <f t="shared" si="1"/>
        <v>60943</v>
      </c>
    </row>
    <row r="59" spans="1:21" ht="8" customHeight="1">
      <c r="M59" s="9"/>
    </row>
    <row r="60" spans="1:21" ht="20" customHeight="1">
      <c r="A60" s="12" t="s">
        <v>203</v>
      </c>
      <c r="B60" s="1"/>
      <c r="C60" s="1"/>
      <c r="D60" s="1"/>
      <c r="E60" s="1"/>
      <c r="F60" s="1"/>
      <c r="G60" s="1"/>
      <c r="H60" s="1"/>
      <c r="I60" s="1"/>
      <c r="J60" s="1"/>
      <c r="K60" s="1"/>
      <c r="L60" s="1"/>
      <c r="M60" s="9"/>
      <c r="N60" s="1"/>
      <c r="O60" s="1"/>
      <c r="P60" s="1"/>
      <c r="Q60" s="1"/>
      <c r="R60" s="1"/>
      <c r="S60" s="1"/>
      <c r="T60" s="1"/>
      <c r="U60" s="1"/>
    </row>
    <row r="61" spans="1:21">
      <c r="A61" s="17" t="s">
        <v>204</v>
      </c>
      <c r="C61" s="24">
        <f t="shared" ref="C61:L61" si="2">C29-C57</f>
        <v>0</v>
      </c>
      <c r="D61" s="24">
        <f t="shared" si="2"/>
        <v>0</v>
      </c>
      <c r="E61" s="24">
        <f t="shared" si="2"/>
        <v>0</v>
      </c>
      <c r="F61" s="24">
        <f t="shared" si="2"/>
        <v>0</v>
      </c>
      <c r="G61" s="24">
        <f t="shared" si="2"/>
        <v>0</v>
      </c>
      <c r="H61" s="24">
        <f t="shared" si="2"/>
        <v>0</v>
      </c>
      <c r="I61" s="24">
        <f t="shared" si="2"/>
        <v>0</v>
      </c>
      <c r="J61" s="24">
        <f t="shared" si="2"/>
        <v>0</v>
      </c>
      <c r="K61" s="24">
        <f t="shared" si="2"/>
        <v>0</v>
      </c>
      <c r="L61" s="24">
        <f t="shared" si="2"/>
        <v>0</v>
      </c>
      <c r="M61" s="9"/>
      <c r="N61" s="24">
        <f t="shared" ref="N61:U61" si="3">N29-N57</f>
        <v>0</v>
      </c>
      <c r="O61" s="24">
        <f t="shared" si="3"/>
        <v>0</v>
      </c>
      <c r="P61" s="24">
        <f t="shared" si="3"/>
        <v>0</v>
      </c>
      <c r="Q61" s="24">
        <f t="shared" si="3"/>
        <v>0</v>
      </c>
      <c r="R61" s="24">
        <f t="shared" si="3"/>
        <v>0</v>
      </c>
      <c r="S61" s="24">
        <f t="shared" si="3"/>
        <v>0</v>
      </c>
      <c r="T61" s="24">
        <f t="shared" si="3"/>
        <v>0</v>
      </c>
      <c r="U61" s="24">
        <f t="shared" si="3"/>
        <v>0</v>
      </c>
    </row>
    <row r="62" spans="1:21">
      <c r="A62" s="17" t="s">
        <v>205</v>
      </c>
      <c r="C62" s="23">
        <f t="shared" ref="C62:L62" si="4">C19+C24+C25+C28-C29</f>
        <v>0</v>
      </c>
      <c r="D62" s="23">
        <f t="shared" si="4"/>
        <v>0</v>
      </c>
      <c r="E62" s="23">
        <f t="shared" si="4"/>
        <v>0</v>
      </c>
      <c r="F62" s="23">
        <f t="shared" si="4"/>
        <v>0</v>
      </c>
      <c r="G62" s="23">
        <f t="shared" si="4"/>
        <v>0</v>
      </c>
      <c r="H62" s="23">
        <f t="shared" si="4"/>
        <v>0</v>
      </c>
      <c r="I62" s="23">
        <f t="shared" si="4"/>
        <v>0</v>
      </c>
      <c r="J62" s="23">
        <f t="shared" si="4"/>
        <v>-1</v>
      </c>
      <c r="K62" s="23">
        <f t="shared" si="4"/>
        <v>1</v>
      </c>
      <c r="L62" s="23">
        <f t="shared" si="4"/>
        <v>0</v>
      </c>
      <c r="M62" s="9"/>
      <c r="N62" s="23">
        <f t="shared" ref="N62:U62" si="5">N19+N24+N25+N28-N29</f>
        <v>0</v>
      </c>
      <c r="O62" s="23">
        <f t="shared" si="5"/>
        <v>1</v>
      </c>
      <c r="P62" s="23">
        <f t="shared" si="5"/>
        <v>-1</v>
      </c>
      <c r="Q62" s="23">
        <f t="shared" si="5"/>
        <v>-1</v>
      </c>
      <c r="R62" s="23">
        <f t="shared" si="5"/>
        <v>0</v>
      </c>
      <c r="S62" s="23">
        <f t="shared" si="5"/>
        <v>0</v>
      </c>
      <c r="T62" s="23">
        <f t="shared" si="5"/>
        <v>1</v>
      </c>
      <c r="U62" s="23">
        <f t="shared" si="5"/>
        <v>0</v>
      </c>
    </row>
    <row r="63" spans="1:21">
      <c r="A63" s="17" t="s">
        <v>206</v>
      </c>
      <c r="C63" s="23">
        <f t="shared" ref="C63:L63" si="6">C26+C27-C28</f>
        <v>0</v>
      </c>
      <c r="D63" s="23">
        <f t="shared" si="6"/>
        <v>0</v>
      </c>
      <c r="E63" s="23">
        <f t="shared" si="6"/>
        <v>0</v>
      </c>
      <c r="F63" s="23">
        <f t="shared" si="6"/>
        <v>0</v>
      </c>
      <c r="G63" s="23">
        <f t="shared" si="6"/>
        <v>0</v>
      </c>
      <c r="H63" s="23">
        <f t="shared" si="6"/>
        <v>0</v>
      </c>
      <c r="I63" s="23">
        <f t="shared" si="6"/>
        <v>0</v>
      </c>
      <c r="J63" s="23">
        <f t="shared" si="6"/>
        <v>0</v>
      </c>
      <c r="K63" s="23">
        <f t="shared" si="6"/>
        <v>0</v>
      </c>
      <c r="L63" s="23">
        <f t="shared" si="6"/>
        <v>0</v>
      </c>
      <c r="M63" s="9"/>
      <c r="N63" s="23">
        <f t="shared" ref="N63:U63" si="7">N26+N27-N28</f>
        <v>0</v>
      </c>
      <c r="O63" s="23">
        <f t="shared" si="7"/>
        <v>0</v>
      </c>
      <c r="P63" s="23">
        <f t="shared" si="7"/>
        <v>0</v>
      </c>
      <c r="Q63" s="23">
        <f t="shared" si="7"/>
        <v>0</v>
      </c>
      <c r="R63" s="23">
        <f t="shared" si="7"/>
        <v>0</v>
      </c>
      <c r="S63" s="23">
        <f t="shared" si="7"/>
        <v>0</v>
      </c>
      <c r="T63" s="23">
        <f t="shared" si="7"/>
        <v>0</v>
      </c>
      <c r="U63" s="23">
        <f t="shared" si="7"/>
        <v>0</v>
      </c>
    </row>
    <row r="64" spans="1:21">
      <c r="A64" s="17" t="s">
        <v>207</v>
      </c>
      <c r="C64" s="23">
        <f t="shared" ref="C64:L64" si="8">C32+C33+C34+C35+C36+C37+C38+C39+C40-C41</f>
        <v>0</v>
      </c>
      <c r="D64" s="23">
        <f t="shared" si="8"/>
        <v>0</v>
      </c>
      <c r="E64" s="23">
        <f t="shared" si="8"/>
        <v>0</v>
      </c>
      <c r="F64" s="23">
        <f t="shared" si="8"/>
        <v>0</v>
      </c>
      <c r="G64" s="23">
        <f t="shared" si="8"/>
        <v>0</v>
      </c>
      <c r="H64" s="23">
        <f t="shared" si="8"/>
        <v>0</v>
      </c>
      <c r="I64" s="23">
        <f t="shared" si="8"/>
        <v>0</v>
      </c>
      <c r="J64" s="23">
        <f t="shared" si="8"/>
        <v>0</v>
      </c>
      <c r="K64" s="23">
        <f t="shared" si="8"/>
        <v>0</v>
      </c>
      <c r="L64" s="23">
        <f t="shared" si="8"/>
        <v>0</v>
      </c>
      <c r="M64" s="9"/>
      <c r="N64" s="23">
        <f t="shared" ref="N64:U64" si="9">N32+N33+N34+N35+N36+N37+N38+N39+N40-N41</f>
        <v>0</v>
      </c>
      <c r="O64" s="23">
        <f t="shared" si="9"/>
        <v>0</v>
      </c>
      <c r="P64" s="23">
        <f t="shared" si="9"/>
        <v>0</v>
      </c>
      <c r="Q64" s="23">
        <f t="shared" si="9"/>
        <v>0</v>
      </c>
      <c r="R64" s="23">
        <f t="shared" si="9"/>
        <v>0</v>
      </c>
      <c r="S64" s="23">
        <f t="shared" si="9"/>
        <v>0</v>
      </c>
      <c r="T64" s="23">
        <f t="shared" si="9"/>
        <v>1</v>
      </c>
      <c r="U64" s="23">
        <f t="shared" si="9"/>
        <v>0</v>
      </c>
    </row>
    <row r="65" spans="1:21">
      <c r="A65" s="17" t="s">
        <v>208</v>
      </c>
      <c r="C65" s="23">
        <f t="shared" ref="C65:L65" si="10">C50+C51+C52+C53+C54+C55-C56</f>
        <v>0</v>
      </c>
      <c r="D65" s="23">
        <f t="shared" si="10"/>
        <v>0</v>
      </c>
      <c r="E65" s="23">
        <f t="shared" si="10"/>
        <v>0</v>
      </c>
      <c r="F65" s="23">
        <f t="shared" si="10"/>
        <v>0</v>
      </c>
      <c r="G65" s="23">
        <f t="shared" si="10"/>
        <v>0</v>
      </c>
      <c r="H65" s="23">
        <f t="shared" si="10"/>
        <v>0</v>
      </c>
      <c r="I65" s="23">
        <f t="shared" si="10"/>
        <v>0</v>
      </c>
      <c r="J65" s="23">
        <f t="shared" si="10"/>
        <v>1</v>
      </c>
      <c r="K65" s="23">
        <f t="shared" si="10"/>
        <v>1</v>
      </c>
      <c r="L65" s="23">
        <f t="shared" si="10"/>
        <v>1</v>
      </c>
      <c r="M65" s="9"/>
      <c r="N65" s="23">
        <f t="shared" ref="N65:U65" si="11">N50+N51+N52+N53+N54+N55-N56</f>
        <v>0</v>
      </c>
      <c r="O65" s="23">
        <f t="shared" si="11"/>
        <v>1</v>
      </c>
      <c r="P65" s="23">
        <f t="shared" si="11"/>
        <v>0</v>
      </c>
      <c r="Q65" s="23">
        <f t="shared" si="11"/>
        <v>0</v>
      </c>
      <c r="R65" s="23">
        <f t="shared" si="11"/>
        <v>0</v>
      </c>
      <c r="S65" s="23">
        <f t="shared" si="11"/>
        <v>1</v>
      </c>
      <c r="T65" s="23">
        <f t="shared" si="11"/>
        <v>1</v>
      </c>
      <c r="U65" s="23">
        <f t="shared" si="11"/>
        <v>1</v>
      </c>
    </row>
    <row r="66" spans="1:21">
      <c r="A66" s="17" t="s">
        <v>209</v>
      </c>
      <c r="C66" s="23">
        <f t="shared" ref="C66:L66" si="12">C14+C15+C16+C17+C18-C19</f>
        <v>0</v>
      </c>
      <c r="D66" s="23">
        <f t="shared" si="12"/>
        <v>0</v>
      </c>
      <c r="E66" s="23">
        <f t="shared" si="12"/>
        <v>0</v>
      </c>
      <c r="F66" s="23">
        <f t="shared" si="12"/>
        <v>0</v>
      </c>
      <c r="G66" s="23">
        <f t="shared" si="12"/>
        <v>0</v>
      </c>
      <c r="H66" s="23">
        <f t="shared" si="12"/>
        <v>0</v>
      </c>
      <c r="I66" s="23">
        <f t="shared" si="12"/>
        <v>0</v>
      </c>
      <c r="J66" s="23">
        <f t="shared" si="12"/>
        <v>0</v>
      </c>
      <c r="K66" s="23">
        <f t="shared" si="12"/>
        <v>-1</v>
      </c>
      <c r="L66" s="23">
        <f t="shared" si="12"/>
        <v>1</v>
      </c>
      <c r="M66" s="9"/>
      <c r="N66" s="23">
        <f t="shared" ref="N66:U66" si="13">N14+N15+N16+N17+N18-N19</f>
        <v>-1</v>
      </c>
      <c r="O66" s="23">
        <f t="shared" si="13"/>
        <v>-1</v>
      </c>
      <c r="P66" s="23">
        <f t="shared" si="13"/>
        <v>1</v>
      </c>
      <c r="Q66" s="23">
        <f t="shared" si="13"/>
        <v>0</v>
      </c>
      <c r="R66" s="23">
        <f t="shared" si="13"/>
        <v>0</v>
      </c>
      <c r="S66" s="23">
        <f t="shared" si="13"/>
        <v>1</v>
      </c>
      <c r="T66" s="23">
        <f t="shared" si="13"/>
        <v>0</v>
      </c>
      <c r="U66" s="23">
        <f t="shared" si="13"/>
        <v>0</v>
      </c>
    </row>
    <row r="67" spans="1:21" ht="8" customHeight="1">
      <c r="M67" s="9"/>
    </row>
    <row r="68" spans="1:21" ht="20" customHeight="1">
      <c r="A68" s="12" t="s">
        <v>210</v>
      </c>
      <c r="B68" s="1"/>
      <c r="C68" s="1"/>
      <c r="D68" s="1"/>
      <c r="E68" s="1"/>
      <c r="F68" s="1"/>
      <c r="G68" s="1"/>
      <c r="H68" s="1"/>
      <c r="I68" s="1"/>
      <c r="J68" s="1"/>
      <c r="K68" s="1"/>
      <c r="L68" s="1"/>
      <c r="M68" s="9"/>
      <c r="N68" s="1"/>
      <c r="O68" s="1"/>
      <c r="P68" s="1"/>
      <c r="Q68" s="1"/>
      <c r="R68" s="1"/>
      <c r="S68" s="1"/>
      <c r="T68" s="1"/>
      <c r="U68" s="1"/>
    </row>
    <row r="69" spans="1:21">
      <c r="A69" s="10" t="s">
        <v>211</v>
      </c>
      <c r="C69" s="25">
        <f t="shared" ref="C69:L69" si="14">C39+C42</f>
        <v>25955.7</v>
      </c>
      <c r="D69" s="25">
        <f t="shared" si="14"/>
        <v>29536.400000000001</v>
      </c>
      <c r="E69" s="25">
        <f t="shared" si="14"/>
        <v>31075.3</v>
      </c>
      <c r="F69" s="25">
        <f t="shared" si="14"/>
        <v>34177.199999999997</v>
      </c>
      <c r="G69" s="25">
        <f t="shared" si="14"/>
        <v>37440.400000000001</v>
      </c>
      <c r="H69" s="25">
        <f t="shared" si="14"/>
        <v>35622.699999999997</v>
      </c>
      <c r="I69" s="25">
        <f t="shared" si="14"/>
        <v>35903.5</v>
      </c>
      <c r="J69" s="25">
        <f t="shared" si="14"/>
        <v>39345</v>
      </c>
      <c r="K69" s="25">
        <f t="shared" si="14"/>
        <v>38424</v>
      </c>
      <c r="L69" s="25">
        <f t="shared" si="14"/>
        <v>39973</v>
      </c>
      <c r="M69" s="9"/>
      <c r="N69" s="25">
        <f t="shared" ref="N69:U69" si="15">N39+N42</f>
        <v>39586</v>
      </c>
      <c r="O69" s="25">
        <f t="shared" si="15"/>
        <v>38424</v>
      </c>
      <c r="P69" s="25">
        <f t="shared" si="15"/>
        <v>38925</v>
      </c>
      <c r="Q69" s="25">
        <f t="shared" si="15"/>
        <v>41403</v>
      </c>
      <c r="R69" s="25">
        <f t="shared" si="15"/>
        <v>41283</v>
      </c>
      <c r="S69" s="25">
        <f t="shared" si="15"/>
        <v>39973</v>
      </c>
      <c r="T69" s="25">
        <f t="shared" si="15"/>
        <v>40105</v>
      </c>
      <c r="U69" s="25">
        <f t="shared" si="15"/>
        <v>39863</v>
      </c>
    </row>
    <row r="70" spans="1:21">
      <c r="A70" s="5" t="s">
        <v>212</v>
      </c>
      <c r="C70" s="19">
        <f t="shared" ref="C70:L70" si="16">C33+C43</f>
        <v>0</v>
      </c>
      <c r="D70" s="19">
        <f t="shared" si="16"/>
        <v>0</v>
      </c>
      <c r="E70" s="19">
        <f t="shared" si="16"/>
        <v>0</v>
      </c>
      <c r="F70" s="19">
        <f t="shared" si="16"/>
        <v>13378.8</v>
      </c>
      <c r="G70" s="19">
        <f t="shared" si="16"/>
        <v>14022.8</v>
      </c>
      <c r="H70" s="19">
        <f t="shared" si="16"/>
        <v>13726.4</v>
      </c>
      <c r="I70" s="19">
        <f t="shared" si="16"/>
        <v>12795.5</v>
      </c>
      <c r="J70" s="19">
        <f t="shared" si="16"/>
        <v>13746</v>
      </c>
      <c r="K70" s="19">
        <f t="shared" si="16"/>
        <v>13524</v>
      </c>
      <c r="L70" s="19">
        <f t="shared" si="16"/>
        <v>14841</v>
      </c>
      <c r="M70" s="9"/>
      <c r="N70" s="19">
        <f t="shared" ref="N70:U70" si="17">N33+N43</f>
        <v>13825</v>
      </c>
      <c r="O70" s="19">
        <f t="shared" si="17"/>
        <v>13524</v>
      </c>
      <c r="P70" s="19">
        <f t="shared" si="17"/>
        <v>13838</v>
      </c>
      <c r="Q70" s="19">
        <f t="shared" si="17"/>
        <v>14464</v>
      </c>
      <c r="R70" s="19">
        <f t="shared" si="17"/>
        <v>14535</v>
      </c>
      <c r="S70" s="19">
        <f t="shared" si="17"/>
        <v>14841</v>
      </c>
      <c r="T70" s="19">
        <f t="shared" si="17"/>
        <v>14776</v>
      </c>
      <c r="U70" s="19">
        <f t="shared" si="17"/>
        <v>14729</v>
      </c>
    </row>
    <row r="71" spans="1:21">
      <c r="A71" s="10" t="s">
        <v>213</v>
      </c>
      <c r="C71" s="25">
        <f t="shared" ref="C71:L71" si="18">C69-C14</f>
        <v>24732.3</v>
      </c>
      <c r="D71" s="25">
        <f t="shared" si="18"/>
        <v>27072.600000000002</v>
      </c>
      <c r="E71" s="25">
        <f t="shared" si="18"/>
        <v>30209.3</v>
      </c>
      <c r="F71" s="25">
        <f t="shared" si="18"/>
        <v>33278.699999999997</v>
      </c>
      <c r="G71" s="25">
        <f t="shared" si="18"/>
        <v>33991.300000000003</v>
      </c>
      <c r="H71" s="25">
        <f t="shared" si="18"/>
        <v>30913.499999999996</v>
      </c>
      <c r="I71" s="25">
        <f t="shared" si="18"/>
        <v>33319.699999999997</v>
      </c>
      <c r="J71" s="25">
        <f t="shared" si="18"/>
        <v>34766</v>
      </c>
      <c r="K71" s="25">
        <f t="shared" si="18"/>
        <v>37339</v>
      </c>
      <c r="L71" s="25">
        <f t="shared" si="18"/>
        <v>39199</v>
      </c>
      <c r="M71" s="9"/>
      <c r="N71" s="25">
        <f t="shared" ref="N71:U71" si="19">N69-N14</f>
        <v>38365</v>
      </c>
      <c r="O71" s="25">
        <f t="shared" si="19"/>
        <v>37339</v>
      </c>
      <c r="P71" s="25">
        <f t="shared" si="19"/>
        <v>37687</v>
      </c>
      <c r="Q71" s="25">
        <f t="shared" si="19"/>
        <v>39527</v>
      </c>
      <c r="R71" s="25">
        <f t="shared" si="19"/>
        <v>38870</v>
      </c>
      <c r="S71" s="25">
        <f t="shared" si="19"/>
        <v>39199</v>
      </c>
      <c r="T71" s="25">
        <f t="shared" si="19"/>
        <v>38935</v>
      </c>
      <c r="U71" s="25">
        <f t="shared" si="19"/>
        <v>39041</v>
      </c>
    </row>
    <row r="72" spans="1:21">
      <c r="A72" s="5" t="s">
        <v>214</v>
      </c>
      <c r="C72" s="19">
        <f t="shared" ref="C72:L72" si="20">C71+C70</f>
        <v>24732.3</v>
      </c>
      <c r="D72" s="19">
        <f t="shared" si="20"/>
        <v>27072.600000000002</v>
      </c>
      <c r="E72" s="19">
        <f t="shared" si="20"/>
        <v>30209.3</v>
      </c>
      <c r="F72" s="19">
        <f t="shared" si="20"/>
        <v>46657.5</v>
      </c>
      <c r="G72" s="19">
        <f t="shared" si="20"/>
        <v>48014.100000000006</v>
      </c>
      <c r="H72" s="19">
        <f t="shared" si="20"/>
        <v>44639.899999999994</v>
      </c>
      <c r="I72" s="19">
        <f t="shared" si="20"/>
        <v>46115.199999999997</v>
      </c>
      <c r="J72" s="19">
        <f t="shared" si="20"/>
        <v>48512</v>
      </c>
      <c r="K72" s="19">
        <f t="shared" si="20"/>
        <v>50863</v>
      </c>
      <c r="L72" s="19">
        <f t="shared" si="20"/>
        <v>54040</v>
      </c>
      <c r="M72" s="9"/>
      <c r="N72" s="19">
        <f t="shared" ref="N72:U72" si="21">N71+N70</f>
        <v>52190</v>
      </c>
      <c r="O72" s="19">
        <f t="shared" si="21"/>
        <v>50863</v>
      </c>
      <c r="P72" s="19">
        <f t="shared" si="21"/>
        <v>51525</v>
      </c>
      <c r="Q72" s="19">
        <f t="shared" si="21"/>
        <v>53991</v>
      </c>
      <c r="R72" s="19">
        <f t="shared" si="21"/>
        <v>53405</v>
      </c>
      <c r="S72" s="19">
        <f t="shared" si="21"/>
        <v>54040</v>
      </c>
      <c r="T72" s="19">
        <f t="shared" si="21"/>
        <v>53711</v>
      </c>
      <c r="U72" s="19">
        <f t="shared" si="21"/>
        <v>53770</v>
      </c>
    </row>
    <row r="73" spans="1:21">
      <c r="M73" s="9"/>
    </row>
  </sheetData>
  <phoneticPr fontId="33" type="noConversion"/>
  <conditionalFormatting sqref="C61:U61">
    <cfRule type="cellIs" dxfId="3" priority="1" operator="notBetween">
      <formula>-0.5</formula>
      <formula>0.5</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5BD3A-64BE-B346-85E5-B168C2165346}">
  <sheetPr>
    <tabColor rgb="FF1F4E79"/>
  </sheetPr>
  <dimension ref="A1:U78"/>
  <sheetViews>
    <sheetView showGridLines="0" workbookViewId="0">
      <pane xSplit="2" ySplit="5" topLeftCell="C6" activePane="bottomRight" state="frozen"/>
      <selection pane="topRight"/>
      <selection pane="bottomLeft"/>
      <selection pane="bottomRight" activeCell="C6" sqref="C6"/>
    </sheetView>
  </sheetViews>
  <sheetFormatPr baseColWidth="10" defaultColWidth="8.83203125" defaultRowHeight="14"/>
  <cols>
    <col min="1" max="1" width="46" customWidth="1"/>
    <col min="2" max="2" width="34" hidden="1" customWidth="1"/>
    <col min="3" max="12" width="12" customWidth="1"/>
    <col min="13" max="13" width="9" customWidth="1"/>
    <col min="14" max="21" width="12" customWidth="1"/>
  </cols>
  <sheetData>
    <row r="1" spans="1:21" ht="28" customHeight="1">
      <c r="A1" s="2" t="s">
        <v>215</v>
      </c>
      <c r="B1" s="1"/>
      <c r="C1" s="1"/>
      <c r="D1" s="1"/>
      <c r="E1" s="1"/>
      <c r="F1" s="1"/>
      <c r="G1" s="1"/>
      <c r="H1" s="1"/>
      <c r="I1" s="1"/>
      <c r="J1" s="1"/>
      <c r="K1" s="1"/>
      <c r="L1" s="1"/>
      <c r="M1" s="1"/>
      <c r="N1" s="1"/>
      <c r="O1" s="1"/>
      <c r="P1" s="1"/>
      <c r="Q1" s="1"/>
      <c r="R1" s="1"/>
      <c r="S1" s="1"/>
      <c r="T1" s="1"/>
      <c r="U1" s="1"/>
    </row>
    <row r="2" spans="1:21" ht="16" customHeight="1">
      <c r="A2" s="3" t="s">
        <v>1</v>
      </c>
    </row>
    <row r="3" spans="1:21">
      <c r="C3" s="6" t="s">
        <v>73</v>
      </c>
      <c r="D3" s="6" t="s">
        <v>74</v>
      </c>
      <c r="E3" s="6" t="s">
        <v>75</v>
      </c>
      <c r="F3" s="6" t="s">
        <v>76</v>
      </c>
      <c r="G3" s="6" t="s">
        <v>77</v>
      </c>
      <c r="H3" s="6" t="s">
        <v>78</v>
      </c>
      <c r="I3" s="6" t="s">
        <v>79</v>
      </c>
      <c r="J3" s="6" t="s">
        <v>80</v>
      </c>
      <c r="K3" s="6" t="s">
        <v>81</v>
      </c>
      <c r="L3" s="6" t="s">
        <v>82</v>
      </c>
      <c r="M3" s="7" t="s">
        <v>83</v>
      </c>
      <c r="N3" s="6" t="s">
        <v>84</v>
      </c>
      <c r="O3" s="6" t="s">
        <v>85</v>
      </c>
      <c r="P3" s="6" t="s">
        <v>86</v>
      </c>
      <c r="Q3" s="6" t="s">
        <v>87</v>
      </c>
      <c r="R3" s="6" t="s">
        <v>88</v>
      </c>
      <c r="S3" s="6" t="s">
        <v>89</v>
      </c>
      <c r="T3" s="6" t="s">
        <v>90</v>
      </c>
      <c r="U3" s="6" t="s">
        <v>91</v>
      </c>
    </row>
    <row r="4" spans="1:21">
      <c r="C4" s="8" t="s">
        <v>92</v>
      </c>
      <c r="D4" s="8" t="s">
        <v>93</v>
      </c>
      <c r="E4" s="8" t="s">
        <v>94</v>
      </c>
      <c r="F4" s="8" t="s">
        <v>95</v>
      </c>
      <c r="G4" s="8" t="s">
        <v>96</v>
      </c>
      <c r="H4" s="8" t="s">
        <v>97</v>
      </c>
      <c r="I4" s="8" t="s">
        <v>98</v>
      </c>
      <c r="J4" s="8" t="s">
        <v>99</v>
      </c>
      <c r="K4" s="8" t="s">
        <v>100</v>
      </c>
      <c r="L4" s="8" t="s">
        <v>101</v>
      </c>
      <c r="M4" s="9"/>
      <c r="N4" s="8" t="s">
        <v>102</v>
      </c>
      <c r="O4" s="8" t="s">
        <v>100</v>
      </c>
      <c r="P4" s="8" t="s">
        <v>103</v>
      </c>
      <c r="Q4" s="8" t="s">
        <v>104</v>
      </c>
      <c r="R4" s="8" t="s">
        <v>105</v>
      </c>
      <c r="S4" s="8" t="s">
        <v>101</v>
      </c>
      <c r="T4" s="8" t="s">
        <v>106</v>
      </c>
      <c r="U4" s="8" t="s">
        <v>107</v>
      </c>
    </row>
    <row r="5" spans="1:21">
      <c r="M5" s="9"/>
    </row>
    <row r="6" spans="1:21">
      <c r="A6" s="10" t="s">
        <v>108</v>
      </c>
      <c r="M6" s="9"/>
    </row>
    <row r="7" spans="1:21">
      <c r="A7" s="11" t="str">
        <f>HYPERLINK("#'Cash Flow'!A14","1. OPERATING ACTIVITIES")</f>
        <v>1. OPERATING ACTIVITIES</v>
      </c>
      <c r="M7" s="9"/>
    </row>
    <row r="8" spans="1:21">
      <c r="A8" s="11" t="str">
        <f>HYPERLINK("#'Cash Flow'!A30","2. INVESTING ACTIVITIES")</f>
        <v>2. INVESTING ACTIVITIES</v>
      </c>
      <c r="M8" s="9"/>
    </row>
    <row r="9" spans="1:21">
      <c r="A9" s="11" t="str">
        <f>HYPERLINK("#'Cash Flow'!A40","3. FINANCING ACTIVITIES")</f>
        <v>3. FINANCING ACTIVITIES</v>
      </c>
      <c r="M9" s="9"/>
    </row>
    <row r="10" spans="1:21">
      <c r="A10" s="11" t="str">
        <f>HYPERLINK("#'Cash Flow'!A51","4. CASH RECONCILIATION AND SUPPLEMENTAL")</f>
        <v>4. CASH RECONCILIATION AND SUPPLEMENTAL</v>
      </c>
      <c r="M10" s="9"/>
    </row>
    <row r="11" spans="1:21">
      <c r="A11" s="11" t="str">
        <f>HYPERLINK("#'Cash Flow'!A61","5. TIE-OUT CHECKS")</f>
        <v>5. TIE-OUT CHECKS</v>
      </c>
      <c r="M11" s="9"/>
    </row>
    <row r="12" spans="1:21">
      <c r="A12" s="11" t="str">
        <f>HYPERLINK("#'Cash Flow'!A70","6. FREE CASH FLOW ANALYTICS (ANALYST CALCULATION)")</f>
        <v>6. FREE CASH FLOW ANALYTICS (ANALYST CALCULATION)</v>
      </c>
      <c r="M12" s="9"/>
    </row>
    <row r="13" spans="1:21" ht="8" customHeight="1">
      <c r="M13" s="9"/>
    </row>
    <row r="14" spans="1:21" ht="20" customHeight="1">
      <c r="A14" s="12" t="s">
        <v>216</v>
      </c>
      <c r="B14" s="1"/>
      <c r="C14" s="1"/>
      <c r="D14" s="1"/>
      <c r="E14" s="1"/>
      <c r="F14" s="1"/>
      <c r="G14" s="1"/>
      <c r="H14" s="1"/>
      <c r="I14" s="1"/>
      <c r="J14" s="1"/>
      <c r="K14" s="1"/>
      <c r="L14" s="1"/>
      <c r="M14" s="9"/>
      <c r="N14" s="1"/>
      <c r="O14" s="1"/>
      <c r="P14" s="1"/>
      <c r="Q14" s="1"/>
      <c r="R14" s="1"/>
      <c r="S14" s="1"/>
      <c r="T14" s="1"/>
      <c r="U14" s="1"/>
    </row>
    <row r="15" spans="1:21">
      <c r="A15" s="10" t="s">
        <v>139</v>
      </c>
      <c r="C15" s="26">
        <v>4686.5</v>
      </c>
      <c r="D15" s="26">
        <v>5192.3</v>
      </c>
      <c r="E15" s="26">
        <v>5924.3</v>
      </c>
      <c r="F15" s="26">
        <v>6025.4</v>
      </c>
      <c r="G15" s="26">
        <v>4730.5</v>
      </c>
      <c r="H15" s="26">
        <v>7545.2</v>
      </c>
      <c r="I15" s="26">
        <v>6177</v>
      </c>
      <c r="J15" s="26">
        <v>8469</v>
      </c>
      <c r="K15" s="26">
        <v>8223</v>
      </c>
      <c r="L15" s="26">
        <v>8563</v>
      </c>
      <c r="M15" s="9"/>
      <c r="N15" s="26">
        <v>2255</v>
      </c>
      <c r="O15" s="26">
        <v>2016</v>
      </c>
      <c r="P15" s="26">
        <v>1868</v>
      </c>
      <c r="Q15" s="26">
        <v>2253</v>
      </c>
      <c r="R15" s="26">
        <v>2278</v>
      </c>
      <c r="S15" s="26">
        <v>2164</v>
      </c>
      <c r="T15" s="26">
        <v>1983</v>
      </c>
      <c r="U15" s="26">
        <v>2362</v>
      </c>
    </row>
    <row r="16" spans="1:21">
      <c r="A16" s="5" t="s">
        <v>217</v>
      </c>
      <c r="C16" s="13">
        <v>1516.5</v>
      </c>
      <c r="D16" s="13">
        <v>1363.4</v>
      </c>
      <c r="E16" s="13">
        <v>1482</v>
      </c>
      <c r="F16" s="13">
        <v>1617.9</v>
      </c>
      <c r="G16" s="13">
        <v>1751.4</v>
      </c>
      <c r="H16" s="13">
        <v>1868.1</v>
      </c>
      <c r="I16" s="13">
        <v>1871</v>
      </c>
      <c r="J16" s="13">
        <v>1978</v>
      </c>
      <c r="K16" s="13">
        <v>2097</v>
      </c>
      <c r="L16" s="13">
        <v>2199</v>
      </c>
      <c r="M16" s="9"/>
      <c r="N16" s="13">
        <v>532</v>
      </c>
      <c r="O16" s="13">
        <v>553</v>
      </c>
      <c r="P16" s="13">
        <v>520</v>
      </c>
      <c r="Q16" s="13">
        <v>544</v>
      </c>
      <c r="R16" s="13">
        <v>559</v>
      </c>
      <c r="S16" s="13">
        <v>576</v>
      </c>
      <c r="T16" s="13">
        <v>566</v>
      </c>
      <c r="U16" s="13">
        <v>565</v>
      </c>
    </row>
    <row r="17" spans="1:21">
      <c r="A17" s="5" t="s">
        <v>192</v>
      </c>
      <c r="C17" s="13">
        <v>-538.6</v>
      </c>
      <c r="D17" s="13">
        <v>-36.4</v>
      </c>
      <c r="E17" s="13">
        <v>102.6</v>
      </c>
      <c r="F17" s="13">
        <v>149.69999999999999</v>
      </c>
      <c r="G17" s="13">
        <v>6.4</v>
      </c>
      <c r="H17" s="13">
        <v>-428.3</v>
      </c>
      <c r="I17" s="13">
        <v>-346</v>
      </c>
      <c r="J17" s="13">
        <v>-686</v>
      </c>
      <c r="K17" s="13">
        <v>-574</v>
      </c>
      <c r="L17" s="13">
        <v>-126</v>
      </c>
      <c r="M17" s="9"/>
      <c r="N17" s="13">
        <v>-137</v>
      </c>
      <c r="O17" s="13">
        <v>-73</v>
      </c>
      <c r="P17" s="13">
        <v>-44</v>
      </c>
      <c r="Q17" s="13">
        <v>-41</v>
      </c>
      <c r="R17" s="13">
        <v>35</v>
      </c>
      <c r="S17" s="13">
        <v>-77</v>
      </c>
      <c r="T17" s="13">
        <v>63</v>
      </c>
      <c r="U17" s="13">
        <v>-58</v>
      </c>
    </row>
    <row r="18" spans="1:21">
      <c r="A18" s="5" t="s">
        <v>218</v>
      </c>
      <c r="C18" s="13">
        <v>131.30000000000001</v>
      </c>
      <c r="D18" s="13">
        <v>117.5</v>
      </c>
      <c r="E18" s="13">
        <v>125.1</v>
      </c>
      <c r="F18" s="13">
        <v>109.6</v>
      </c>
      <c r="G18" s="13">
        <v>92.4</v>
      </c>
      <c r="H18" s="13">
        <v>139.19999999999999</v>
      </c>
      <c r="I18" s="13">
        <v>167</v>
      </c>
      <c r="J18" s="13">
        <v>175</v>
      </c>
      <c r="K18" s="13">
        <v>172</v>
      </c>
      <c r="L18" s="13">
        <v>165</v>
      </c>
      <c r="M18" s="9"/>
      <c r="N18" s="13">
        <v>40</v>
      </c>
      <c r="O18" s="13">
        <v>44</v>
      </c>
      <c r="P18" s="13">
        <v>45</v>
      </c>
      <c r="Q18" s="13">
        <v>44</v>
      </c>
      <c r="R18" s="13">
        <v>39</v>
      </c>
      <c r="S18" s="13">
        <v>37</v>
      </c>
      <c r="T18" s="13">
        <v>60</v>
      </c>
      <c r="U18" s="13">
        <v>39</v>
      </c>
    </row>
    <row r="19" spans="1:21" ht="24">
      <c r="A19" s="5" t="s">
        <v>219</v>
      </c>
      <c r="B19" s="14" t="s">
        <v>220</v>
      </c>
      <c r="C19" s="13">
        <v>-310.7</v>
      </c>
      <c r="D19" s="13">
        <v>-1155.8</v>
      </c>
      <c r="E19" s="13">
        <v>-308.8</v>
      </c>
      <c r="F19" s="13">
        <v>-128.19999999999999</v>
      </c>
      <c r="G19" s="13">
        <v>-28.2</v>
      </c>
      <c r="H19" s="13">
        <v>-97.8</v>
      </c>
      <c r="I19" s="13">
        <v>733</v>
      </c>
      <c r="J19" s="13">
        <v>-103</v>
      </c>
      <c r="K19" s="13">
        <v>-37</v>
      </c>
      <c r="L19" s="13">
        <v>-149</v>
      </c>
      <c r="M19" s="9"/>
    </row>
    <row r="20" spans="1:21">
      <c r="A20" s="5" t="s">
        <v>221</v>
      </c>
      <c r="B20" s="14" t="s">
        <v>222</v>
      </c>
      <c r="C20" s="13">
        <v>407.6</v>
      </c>
      <c r="D20" s="13">
        <v>1050.7</v>
      </c>
      <c r="E20" s="13">
        <v>114.2</v>
      </c>
      <c r="F20" s="13">
        <v>49.2</v>
      </c>
      <c r="G20" s="13">
        <v>-75.2</v>
      </c>
      <c r="H20" s="13">
        <v>-339.1</v>
      </c>
      <c r="I20" s="13">
        <v>-570</v>
      </c>
      <c r="J20" s="13">
        <v>-113</v>
      </c>
      <c r="K20" s="13">
        <v>3</v>
      </c>
      <c r="L20" s="13">
        <v>-207</v>
      </c>
      <c r="M20" s="9"/>
      <c r="N20" s="13">
        <v>-33</v>
      </c>
      <c r="O20" s="13">
        <v>14</v>
      </c>
      <c r="P20" s="13">
        <v>-73</v>
      </c>
      <c r="Q20" s="13">
        <v>-71</v>
      </c>
      <c r="R20" s="13">
        <v>-53</v>
      </c>
      <c r="S20" s="13">
        <v>-159</v>
      </c>
      <c r="T20" s="13">
        <v>-92</v>
      </c>
      <c r="U20" s="13">
        <v>-51</v>
      </c>
    </row>
    <row r="21" spans="1:21">
      <c r="A21" s="5" t="s">
        <v>223</v>
      </c>
      <c r="C21" s="13">
        <v>-159</v>
      </c>
      <c r="D21" s="13">
        <v>-340.7</v>
      </c>
      <c r="E21" s="13">
        <v>-479.4</v>
      </c>
      <c r="F21" s="13">
        <v>27</v>
      </c>
      <c r="G21" s="13">
        <v>-6.8</v>
      </c>
      <c r="H21" s="13">
        <v>309.89999999999998</v>
      </c>
      <c r="I21" s="13">
        <v>-264</v>
      </c>
      <c r="J21" s="13">
        <v>-161</v>
      </c>
      <c r="K21" s="13">
        <v>10</v>
      </c>
      <c r="L21" s="13">
        <v>231</v>
      </c>
      <c r="M21" s="9"/>
    </row>
    <row r="22" spans="1:21">
      <c r="A22" s="5" t="s">
        <v>224</v>
      </c>
      <c r="C22" s="13">
        <v>28.1</v>
      </c>
      <c r="D22" s="13">
        <v>-37.299999999999997</v>
      </c>
      <c r="E22" s="13">
        <v>-1.9</v>
      </c>
      <c r="F22" s="13">
        <v>128.80000000000001</v>
      </c>
      <c r="G22" s="13">
        <v>-68.599999999999994</v>
      </c>
      <c r="H22" s="13">
        <v>-62.2</v>
      </c>
      <c r="I22" s="13">
        <v>6</v>
      </c>
      <c r="J22" s="13">
        <v>17</v>
      </c>
      <c r="K22" s="13">
        <v>71</v>
      </c>
      <c r="L22" s="13">
        <v>-140</v>
      </c>
      <c r="M22" s="9"/>
    </row>
    <row r="23" spans="1:21">
      <c r="A23" s="5" t="s">
        <v>225</v>
      </c>
      <c r="C23" s="13">
        <v>89.8</v>
      </c>
      <c r="D23" s="13">
        <v>-59.7</v>
      </c>
      <c r="E23" s="13">
        <v>129.4</v>
      </c>
      <c r="F23" s="13">
        <v>-26.8</v>
      </c>
      <c r="G23" s="13">
        <v>-137.5</v>
      </c>
      <c r="H23" s="13">
        <v>225</v>
      </c>
      <c r="I23" s="13">
        <v>31</v>
      </c>
      <c r="J23" s="13">
        <v>50</v>
      </c>
      <c r="K23" s="13">
        <v>-10</v>
      </c>
      <c r="L23" s="13">
        <v>100</v>
      </c>
      <c r="M23" s="9"/>
    </row>
    <row r="24" spans="1:21">
      <c r="A24" s="5" t="s">
        <v>226</v>
      </c>
      <c r="C24" s="13">
        <v>169.7</v>
      </c>
      <c r="D24" s="13">
        <v>-396.4</v>
      </c>
      <c r="E24" s="13">
        <v>-33.4</v>
      </c>
      <c r="F24" s="13">
        <v>173.4</v>
      </c>
      <c r="G24" s="13">
        <v>-43.6</v>
      </c>
      <c r="H24" s="13">
        <v>-302.5</v>
      </c>
      <c r="I24" s="13">
        <v>-547</v>
      </c>
      <c r="J24" s="13">
        <v>-220</v>
      </c>
      <c r="K24" s="13">
        <v>-292</v>
      </c>
      <c r="L24" s="13">
        <v>-239</v>
      </c>
      <c r="M24" s="9"/>
    </row>
    <row r="25" spans="1:21">
      <c r="A25" s="5" t="s">
        <v>227</v>
      </c>
      <c r="C25" s="13">
        <v>38.4</v>
      </c>
      <c r="D25" s="13">
        <v>-146.4</v>
      </c>
      <c r="E25" s="13">
        <v>-87.4</v>
      </c>
      <c r="F25" s="13">
        <v>-3.9</v>
      </c>
      <c r="G25" s="13">
        <v>44.4</v>
      </c>
      <c r="H25" s="13">
        <v>284</v>
      </c>
      <c r="I25" s="13">
        <v>129</v>
      </c>
      <c r="J25" s="13">
        <v>206</v>
      </c>
      <c r="K25" s="13">
        <v>-217</v>
      </c>
      <c r="L25" s="13">
        <v>154</v>
      </c>
      <c r="M25" s="9"/>
    </row>
    <row r="26" spans="1:21" ht="24">
      <c r="A26" s="5" t="s">
        <v>228</v>
      </c>
      <c r="B26" s="14" t="s">
        <v>229</v>
      </c>
      <c r="M26" s="9"/>
      <c r="N26" s="13">
        <v>79</v>
      </c>
      <c r="O26" s="13">
        <v>76</v>
      </c>
      <c r="P26" s="13">
        <v>111</v>
      </c>
      <c r="Q26" s="13">
        <v>-731</v>
      </c>
      <c r="R26" s="13">
        <v>570</v>
      </c>
      <c r="S26" s="13">
        <v>156</v>
      </c>
      <c r="T26" s="13">
        <v>-168</v>
      </c>
      <c r="U26" s="13">
        <v>-50</v>
      </c>
    </row>
    <row r="27" spans="1:21">
      <c r="A27" s="5" t="s">
        <v>230</v>
      </c>
      <c r="C27" s="19">
        <f t="shared" ref="C27:L27" si="0">C21+C22+C23+C24+C25</f>
        <v>166.99999999999997</v>
      </c>
      <c r="D27" s="19">
        <f t="shared" si="0"/>
        <v>-980.49999999999989</v>
      </c>
      <c r="E27" s="19">
        <f t="shared" si="0"/>
        <v>-472.69999999999993</v>
      </c>
      <c r="F27" s="19">
        <f t="shared" si="0"/>
        <v>298.5</v>
      </c>
      <c r="G27" s="19">
        <f t="shared" si="0"/>
        <v>-212.1</v>
      </c>
      <c r="H27" s="19">
        <f t="shared" si="0"/>
        <v>454.2</v>
      </c>
      <c r="I27" s="19">
        <f t="shared" si="0"/>
        <v>-645</v>
      </c>
      <c r="J27" s="19">
        <f t="shared" si="0"/>
        <v>-108</v>
      </c>
      <c r="K27" s="19">
        <f t="shared" si="0"/>
        <v>-438</v>
      </c>
      <c r="L27" s="19">
        <f t="shared" si="0"/>
        <v>106</v>
      </c>
      <c r="M27" s="9"/>
      <c r="N27" s="19">
        <f t="shared" ref="N27:U27" si="1">N26</f>
        <v>79</v>
      </c>
      <c r="O27" s="19">
        <f t="shared" si="1"/>
        <v>76</v>
      </c>
      <c r="P27" s="19">
        <f t="shared" si="1"/>
        <v>111</v>
      </c>
      <c r="Q27" s="19">
        <f t="shared" si="1"/>
        <v>-731</v>
      </c>
      <c r="R27" s="19">
        <f t="shared" si="1"/>
        <v>570</v>
      </c>
      <c r="S27" s="19">
        <f t="shared" si="1"/>
        <v>156</v>
      </c>
      <c r="T27" s="19">
        <f t="shared" si="1"/>
        <v>-168</v>
      </c>
      <c r="U27" s="19">
        <f t="shared" si="1"/>
        <v>-50</v>
      </c>
    </row>
    <row r="28" spans="1:21">
      <c r="A28" s="10" t="s">
        <v>231</v>
      </c>
      <c r="C28" s="15">
        <v>6059.6</v>
      </c>
      <c r="D28" s="15">
        <v>5551.2</v>
      </c>
      <c r="E28" s="15">
        <v>6966.7</v>
      </c>
      <c r="F28" s="15">
        <v>8122.1</v>
      </c>
      <c r="G28" s="15">
        <v>6265.2</v>
      </c>
      <c r="H28" s="15">
        <v>9141.5</v>
      </c>
      <c r="I28" s="15">
        <v>7387</v>
      </c>
      <c r="J28" s="15">
        <v>9612</v>
      </c>
      <c r="K28" s="15">
        <v>9447</v>
      </c>
      <c r="L28" s="15">
        <v>10551</v>
      </c>
      <c r="M28" s="16"/>
      <c r="N28" s="15">
        <v>2736</v>
      </c>
      <c r="O28" s="15">
        <v>2631</v>
      </c>
      <c r="P28" s="15">
        <v>2428</v>
      </c>
      <c r="Q28" s="15">
        <v>1998</v>
      </c>
      <c r="R28" s="15">
        <v>3428</v>
      </c>
      <c r="S28" s="15">
        <v>2697</v>
      </c>
      <c r="T28" s="15">
        <v>2412</v>
      </c>
      <c r="U28" s="15">
        <v>2807</v>
      </c>
    </row>
    <row r="29" spans="1:21" ht="8" customHeight="1">
      <c r="M29" s="9"/>
    </row>
    <row r="30" spans="1:21" ht="20" customHeight="1">
      <c r="A30" s="12" t="s">
        <v>232</v>
      </c>
      <c r="B30" s="1"/>
      <c r="C30" s="1"/>
      <c r="D30" s="1"/>
      <c r="E30" s="1"/>
      <c r="F30" s="1"/>
      <c r="G30" s="1"/>
      <c r="H30" s="1"/>
      <c r="I30" s="1"/>
      <c r="J30" s="1"/>
      <c r="K30" s="1"/>
      <c r="L30" s="1"/>
      <c r="M30" s="9"/>
      <c r="N30" s="1"/>
      <c r="O30" s="1"/>
      <c r="P30" s="1"/>
      <c r="Q30" s="1"/>
      <c r="R30" s="1"/>
      <c r="S30" s="1"/>
      <c r="T30" s="1"/>
      <c r="U30" s="1"/>
    </row>
    <row r="31" spans="1:21">
      <c r="A31" s="5" t="s">
        <v>233</v>
      </c>
      <c r="C31" s="13">
        <v>-1821.1</v>
      </c>
      <c r="D31" s="13">
        <v>-1853.7</v>
      </c>
      <c r="E31" s="13">
        <v>-2741.7</v>
      </c>
      <c r="F31" s="13">
        <v>-2393.6999999999998</v>
      </c>
      <c r="G31" s="13">
        <v>-1640.8</v>
      </c>
      <c r="H31" s="13">
        <v>-2040</v>
      </c>
      <c r="I31" s="13">
        <v>-1899</v>
      </c>
      <c r="J31" s="13">
        <v>-2357</v>
      </c>
      <c r="K31" s="13">
        <v>-2775</v>
      </c>
      <c r="L31" s="13">
        <v>-3365</v>
      </c>
      <c r="M31" s="9"/>
      <c r="N31" s="13">
        <v>-794</v>
      </c>
      <c r="O31" s="13">
        <v>-807</v>
      </c>
      <c r="P31" s="13">
        <v>-551</v>
      </c>
      <c r="Q31" s="13">
        <v>-744</v>
      </c>
      <c r="R31" s="13">
        <v>-1011</v>
      </c>
      <c r="S31" s="13">
        <v>-1059</v>
      </c>
      <c r="T31" s="13">
        <v>-682</v>
      </c>
      <c r="U31" s="13">
        <v>-831</v>
      </c>
    </row>
    <row r="32" spans="1:21">
      <c r="A32" s="5" t="s">
        <v>234</v>
      </c>
      <c r="C32" s="13">
        <v>-109.5</v>
      </c>
      <c r="D32" s="13">
        <v>-77</v>
      </c>
      <c r="E32" s="13">
        <v>-101.7</v>
      </c>
      <c r="F32" s="13">
        <v>-540.9</v>
      </c>
      <c r="G32" s="13">
        <v>-66.099999999999994</v>
      </c>
      <c r="H32" s="13">
        <v>-374.2</v>
      </c>
      <c r="I32" s="13">
        <v>-807</v>
      </c>
      <c r="J32" s="13">
        <v>-441</v>
      </c>
      <c r="K32" s="13">
        <v>-669</v>
      </c>
      <c r="L32" s="13">
        <v>-354</v>
      </c>
      <c r="M32" s="9"/>
      <c r="N32" s="13">
        <v>-433</v>
      </c>
      <c r="O32" s="13">
        <v>-74</v>
      </c>
      <c r="P32" s="13">
        <v>-75</v>
      </c>
      <c r="Q32" s="13">
        <v>-56</v>
      </c>
      <c r="R32" s="13">
        <v>-109</v>
      </c>
      <c r="S32" s="13">
        <v>-114</v>
      </c>
      <c r="T32" s="13">
        <v>-79</v>
      </c>
      <c r="U32" s="13">
        <v>-74</v>
      </c>
    </row>
    <row r="33" spans="1:21">
      <c r="A33" s="5" t="s">
        <v>235</v>
      </c>
      <c r="I33" s="13">
        <v>0</v>
      </c>
      <c r="J33" s="13">
        <v>0</v>
      </c>
      <c r="K33" s="13">
        <v>-1837</v>
      </c>
      <c r="L33" s="13">
        <v>0</v>
      </c>
      <c r="M33" s="9"/>
      <c r="N33" s="13">
        <v>0</v>
      </c>
      <c r="O33" s="13">
        <v>0</v>
      </c>
      <c r="P33" s="13">
        <v>0</v>
      </c>
      <c r="Q33" s="13">
        <v>0</v>
      </c>
      <c r="R33" s="13">
        <v>0</v>
      </c>
      <c r="S33" s="13">
        <v>0</v>
      </c>
    </row>
    <row r="34" spans="1:21">
      <c r="A34" s="5" t="s">
        <v>236</v>
      </c>
      <c r="C34" s="13">
        <v>975.6</v>
      </c>
      <c r="D34" s="13">
        <v>974.8</v>
      </c>
      <c r="E34" s="13">
        <v>530.79999999999995</v>
      </c>
      <c r="F34" s="13">
        <v>340.8</v>
      </c>
      <c r="G34" s="13">
        <v>76.3</v>
      </c>
      <c r="H34" s="13">
        <v>196.2</v>
      </c>
      <c r="I34" s="13">
        <v>446</v>
      </c>
      <c r="J34" s="13">
        <v>195</v>
      </c>
      <c r="K34" s="13">
        <v>311</v>
      </c>
      <c r="L34" s="13">
        <v>346</v>
      </c>
      <c r="M34" s="9"/>
      <c r="N34" s="13">
        <v>54</v>
      </c>
      <c r="O34" s="13">
        <v>155</v>
      </c>
      <c r="P34" s="13">
        <v>49</v>
      </c>
      <c r="Q34" s="13">
        <v>34</v>
      </c>
      <c r="R34" s="13">
        <v>102</v>
      </c>
      <c r="S34" s="13">
        <v>161</v>
      </c>
      <c r="T34" s="13">
        <v>72</v>
      </c>
      <c r="U34" s="13">
        <v>137</v>
      </c>
    </row>
    <row r="35" spans="1:21">
      <c r="A35" s="5" t="s">
        <v>237</v>
      </c>
      <c r="C35" s="13">
        <v>0</v>
      </c>
      <c r="D35" s="13">
        <v>1597</v>
      </c>
      <c r="E35" s="13">
        <v>0</v>
      </c>
      <c r="F35" s="13">
        <v>0</v>
      </c>
      <c r="M35" s="9"/>
    </row>
    <row r="36" spans="1:21">
      <c r="A36" s="5" t="s">
        <v>238</v>
      </c>
      <c r="C36" s="13">
        <v>82.9</v>
      </c>
      <c r="D36" s="13">
        <v>166.8</v>
      </c>
      <c r="E36" s="13">
        <v>160.4</v>
      </c>
      <c r="F36" s="13">
        <v>151.19999999999999</v>
      </c>
      <c r="G36" s="13">
        <v>27.4</v>
      </c>
      <c r="H36" s="13">
        <v>106.2</v>
      </c>
      <c r="I36" s="13">
        <v>39</v>
      </c>
      <c r="J36" s="13">
        <v>95</v>
      </c>
      <c r="K36" s="13">
        <v>122</v>
      </c>
      <c r="L36" s="13">
        <v>130</v>
      </c>
      <c r="M36" s="9"/>
      <c r="N36" s="13">
        <v>10</v>
      </c>
      <c r="O36" s="13">
        <v>90</v>
      </c>
      <c r="P36" s="13">
        <v>5</v>
      </c>
      <c r="Q36" s="13">
        <v>11</v>
      </c>
      <c r="R36" s="13">
        <v>22</v>
      </c>
      <c r="S36" s="13">
        <v>92</v>
      </c>
      <c r="T36" s="13">
        <v>34</v>
      </c>
      <c r="U36" s="13">
        <v>21</v>
      </c>
    </row>
    <row r="37" spans="1:21">
      <c r="A37" s="5" t="s">
        <v>239</v>
      </c>
      <c r="C37" s="13">
        <v>-109.5</v>
      </c>
      <c r="D37" s="13">
        <v>-245.9</v>
      </c>
      <c r="E37" s="13">
        <v>-302.89999999999998</v>
      </c>
      <c r="F37" s="13">
        <v>-628.5</v>
      </c>
      <c r="G37" s="13">
        <v>57.4</v>
      </c>
      <c r="H37" s="13">
        <v>-53.9</v>
      </c>
      <c r="I37" s="13">
        <v>-457</v>
      </c>
      <c r="J37" s="13">
        <v>-676</v>
      </c>
      <c r="K37" s="13">
        <v>-498</v>
      </c>
      <c r="L37" s="13">
        <v>-579</v>
      </c>
      <c r="M37" s="9"/>
      <c r="N37" s="13">
        <v>-103</v>
      </c>
      <c r="O37" s="13">
        <v>-106</v>
      </c>
      <c r="P37" s="13">
        <v>-200</v>
      </c>
      <c r="Q37" s="13">
        <v>-114</v>
      </c>
      <c r="R37" s="13">
        <v>-116</v>
      </c>
      <c r="S37" s="13">
        <v>-149</v>
      </c>
      <c r="T37" s="13">
        <v>-122</v>
      </c>
      <c r="U37" s="13">
        <v>-121</v>
      </c>
    </row>
    <row r="38" spans="1:21">
      <c r="A38" s="10" t="s">
        <v>240</v>
      </c>
      <c r="C38" s="15">
        <v>-981.6</v>
      </c>
      <c r="D38" s="15">
        <v>562</v>
      </c>
      <c r="E38" s="15">
        <v>-2455.1</v>
      </c>
      <c r="F38" s="15">
        <v>-3071.1</v>
      </c>
      <c r="G38" s="15">
        <v>-1545.8</v>
      </c>
      <c r="H38" s="15">
        <v>-2165.6999999999998</v>
      </c>
      <c r="I38" s="15">
        <v>-2678</v>
      </c>
      <c r="J38" s="15">
        <v>-3185</v>
      </c>
      <c r="K38" s="15">
        <v>-5346</v>
      </c>
      <c r="L38" s="15">
        <v>-3822</v>
      </c>
      <c r="M38" s="16"/>
      <c r="N38" s="15">
        <v>-1266</v>
      </c>
      <c r="O38" s="15">
        <v>-742</v>
      </c>
      <c r="P38" s="15">
        <v>-771</v>
      </c>
      <c r="Q38" s="15">
        <v>-869</v>
      </c>
      <c r="R38" s="15">
        <v>-1112</v>
      </c>
      <c r="S38" s="15">
        <v>-1069</v>
      </c>
      <c r="T38" s="15">
        <v>-777</v>
      </c>
      <c r="U38" s="15">
        <v>-868</v>
      </c>
    </row>
    <row r="39" spans="1:21" ht="8" customHeight="1">
      <c r="M39" s="9"/>
    </row>
    <row r="40" spans="1:21" ht="20" customHeight="1">
      <c r="A40" s="12" t="s">
        <v>241</v>
      </c>
      <c r="B40" s="1"/>
      <c r="C40" s="1"/>
      <c r="D40" s="1"/>
      <c r="E40" s="1"/>
      <c r="F40" s="1"/>
      <c r="G40" s="1"/>
      <c r="H40" s="1"/>
      <c r="I40" s="1"/>
      <c r="J40" s="1"/>
      <c r="K40" s="1"/>
      <c r="L40" s="1"/>
      <c r="M40" s="9"/>
      <c r="N40" s="1"/>
      <c r="O40" s="1"/>
      <c r="P40" s="1"/>
      <c r="Q40" s="1"/>
      <c r="R40" s="1"/>
      <c r="S40" s="1"/>
      <c r="T40" s="1"/>
      <c r="U40" s="1"/>
    </row>
    <row r="41" spans="1:21">
      <c r="A41" s="5" t="s">
        <v>242</v>
      </c>
      <c r="C41" s="13">
        <v>-286.2</v>
      </c>
      <c r="D41" s="13">
        <v>-1050.3</v>
      </c>
      <c r="E41" s="13">
        <v>95.9</v>
      </c>
      <c r="F41" s="13">
        <v>799.2</v>
      </c>
      <c r="G41" s="13">
        <v>-893.1</v>
      </c>
      <c r="H41" s="13">
        <v>15.1</v>
      </c>
      <c r="I41" s="13">
        <v>26</v>
      </c>
      <c r="J41" s="13">
        <v>213</v>
      </c>
      <c r="K41" s="13">
        <v>326</v>
      </c>
      <c r="L41" s="13">
        <v>6</v>
      </c>
      <c r="M41" s="9"/>
      <c r="N41" s="13">
        <v>474</v>
      </c>
      <c r="O41" s="13">
        <v>193</v>
      </c>
      <c r="P41" s="13">
        <v>-792</v>
      </c>
      <c r="Q41" s="13">
        <v>597</v>
      </c>
      <c r="R41" s="13">
        <v>-599</v>
      </c>
      <c r="S41" s="13">
        <v>800</v>
      </c>
      <c r="T41" s="13">
        <v>-791</v>
      </c>
      <c r="U41" s="13">
        <v>492</v>
      </c>
    </row>
    <row r="42" spans="1:21">
      <c r="A42" s="5" t="s">
        <v>243</v>
      </c>
      <c r="C42" s="13">
        <v>3779.5</v>
      </c>
      <c r="D42" s="13">
        <v>4727.5</v>
      </c>
      <c r="E42" s="13">
        <v>3794.5</v>
      </c>
      <c r="F42" s="13">
        <v>4499</v>
      </c>
      <c r="G42" s="13">
        <v>5543</v>
      </c>
      <c r="H42" s="13">
        <v>1154.4000000000001</v>
      </c>
      <c r="I42" s="13">
        <v>3374</v>
      </c>
      <c r="J42" s="13">
        <v>5221</v>
      </c>
      <c r="K42" s="13">
        <v>2380</v>
      </c>
      <c r="L42" s="13">
        <v>4724</v>
      </c>
      <c r="M42" s="9"/>
      <c r="N42" s="13">
        <v>0</v>
      </c>
      <c r="O42" s="13">
        <v>649</v>
      </c>
      <c r="P42" s="13">
        <v>1498</v>
      </c>
      <c r="Q42" s="13">
        <v>1403</v>
      </c>
      <c r="R42" s="13">
        <v>1833</v>
      </c>
      <c r="S42" s="13">
        <v>-10</v>
      </c>
      <c r="T42" s="13">
        <v>1159</v>
      </c>
      <c r="U42" s="13">
        <v>0</v>
      </c>
    </row>
    <row r="43" spans="1:21">
      <c r="A43" s="5" t="s">
        <v>244</v>
      </c>
      <c r="C43" s="13">
        <v>-822.9</v>
      </c>
      <c r="D43" s="13">
        <v>-1649.4</v>
      </c>
      <c r="E43" s="13">
        <v>-1759.6</v>
      </c>
      <c r="F43" s="13">
        <v>-2061.9</v>
      </c>
      <c r="G43" s="13">
        <v>-2411.6999999999998</v>
      </c>
      <c r="H43" s="13">
        <v>-2240</v>
      </c>
      <c r="I43" s="13">
        <v>-2202</v>
      </c>
      <c r="J43" s="13">
        <v>-2441</v>
      </c>
      <c r="K43" s="13">
        <v>-2777</v>
      </c>
      <c r="L43" s="13">
        <v>-4802</v>
      </c>
      <c r="M43" s="9"/>
      <c r="N43" s="13">
        <v>0</v>
      </c>
      <c r="O43" s="13">
        <v>-992</v>
      </c>
      <c r="P43" s="13">
        <v>-693</v>
      </c>
      <c r="Q43" s="13">
        <v>-700</v>
      </c>
      <c r="R43" s="13">
        <v>-1251</v>
      </c>
      <c r="S43" s="13">
        <v>-2158</v>
      </c>
      <c r="T43" s="13">
        <v>-1</v>
      </c>
      <c r="U43" s="13">
        <v>-580</v>
      </c>
    </row>
    <row r="44" spans="1:21">
      <c r="A44" s="5" t="s">
        <v>245</v>
      </c>
      <c r="C44" s="13">
        <v>-11171</v>
      </c>
      <c r="D44" s="13">
        <v>-4685.7</v>
      </c>
      <c r="E44" s="13">
        <v>-5207.7</v>
      </c>
      <c r="F44" s="13">
        <v>-4976.2</v>
      </c>
      <c r="G44" s="13">
        <v>-907.8</v>
      </c>
      <c r="H44" s="13">
        <v>-845.5</v>
      </c>
      <c r="I44" s="13">
        <v>-3896</v>
      </c>
      <c r="J44" s="13">
        <v>-3054</v>
      </c>
      <c r="K44" s="13">
        <v>-2824</v>
      </c>
      <c r="L44" s="13">
        <v>-2056</v>
      </c>
      <c r="M44" s="9"/>
      <c r="N44" s="13">
        <v>-469</v>
      </c>
      <c r="O44" s="13">
        <v>-503</v>
      </c>
      <c r="P44" s="13">
        <v>-477</v>
      </c>
      <c r="Q44" s="13">
        <v>-505</v>
      </c>
      <c r="R44" s="13">
        <v>-501</v>
      </c>
      <c r="S44" s="13">
        <v>-573</v>
      </c>
      <c r="T44" s="13">
        <v>-396</v>
      </c>
      <c r="U44" s="13">
        <v>-856</v>
      </c>
    </row>
    <row r="45" spans="1:21">
      <c r="A45" s="5" t="s">
        <v>246</v>
      </c>
      <c r="C45" s="13">
        <v>-3058.2</v>
      </c>
      <c r="D45" s="13">
        <v>-3089.2</v>
      </c>
      <c r="E45" s="13">
        <v>-3255.9</v>
      </c>
      <c r="F45" s="13">
        <v>-3581.9</v>
      </c>
      <c r="G45" s="13">
        <v>-3752.9</v>
      </c>
      <c r="H45" s="13">
        <v>-3918.6</v>
      </c>
      <c r="I45" s="13">
        <v>-4168</v>
      </c>
      <c r="J45" s="13">
        <v>-4533</v>
      </c>
      <c r="K45" s="13">
        <v>-4870</v>
      </c>
      <c r="L45" s="13">
        <v>-5115</v>
      </c>
      <c r="M45" s="9"/>
      <c r="N45" s="13">
        <v>-1197</v>
      </c>
      <c r="O45" s="13">
        <v>-1268</v>
      </c>
      <c r="P45" s="13">
        <v>-1266</v>
      </c>
      <c r="Q45" s="13">
        <v>-1265</v>
      </c>
      <c r="R45" s="13">
        <v>-1262</v>
      </c>
      <c r="S45" s="13">
        <v>-1323</v>
      </c>
      <c r="T45" s="13">
        <v>-1323</v>
      </c>
      <c r="U45" s="13">
        <v>-1317</v>
      </c>
    </row>
    <row r="46" spans="1:21">
      <c r="A46" s="5" t="s">
        <v>247</v>
      </c>
      <c r="C46" s="13">
        <v>299.39999999999998</v>
      </c>
      <c r="D46" s="13">
        <v>456.8</v>
      </c>
      <c r="E46" s="13">
        <v>403.2</v>
      </c>
      <c r="F46" s="13">
        <v>350.5</v>
      </c>
      <c r="G46" s="13">
        <v>295.5</v>
      </c>
      <c r="H46" s="13">
        <v>285.7</v>
      </c>
      <c r="I46" s="13">
        <v>248</v>
      </c>
      <c r="J46" s="13">
        <v>260</v>
      </c>
      <c r="K46" s="13">
        <v>328</v>
      </c>
      <c r="L46" s="13">
        <v>285</v>
      </c>
      <c r="M46" s="9"/>
      <c r="N46" s="13">
        <v>132</v>
      </c>
      <c r="O46" s="13">
        <v>75</v>
      </c>
      <c r="P46" s="13">
        <v>147</v>
      </c>
      <c r="Q46" s="13">
        <v>41</v>
      </c>
      <c r="R46" s="13">
        <v>29</v>
      </c>
      <c r="S46" s="13">
        <v>69</v>
      </c>
      <c r="T46" s="13">
        <v>128</v>
      </c>
      <c r="U46" s="13">
        <v>14</v>
      </c>
    </row>
    <row r="47" spans="1:21">
      <c r="A47" s="5" t="s">
        <v>248</v>
      </c>
      <c r="C47" s="13">
        <v>0</v>
      </c>
      <c r="D47" s="13">
        <v>0</v>
      </c>
      <c r="M47" s="9"/>
    </row>
    <row r="48" spans="1:21">
      <c r="A48" s="5" t="s">
        <v>249</v>
      </c>
      <c r="C48" s="13">
        <v>-3</v>
      </c>
      <c r="D48" s="13">
        <v>-20.5</v>
      </c>
      <c r="E48" s="13">
        <v>-20</v>
      </c>
      <c r="F48" s="13">
        <v>-23.5</v>
      </c>
      <c r="G48" s="13">
        <v>-122</v>
      </c>
      <c r="H48" s="13">
        <v>-46.7</v>
      </c>
      <c r="I48" s="13">
        <v>38</v>
      </c>
      <c r="J48" s="13">
        <v>-40</v>
      </c>
      <c r="K48" s="13">
        <v>-56</v>
      </c>
      <c r="L48" s="13">
        <v>-167</v>
      </c>
      <c r="M48" s="9"/>
      <c r="N48" s="13">
        <v>-27</v>
      </c>
      <c r="O48" s="13">
        <v>-30</v>
      </c>
      <c r="P48" s="13">
        <v>40</v>
      </c>
      <c r="Q48" s="13">
        <v>-126</v>
      </c>
      <c r="R48" s="13">
        <v>-35</v>
      </c>
      <c r="S48" s="13">
        <v>-46</v>
      </c>
      <c r="T48" s="13">
        <v>-2</v>
      </c>
      <c r="U48" s="13">
        <v>-140</v>
      </c>
    </row>
    <row r="49" spans="1:21">
      <c r="A49" s="10" t="s">
        <v>250</v>
      </c>
      <c r="C49" s="15">
        <v>-11262.4</v>
      </c>
      <c r="D49" s="15">
        <v>-5310.8</v>
      </c>
      <c r="E49" s="15">
        <v>-5949.6</v>
      </c>
      <c r="F49" s="15">
        <v>-4994.8</v>
      </c>
      <c r="G49" s="15">
        <v>-2249</v>
      </c>
      <c r="H49" s="15">
        <v>-5595.6</v>
      </c>
      <c r="I49" s="15">
        <v>-6580</v>
      </c>
      <c r="J49" s="15">
        <v>-4374</v>
      </c>
      <c r="K49" s="15">
        <v>-7495</v>
      </c>
      <c r="L49" s="15">
        <v>-7125</v>
      </c>
      <c r="M49" s="16"/>
      <c r="N49" s="15">
        <v>-1087</v>
      </c>
      <c r="O49" s="15">
        <v>-1878</v>
      </c>
      <c r="P49" s="15">
        <v>-1543</v>
      </c>
      <c r="Q49" s="15">
        <v>-555</v>
      </c>
      <c r="R49" s="15">
        <v>-1786</v>
      </c>
      <c r="S49" s="15">
        <v>-3241</v>
      </c>
      <c r="T49" s="15">
        <v>-1225</v>
      </c>
      <c r="U49" s="15">
        <v>-2387</v>
      </c>
    </row>
    <row r="50" spans="1:21" ht="8" customHeight="1">
      <c r="M50" s="9"/>
    </row>
    <row r="51" spans="1:21" ht="20" customHeight="1">
      <c r="A51" s="12" t="s">
        <v>251</v>
      </c>
      <c r="B51" s="1"/>
      <c r="C51" s="1"/>
      <c r="D51" s="1"/>
      <c r="E51" s="1"/>
      <c r="F51" s="1"/>
      <c r="G51" s="1"/>
      <c r="H51" s="1"/>
      <c r="I51" s="1"/>
      <c r="J51" s="1"/>
      <c r="K51" s="1"/>
      <c r="L51" s="1"/>
      <c r="M51" s="9"/>
      <c r="N51" s="1"/>
      <c r="O51" s="1"/>
      <c r="P51" s="1"/>
      <c r="Q51" s="1"/>
      <c r="R51" s="1"/>
      <c r="S51" s="1"/>
      <c r="T51" s="1"/>
      <c r="U51" s="1"/>
    </row>
    <row r="52" spans="1:21">
      <c r="A52" s="5" t="s">
        <v>252</v>
      </c>
      <c r="C52" s="13">
        <v>-103.7</v>
      </c>
      <c r="D52" s="13">
        <v>264</v>
      </c>
      <c r="E52" s="13">
        <v>-159.80000000000001</v>
      </c>
      <c r="F52" s="13">
        <v>-23.7</v>
      </c>
      <c r="G52" s="13">
        <v>80.2</v>
      </c>
      <c r="H52" s="13">
        <v>-120.1</v>
      </c>
      <c r="I52" s="13">
        <v>-254</v>
      </c>
      <c r="J52" s="13">
        <v>-58</v>
      </c>
      <c r="K52" s="13">
        <v>-101</v>
      </c>
      <c r="L52" s="13">
        <v>86</v>
      </c>
      <c r="M52" s="9"/>
      <c r="N52" s="13">
        <v>46</v>
      </c>
      <c r="O52" s="13">
        <v>-148</v>
      </c>
      <c r="P52" s="13">
        <v>39</v>
      </c>
      <c r="Q52" s="13">
        <v>65</v>
      </c>
      <c r="R52" s="13">
        <v>6</v>
      </c>
      <c r="S52" s="13">
        <v>-24</v>
      </c>
      <c r="T52" s="13">
        <v>-14</v>
      </c>
      <c r="U52" s="13">
        <v>99</v>
      </c>
    </row>
    <row r="53" spans="1:21">
      <c r="A53" s="10" t="s">
        <v>253</v>
      </c>
      <c r="C53" s="26">
        <v>-6288.1</v>
      </c>
      <c r="D53" s="26">
        <v>1066.4000000000001</v>
      </c>
      <c r="E53" s="26">
        <v>-1597.8</v>
      </c>
      <c r="F53" s="26">
        <v>32.5</v>
      </c>
      <c r="G53" s="26">
        <v>2550.6</v>
      </c>
      <c r="H53" s="26">
        <v>1260.0999999999999</v>
      </c>
      <c r="I53" s="26">
        <v>-2126</v>
      </c>
      <c r="J53" s="26">
        <v>1996</v>
      </c>
      <c r="K53" s="26">
        <v>-3494</v>
      </c>
      <c r="L53" s="26">
        <v>-311</v>
      </c>
      <c r="M53" s="9"/>
      <c r="N53" s="26">
        <v>429</v>
      </c>
      <c r="O53" s="26">
        <v>-136</v>
      </c>
      <c r="P53" s="26">
        <v>153</v>
      </c>
      <c r="Q53" s="26">
        <v>638</v>
      </c>
      <c r="R53" s="26">
        <v>537</v>
      </c>
      <c r="S53" s="26">
        <v>-1639</v>
      </c>
      <c r="T53" s="26">
        <v>396</v>
      </c>
      <c r="U53" s="26">
        <v>-348</v>
      </c>
    </row>
    <row r="54" spans="1:21" ht="24">
      <c r="A54" s="5" t="s">
        <v>254</v>
      </c>
      <c r="B54" s="14" t="s">
        <v>255</v>
      </c>
      <c r="C54" s="13">
        <v>-174</v>
      </c>
      <c r="D54" s="13">
        <v>174</v>
      </c>
      <c r="E54" s="13">
        <v>0</v>
      </c>
      <c r="F54" s="13">
        <v>0</v>
      </c>
      <c r="M54" s="9"/>
    </row>
    <row r="55" spans="1:21">
      <c r="A55" s="5" t="s">
        <v>256</v>
      </c>
      <c r="C55" s="13">
        <v>7685.5</v>
      </c>
      <c r="D55" s="13">
        <v>1223.4000000000001</v>
      </c>
      <c r="E55" s="13">
        <v>2463.8000000000002</v>
      </c>
      <c r="F55" s="13">
        <v>866</v>
      </c>
      <c r="G55" s="13">
        <v>898.5</v>
      </c>
      <c r="H55" s="13">
        <v>3449.1</v>
      </c>
      <c r="I55" s="13">
        <v>4709</v>
      </c>
      <c r="J55" s="13">
        <v>2584</v>
      </c>
      <c r="K55" s="13">
        <v>4579</v>
      </c>
      <c r="L55" s="13">
        <v>1085</v>
      </c>
      <c r="M55" s="9"/>
      <c r="N55" s="13">
        <v>792</v>
      </c>
      <c r="O55" s="13">
        <v>1221</v>
      </c>
      <c r="P55" s="13">
        <v>1085</v>
      </c>
      <c r="Q55" s="13">
        <v>1238</v>
      </c>
      <c r="R55" s="13">
        <v>1876</v>
      </c>
      <c r="S55" s="13">
        <v>2413</v>
      </c>
      <c r="T55" s="13">
        <v>774</v>
      </c>
      <c r="U55" s="13">
        <v>1170</v>
      </c>
    </row>
    <row r="56" spans="1:21">
      <c r="A56" s="10" t="s">
        <v>257</v>
      </c>
      <c r="C56" s="15">
        <v>1223.4000000000001</v>
      </c>
      <c r="D56" s="15">
        <v>2463.8000000000002</v>
      </c>
      <c r="E56" s="15">
        <v>866</v>
      </c>
      <c r="F56" s="15">
        <v>898.5</v>
      </c>
      <c r="G56" s="15">
        <v>3449.1</v>
      </c>
      <c r="H56" s="15">
        <v>4709.2</v>
      </c>
      <c r="I56" s="15">
        <v>2584</v>
      </c>
      <c r="J56" s="15">
        <v>4579</v>
      </c>
      <c r="K56" s="15">
        <v>1085</v>
      </c>
      <c r="L56" s="15">
        <v>774</v>
      </c>
      <c r="M56" s="16"/>
      <c r="N56" s="15">
        <v>1221</v>
      </c>
      <c r="O56" s="15">
        <v>1085</v>
      </c>
      <c r="P56" s="15">
        <v>1238</v>
      </c>
      <c r="Q56" s="15">
        <v>1876</v>
      </c>
      <c r="R56" s="15">
        <v>2413</v>
      </c>
      <c r="S56" s="15">
        <v>774</v>
      </c>
      <c r="T56" s="15">
        <v>1170</v>
      </c>
      <c r="U56" s="15">
        <v>822</v>
      </c>
    </row>
    <row r="57" spans="1:21">
      <c r="M57" s="9"/>
    </row>
    <row r="58" spans="1:21">
      <c r="A58" s="5" t="s">
        <v>258</v>
      </c>
      <c r="B58" s="14" t="s">
        <v>259</v>
      </c>
      <c r="C58" s="13">
        <v>873.5</v>
      </c>
      <c r="D58" s="13">
        <v>885.2</v>
      </c>
      <c r="E58" s="13">
        <v>959.6</v>
      </c>
      <c r="F58" s="13">
        <v>1066.5</v>
      </c>
      <c r="G58" s="13">
        <v>1136</v>
      </c>
      <c r="H58" s="13">
        <v>1197.3</v>
      </c>
      <c r="I58" s="13">
        <v>1184</v>
      </c>
      <c r="J58" s="13">
        <v>1287</v>
      </c>
      <c r="K58" s="13">
        <v>1523</v>
      </c>
      <c r="L58" s="13">
        <v>1555</v>
      </c>
      <c r="M58" s="9"/>
    </row>
    <row r="59" spans="1:21" ht="36">
      <c r="A59" s="5" t="s">
        <v>260</v>
      </c>
      <c r="B59" s="14" t="s">
        <v>261</v>
      </c>
      <c r="C59" s="13">
        <v>2387.5</v>
      </c>
      <c r="D59" s="13">
        <v>2786.3</v>
      </c>
      <c r="E59" s="13">
        <v>1734.4</v>
      </c>
      <c r="F59" s="13">
        <v>1589.7</v>
      </c>
      <c r="G59" s="13">
        <v>1441.9</v>
      </c>
      <c r="H59" s="13">
        <v>2403.9</v>
      </c>
      <c r="I59" s="13">
        <v>3024</v>
      </c>
      <c r="J59" s="13">
        <v>2993</v>
      </c>
      <c r="K59" s="13">
        <v>2974</v>
      </c>
      <c r="L59" s="13">
        <v>2688</v>
      </c>
      <c r="M59" s="9"/>
    </row>
    <row r="60" spans="1:21" ht="8" customHeight="1">
      <c r="M60" s="9"/>
    </row>
    <row r="61" spans="1:21" ht="20" customHeight="1">
      <c r="A61" s="12" t="s">
        <v>262</v>
      </c>
      <c r="B61" s="1"/>
      <c r="C61" s="1"/>
      <c r="D61" s="1"/>
      <c r="E61" s="1"/>
      <c r="F61" s="1"/>
      <c r="G61" s="1"/>
      <c r="H61" s="1"/>
      <c r="I61" s="1"/>
      <c r="J61" s="1"/>
      <c r="K61" s="1"/>
      <c r="L61" s="1"/>
      <c r="M61" s="9"/>
      <c r="N61" s="1"/>
      <c r="O61" s="1"/>
      <c r="P61" s="1"/>
      <c r="Q61" s="1"/>
      <c r="R61" s="1"/>
      <c r="S61" s="1"/>
      <c r="T61" s="1"/>
      <c r="U61" s="1"/>
    </row>
    <row r="62" spans="1:21">
      <c r="A62" s="17" t="s">
        <v>263</v>
      </c>
      <c r="C62" s="23">
        <f t="shared" ref="C62:L62" si="2">C55+C53+C54-C56</f>
        <v>0</v>
      </c>
      <c r="D62" s="23">
        <f t="shared" si="2"/>
        <v>0</v>
      </c>
      <c r="E62" s="23">
        <f t="shared" si="2"/>
        <v>0</v>
      </c>
      <c r="F62" s="23">
        <f t="shared" si="2"/>
        <v>0</v>
      </c>
      <c r="G62" s="23">
        <f t="shared" si="2"/>
        <v>0</v>
      </c>
      <c r="H62" s="23">
        <f t="shared" si="2"/>
        <v>0</v>
      </c>
      <c r="I62" s="23">
        <f t="shared" si="2"/>
        <v>-1</v>
      </c>
      <c r="J62" s="23">
        <f t="shared" si="2"/>
        <v>1</v>
      </c>
      <c r="K62" s="23">
        <f t="shared" si="2"/>
        <v>0</v>
      </c>
      <c r="L62" s="23">
        <f t="shared" si="2"/>
        <v>0</v>
      </c>
      <c r="M62" s="9"/>
    </row>
    <row r="63" spans="1:21">
      <c r="A63" s="17" t="s">
        <v>264</v>
      </c>
      <c r="M63" s="9"/>
      <c r="N63" s="24">
        <f t="shared" ref="N63:U63" si="3">N55+N53-N56</f>
        <v>0</v>
      </c>
      <c r="O63" s="24">
        <f t="shared" si="3"/>
        <v>0</v>
      </c>
      <c r="P63" s="24">
        <f t="shared" si="3"/>
        <v>0</v>
      </c>
      <c r="Q63" s="24">
        <f t="shared" si="3"/>
        <v>0</v>
      </c>
      <c r="R63" s="24">
        <f t="shared" si="3"/>
        <v>0</v>
      </c>
      <c r="S63" s="24">
        <f t="shared" si="3"/>
        <v>0</v>
      </c>
      <c r="T63" s="24">
        <f t="shared" si="3"/>
        <v>0</v>
      </c>
      <c r="U63" s="24">
        <f t="shared" si="3"/>
        <v>0</v>
      </c>
    </row>
    <row r="64" spans="1:21">
      <c r="A64" s="17" t="s">
        <v>265</v>
      </c>
      <c r="C64" s="23">
        <f t="shared" ref="C64:L64" si="4">C15+C16+C17+C18+C19+C20+C27-C28</f>
        <v>0</v>
      </c>
      <c r="D64" s="23">
        <f t="shared" si="4"/>
        <v>0</v>
      </c>
      <c r="E64" s="23">
        <f t="shared" si="4"/>
        <v>0</v>
      </c>
      <c r="F64" s="23">
        <f t="shared" si="4"/>
        <v>0</v>
      </c>
      <c r="G64" s="23">
        <f t="shared" si="4"/>
        <v>0</v>
      </c>
      <c r="H64" s="23">
        <f t="shared" si="4"/>
        <v>0</v>
      </c>
      <c r="I64" s="23">
        <f t="shared" si="4"/>
        <v>0</v>
      </c>
      <c r="J64" s="23">
        <f t="shared" si="4"/>
        <v>0</v>
      </c>
      <c r="K64" s="23">
        <f t="shared" si="4"/>
        <v>-1</v>
      </c>
      <c r="L64" s="23">
        <f t="shared" si="4"/>
        <v>0</v>
      </c>
      <c r="M64" s="9"/>
      <c r="N64" s="23">
        <f t="shared" ref="N64:U64" si="5">N15+N16+N17+N18+N19+N20+N27-N28</f>
        <v>0</v>
      </c>
      <c r="O64" s="23">
        <f t="shared" si="5"/>
        <v>-1</v>
      </c>
      <c r="P64" s="23">
        <f t="shared" si="5"/>
        <v>-1</v>
      </c>
      <c r="Q64" s="23">
        <f t="shared" si="5"/>
        <v>0</v>
      </c>
      <c r="R64" s="23">
        <f t="shared" si="5"/>
        <v>0</v>
      </c>
      <c r="S64" s="23">
        <f t="shared" si="5"/>
        <v>0</v>
      </c>
      <c r="T64" s="23">
        <f t="shared" si="5"/>
        <v>0</v>
      </c>
      <c r="U64" s="23">
        <f t="shared" si="5"/>
        <v>0</v>
      </c>
    </row>
    <row r="65" spans="1:21">
      <c r="A65" s="17" t="s">
        <v>266</v>
      </c>
      <c r="C65" s="23">
        <f t="shared" ref="C65:L65" si="6">C31+C32+C33+C34+C35+C36+C37-C38</f>
        <v>0</v>
      </c>
      <c r="D65" s="23">
        <f t="shared" si="6"/>
        <v>0</v>
      </c>
      <c r="E65" s="23">
        <f t="shared" si="6"/>
        <v>0</v>
      </c>
      <c r="F65" s="23">
        <f t="shared" si="6"/>
        <v>0</v>
      </c>
      <c r="G65" s="23">
        <f t="shared" si="6"/>
        <v>0</v>
      </c>
      <c r="H65" s="23">
        <f t="shared" si="6"/>
        <v>0</v>
      </c>
      <c r="I65" s="23">
        <f t="shared" si="6"/>
        <v>0</v>
      </c>
      <c r="J65" s="23">
        <f t="shared" si="6"/>
        <v>1</v>
      </c>
      <c r="K65" s="23">
        <f t="shared" si="6"/>
        <v>0</v>
      </c>
      <c r="L65" s="23">
        <f t="shared" si="6"/>
        <v>0</v>
      </c>
      <c r="M65" s="9"/>
      <c r="N65" s="23">
        <f t="shared" ref="N65:U65" si="7">N31+N32+N33+N34+N35+N36+N37-N38</f>
        <v>0</v>
      </c>
      <c r="O65" s="23">
        <f t="shared" si="7"/>
        <v>0</v>
      </c>
      <c r="P65" s="23">
        <f t="shared" si="7"/>
        <v>-1</v>
      </c>
      <c r="Q65" s="23">
        <f t="shared" si="7"/>
        <v>0</v>
      </c>
      <c r="R65" s="23">
        <f t="shared" si="7"/>
        <v>0</v>
      </c>
      <c r="S65" s="23">
        <f t="shared" si="7"/>
        <v>0</v>
      </c>
      <c r="T65" s="23">
        <f t="shared" si="7"/>
        <v>0</v>
      </c>
      <c r="U65" s="23">
        <f t="shared" si="7"/>
        <v>0</v>
      </c>
    </row>
    <row r="66" spans="1:21">
      <c r="A66" s="17" t="s">
        <v>267</v>
      </c>
      <c r="C66" s="23">
        <f t="shared" ref="C66:L66" si="8">C41+C42+C43+C44+C45+C46+C47+C48-C49</f>
        <v>0</v>
      </c>
      <c r="D66" s="23">
        <f t="shared" si="8"/>
        <v>0</v>
      </c>
      <c r="E66" s="23">
        <f t="shared" si="8"/>
        <v>0</v>
      </c>
      <c r="F66" s="23">
        <f t="shared" si="8"/>
        <v>0</v>
      </c>
      <c r="G66" s="23">
        <f t="shared" si="8"/>
        <v>0</v>
      </c>
      <c r="H66" s="23">
        <f t="shared" si="8"/>
        <v>0</v>
      </c>
      <c r="I66" s="23">
        <f t="shared" si="8"/>
        <v>0</v>
      </c>
      <c r="J66" s="23">
        <f t="shared" si="8"/>
        <v>0</v>
      </c>
      <c r="K66" s="23">
        <f t="shared" si="8"/>
        <v>2</v>
      </c>
      <c r="L66" s="23">
        <f t="shared" si="8"/>
        <v>0</v>
      </c>
      <c r="M66" s="9"/>
      <c r="N66" s="23">
        <f t="shared" ref="N66:U66" si="9">N41+N42+N43+N44+N45+N46+N47+N48-N49</f>
        <v>0</v>
      </c>
      <c r="O66" s="23">
        <f t="shared" si="9"/>
        <v>2</v>
      </c>
      <c r="P66" s="23">
        <f t="shared" si="9"/>
        <v>0</v>
      </c>
      <c r="Q66" s="23">
        <f t="shared" si="9"/>
        <v>0</v>
      </c>
      <c r="R66" s="23">
        <f t="shared" si="9"/>
        <v>0</v>
      </c>
      <c r="S66" s="23">
        <f t="shared" si="9"/>
        <v>0</v>
      </c>
      <c r="T66" s="23">
        <f t="shared" si="9"/>
        <v>-1</v>
      </c>
      <c r="U66" s="23">
        <f t="shared" si="9"/>
        <v>0</v>
      </c>
    </row>
    <row r="67" spans="1:21">
      <c r="A67" s="17" t="s">
        <v>268</v>
      </c>
      <c r="C67" s="23">
        <f t="shared" ref="C67:L67" si="10">C28+C38+C49+C52-C53</f>
        <v>0</v>
      </c>
      <c r="D67" s="23">
        <f t="shared" si="10"/>
        <v>0</v>
      </c>
      <c r="E67" s="23">
        <f t="shared" si="10"/>
        <v>0</v>
      </c>
      <c r="F67" s="23">
        <f t="shared" si="10"/>
        <v>-1.8474111129762605E-13</v>
      </c>
      <c r="G67" s="23">
        <f t="shared" si="10"/>
        <v>0</v>
      </c>
      <c r="H67" s="23">
        <f t="shared" si="10"/>
        <v>0</v>
      </c>
      <c r="I67" s="23">
        <f t="shared" si="10"/>
        <v>1</v>
      </c>
      <c r="J67" s="23">
        <f t="shared" si="10"/>
        <v>-1</v>
      </c>
      <c r="K67" s="23">
        <f t="shared" si="10"/>
        <v>-1</v>
      </c>
      <c r="L67" s="23">
        <f t="shared" si="10"/>
        <v>1</v>
      </c>
      <c r="M67" s="9"/>
      <c r="N67" s="23">
        <f t="shared" ref="N67:U67" si="11">N28+N38+N49+N52-N53</f>
        <v>0</v>
      </c>
      <c r="O67" s="23">
        <f t="shared" si="11"/>
        <v>-1</v>
      </c>
      <c r="P67" s="23">
        <f t="shared" si="11"/>
        <v>0</v>
      </c>
      <c r="Q67" s="23">
        <f t="shared" si="11"/>
        <v>1</v>
      </c>
      <c r="R67" s="23">
        <f t="shared" si="11"/>
        <v>-1</v>
      </c>
      <c r="S67" s="23">
        <f t="shared" si="11"/>
        <v>2</v>
      </c>
      <c r="T67" s="23">
        <f t="shared" si="11"/>
        <v>0</v>
      </c>
      <c r="U67" s="23">
        <f t="shared" si="11"/>
        <v>-1</v>
      </c>
    </row>
    <row r="68" spans="1:21">
      <c r="A68" s="17" t="s">
        <v>269</v>
      </c>
      <c r="C68" s="23">
        <f>C56-'Balance Sheet'!C14</f>
        <v>0</v>
      </c>
      <c r="D68" s="23">
        <f>D56-'Balance Sheet'!D14</f>
        <v>0</v>
      </c>
      <c r="E68" s="23">
        <f>E56-'Balance Sheet'!E14</f>
        <v>0</v>
      </c>
      <c r="F68" s="23">
        <f>F56-'Balance Sheet'!F14</f>
        <v>0</v>
      </c>
      <c r="G68" s="23">
        <f>G56-'Balance Sheet'!G14</f>
        <v>0</v>
      </c>
      <c r="H68" s="23">
        <f>H56-'Balance Sheet'!H14</f>
        <v>0</v>
      </c>
      <c r="I68" s="23">
        <f>I56-'Balance Sheet'!I14</f>
        <v>0.1999999999998181</v>
      </c>
      <c r="J68" s="23">
        <f>J56-'Balance Sheet'!J14</f>
        <v>0</v>
      </c>
      <c r="K68" s="23">
        <f>K56-'Balance Sheet'!K14</f>
        <v>0</v>
      </c>
      <c r="L68" s="23">
        <f>L56-'Balance Sheet'!L14</f>
        <v>0</v>
      </c>
      <c r="M68" s="9"/>
      <c r="N68" s="23">
        <f>N56-'Balance Sheet'!N14</f>
        <v>0</v>
      </c>
      <c r="O68" s="23">
        <f>O56-'Balance Sheet'!O14</f>
        <v>0</v>
      </c>
      <c r="P68" s="23">
        <f>P56-'Balance Sheet'!P14</f>
        <v>0</v>
      </c>
      <c r="Q68" s="23">
        <f>Q56-'Balance Sheet'!Q14</f>
        <v>0</v>
      </c>
      <c r="R68" s="23">
        <f>R56-'Balance Sheet'!R14</f>
        <v>0</v>
      </c>
      <c r="S68" s="23">
        <f>S56-'Balance Sheet'!S14</f>
        <v>0</v>
      </c>
      <c r="T68" s="23">
        <f>T56-'Balance Sheet'!T14</f>
        <v>0</v>
      </c>
      <c r="U68" s="23">
        <f>U56-'Balance Sheet'!U14</f>
        <v>0</v>
      </c>
    </row>
    <row r="69" spans="1:21" ht="8" customHeight="1">
      <c r="M69" s="9"/>
    </row>
    <row r="70" spans="1:21" ht="20" customHeight="1">
      <c r="A70" s="12" t="s">
        <v>270</v>
      </c>
      <c r="B70" s="1"/>
      <c r="C70" s="1"/>
      <c r="D70" s="1"/>
      <c r="E70" s="1"/>
      <c r="F70" s="1"/>
      <c r="G70" s="1"/>
      <c r="H70" s="1"/>
      <c r="I70" s="1"/>
      <c r="J70" s="1"/>
      <c r="K70" s="1"/>
      <c r="L70" s="1"/>
      <c r="M70" s="9"/>
      <c r="N70" s="1"/>
      <c r="O70" s="1"/>
      <c r="P70" s="1"/>
      <c r="Q70" s="1"/>
      <c r="R70" s="1"/>
      <c r="S70" s="1"/>
      <c r="T70" s="1"/>
      <c r="U70" s="1"/>
    </row>
    <row r="71" spans="1:21">
      <c r="A71" s="10" t="s">
        <v>271</v>
      </c>
      <c r="C71" s="25">
        <f t="shared" ref="C71:L71" si="12">C28+C31</f>
        <v>4238.5</v>
      </c>
      <c r="D71" s="25">
        <f t="shared" si="12"/>
        <v>3697.5</v>
      </c>
      <c r="E71" s="25">
        <f t="shared" si="12"/>
        <v>4225</v>
      </c>
      <c r="F71" s="25">
        <f t="shared" si="12"/>
        <v>5728.4000000000005</v>
      </c>
      <c r="G71" s="25">
        <f t="shared" si="12"/>
        <v>4624.3999999999996</v>
      </c>
      <c r="H71" s="25">
        <f t="shared" si="12"/>
        <v>7101.5</v>
      </c>
      <c r="I71" s="25">
        <f t="shared" si="12"/>
        <v>5488</v>
      </c>
      <c r="J71" s="25">
        <f t="shared" si="12"/>
        <v>7255</v>
      </c>
      <c r="K71" s="25">
        <f t="shared" si="12"/>
        <v>6672</v>
      </c>
      <c r="L71" s="25">
        <f t="shared" si="12"/>
        <v>7186</v>
      </c>
      <c r="M71" s="9"/>
      <c r="N71" s="25">
        <f t="shared" ref="N71:U71" si="13">N28+N31</f>
        <v>1942</v>
      </c>
      <c r="O71" s="25">
        <f t="shared" si="13"/>
        <v>1824</v>
      </c>
      <c r="P71" s="25">
        <f t="shared" si="13"/>
        <v>1877</v>
      </c>
      <c r="Q71" s="25">
        <f t="shared" si="13"/>
        <v>1254</v>
      </c>
      <c r="R71" s="25">
        <f t="shared" si="13"/>
        <v>2417</v>
      </c>
      <c r="S71" s="25">
        <f t="shared" si="13"/>
        <v>1638</v>
      </c>
      <c r="T71" s="25">
        <f t="shared" si="13"/>
        <v>1730</v>
      </c>
      <c r="U71" s="25">
        <f t="shared" si="13"/>
        <v>1976</v>
      </c>
    </row>
    <row r="72" spans="1:21">
      <c r="A72" s="17" t="s">
        <v>111</v>
      </c>
      <c r="D72" s="18">
        <f t="shared" ref="D72:L72" si="14">IF(N(C71)=0,"",D71/C71-1)</f>
        <v>-0.12763949510440009</v>
      </c>
      <c r="E72" s="18">
        <f t="shared" si="14"/>
        <v>0.14266396213657884</v>
      </c>
      <c r="F72" s="18">
        <f t="shared" si="14"/>
        <v>0.35583431952662736</v>
      </c>
      <c r="G72" s="18">
        <f t="shared" si="14"/>
        <v>-0.19272397178967959</v>
      </c>
      <c r="H72" s="18">
        <f t="shared" si="14"/>
        <v>0.53565868004497896</v>
      </c>
      <c r="I72" s="18">
        <f t="shared" si="14"/>
        <v>-0.2272055199605717</v>
      </c>
      <c r="J72" s="18">
        <f t="shared" si="14"/>
        <v>0.32197521865889223</v>
      </c>
      <c r="K72" s="18">
        <f t="shared" si="14"/>
        <v>-8.03583735354928E-2</v>
      </c>
      <c r="L72" s="18">
        <f t="shared" si="14"/>
        <v>7.7038369304556431E-2</v>
      </c>
      <c r="M72" s="9"/>
      <c r="R72" s="18">
        <f>IF(N(N71)=0,"",R71/N71-1)</f>
        <v>0.24459320288362507</v>
      </c>
      <c r="S72" s="18">
        <f>IF(N(O71)=0,"",S71/O71-1)</f>
        <v>-0.10197368421052633</v>
      </c>
      <c r="T72" s="18">
        <f>IF(N(P71)=0,"",T71/P71-1)</f>
        <v>-7.8316462440063961E-2</v>
      </c>
      <c r="U72" s="18">
        <f>IF(N(Q71)=0,"",U71/Q71-1)</f>
        <v>0.57575757575757569</v>
      </c>
    </row>
    <row r="73" spans="1:21">
      <c r="A73" s="17" t="s">
        <v>272</v>
      </c>
      <c r="C73" s="18">
        <f>0-C31/'Income Statement'!C17</f>
        <v>7.3962610521527569E-2</v>
      </c>
      <c r="D73" s="18">
        <f>0-D31/'Income Statement'!D17</f>
        <v>8.122995214807803E-2</v>
      </c>
      <c r="E73" s="18">
        <f>0-E31/'Income Statement'!E17</f>
        <v>0.12897322877612558</v>
      </c>
      <c r="F73" s="18">
        <f>0-F31/'Income Statement'!F17</f>
        <v>0.11204152702626798</v>
      </c>
      <c r="G73" s="18">
        <f>0-G31/'Income Statement'!G17</f>
        <v>8.542362998365248E-2</v>
      </c>
      <c r="H73" s="18">
        <f>0-H31/'Income Statement'!H17</f>
        <v>8.7844326074693502E-2</v>
      </c>
      <c r="I73" s="18">
        <f>0-I31/'Income Statement'!I17</f>
        <v>8.1913471077945041E-2</v>
      </c>
      <c r="J73" s="18">
        <f>0-J31/'Income Statement'!J17</f>
        <v>9.2453126225778615E-2</v>
      </c>
      <c r="K73" s="18">
        <f>0-K31/'Income Statement'!K17</f>
        <v>0.10706018518518519</v>
      </c>
      <c r="L73" s="18">
        <f>0-L31/'Income Statement'!L17</f>
        <v>0.12516273014692209</v>
      </c>
      <c r="M73" s="9"/>
      <c r="N73" s="18">
        <f>0-N31/'Income Statement'!N17</f>
        <v>0.11552451622290121</v>
      </c>
      <c r="O73" s="18">
        <f>0-O31/'Income Statement'!O17</f>
        <v>0.12633061991233563</v>
      </c>
      <c r="P73" s="18">
        <f>0-P31/'Income Statement'!P17</f>
        <v>9.2511752854264606E-2</v>
      </c>
      <c r="Q73" s="18">
        <f>0-Q31/'Income Statement'!Q17</f>
        <v>0.10872424375274002</v>
      </c>
      <c r="R73" s="18">
        <f>0-R31/'Income Statement'!R17</f>
        <v>0.14283695959310538</v>
      </c>
      <c r="S73" s="18">
        <f>0-S31/'Income Statement'!S17</f>
        <v>0.15109145384505634</v>
      </c>
      <c r="T73" s="18">
        <f>0-T31/'Income Statement'!T17</f>
        <v>0.10464937854841184</v>
      </c>
      <c r="U73" s="18">
        <f>0-U31/'Income Statement'!U17</f>
        <v>0.11705874066769968</v>
      </c>
    </row>
    <row r="74" spans="1:21">
      <c r="A74" s="17" t="s">
        <v>273</v>
      </c>
      <c r="C74" s="18">
        <f>C71/'Income Statement'!C17</f>
        <v>0.17214349826780223</v>
      </c>
      <c r="D74" s="18">
        <f>D71/'Income Statement'!D17</f>
        <v>0.16202608192669715</v>
      </c>
      <c r="E74" s="18">
        <f>E71/'Income Statement'!E17</f>
        <v>0.19874964130981893</v>
      </c>
      <c r="F74" s="18">
        <f>F71/'Income Statement'!F17</f>
        <v>0.2681282881803374</v>
      </c>
      <c r="G74" s="18">
        <f>G71/'Income Statement'!G17</f>
        <v>0.24075635939566217</v>
      </c>
      <c r="H74" s="18">
        <f>H71/'Income Statement'!H17</f>
        <v>0.30579729491148822</v>
      </c>
      <c r="I74" s="18">
        <f>I71/'Income Statement'!I17</f>
        <v>0.23672518655911659</v>
      </c>
      <c r="J74" s="18">
        <f>J71/'Income Statement'!J17</f>
        <v>0.28457676315995922</v>
      </c>
      <c r="K74" s="18">
        <f>K71/'Income Statement'!K17</f>
        <v>0.25740740740740742</v>
      </c>
      <c r="L74" s="18">
        <f>L71/'Income Statement'!L17</f>
        <v>0.26728659103589364</v>
      </c>
      <c r="M74" s="9"/>
      <c r="N74" s="18">
        <f>N71/'Income Statement'!N17</f>
        <v>0.28255492506911101</v>
      </c>
      <c r="O74" s="18">
        <f>O71/'Income Statement'!O17</f>
        <v>0.28553537883531621</v>
      </c>
      <c r="P74" s="18">
        <f>P71/'Income Statement'!P17</f>
        <v>0.31514439220953661</v>
      </c>
      <c r="Q74" s="18">
        <f>Q71/'Income Statement'!Q17</f>
        <v>0.18325295922840859</v>
      </c>
      <c r="R74" s="18">
        <f>R71/'Income Statement'!R17</f>
        <v>0.34148064424978808</v>
      </c>
      <c r="S74" s="18">
        <f>S71/'Income Statement'!S17</f>
        <v>0.23369952917677272</v>
      </c>
      <c r="T74" s="18">
        <f>T71/'Income Statement'!T17</f>
        <v>0.26545956728556086</v>
      </c>
      <c r="U74" s="18">
        <f>U71/'Income Statement'!U17</f>
        <v>0.27834906324834485</v>
      </c>
    </row>
    <row r="75" spans="1:21">
      <c r="A75" s="17" t="s">
        <v>274</v>
      </c>
      <c r="C75" s="18">
        <f>C71/'Income Statement'!C41</f>
        <v>0.90440627333831214</v>
      </c>
      <c r="D75" s="18">
        <f>D71/'Income Statement'!D41</f>
        <v>0.71211216609209793</v>
      </c>
      <c r="E75" s="18">
        <f>E71/'Income Statement'!E41</f>
        <v>0.71316442448896911</v>
      </c>
      <c r="F75" s="18">
        <f>F71/'Income Statement'!F41</f>
        <v>0.95070866664453824</v>
      </c>
      <c r="G75" s="18">
        <f>G71/'Income Statement'!G41</f>
        <v>0.97757108128104842</v>
      </c>
      <c r="H75" s="18">
        <f>H71/'Income Statement'!H41</f>
        <v>0.94119440173885383</v>
      </c>
      <c r="I75" s="18">
        <f>I71/'Income Statement'!I41</f>
        <v>0.88845717986077388</v>
      </c>
      <c r="J75" s="18">
        <f>J71/'Income Statement'!J41</f>
        <v>0.8566536781202031</v>
      </c>
      <c r="K75" s="18">
        <f>K71/'Income Statement'!K41</f>
        <v>0.81138270704122584</v>
      </c>
      <c r="L75" s="18">
        <f>L71/'Income Statement'!L41</f>
        <v>0.83919187200747403</v>
      </c>
      <c r="M75" s="9"/>
      <c r="N75" s="18">
        <f>N71/'Income Statement'!N41</f>
        <v>0.86119733924611974</v>
      </c>
      <c r="O75" s="18">
        <f>O71/'Income Statement'!O41</f>
        <v>0.90476190476190477</v>
      </c>
      <c r="P75" s="18">
        <f>P71/'Income Statement'!P41</f>
        <v>1.0048179871520342</v>
      </c>
      <c r="Q75" s="18">
        <f>Q71/'Income Statement'!Q41</f>
        <v>0.55659121171770976</v>
      </c>
      <c r="R75" s="18">
        <f>R71/'Income Statement'!R41</f>
        <v>1.0610184372256366</v>
      </c>
      <c r="S75" s="18">
        <f>S71/'Income Statement'!S41</f>
        <v>0.75693160813308691</v>
      </c>
      <c r="T75" s="18">
        <f>T71/'Income Statement'!T41</f>
        <v>0.87241553202218858</v>
      </c>
      <c r="U75" s="18">
        <f>U71/'Income Statement'!U41</f>
        <v>0.83657917019475025</v>
      </c>
    </row>
    <row r="76" spans="1:21">
      <c r="A76" s="5" t="s">
        <v>275</v>
      </c>
      <c r="C76" s="19">
        <f t="shared" ref="C76:L76" si="15">0-C45-C44</f>
        <v>14229.2</v>
      </c>
      <c r="D76" s="19">
        <f t="shared" si="15"/>
        <v>7774.9</v>
      </c>
      <c r="E76" s="19">
        <f t="shared" si="15"/>
        <v>8463.6</v>
      </c>
      <c r="F76" s="19">
        <f t="shared" si="15"/>
        <v>8558.1</v>
      </c>
      <c r="G76" s="19">
        <f t="shared" si="15"/>
        <v>4660.7</v>
      </c>
      <c r="H76" s="19">
        <f t="shared" si="15"/>
        <v>4764.1000000000004</v>
      </c>
      <c r="I76" s="19">
        <f t="shared" si="15"/>
        <v>8064</v>
      </c>
      <c r="J76" s="19">
        <f t="shared" si="15"/>
        <v>7587</v>
      </c>
      <c r="K76" s="19">
        <f t="shared" si="15"/>
        <v>7694</v>
      </c>
      <c r="L76" s="19">
        <f t="shared" si="15"/>
        <v>7171</v>
      </c>
      <c r="M76" s="9"/>
      <c r="N76" s="19">
        <f t="shared" ref="N76:U76" si="16">0-N45-N44</f>
        <v>1666</v>
      </c>
      <c r="O76" s="19">
        <f t="shared" si="16"/>
        <v>1771</v>
      </c>
      <c r="P76" s="19">
        <f t="shared" si="16"/>
        <v>1743</v>
      </c>
      <c r="Q76" s="19">
        <f t="shared" si="16"/>
        <v>1770</v>
      </c>
      <c r="R76" s="19">
        <f t="shared" si="16"/>
        <v>1763</v>
      </c>
      <c r="S76" s="19">
        <f t="shared" si="16"/>
        <v>1896</v>
      </c>
      <c r="T76" s="19">
        <f t="shared" si="16"/>
        <v>1719</v>
      </c>
      <c r="U76" s="19">
        <f t="shared" si="16"/>
        <v>2173</v>
      </c>
    </row>
    <row r="77" spans="1:21">
      <c r="A77" s="17" t="s">
        <v>276</v>
      </c>
      <c r="C77" s="18">
        <f t="shared" ref="C77:L77" si="17">C76/C71</f>
        <v>3.3571310605166924</v>
      </c>
      <c r="D77" s="18">
        <f t="shared" si="17"/>
        <v>2.1027450980392155</v>
      </c>
      <c r="E77" s="18">
        <f t="shared" si="17"/>
        <v>2.0032189349112426</v>
      </c>
      <c r="F77" s="18">
        <f t="shared" si="17"/>
        <v>1.4939773758815724</v>
      </c>
      <c r="G77" s="18">
        <f t="shared" si="17"/>
        <v>1.0078496669838251</v>
      </c>
      <c r="H77" s="18">
        <f t="shared" si="17"/>
        <v>0.6708582693797086</v>
      </c>
      <c r="I77" s="18">
        <f t="shared" si="17"/>
        <v>1.4693877551020409</v>
      </c>
      <c r="J77" s="18">
        <f t="shared" si="17"/>
        <v>1.0457615437629222</v>
      </c>
      <c r="K77" s="18">
        <f t="shared" si="17"/>
        <v>1.1531774580335732</v>
      </c>
      <c r="L77" s="18">
        <f t="shared" si="17"/>
        <v>0.99791260784859448</v>
      </c>
      <c r="M77" s="9"/>
      <c r="N77" s="18">
        <f t="shared" ref="N77:U77" si="18">N76/N71</f>
        <v>0.85787847579814624</v>
      </c>
      <c r="O77" s="18">
        <f t="shared" si="18"/>
        <v>0.9709429824561403</v>
      </c>
      <c r="P77" s="18">
        <f t="shared" si="18"/>
        <v>0.92860948321790093</v>
      </c>
      <c r="Q77" s="18">
        <f t="shared" si="18"/>
        <v>1.4114832535885167</v>
      </c>
      <c r="R77" s="18">
        <f t="shared" si="18"/>
        <v>0.72941663218866359</v>
      </c>
      <c r="S77" s="18">
        <f t="shared" si="18"/>
        <v>1.1575091575091576</v>
      </c>
      <c r="T77" s="18">
        <f t="shared" si="18"/>
        <v>0.99364161849710986</v>
      </c>
      <c r="U77" s="18">
        <f t="shared" si="18"/>
        <v>1.0996963562753037</v>
      </c>
    </row>
    <row r="78" spans="1:21">
      <c r="M78" s="9"/>
    </row>
  </sheetData>
  <phoneticPr fontId="33" type="noConversion"/>
  <conditionalFormatting sqref="C63:U63">
    <cfRule type="cellIs" dxfId="2" priority="1" operator="notBetween">
      <formula>-0.5</formula>
      <formula>0.5</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48978-5681-A04E-9B93-DF077D71ECE7}">
  <sheetPr>
    <tabColor rgb="FF548235"/>
  </sheetPr>
  <dimension ref="A1:U175"/>
  <sheetViews>
    <sheetView showGridLines="0" workbookViewId="0">
      <pane xSplit="2" ySplit="5" topLeftCell="D24" activePane="bottomRight" state="frozen"/>
      <selection pane="topRight"/>
      <selection pane="bottomLeft"/>
      <selection pane="bottomRight" activeCell="A43" sqref="A43"/>
    </sheetView>
  </sheetViews>
  <sheetFormatPr baseColWidth="10" defaultColWidth="8.83203125" defaultRowHeight="14"/>
  <cols>
    <col min="1" max="1" width="46" customWidth="1"/>
    <col min="2" max="2" width="34" hidden="1" customWidth="1"/>
    <col min="3" max="3" width="12" hidden="1" customWidth="1"/>
    <col min="4" max="12" width="12" customWidth="1"/>
    <col min="13" max="13" width="9" customWidth="1"/>
    <col min="14" max="21" width="12" customWidth="1"/>
  </cols>
  <sheetData>
    <row r="1" spans="1:21" ht="28" customHeight="1">
      <c r="A1" s="2" t="s">
        <v>277</v>
      </c>
      <c r="B1" s="1"/>
      <c r="C1" s="1"/>
      <c r="D1" s="1"/>
      <c r="E1" s="1"/>
      <c r="F1" s="1"/>
      <c r="G1" s="1"/>
      <c r="H1" s="1"/>
      <c r="I1" s="1"/>
      <c r="J1" s="1"/>
      <c r="K1" s="1"/>
      <c r="L1" s="1"/>
      <c r="M1" s="1"/>
      <c r="N1" s="1"/>
      <c r="O1" s="1"/>
      <c r="P1" s="1"/>
      <c r="Q1" s="1"/>
      <c r="R1" s="1"/>
      <c r="S1" s="1"/>
      <c r="T1" s="1"/>
      <c r="U1" s="1"/>
    </row>
    <row r="2" spans="1:21" ht="16" customHeight="1">
      <c r="A2" s="3" t="s">
        <v>1</v>
      </c>
    </row>
    <row r="3" spans="1:21">
      <c r="C3" s="6" t="s">
        <v>73</v>
      </c>
      <c r="D3" s="6" t="s">
        <v>74</v>
      </c>
      <c r="E3" s="6" t="s">
        <v>75</v>
      </c>
      <c r="F3" s="6" t="s">
        <v>76</v>
      </c>
      <c r="G3" s="6" t="s">
        <v>77</v>
      </c>
      <c r="H3" s="6" t="s">
        <v>78</v>
      </c>
      <c r="I3" s="6" t="s">
        <v>79</v>
      </c>
      <c r="J3" s="6" t="s">
        <v>80</v>
      </c>
      <c r="K3" s="6" t="s">
        <v>81</v>
      </c>
      <c r="L3" s="6" t="s">
        <v>82</v>
      </c>
      <c r="M3" s="7" t="s">
        <v>83</v>
      </c>
      <c r="N3" s="6" t="s">
        <v>84</v>
      </c>
      <c r="O3" s="6" t="s">
        <v>85</v>
      </c>
      <c r="P3" s="6" t="s">
        <v>86</v>
      </c>
      <c r="Q3" s="6" t="s">
        <v>87</v>
      </c>
      <c r="R3" s="6" t="s">
        <v>88</v>
      </c>
      <c r="S3" s="6" t="s">
        <v>89</v>
      </c>
      <c r="T3" s="6" t="s">
        <v>90</v>
      </c>
      <c r="U3" s="6" t="s">
        <v>91</v>
      </c>
    </row>
    <row r="4" spans="1:21">
      <c r="C4" s="8" t="s">
        <v>92</v>
      </c>
      <c r="D4" s="8" t="s">
        <v>93</v>
      </c>
      <c r="E4" s="8" t="s">
        <v>94</v>
      </c>
      <c r="F4" s="8" t="s">
        <v>95</v>
      </c>
      <c r="G4" s="8" t="s">
        <v>96</v>
      </c>
      <c r="H4" s="8" t="s">
        <v>97</v>
      </c>
      <c r="I4" s="8" t="s">
        <v>98</v>
      </c>
      <c r="J4" s="8" t="s">
        <v>99</v>
      </c>
      <c r="K4" s="8" t="s">
        <v>100</v>
      </c>
      <c r="L4" s="8" t="s">
        <v>101</v>
      </c>
      <c r="M4" s="9"/>
      <c r="N4" s="8" t="s">
        <v>102</v>
      </c>
      <c r="O4" s="8" t="s">
        <v>100</v>
      </c>
      <c r="P4" s="8" t="s">
        <v>103</v>
      </c>
      <c r="Q4" s="8" t="s">
        <v>104</v>
      </c>
      <c r="R4" s="8" t="s">
        <v>105</v>
      </c>
      <c r="S4" s="8" t="s">
        <v>101</v>
      </c>
      <c r="T4" s="8" t="s">
        <v>106</v>
      </c>
      <c r="U4" s="8" t="s">
        <v>107</v>
      </c>
    </row>
    <row r="5" spans="1:21">
      <c r="M5" s="9"/>
    </row>
    <row r="6" spans="1:21">
      <c r="A6" s="10" t="s">
        <v>108</v>
      </c>
      <c r="M6" s="9"/>
    </row>
    <row r="7" spans="1:21">
      <c r="A7" s="11" t="str">
        <f>HYPERLINK("#'Segments'!A18","1. SEGMENT REVENUES (CURRENT REPORTABLE-SEGMENT STRUCTURE, FY2017-FY2025)")</f>
        <v>1. SEGMENT REVENUES (CURRENT REPORTABLE-SEGMENT STRUCTURE, FY2017-FY2025)</v>
      </c>
      <c r="M7" s="9"/>
    </row>
    <row r="8" spans="1:21">
      <c r="A8" s="11" t="str">
        <f>HYPERLINK("#'Segments'!A29","2. SEGMENT OPERATING INCOME")</f>
        <v>2. SEGMENT OPERATING INCOME</v>
      </c>
      <c r="M8" s="9"/>
    </row>
    <row r="9" spans="1:21">
      <c r="A9" s="11" t="str">
        <f>HYPERLINK("#'Segments'!A40","3. SEGMENT TOTAL ASSETS")</f>
        <v>3. SEGMENT TOTAL ASSETS</v>
      </c>
      <c r="M9" s="9"/>
    </row>
    <row r="10" spans="1:21">
      <c r="A10" s="11" t="str">
        <f>HYPERLINK("#'Segments'!A47","4. SEGMENT CAPITAL EXPENDITURES")</f>
        <v>4. SEGMENT CAPITAL EXPENDITURES</v>
      </c>
      <c r="M10" s="9"/>
    </row>
    <row r="11" spans="1:21">
      <c r="A11" s="11" t="str">
        <f>HYPERLINK("#'Segments'!A54","5. SEGMENT DEPRECIATION AND AMORTIZATION")</f>
        <v>5. SEGMENT DEPRECIATION AND AMORTIZATION</v>
      </c>
      <c r="M11" s="9"/>
    </row>
    <row r="12" spans="1:21">
      <c r="A12" s="11" t="str">
        <f>HYPERLINK("#'Segments'!A61","6. SEGMENT EXPENSE DETAIL (DISCLOSED FROM FY2022 10-K, ASU 2023-07 PRESENTATION)")</f>
        <v>6. SEGMENT EXPENSE DETAIL (DISCLOSED FROM FY2022 10-K, ASU 2023-07 PRESENTATION)</v>
      </c>
      <c r="M12" s="9"/>
    </row>
    <row r="13" spans="1:21">
      <c r="A13" s="11" t="str">
        <f>HYPERLINK("#'Segments'!A82","7. REVENUE BY TYPE AND SEGMENT (MD&amp;A REVENUE TABLE)")</f>
        <v>7. REVENUE BY TYPE AND SEGMENT (MD&amp;A REVENUE TABLE)</v>
      </c>
      <c r="M13" s="9"/>
    </row>
    <row r="14" spans="1:21">
      <c r="A14" s="11" t="str">
        <f>HYPERLINK("#'Segments'!A97","8. RESTAURANT MARGINS BY SEGMENT (MD&amp;A, FY2017-FY2025)")</f>
        <v>8. RESTAURANT MARGINS BY SEGMENT (MD&amp;A, FY2017-FY2025)</v>
      </c>
      <c r="M14" s="9"/>
    </row>
    <row r="15" spans="1:21">
      <c r="A15" s="11" t="str">
        <f>HYPERLINK("#'Segments'!A123","9. SELLING, GENERAL &amp; ADMINISTRATIVE EXPENSES BY SEGMENT AND INCENTIVE COMPENSATION (MD&amp;A, FY2017-FY2025)")</f>
        <v>9. SELLING, GENERAL &amp; ADMINISTRATIVE EXPENSES BY SEGMENT AND INCENTIVE COMPENSATION (MD&amp;A, FY2017-FY2025)</v>
      </c>
      <c r="M15" s="9"/>
    </row>
    <row r="16" spans="1:21">
      <c r="A16" s="11" t="str">
        <f>HYPERLINK("#'Segments'!A137","10. SUPERSEDED SEGMENT STRUCTURE (U.S. / INT'L LEAD / HIGH GROWTH / FOUNDATIONAL), FY2016-FY2018 - NOT COMPARABLE WITH BLOCKS ABOVE")</f>
        <v>10. SUPERSEDED SEGMENT STRUCTURE (U.S. / INT'L LEAD / HIGH GROWTH / FOUNDATIONAL), FY2016-FY2018 - NOT COMPARABLE WITH BLOCKS ABOVE</v>
      </c>
      <c r="M16" s="9"/>
    </row>
    <row r="17" spans="1:21" ht="8" customHeight="1">
      <c r="M17" s="9"/>
    </row>
    <row r="18" spans="1:21" ht="20" customHeight="1">
      <c r="A18" s="12" t="s">
        <v>278</v>
      </c>
      <c r="B18" s="1"/>
      <c r="C18" s="1"/>
      <c r="D18" s="1"/>
      <c r="E18" s="1"/>
      <c r="F18" s="1"/>
      <c r="G18" s="1"/>
      <c r="H18" s="1"/>
      <c r="I18" s="1"/>
      <c r="J18" s="1"/>
      <c r="K18" s="1"/>
      <c r="L18" s="1"/>
      <c r="M18" s="9"/>
      <c r="N18" s="1"/>
      <c r="O18" s="1"/>
      <c r="P18" s="1"/>
      <c r="Q18" s="1"/>
      <c r="R18" s="1"/>
      <c r="S18" s="1"/>
      <c r="T18" s="1"/>
      <c r="U18" s="1"/>
    </row>
    <row r="19" spans="1:21">
      <c r="A19" s="5" t="s">
        <v>279</v>
      </c>
      <c r="D19" s="13">
        <v>8006.4</v>
      </c>
      <c r="E19" s="13">
        <v>7798.7</v>
      </c>
      <c r="F19" s="13">
        <v>8002.8</v>
      </c>
      <c r="G19" s="13">
        <v>7828.5</v>
      </c>
      <c r="H19" s="13">
        <v>8865</v>
      </c>
      <c r="I19" s="13">
        <v>9588</v>
      </c>
      <c r="J19" s="13">
        <v>10568</v>
      </c>
      <c r="K19" s="13">
        <v>10631</v>
      </c>
      <c r="L19" s="13">
        <v>10825</v>
      </c>
      <c r="M19" s="9"/>
    </row>
    <row r="20" spans="1:21">
      <c r="A20" s="5" t="s">
        <v>280</v>
      </c>
      <c r="D20" s="13">
        <v>11115.9</v>
      </c>
      <c r="E20" s="13">
        <v>11578.1</v>
      </c>
      <c r="F20" s="13">
        <v>11480.1</v>
      </c>
      <c r="G20" s="13">
        <v>9570.7000000000007</v>
      </c>
      <c r="H20" s="13">
        <v>12219.8</v>
      </c>
      <c r="I20" s="13">
        <v>11297</v>
      </c>
      <c r="J20" s="13">
        <v>12382</v>
      </c>
      <c r="K20" s="13">
        <v>12628</v>
      </c>
      <c r="L20" s="13">
        <v>13633</v>
      </c>
      <c r="M20" s="9"/>
    </row>
    <row r="21" spans="1:21">
      <c r="A21" s="5" t="s">
        <v>281</v>
      </c>
      <c r="D21" s="13">
        <v>3698.1</v>
      </c>
      <c r="E21" s="13">
        <v>1881.1</v>
      </c>
      <c r="F21" s="13">
        <v>1881.5</v>
      </c>
      <c r="G21" s="13">
        <v>1808.6</v>
      </c>
      <c r="H21" s="13">
        <v>2138.1</v>
      </c>
      <c r="I21" s="13">
        <v>2297</v>
      </c>
      <c r="J21" s="13">
        <v>2543</v>
      </c>
      <c r="K21" s="13">
        <v>2661</v>
      </c>
      <c r="L21" s="13">
        <v>2427</v>
      </c>
      <c r="M21" s="9"/>
    </row>
    <row r="22" spans="1:21">
      <c r="A22" s="10" t="s">
        <v>116</v>
      </c>
      <c r="D22" s="27">
        <f t="shared" ref="D22:L22" si="0">D19+D20+D21</f>
        <v>22820.399999999998</v>
      </c>
      <c r="E22" s="27">
        <f t="shared" si="0"/>
        <v>21257.899999999998</v>
      </c>
      <c r="F22" s="27">
        <f t="shared" si="0"/>
        <v>21364.400000000001</v>
      </c>
      <c r="G22" s="27">
        <f t="shared" si="0"/>
        <v>19207.8</v>
      </c>
      <c r="H22" s="27">
        <f t="shared" si="0"/>
        <v>23222.899999999998</v>
      </c>
      <c r="I22" s="27">
        <f t="shared" si="0"/>
        <v>23182</v>
      </c>
      <c r="J22" s="27">
        <f t="shared" si="0"/>
        <v>25493</v>
      </c>
      <c r="K22" s="27">
        <f t="shared" si="0"/>
        <v>25920</v>
      </c>
      <c r="L22" s="27">
        <f t="shared" si="0"/>
        <v>26885</v>
      </c>
      <c r="M22" s="16"/>
    </row>
    <row r="23" spans="1:21">
      <c r="A23" s="17" t="s">
        <v>282</v>
      </c>
      <c r="D23" s="18">
        <f t="shared" ref="D23:L23" si="1">D19/D22</f>
        <v>0.35084398170058373</v>
      </c>
      <c r="E23" s="18">
        <f t="shared" si="1"/>
        <v>0.36686126099003197</v>
      </c>
      <c r="F23" s="18">
        <f t="shared" si="1"/>
        <v>0.37458575948774597</v>
      </c>
      <c r="G23" s="18">
        <f t="shared" si="1"/>
        <v>0.40756880017492897</v>
      </c>
      <c r="H23" s="18">
        <f t="shared" si="1"/>
        <v>0.38173526992752849</v>
      </c>
      <c r="I23" s="18">
        <f t="shared" si="1"/>
        <v>0.4135967561038737</v>
      </c>
      <c r="J23" s="18">
        <f t="shared" si="1"/>
        <v>0.4145451692621504</v>
      </c>
      <c r="K23" s="18">
        <f t="shared" si="1"/>
        <v>0.4101466049382716</v>
      </c>
      <c r="L23" s="18">
        <f t="shared" si="1"/>
        <v>0.40264087781290681</v>
      </c>
      <c r="M23" s="9"/>
    </row>
    <row r="24" spans="1:21">
      <c r="A24" s="17" t="s">
        <v>283</v>
      </c>
      <c r="D24" s="18">
        <f t="shared" ref="D24:L24" si="2">D20/D22</f>
        <v>0.48710364410790347</v>
      </c>
      <c r="E24" s="18">
        <f t="shared" si="2"/>
        <v>0.54464928332525797</v>
      </c>
      <c r="F24" s="18">
        <f t="shared" si="2"/>
        <v>0.53734717567542267</v>
      </c>
      <c r="G24" s="18">
        <f t="shared" si="2"/>
        <v>0.49827153552202758</v>
      </c>
      <c r="H24" s="18">
        <f t="shared" si="2"/>
        <v>0.52619612537624505</v>
      </c>
      <c r="I24" s="18">
        <f t="shared" si="2"/>
        <v>0.48731774652747822</v>
      </c>
      <c r="J24" s="18">
        <f t="shared" si="2"/>
        <v>0.48570195740007061</v>
      </c>
      <c r="K24" s="18">
        <f t="shared" si="2"/>
        <v>0.48719135802469138</v>
      </c>
      <c r="L24" s="18">
        <f t="shared" si="2"/>
        <v>0.50708573554026404</v>
      </c>
      <c r="M24" s="9"/>
    </row>
    <row r="25" spans="1:21">
      <c r="A25" s="17" t="s">
        <v>284</v>
      </c>
      <c r="D25" s="18">
        <f t="shared" ref="D25:L25" si="3">D21/D22</f>
        <v>0.16205237419151286</v>
      </c>
      <c r="E25" s="18">
        <f t="shared" si="3"/>
        <v>8.8489455684710158E-2</v>
      </c>
      <c r="F25" s="18">
        <f t="shared" si="3"/>
        <v>8.8067064836831355E-2</v>
      </c>
      <c r="G25" s="18">
        <f t="shared" si="3"/>
        <v>9.4159664303043553E-2</v>
      </c>
      <c r="H25" s="18">
        <f t="shared" si="3"/>
        <v>9.2068604696226575E-2</v>
      </c>
      <c r="I25" s="18">
        <f t="shared" si="3"/>
        <v>9.9085497368648093E-2</v>
      </c>
      <c r="J25" s="18">
        <f t="shared" si="3"/>
        <v>9.9752873337779005E-2</v>
      </c>
      <c r="K25" s="18">
        <f t="shared" si="3"/>
        <v>0.10266203703703704</v>
      </c>
      <c r="L25" s="18">
        <f t="shared" si="3"/>
        <v>9.0273386646829087E-2</v>
      </c>
      <c r="M25" s="9"/>
    </row>
    <row r="26" spans="1:21">
      <c r="A26" s="17" t="s">
        <v>285</v>
      </c>
      <c r="D26" s="23">
        <f>D22-'Income Statement'!D17</f>
        <v>0</v>
      </c>
      <c r="E26" s="23">
        <f>E22-'Income Statement'!E17</f>
        <v>0</v>
      </c>
      <c r="F26" s="23">
        <f>F22-'Income Statement'!F17</f>
        <v>0</v>
      </c>
      <c r="G26" s="23">
        <f>G22-'Income Statement'!G17</f>
        <v>0</v>
      </c>
      <c r="H26" s="23">
        <f>H22-'Income Statement'!H17</f>
        <v>0</v>
      </c>
      <c r="I26" s="23">
        <f>I22-'Income Statement'!I17</f>
        <v>-1</v>
      </c>
      <c r="J26" s="23">
        <f>J22-'Income Statement'!J17</f>
        <v>-1</v>
      </c>
      <c r="K26" s="23">
        <f>K22-'Income Statement'!K17</f>
        <v>0</v>
      </c>
      <c r="L26" s="23">
        <f>L22-'Income Statement'!L17</f>
        <v>0</v>
      </c>
      <c r="M26" s="9"/>
    </row>
    <row r="27" spans="1:21">
      <c r="A27" s="17" t="s">
        <v>111</v>
      </c>
      <c r="D27" s="18" t="str">
        <f t="shared" ref="D27:L27" si="4">IF(N(C22)=0,"",D22/C22-1)</f>
        <v/>
      </c>
      <c r="E27" s="18">
        <f t="shared" si="4"/>
        <v>-6.8469439624195938E-2</v>
      </c>
      <c r="F27" s="18">
        <f t="shared" si="4"/>
        <v>5.0099022010643424E-3</v>
      </c>
      <c r="G27" s="18">
        <f t="shared" si="4"/>
        <v>-0.10094362584486349</v>
      </c>
      <c r="H27" s="18">
        <f t="shared" si="4"/>
        <v>0.20903487125022124</v>
      </c>
      <c r="I27" s="18">
        <f t="shared" si="4"/>
        <v>-1.761192615909235E-3</v>
      </c>
      <c r="J27" s="18">
        <f t="shared" si="4"/>
        <v>9.968941420067301E-2</v>
      </c>
      <c r="K27" s="18">
        <f t="shared" si="4"/>
        <v>1.6749695994979108E-2</v>
      </c>
      <c r="L27" s="18">
        <f t="shared" si="4"/>
        <v>3.7229938271605034E-2</v>
      </c>
      <c r="M27" s="9"/>
    </row>
    <row r="28" spans="1:21" ht="8" customHeight="1">
      <c r="M28" s="9"/>
    </row>
    <row r="29" spans="1:21" ht="20" customHeight="1">
      <c r="A29" s="12" t="s">
        <v>286</v>
      </c>
      <c r="B29" s="1"/>
      <c r="C29" s="1"/>
      <c r="D29" s="1"/>
      <c r="E29" s="1"/>
      <c r="F29" s="1"/>
      <c r="G29" s="1"/>
      <c r="H29" s="1"/>
      <c r="I29" s="1"/>
      <c r="J29" s="1"/>
      <c r="K29" s="1"/>
      <c r="L29" s="1"/>
      <c r="M29" s="9"/>
      <c r="N29" s="1"/>
      <c r="O29" s="1"/>
      <c r="P29" s="1"/>
      <c r="Q29" s="1"/>
      <c r="R29" s="1"/>
      <c r="S29" s="1"/>
      <c r="T29" s="1"/>
      <c r="U29" s="1"/>
    </row>
    <row r="30" spans="1:21">
      <c r="A30" s="5" t="s">
        <v>279</v>
      </c>
      <c r="D30" s="13">
        <v>4022.4</v>
      </c>
      <c r="E30" s="13">
        <v>4015.6</v>
      </c>
      <c r="F30" s="13">
        <v>4068.7</v>
      </c>
      <c r="G30" s="13">
        <v>3789.1</v>
      </c>
      <c r="H30" s="13">
        <v>4754.7</v>
      </c>
      <c r="I30" s="13">
        <v>5136</v>
      </c>
      <c r="J30" s="13">
        <v>5694</v>
      </c>
      <c r="K30" s="13">
        <v>5733</v>
      </c>
      <c r="L30" s="13">
        <v>5808</v>
      </c>
      <c r="M30" s="9"/>
    </row>
    <row r="31" spans="1:21">
      <c r="A31" s="5" t="s">
        <v>280</v>
      </c>
      <c r="D31" s="13">
        <v>4173.6000000000004</v>
      </c>
      <c r="E31" s="13">
        <v>4643.2</v>
      </c>
      <c r="F31" s="13">
        <v>4789</v>
      </c>
      <c r="G31" s="13">
        <v>3315.1</v>
      </c>
      <c r="H31" s="13">
        <v>5130.6000000000004</v>
      </c>
      <c r="I31" s="13">
        <v>3926</v>
      </c>
      <c r="J31" s="13">
        <v>5831</v>
      </c>
      <c r="K31" s="13">
        <v>5946</v>
      </c>
      <c r="L31" s="13">
        <v>6382</v>
      </c>
      <c r="M31" s="9"/>
    </row>
    <row r="32" spans="1:21">
      <c r="A32" s="5" t="s">
        <v>281</v>
      </c>
      <c r="D32" s="13">
        <v>1356.7</v>
      </c>
      <c r="E32" s="13">
        <v>163.80000000000001</v>
      </c>
      <c r="F32" s="13">
        <v>212.1</v>
      </c>
      <c r="G32" s="13">
        <v>219.8</v>
      </c>
      <c r="H32" s="13">
        <v>470.7</v>
      </c>
      <c r="I32" s="13">
        <v>309</v>
      </c>
      <c r="J32" s="13">
        <v>121</v>
      </c>
      <c r="K32" s="13">
        <v>33</v>
      </c>
      <c r="L32" s="13">
        <v>203</v>
      </c>
      <c r="M32" s="9"/>
    </row>
    <row r="33" spans="1:21">
      <c r="A33" s="10" t="s">
        <v>287</v>
      </c>
      <c r="D33" s="27">
        <f t="shared" ref="D33:L33" si="5">D30+D31+D32</f>
        <v>9552.7000000000007</v>
      </c>
      <c r="E33" s="27">
        <f t="shared" si="5"/>
        <v>8822.5999999999985</v>
      </c>
      <c r="F33" s="27">
        <f t="shared" si="5"/>
        <v>9069.8000000000011</v>
      </c>
      <c r="G33" s="27">
        <f t="shared" si="5"/>
        <v>7324</v>
      </c>
      <c r="H33" s="27">
        <f t="shared" si="5"/>
        <v>10356</v>
      </c>
      <c r="I33" s="27">
        <f t="shared" si="5"/>
        <v>9371</v>
      </c>
      <c r="J33" s="27">
        <f t="shared" si="5"/>
        <v>11646</v>
      </c>
      <c r="K33" s="27">
        <f t="shared" si="5"/>
        <v>11712</v>
      </c>
      <c r="L33" s="27">
        <f t="shared" si="5"/>
        <v>12393</v>
      </c>
      <c r="M33" s="16"/>
    </row>
    <row r="34" spans="1:21">
      <c r="A34" s="17" t="s">
        <v>288</v>
      </c>
      <c r="D34" s="18">
        <f t="shared" ref="D34:L34" si="6">D30/D19</f>
        <v>0.50239808153477217</v>
      </c>
      <c r="E34" s="18">
        <f t="shared" si="6"/>
        <v>0.51490633054226986</v>
      </c>
      <c r="F34" s="18">
        <f t="shared" si="6"/>
        <v>0.50840955665517062</v>
      </c>
      <c r="G34" s="18">
        <f t="shared" si="6"/>
        <v>0.48401354026952798</v>
      </c>
      <c r="H34" s="18">
        <f t="shared" si="6"/>
        <v>0.53634517766497458</v>
      </c>
      <c r="I34" s="18">
        <f t="shared" si="6"/>
        <v>0.53566958698372968</v>
      </c>
      <c r="J34" s="18">
        <f t="shared" si="6"/>
        <v>0.53879636638909911</v>
      </c>
      <c r="K34" s="18">
        <f t="shared" si="6"/>
        <v>0.53927194055121819</v>
      </c>
      <c r="L34" s="18">
        <f t="shared" si="6"/>
        <v>0.53653579676674368</v>
      </c>
      <c r="M34" s="9"/>
    </row>
    <row r="35" spans="1:21">
      <c r="A35" s="17" t="s">
        <v>289</v>
      </c>
      <c r="D35" s="18">
        <f t="shared" ref="D35:L35" si="7">D31/D20</f>
        <v>0.37546217580222929</v>
      </c>
      <c r="E35" s="18">
        <f t="shared" si="7"/>
        <v>0.40103298468660659</v>
      </c>
      <c r="F35" s="18">
        <f t="shared" si="7"/>
        <v>0.41715664497696014</v>
      </c>
      <c r="G35" s="18">
        <f t="shared" si="7"/>
        <v>0.34638009758951799</v>
      </c>
      <c r="H35" s="18">
        <f t="shared" si="7"/>
        <v>0.41985957216975733</v>
      </c>
      <c r="I35" s="18">
        <f t="shared" si="7"/>
        <v>0.34752589182968929</v>
      </c>
      <c r="J35" s="18">
        <f t="shared" si="7"/>
        <v>0.47092553706994023</v>
      </c>
      <c r="K35" s="18">
        <f t="shared" si="7"/>
        <v>0.47085840988280014</v>
      </c>
      <c r="L35" s="18">
        <f t="shared" si="7"/>
        <v>0.46812880510525928</v>
      </c>
      <c r="M35" s="9"/>
    </row>
    <row r="36" spans="1:21">
      <c r="A36" s="17" t="s">
        <v>290</v>
      </c>
      <c r="D36" s="18">
        <f t="shared" ref="D36:L36" si="8">D32/D21</f>
        <v>0.36686406533084559</v>
      </c>
      <c r="E36" s="18">
        <f t="shared" si="8"/>
        <v>8.7076710435383564E-2</v>
      </c>
      <c r="F36" s="18">
        <f t="shared" si="8"/>
        <v>0.11272920542120649</v>
      </c>
      <c r="G36" s="18">
        <f t="shared" si="8"/>
        <v>0.12153046555346678</v>
      </c>
      <c r="H36" s="18">
        <f t="shared" si="8"/>
        <v>0.22014873018100184</v>
      </c>
      <c r="I36" s="18">
        <f t="shared" si="8"/>
        <v>0.13452329124945581</v>
      </c>
      <c r="J36" s="18">
        <f t="shared" si="8"/>
        <v>4.7581596539520252E-2</v>
      </c>
      <c r="K36" s="18">
        <f t="shared" si="8"/>
        <v>1.2401352874859075E-2</v>
      </c>
      <c r="L36" s="18">
        <f t="shared" si="8"/>
        <v>8.3642356819118246E-2</v>
      </c>
      <c r="M36" s="9"/>
    </row>
    <row r="37" spans="1:21">
      <c r="A37" s="17" t="s">
        <v>291</v>
      </c>
      <c r="D37" s="18">
        <f t="shared" ref="D37:L37" si="9">D33/D22</f>
        <v>0.41860353017475599</v>
      </c>
      <c r="E37" s="18">
        <f t="shared" si="9"/>
        <v>0.41502688412307892</v>
      </c>
      <c r="F37" s="18">
        <f t="shared" si="9"/>
        <v>0.42452865514594373</v>
      </c>
      <c r="G37" s="18">
        <f t="shared" si="9"/>
        <v>0.3813034288153771</v>
      </c>
      <c r="H37" s="18">
        <f t="shared" si="9"/>
        <v>0.44593913766153243</v>
      </c>
      <c r="I37" s="18">
        <f t="shared" si="9"/>
        <v>0.40423604520748857</v>
      </c>
      <c r="J37" s="18">
        <f t="shared" si="9"/>
        <v>0.45683128701996628</v>
      </c>
      <c r="K37" s="18">
        <f t="shared" si="9"/>
        <v>0.45185185185185184</v>
      </c>
      <c r="L37" s="18">
        <f t="shared" si="9"/>
        <v>0.4609633624697787</v>
      </c>
      <c r="M37" s="9"/>
    </row>
    <row r="38" spans="1:21">
      <c r="A38" s="17" t="s">
        <v>292</v>
      </c>
      <c r="D38" s="23">
        <f>D33-'Income Statement'!D33</f>
        <v>0</v>
      </c>
      <c r="E38" s="23">
        <f>E33-'Income Statement'!E33</f>
        <v>0</v>
      </c>
      <c r="F38" s="23">
        <f>F33-'Income Statement'!F33</f>
        <v>0</v>
      </c>
      <c r="G38" s="23">
        <f>G33-'Income Statement'!G33</f>
        <v>0</v>
      </c>
      <c r="H38" s="23">
        <f>H33-'Income Statement'!H33</f>
        <v>0</v>
      </c>
      <c r="I38" s="23">
        <f>I33-'Income Statement'!I33</f>
        <v>0</v>
      </c>
      <c r="J38" s="23">
        <f>J33-'Income Statement'!J33</f>
        <v>-1</v>
      </c>
      <c r="K38" s="23">
        <f>K33-'Income Statement'!K33</f>
        <v>0</v>
      </c>
      <c r="L38" s="23">
        <f>L33-'Income Statement'!L33</f>
        <v>0</v>
      </c>
      <c r="M38" s="9"/>
    </row>
    <row r="39" spans="1:21" ht="8" customHeight="1">
      <c r="M39" s="9"/>
    </row>
    <row r="40" spans="1:21" ht="20" customHeight="1">
      <c r="A40" s="12" t="s">
        <v>293</v>
      </c>
      <c r="B40" s="1"/>
      <c r="C40" s="1"/>
      <c r="D40" s="1"/>
      <c r="E40" s="1"/>
      <c r="F40" s="1"/>
      <c r="G40" s="1"/>
      <c r="H40" s="1"/>
      <c r="I40" s="1"/>
      <c r="J40" s="1"/>
      <c r="K40" s="1"/>
      <c r="L40" s="1"/>
      <c r="M40" s="9"/>
      <c r="N40" s="1"/>
      <c r="O40" s="1"/>
      <c r="P40" s="1"/>
      <c r="Q40" s="1"/>
      <c r="R40" s="1"/>
      <c r="S40" s="1"/>
      <c r="T40" s="1"/>
      <c r="U40" s="1"/>
    </row>
    <row r="41" spans="1:21">
      <c r="A41" s="5" t="s">
        <v>279</v>
      </c>
      <c r="D41" s="13">
        <v>12648.6</v>
      </c>
      <c r="E41" s="13">
        <v>14483.8</v>
      </c>
      <c r="F41" s="13">
        <v>21376.9</v>
      </c>
      <c r="G41" s="13">
        <v>21010</v>
      </c>
      <c r="H41" s="13">
        <v>21280.3</v>
      </c>
      <c r="I41" s="13">
        <v>21793</v>
      </c>
      <c r="J41" s="13">
        <v>22477</v>
      </c>
      <c r="K41" s="13">
        <v>22547</v>
      </c>
      <c r="L41" s="13">
        <v>23008</v>
      </c>
      <c r="M41" s="9"/>
    </row>
    <row r="42" spans="1:21">
      <c r="A42" s="5" t="s">
        <v>280</v>
      </c>
      <c r="D42" s="13">
        <v>16254.8</v>
      </c>
      <c r="E42" s="13">
        <v>17302.3</v>
      </c>
      <c r="F42" s="13">
        <v>22847.5</v>
      </c>
      <c r="G42" s="13">
        <v>24744</v>
      </c>
      <c r="H42" s="13">
        <v>24186.1</v>
      </c>
      <c r="I42" s="13">
        <v>21979</v>
      </c>
      <c r="J42" s="13">
        <v>23947</v>
      </c>
      <c r="K42" s="13">
        <v>23491</v>
      </c>
      <c r="L42" s="13">
        <v>27487</v>
      </c>
      <c r="M42" s="9"/>
    </row>
    <row r="43" spans="1:21">
      <c r="A43" s="5" t="s">
        <v>281</v>
      </c>
      <c r="D43" s="13">
        <v>4900.3</v>
      </c>
      <c r="E43" s="13">
        <v>1025.0999999999999</v>
      </c>
      <c r="F43" s="13">
        <v>3286.4</v>
      </c>
      <c r="G43" s="13">
        <v>6872.8</v>
      </c>
      <c r="H43" s="13">
        <v>8387.9</v>
      </c>
      <c r="I43" s="13">
        <v>6663</v>
      </c>
      <c r="J43" s="13">
        <v>9723</v>
      </c>
      <c r="K43" s="13">
        <v>9143</v>
      </c>
      <c r="L43" s="13">
        <v>9020</v>
      </c>
      <c r="M43" s="9"/>
    </row>
    <row r="44" spans="1:21">
      <c r="A44" s="10" t="s">
        <v>171</v>
      </c>
      <c r="D44" s="27">
        <f t="shared" ref="D44:L44" si="10">D41+D42+D43</f>
        <v>33803.700000000004</v>
      </c>
      <c r="E44" s="27">
        <f t="shared" si="10"/>
        <v>32811.199999999997</v>
      </c>
      <c r="F44" s="27">
        <f t="shared" si="10"/>
        <v>47510.8</v>
      </c>
      <c r="G44" s="27">
        <f t="shared" si="10"/>
        <v>52626.8</v>
      </c>
      <c r="H44" s="27">
        <f t="shared" si="10"/>
        <v>53854.299999999996</v>
      </c>
      <c r="I44" s="27">
        <f t="shared" si="10"/>
        <v>50435</v>
      </c>
      <c r="J44" s="27">
        <f t="shared" si="10"/>
        <v>56147</v>
      </c>
      <c r="K44" s="27">
        <f t="shared" si="10"/>
        <v>55181</v>
      </c>
      <c r="L44" s="27">
        <f t="shared" si="10"/>
        <v>59515</v>
      </c>
      <c r="M44" s="16"/>
    </row>
    <row r="45" spans="1:21">
      <c r="A45" s="17" t="s">
        <v>294</v>
      </c>
      <c r="D45" s="23">
        <f>D44-'Balance Sheet'!D29</f>
        <v>0</v>
      </c>
      <c r="E45" s="23">
        <f>E44-'Balance Sheet'!E29</f>
        <v>0</v>
      </c>
      <c r="F45" s="23">
        <f>F44-'Balance Sheet'!F29</f>
        <v>0</v>
      </c>
      <c r="G45" s="23">
        <f>G44-'Balance Sheet'!G29</f>
        <v>0</v>
      </c>
      <c r="H45" s="23">
        <f>H44-'Balance Sheet'!H29</f>
        <v>0</v>
      </c>
      <c r="I45" s="23">
        <f>I44-'Balance Sheet'!I29</f>
        <v>-0.59999999999854481</v>
      </c>
      <c r="J45" s="23">
        <f>J44-'Balance Sheet'!J29</f>
        <v>0</v>
      </c>
      <c r="K45" s="23">
        <f>K44-'Balance Sheet'!K29</f>
        <v>-1</v>
      </c>
      <c r="L45" s="23">
        <f>L44-'Balance Sheet'!L29</f>
        <v>0</v>
      </c>
      <c r="M45" s="9"/>
    </row>
    <row r="46" spans="1:21" ht="8" customHeight="1">
      <c r="M46" s="9"/>
    </row>
    <row r="47" spans="1:21" ht="20" customHeight="1">
      <c r="A47" s="12" t="s">
        <v>295</v>
      </c>
      <c r="B47" s="1"/>
      <c r="C47" s="1"/>
      <c r="D47" s="1"/>
      <c r="E47" s="1"/>
      <c r="F47" s="1"/>
      <c r="G47" s="1"/>
      <c r="H47" s="1"/>
      <c r="I47" s="1"/>
      <c r="J47" s="1"/>
      <c r="K47" s="1"/>
      <c r="L47" s="1"/>
      <c r="M47" s="9"/>
      <c r="N47" s="1"/>
      <c r="O47" s="1"/>
      <c r="P47" s="1"/>
      <c r="Q47" s="1"/>
      <c r="R47" s="1"/>
      <c r="S47" s="1"/>
      <c r="T47" s="1"/>
      <c r="U47" s="1"/>
    </row>
    <row r="48" spans="1:21">
      <c r="A48" s="5" t="s">
        <v>279</v>
      </c>
      <c r="D48" s="13">
        <v>861.2</v>
      </c>
      <c r="E48" s="13">
        <v>1849.8</v>
      </c>
      <c r="F48" s="13">
        <v>1480.5</v>
      </c>
      <c r="G48" s="13">
        <v>890.4</v>
      </c>
      <c r="H48" s="13">
        <v>940.7</v>
      </c>
      <c r="I48" s="13">
        <v>860</v>
      </c>
      <c r="J48" s="13">
        <v>963</v>
      </c>
      <c r="K48" s="13">
        <v>1055</v>
      </c>
      <c r="L48" s="13">
        <v>1277</v>
      </c>
      <c r="M48" s="9"/>
    </row>
    <row r="49" spans="1:21">
      <c r="A49" s="5" t="s">
        <v>280</v>
      </c>
      <c r="D49" s="13">
        <v>808</v>
      </c>
      <c r="E49" s="13">
        <v>762.4</v>
      </c>
      <c r="F49" s="13">
        <v>886.6</v>
      </c>
      <c r="G49" s="13">
        <v>731.5</v>
      </c>
      <c r="H49" s="13">
        <v>1050.5999999999999</v>
      </c>
      <c r="I49" s="13">
        <v>1015</v>
      </c>
      <c r="J49" s="13">
        <v>1340</v>
      </c>
      <c r="K49" s="13">
        <v>1661</v>
      </c>
      <c r="L49" s="13">
        <v>2048</v>
      </c>
      <c r="M49" s="9"/>
    </row>
    <row r="50" spans="1:21">
      <c r="A50" s="5" t="s">
        <v>281</v>
      </c>
      <c r="D50" s="13">
        <v>184.5</v>
      </c>
      <c r="E50" s="13">
        <v>129.5</v>
      </c>
      <c r="F50" s="13">
        <v>26.6</v>
      </c>
      <c r="G50" s="13">
        <v>18.899999999999999</v>
      </c>
      <c r="H50" s="13">
        <v>48.7</v>
      </c>
      <c r="I50" s="13">
        <v>24</v>
      </c>
      <c r="J50" s="13">
        <v>54</v>
      </c>
      <c r="K50" s="13">
        <v>58</v>
      </c>
      <c r="L50" s="13">
        <v>40</v>
      </c>
      <c r="M50" s="9"/>
    </row>
    <row r="51" spans="1:21">
      <c r="A51" s="10" t="s">
        <v>296</v>
      </c>
      <c r="D51" s="27">
        <f t="shared" ref="D51:L51" si="11">D48+D49+D50</f>
        <v>1853.7</v>
      </c>
      <c r="E51" s="27">
        <f t="shared" si="11"/>
        <v>2741.7</v>
      </c>
      <c r="F51" s="27">
        <f t="shared" si="11"/>
        <v>2393.6999999999998</v>
      </c>
      <c r="G51" s="27">
        <f t="shared" si="11"/>
        <v>1640.8000000000002</v>
      </c>
      <c r="H51" s="27">
        <f t="shared" si="11"/>
        <v>2040</v>
      </c>
      <c r="I51" s="27">
        <f t="shared" si="11"/>
        <v>1899</v>
      </c>
      <c r="J51" s="27">
        <f t="shared" si="11"/>
        <v>2357</v>
      </c>
      <c r="K51" s="27">
        <f t="shared" si="11"/>
        <v>2774</v>
      </c>
      <c r="L51" s="27">
        <f t="shared" si="11"/>
        <v>3365</v>
      </c>
      <c r="M51" s="16"/>
    </row>
    <row r="52" spans="1:21">
      <c r="A52" s="17" t="s">
        <v>297</v>
      </c>
      <c r="D52" s="23">
        <f>D51+'Cash Flow'!D31</f>
        <v>0</v>
      </c>
      <c r="E52" s="23">
        <f>E51+'Cash Flow'!E31</f>
        <v>0</v>
      </c>
      <c r="F52" s="23">
        <f>F51+'Cash Flow'!F31</f>
        <v>0</v>
      </c>
      <c r="G52" s="23">
        <f>G51+'Cash Flow'!G31</f>
        <v>0</v>
      </c>
      <c r="H52" s="23">
        <f>H51+'Cash Flow'!H31</f>
        <v>0</v>
      </c>
      <c r="I52" s="23">
        <f>I51+'Cash Flow'!I31</f>
        <v>0</v>
      </c>
      <c r="J52" s="23">
        <f>J51+'Cash Flow'!J31</f>
        <v>0</v>
      </c>
      <c r="K52" s="23">
        <f>K51+'Cash Flow'!K31</f>
        <v>-1</v>
      </c>
      <c r="L52" s="23">
        <f>L51+'Cash Flow'!L31</f>
        <v>0</v>
      </c>
      <c r="M52" s="9"/>
    </row>
    <row r="53" spans="1:21" ht="8" customHeight="1">
      <c r="M53" s="9"/>
    </row>
    <row r="54" spans="1:21" ht="20" customHeight="1">
      <c r="A54" s="12" t="s">
        <v>298</v>
      </c>
      <c r="B54" s="1"/>
      <c r="C54" s="1"/>
      <c r="D54" s="1"/>
      <c r="E54" s="1"/>
      <c r="F54" s="1"/>
      <c r="G54" s="1"/>
      <c r="H54" s="1"/>
      <c r="I54" s="1"/>
      <c r="J54" s="1"/>
      <c r="K54" s="1"/>
      <c r="L54" s="1"/>
      <c r="M54" s="9"/>
      <c r="N54" s="1"/>
      <c r="O54" s="1"/>
      <c r="P54" s="1"/>
      <c r="Q54" s="1"/>
      <c r="R54" s="1"/>
      <c r="S54" s="1"/>
      <c r="T54" s="1"/>
      <c r="U54" s="1"/>
    </row>
    <row r="55" spans="1:21">
      <c r="A55" s="5" t="s">
        <v>279</v>
      </c>
      <c r="D55" s="13">
        <v>524.1</v>
      </c>
      <c r="E55" s="13">
        <v>598.4</v>
      </c>
      <c r="F55" s="13">
        <v>730.2</v>
      </c>
      <c r="G55" s="13">
        <v>813.8</v>
      </c>
      <c r="H55" s="13">
        <v>840.7</v>
      </c>
      <c r="I55" s="13">
        <v>912</v>
      </c>
      <c r="J55" s="13">
        <v>969</v>
      </c>
      <c r="K55" s="13">
        <v>980</v>
      </c>
      <c r="L55" s="13">
        <v>995</v>
      </c>
      <c r="M55" s="9"/>
    </row>
    <row r="56" spans="1:21">
      <c r="A56" s="5" t="s">
        <v>280</v>
      </c>
      <c r="D56" s="13">
        <v>687.1</v>
      </c>
      <c r="E56" s="13">
        <v>703.9</v>
      </c>
      <c r="F56" s="13">
        <v>669.3</v>
      </c>
      <c r="G56" s="13">
        <v>678.5</v>
      </c>
      <c r="H56" s="13">
        <v>726.4</v>
      </c>
      <c r="I56" s="13">
        <v>641</v>
      </c>
      <c r="J56" s="13">
        <v>679</v>
      </c>
      <c r="K56" s="13">
        <v>730</v>
      </c>
      <c r="L56" s="13">
        <v>789</v>
      </c>
      <c r="M56" s="9"/>
    </row>
    <row r="57" spans="1:21">
      <c r="A57" s="5" t="s">
        <v>281</v>
      </c>
      <c r="D57" s="13">
        <v>152.19999999999999</v>
      </c>
      <c r="E57" s="13">
        <v>179.7</v>
      </c>
      <c r="F57" s="13">
        <v>218.4</v>
      </c>
      <c r="G57" s="13">
        <v>259.10000000000002</v>
      </c>
      <c r="H57" s="13">
        <v>301</v>
      </c>
      <c r="I57" s="13">
        <v>318</v>
      </c>
      <c r="J57" s="13">
        <v>330</v>
      </c>
      <c r="K57" s="13">
        <v>387</v>
      </c>
      <c r="L57" s="13">
        <v>415</v>
      </c>
      <c r="M57" s="9"/>
    </row>
    <row r="58" spans="1:21">
      <c r="A58" s="10" t="s">
        <v>299</v>
      </c>
      <c r="D58" s="27">
        <f t="shared" ref="D58:L58" si="12">D55+D56+D57</f>
        <v>1363.4</v>
      </c>
      <c r="E58" s="27">
        <f t="shared" si="12"/>
        <v>1482</v>
      </c>
      <c r="F58" s="27">
        <f t="shared" si="12"/>
        <v>1617.9</v>
      </c>
      <c r="G58" s="27">
        <f t="shared" si="12"/>
        <v>1751.4</v>
      </c>
      <c r="H58" s="27">
        <f t="shared" si="12"/>
        <v>1868.1</v>
      </c>
      <c r="I58" s="27">
        <f t="shared" si="12"/>
        <v>1871</v>
      </c>
      <c r="J58" s="27">
        <f t="shared" si="12"/>
        <v>1978</v>
      </c>
      <c r="K58" s="27">
        <f t="shared" si="12"/>
        <v>2097</v>
      </c>
      <c r="L58" s="27">
        <f t="shared" si="12"/>
        <v>2199</v>
      </c>
      <c r="M58" s="16"/>
    </row>
    <row r="59" spans="1:21">
      <c r="A59" s="17" t="s">
        <v>300</v>
      </c>
      <c r="D59" s="23">
        <f>D58-'Cash Flow'!D16</f>
        <v>0</v>
      </c>
      <c r="E59" s="23">
        <f>E58-'Cash Flow'!E16</f>
        <v>0</v>
      </c>
      <c r="F59" s="23">
        <f>F58-'Cash Flow'!F16</f>
        <v>0</v>
      </c>
      <c r="G59" s="23">
        <f>G58-'Cash Flow'!G16</f>
        <v>0</v>
      </c>
      <c r="H59" s="23">
        <f>H58-'Cash Flow'!H16</f>
        <v>0</v>
      </c>
      <c r="I59" s="23">
        <f>I58-'Cash Flow'!I16</f>
        <v>0</v>
      </c>
      <c r="J59" s="23">
        <f>J58-'Cash Flow'!J16</f>
        <v>0</v>
      </c>
      <c r="K59" s="23">
        <f>K58-'Cash Flow'!K16</f>
        <v>0</v>
      </c>
      <c r="L59" s="23">
        <f>L58-'Cash Flow'!L16</f>
        <v>0</v>
      </c>
      <c r="M59" s="9"/>
    </row>
    <row r="60" spans="1:21" ht="8" customHeight="1">
      <c r="M60" s="9"/>
    </row>
    <row r="61" spans="1:21" ht="20" customHeight="1">
      <c r="A61" s="12" t="s">
        <v>301</v>
      </c>
      <c r="B61" s="1"/>
      <c r="C61" s="1"/>
      <c r="D61" s="1"/>
      <c r="E61" s="1"/>
      <c r="F61" s="1"/>
      <c r="G61" s="1"/>
      <c r="H61" s="1"/>
      <c r="I61" s="1"/>
      <c r="J61" s="1"/>
      <c r="K61" s="1"/>
      <c r="L61" s="1"/>
      <c r="M61" s="9"/>
      <c r="N61" s="1"/>
      <c r="O61" s="1"/>
      <c r="P61" s="1"/>
      <c r="Q61" s="1"/>
      <c r="R61" s="1"/>
      <c r="S61" s="1"/>
      <c r="T61" s="1"/>
      <c r="U61" s="1"/>
    </row>
    <row r="62" spans="1:21">
      <c r="A62" s="5" t="s">
        <v>279</v>
      </c>
      <c r="I62" s="13">
        <v>1244</v>
      </c>
      <c r="J62" s="13">
        <v>1286</v>
      </c>
      <c r="K62" s="13">
        <v>1294</v>
      </c>
      <c r="L62" s="13">
        <v>1293</v>
      </c>
      <c r="M62" s="9"/>
    </row>
    <row r="63" spans="1:21">
      <c r="A63" s="5" t="s">
        <v>280</v>
      </c>
      <c r="I63" s="13">
        <v>1086</v>
      </c>
      <c r="J63" s="13">
        <v>1170</v>
      </c>
      <c r="K63" s="13">
        <v>1231</v>
      </c>
      <c r="L63" s="13">
        <v>1324</v>
      </c>
      <c r="M63" s="9"/>
    </row>
    <row r="64" spans="1:21">
      <c r="A64" s="5" t="s">
        <v>281</v>
      </c>
      <c r="I64" s="13">
        <v>20</v>
      </c>
      <c r="J64" s="13">
        <v>19</v>
      </c>
      <c r="K64" s="13">
        <v>11</v>
      </c>
      <c r="L64" s="13">
        <v>1</v>
      </c>
      <c r="M64" s="9"/>
    </row>
    <row r="65" spans="1:13">
      <c r="A65" s="10" t="s">
        <v>302</v>
      </c>
      <c r="D65" s="27">
        <f t="shared" ref="D65:L65" si="13">D62+D63+D64</f>
        <v>0</v>
      </c>
      <c r="E65" s="27">
        <f t="shared" si="13"/>
        <v>0</v>
      </c>
      <c r="F65" s="27">
        <f t="shared" si="13"/>
        <v>0</v>
      </c>
      <c r="G65" s="27">
        <f t="shared" si="13"/>
        <v>0</v>
      </c>
      <c r="H65" s="27">
        <f t="shared" si="13"/>
        <v>0</v>
      </c>
      <c r="I65" s="27">
        <f t="shared" si="13"/>
        <v>2350</v>
      </c>
      <c r="J65" s="27">
        <f t="shared" si="13"/>
        <v>2475</v>
      </c>
      <c r="K65" s="27">
        <f t="shared" si="13"/>
        <v>2536</v>
      </c>
      <c r="L65" s="27">
        <f t="shared" si="13"/>
        <v>2618</v>
      </c>
      <c r="M65" s="16"/>
    </row>
    <row r="66" spans="1:13">
      <c r="M66" s="9"/>
    </row>
    <row r="67" spans="1:13">
      <c r="A67" s="5" t="s">
        <v>279</v>
      </c>
      <c r="I67" s="13">
        <v>2406</v>
      </c>
      <c r="J67" s="13">
        <v>2732</v>
      </c>
      <c r="K67" s="13">
        <v>2780</v>
      </c>
      <c r="L67" s="13">
        <v>2755</v>
      </c>
      <c r="M67" s="9"/>
    </row>
    <row r="68" spans="1:13">
      <c r="A68" s="5" t="s">
        <v>280</v>
      </c>
      <c r="I68" s="13">
        <v>4266</v>
      </c>
      <c r="J68" s="13">
        <v>4707</v>
      </c>
      <c r="K68" s="13">
        <v>4765</v>
      </c>
      <c r="L68" s="13">
        <v>5101</v>
      </c>
      <c r="M68" s="9"/>
    </row>
    <row r="69" spans="1:13">
      <c r="A69" s="5" t="s">
        <v>281</v>
      </c>
      <c r="I69" s="13">
        <v>709</v>
      </c>
      <c r="J69" s="13">
        <v>785</v>
      </c>
      <c r="K69" s="13">
        <v>790</v>
      </c>
      <c r="L69" s="13">
        <v>413</v>
      </c>
      <c r="M69" s="9"/>
    </row>
    <row r="70" spans="1:13">
      <c r="A70" s="10" t="s">
        <v>303</v>
      </c>
      <c r="D70" s="27">
        <f t="shared" ref="D70:L70" si="14">D67+D68+D69</f>
        <v>0</v>
      </c>
      <c r="E70" s="27">
        <f t="shared" si="14"/>
        <v>0</v>
      </c>
      <c r="F70" s="27">
        <f t="shared" si="14"/>
        <v>0</v>
      </c>
      <c r="G70" s="27">
        <f t="shared" si="14"/>
        <v>0</v>
      </c>
      <c r="H70" s="27">
        <f t="shared" si="14"/>
        <v>0</v>
      </c>
      <c r="I70" s="27">
        <f t="shared" si="14"/>
        <v>7381</v>
      </c>
      <c r="J70" s="27">
        <f t="shared" si="14"/>
        <v>8224</v>
      </c>
      <c r="K70" s="27">
        <f t="shared" si="14"/>
        <v>8335</v>
      </c>
      <c r="L70" s="27">
        <f t="shared" si="14"/>
        <v>8269</v>
      </c>
      <c r="M70" s="16"/>
    </row>
    <row r="71" spans="1:13">
      <c r="M71" s="9"/>
    </row>
    <row r="72" spans="1:13">
      <c r="A72" s="5" t="s">
        <v>279</v>
      </c>
      <c r="I72" s="13">
        <v>692</v>
      </c>
      <c r="J72" s="13">
        <v>661</v>
      </c>
      <c r="K72" s="13">
        <v>654</v>
      </c>
      <c r="L72" s="13">
        <v>653</v>
      </c>
      <c r="M72" s="9"/>
    </row>
    <row r="73" spans="1:13">
      <c r="A73" s="5" t="s">
        <v>280</v>
      </c>
      <c r="I73" s="13">
        <v>629</v>
      </c>
      <c r="J73" s="13">
        <v>635</v>
      </c>
      <c r="K73" s="13">
        <v>631</v>
      </c>
      <c r="L73" s="13">
        <v>705</v>
      </c>
      <c r="M73" s="9"/>
    </row>
    <row r="74" spans="1:13">
      <c r="A74" s="5" t="s">
        <v>281</v>
      </c>
      <c r="I74" s="13">
        <v>1541</v>
      </c>
      <c r="J74" s="13">
        <v>1521</v>
      </c>
      <c r="K74" s="13">
        <v>1573</v>
      </c>
      <c r="L74" s="13">
        <v>1682</v>
      </c>
      <c r="M74" s="9"/>
    </row>
    <row r="75" spans="1:13">
      <c r="A75" s="10" t="s">
        <v>304</v>
      </c>
      <c r="D75" s="27">
        <f t="shared" ref="D75:L75" si="15">D72+D73+D74</f>
        <v>0</v>
      </c>
      <c r="E75" s="27">
        <f t="shared" si="15"/>
        <v>0</v>
      </c>
      <c r="F75" s="27">
        <f t="shared" si="15"/>
        <v>0</v>
      </c>
      <c r="G75" s="27">
        <f t="shared" si="15"/>
        <v>0</v>
      </c>
      <c r="H75" s="27">
        <f t="shared" si="15"/>
        <v>0</v>
      </c>
      <c r="I75" s="27">
        <f t="shared" si="15"/>
        <v>2862</v>
      </c>
      <c r="J75" s="27">
        <f t="shared" si="15"/>
        <v>2817</v>
      </c>
      <c r="K75" s="27">
        <f t="shared" si="15"/>
        <v>2858</v>
      </c>
      <c r="L75" s="27">
        <f t="shared" si="15"/>
        <v>3040</v>
      </c>
      <c r="M75" s="16"/>
    </row>
    <row r="76" spans="1:13">
      <c r="M76" s="9"/>
    </row>
    <row r="77" spans="1:13">
      <c r="A77" s="5" t="s">
        <v>279</v>
      </c>
      <c r="I77" s="13">
        <v>110</v>
      </c>
      <c r="J77" s="13">
        <v>195</v>
      </c>
      <c r="K77" s="13">
        <v>170</v>
      </c>
      <c r="L77" s="13">
        <v>316</v>
      </c>
      <c r="M77" s="9"/>
    </row>
    <row r="78" spans="1:13">
      <c r="A78" s="5" t="s">
        <v>280</v>
      </c>
      <c r="I78" s="13">
        <v>1390</v>
      </c>
      <c r="J78" s="13">
        <v>39</v>
      </c>
      <c r="K78" s="13">
        <v>55</v>
      </c>
      <c r="L78" s="13">
        <v>122</v>
      </c>
      <c r="M78" s="9"/>
    </row>
    <row r="79" spans="1:13">
      <c r="A79" s="5" t="s">
        <v>281</v>
      </c>
      <c r="I79" s="13">
        <v>-282</v>
      </c>
      <c r="J79" s="13">
        <v>97</v>
      </c>
      <c r="K79" s="13">
        <v>254</v>
      </c>
      <c r="L79" s="13">
        <v>128</v>
      </c>
      <c r="M79" s="9"/>
    </row>
    <row r="80" spans="1:13">
      <c r="A80" s="10" t="s">
        <v>305</v>
      </c>
      <c r="D80" s="27">
        <f t="shared" ref="D80:L80" si="16">D77+D78+D79</f>
        <v>0</v>
      </c>
      <c r="E80" s="27">
        <f t="shared" si="16"/>
        <v>0</v>
      </c>
      <c r="F80" s="27">
        <f t="shared" si="16"/>
        <v>0</v>
      </c>
      <c r="G80" s="27">
        <f t="shared" si="16"/>
        <v>0</v>
      </c>
      <c r="H80" s="27">
        <f t="shared" si="16"/>
        <v>0</v>
      </c>
      <c r="I80" s="27">
        <f t="shared" si="16"/>
        <v>1218</v>
      </c>
      <c r="J80" s="27">
        <f t="shared" si="16"/>
        <v>331</v>
      </c>
      <c r="K80" s="27">
        <f t="shared" si="16"/>
        <v>479</v>
      </c>
      <c r="L80" s="27">
        <f t="shared" si="16"/>
        <v>566</v>
      </c>
      <c r="M80" s="16"/>
    </row>
    <row r="81" spans="1:21" ht="8" customHeight="1">
      <c r="M81" s="9"/>
    </row>
    <row r="82" spans="1:21" ht="20" customHeight="1">
      <c r="A82" s="35" t="s">
        <v>306</v>
      </c>
      <c r="B82" s="1"/>
      <c r="C82" s="1"/>
      <c r="D82" s="1"/>
      <c r="E82" s="1"/>
      <c r="F82" s="1"/>
      <c r="G82" s="1"/>
      <c r="H82" s="1"/>
      <c r="I82" s="1"/>
      <c r="J82" s="1"/>
      <c r="K82" s="1"/>
      <c r="L82" s="1"/>
      <c r="M82" s="9"/>
      <c r="N82" s="1"/>
      <c r="O82" s="1"/>
      <c r="P82" s="1"/>
      <c r="Q82" s="1"/>
      <c r="R82" s="1"/>
      <c r="S82" s="1"/>
      <c r="T82" s="1"/>
      <c r="U82" s="1"/>
    </row>
    <row r="83" spans="1:21">
      <c r="A83" s="40" t="s">
        <v>307</v>
      </c>
      <c r="D83" s="13">
        <v>4746</v>
      </c>
      <c r="E83" s="13">
        <v>5001</v>
      </c>
      <c r="F83" s="13">
        <v>5353</v>
      </c>
      <c r="G83" s="13">
        <v>5261</v>
      </c>
      <c r="H83" s="13">
        <v>6094</v>
      </c>
      <c r="I83" s="13">
        <v>6585</v>
      </c>
      <c r="J83" s="13">
        <v>7163</v>
      </c>
      <c r="K83" s="13">
        <v>7211</v>
      </c>
      <c r="L83" s="13">
        <v>7371</v>
      </c>
      <c r="M83" s="9"/>
      <c r="N83">
        <f>'Valuation Driver Build'!C305</f>
        <v>1851</v>
      </c>
      <c r="O83">
        <f>'Valuation Driver Build'!D305</f>
        <v>1794</v>
      </c>
      <c r="P83">
        <f>'Valuation Driver Build'!E305</f>
        <v>1679</v>
      </c>
      <c r="Q83">
        <f>'Valuation Driver Build'!F305</f>
        <v>1901</v>
      </c>
      <c r="R83">
        <f>'Valuation Driver Build'!G305</f>
        <v>1906</v>
      </c>
      <c r="S83">
        <f>'Valuation Driver Build'!H305</f>
        <v>1886</v>
      </c>
      <c r="T83">
        <f>'Valuation Driver Build'!I305</f>
        <v>1750</v>
      </c>
      <c r="U83">
        <f>'Valuation Driver Build'!J305</f>
        <v>1942</v>
      </c>
    </row>
    <row r="84" spans="1:21">
      <c r="A84" s="5" t="s">
        <v>308</v>
      </c>
      <c r="D84" s="13">
        <v>4271</v>
      </c>
      <c r="E84" s="13">
        <v>4839</v>
      </c>
      <c r="F84" s="13">
        <v>5064</v>
      </c>
      <c r="G84" s="13">
        <v>4348</v>
      </c>
      <c r="H84" s="13">
        <v>5638</v>
      </c>
      <c r="I84" s="13">
        <v>5985</v>
      </c>
      <c r="J84" s="13">
        <v>6549</v>
      </c>
      <c r="K84" s="13">
        <v>6746</v>
      </c>
      <c r="L84" s="13">
        <v>7279</v>
      </c>
      <c r="M84" s="9"/>
      <c r="N84">
        <f>'Valuation Driver Build'!C306</f>
        <v>1781</v>
      </c>
      <c r="O84">
        <f>'Valuation Driver Build'!D306</f>
        <v>1707</v>
      </c>
      <c r="P84">
        <f>'Valuation Driver Build'!E306</f>
        <v>1554</v>
      </c>
      <c r="Q84">
        <f>'Valuation Driver Build'!F306</f>
        <v>1839</v>
      </c>
      <c r="R84">
        <f>'Valuation Driver Build'!G306</f>
        <v>1962</v>
      </c>
      <c r="S84">
        <f>'Valuation Driver Build'!H306</f>
        <v>1925</v>
      </c>
      <c r="T84">
        <f>'Valuation Driver Build'!I306</f>
        <v>1782</v>
      </c>
      <c r="U84">
        <f>'Valuation Driver Build'!J306</f>
        <v>1936</v>
      </c>
    </row>
    <row r="85" spans="1:21">
      <c r="A85" s="5" t="s">
        <v>309</v>
      </c>
      <c r="D85" s="13">
        <v>1084</v>
      </c>
      <c r="E85" s="13">
        <v>1172</v>
      </c>
      <c r="F85" s="13">
        <v>1239</v>
      </c>
      <c r="G85" s="13">
        <v>1117</v>
      </c>
      <c r="H85" s="13">
        <v>1353</v>
      </c>
      <c r="I85" s="13">
        <v>1536</v>
      </c>
      <c r="J85" s="13">
        <v>1724</v>
      </c>
      <c r="K85" s="13">
        <v>1758</v>
      </c>
      <c r="L85" s="13">
        <v>1898</v>
      </c>
      <c r="M85" s="9"/>
      <c r="N85">
        <f>'Valuation Driver Build'!C307</f>
        <v>461</v>
      </c>
      <c r="O85">
        <f>'Valuation Driver Build'!D307</f>
        <v>458</v>
      </c>
      <c r="P85">
        <f>'Valuation Driver Build'!E307</f>
        <v>429</v>
      </c>
      <c r="Q85">
        <f>'Valuation Driver Build'!F307</f>
        <v>473</v>
      </c>
      <c r="R85">
        <f>'Valuation Driver Build'!G307</f>
        <v>496</v>
      </c>
      <c r="S85">
        <f>'Valuation Driver Build'!H307</f>
        <v>500</v>
      </c>
      <c r="T85">
        <f>'Valuation Driver Build'!I307</f>
        <v>476</v>
      </c>
      <c r="U85">
        <f>'Valuation Driver Build'!J307</f>
        <v>515</v>
      </c>
    </row>
    <row r="86" spans="1:21">
      <c r="A86" s="10" t="s">
        <v>310</v>
      </c>
      <c r="D86" s="27">
        <f t="shared" ref="D86:L86" si="17">D83+D84+D85</f>
        <v>10101</v>
      </c>
      <c r="E86" s="27">
        <f t="shared" si="17"/>
        <v>11012</v>
      </c>
      <c r="F86" s="27">
        <f t="shared" si="17"/>
        <v>11656</v>
      </c>
      <c r="G86" s="27">
        <f t="shared" si="17"/>
        <v>10726</v>
      </c>
      <c r="H86" s="27">
        <f t="shared" si="17"/>
        <v>13085</v>
      </c>
      <c r="I86" s="27">
        <f t="shared" si="17"/>
        <v>14106</v>
      </c>
      <c r="J86" s="27">
        <f t="shared" si="17"/>
        <v>15436</v>
      </c>
      <c r="K86" s="27">
        <f t="shared" si="17"/>
        <v>15715</v>
      </c>
      <c r="L86" s="27">
        <f t="shared" si="17"/>
        <v>16548</v>
      </c>
      <c r="M86" s="16"/>
      <c r="N86">
        <f>'Valuation Driver Build'!C308</f>
        <v>4094</v>
      </c>
      <c r="O86">
        <f>'Valuation Driver Build'!D308</f>
        <v>3959</v>
      </c>
      <c r="P86">
        <f>'Valuation Driver Build'!E308</f>
        <v>3661</v>
      </c>
      <c r="Q86">
        <f>'Valuation Driver Build'!F308</f>
        <v>4213</v>
      </c>
      <c r="R86">
        <f>'Valuation Driver Build'!G308</f>
        <v>4363</v>
      </c>
      <c r="S86">
        <f>'Valuation Driver Build'!H308</f>
        <v>4310</v>
      </c>
      <c r="T86">
        <f>'Valuation Driver Build'!I308</f>
        <v>4007</v>
      </c>
      <c r="U86">
        <f>'Valuation Driver Build'!J308</f>
        <v>4393</v>
      </c>
    </row>
    <row r="87" spans="1:21">
      <c r="A87" s="5" t="s">
        <v>311</v>
      </c>
      <c r="D87" s="13">
        <v>3260</v>
      </c>
      <c r="E87" s="13">
        <v>2665</v>
      </c>
      <c r="F87" s="13">
        <v>2490</v>
      </c>
      <c r="G87" s="13">
        <v>2395</v>
      </c>
      <c r="H87" s="13">
        <v>2617</v>
      </c>
      <c r="I87" s="13">
        <v>2836</v>
      </c>
      <c r="J87" s="13">
        <v>3221</v>
      </c>
      <c r="K87" s="13">
        <v>3197</v>
      </c>
      <c r="L87" s="13">
        <v>3115</v>
      </c>
      <c r="M87" s="9"/>
      <c r="N87">
        <f>'Valuation Driver Build'!C309</f>
        <v>822</v>
      </c>
      <c r="O87">
        <f>'Valuation Driver Build'!D309</f>
        <v>780</v>
      </c>
      <c r="P87">
        <f>'Valuation Driver Build'!E309</f>
        <v>724</v>
      </c>
      <c r="Q87">
        <f>'Valuation Driver Build'!F309</f>
        <v>791</v>
      </c>
      <c r="R87">
        <f>'Valuation Driver Build'!G309</f>
        <v>790</v>
      </c>
      <c r="S87">
        <f>'Valuation Driver Build'!H309</f>
        <v>809</v>
      </c>
      <c r="T87">
        <f>'Valuation Driver Build'!I309</f>
        <v>729</v>
      </c>
      <c r="U87">
        <f>'Valuation Driver Build'!J309</f>
        <v>784</v>
      </c>
    </row>
    <row r="88" spans="1:21">
      <c r="A88" s="5" t="s">
        <v>312</v>
      </c>
      <c r="D88" s="13">
        <v>6845</v>
      </c>
      <c r="E88" s="13">
        <v>6668</v>
      </c>
      <c r="F88" s="13">
        <v>6334</v>
      </c>
      <c r="G88" s="13">
        <v>5114</v>
      </c>
      <c r="H88" s="13">
        <v>6456</v>
      </c>
      <c r="I88" s="13">
        <v>5179</v>
      </c>
      <c r="J88" s="13">
        <v>5702</v>
      </c>
      <c r="K88" s="13">
        <v>5713</v>
      </c>
      <c r="L88" s="13">
        <v>6131</v>
      </c>
      <c r="M88" s="9"/>
      <c r="N88">
        <f>'Valuation Driver Build'!C310</f>
        <v>1485</v>
      </c>
      <c r="O88">
        <f>'Valuation Driver Build'!D310</f>
        <v>1435</v>
      </c>
      <c r="P88">
        <f>'Valuation Driver Build'!E310</f>
        <v>1309</v>
      </c>
      <c r="Q88">
        <f>'Valuation Driver Build'!F310</f>
        <v>1564</v>
      </c>
      <c r="R88">
        <f>'Valuation Driver Build'!G310</f>
        <v>1645</v>
      </c>
      <c r="S88">
        <f>'Valuation Driver Build'!H310</f>
        <v>1613</v>
      </c>
      <c r="T88">
        <f>'Valuation Driver Build'!I310</f>
        <v>1477</v>
      </c>
      <c r="U88">
        <f>'Valuation Driver Build'!J310</f>
        <v>1607</v>
      </c>
    </row>
    <row r="89" spans="1:21">
      <c r="A89" s="5" t="s">
        <v>313</v>
      </c>
      <c r="D89" s="13">
        <v>2614</v>
      </c>
      <c r="E89" s="13">
        <v>680</v>
      </c>
      <c r="F89" s="13">
        <v>597</v>
      </c>
      <c r="G89" s="13">
        <v>630</v>
      </c>
      <c r="H89" s="13">
        <v>715</v>
      </c>
      <c r="I89" s="13">
        <v>733</v>
      </c>
      <c r="J89" s="13">
        <v>819</v>
      </c>
      <c r="K89" s="13">
        <v>872</v>
      </c>
      <c r="L89" s="13">
        <v>443</v>
      </c>
      <c r="M89" s="9"/>
      <c r="N89">
        <f>'Valuation Driver Build'!C311</f>
        <v>349</v>
      </c>
      <c r="O89">
        <f>'Valuation Driver Build'!D311</f>
        <v>95</v>
      </c>
      <c r="P89">
        <f>'Valuation Driver Build'!E311</f>
        <v>99</v>
      </c>
      <c r="Q89">
        <f>'Valuation Driver Build'!F311</f>
        <v>103</v>
      </c>
      <c r="R89">
        <f>'Valuation Driver Build'!G311</f>
        <v>128</v>
      </c>
      <c r="S89">
        <f>'Valuation Driver Build'!H311</f>
        <v>113</v>
      </c>
      <c r="T89">
        <f>'Valuation Driver Build'!I311</f>
        <v>111</v>
      </c>
      <c r="U89">
        <f>'Valuation Driver Build'!J311</f>
        <v>133</v>
      </c>
    </row>
    <row r="90" spans="1:21">
      <c r="A90" s="10" t="s">
        <v>314</v>
      </c>
      <c r="D90" s="27">
        <f t="shared" ref="D90:L90" si="18">D87+D88+D89</f>
        <v>12719</v>
      </c>
      <c r="E90" s="27">
        <f t="shared" si="18"/>
        <v>10013</v>
      </c>
      <c r="F90" s="27">
        <f t="shared" si="18"/>
        <v>9421</v>
      </c>
      <c r="G90" s="27">
        <f t="shared" si="18"/>
        <v>8139</v>
      </c>
      <c r="H90" s="27">
        <f t="shared" si="18"/>
        <v>9788</v>
      </c>
      <c r="I90" s="27">
        <f t="shared" si="18"/>
        <v>8748</v>
      </c>
      <c r="J90" s="27">
        <f t="shared" si="18"/>
        <v>9742</v>
      </c>
      <c r="K90" s="27">
        <f t="shared" si="18"/>
        <v>9782</v>
      </c>
      <c r="L90" s="27">
        <f t="shared" si="18"/>
        <v>9689</v>
      </c>
      <c r="M90" s="16"/>
      <c r="N90">
        <f>'Valuation Driver Build'!C312</f>
        <v>2656</v>
      </c>
      <c r="O90">
        <f>'Valuation Driver Build'!D312</f>
        <v>2310</v>
      </c>
      <c r="P90">
        <f>'Valuation Driver Build'!E312</f>
        <v>2132</v>
      </c>
      <c r="Q90">
        <f>'Valuation Driver Build'!F312</f>
        <v>2458</v>
      </c>
      <c r="R90">
        <f>'Valuation Driver Build'!G312</f>
        <v>2563</v>
      </c>
      <c r="S90">
        <f>'Valuation Driver Build'!H312</f>
        <v>2535</v>
      </c>
      <c r="T90">
        <f>'Valuation Driver Build'!I312</f>
        <v>2317</v>
      </c>
      <c r="U90">
        <f>'Valuation Driver Build'!J312</f>
        <v>2525</v>
      </c>
    </row>
    <row r="91" spans="1:21">
      <c r="A91" s="5" t="s">
        <v>315</v>
      </c>
      <c r="E91" s="13">
        <v>233</v>
      </c>
      <c r="F91" s="13">
        <v>288</v>
      </c>
      <c r="G91" s="13">
        <v>343</v>
      </c>
      <c r="H91" s="13">
        <v>350</v>
      </c>
      <c r="I91" s="13">
        <v>329</v>
      </c>
      <c r="J91" s="13">
        <v>316</v>
      </c>
      <c r="K91" s="13">
        <v>423</v>
      </c>
      <c r="L91" s="13">
        <v>647</v>
      </c>
      <c r="M91" s="9"/>
    </row>
    <row r="92" spans="1:21">
      <c r="A92" s="10" t="s">
        <v>116</v>
      </c>
      <c r="D92" s="27">
        <f t="shared" ref="D92:L92" si="19">D86+D90+D91</f>
        <v>22820</v>
      </c>
      <c r="E92" s="27">
        <f t="shared" si="19"/>
        <v>21258</v>
      </c>
      <c r="F92" s="27">
        <f t="shared" si="19"/>
        <v>21365</v>
      </c>
      <c r="G92" s="27">
        <f t="shared" si="19"/>
        <v>19208</v>
      </c>
      <c r="H92" s="27">
        <f t="shared" si="19"/>
        <v>23223</v>
      </c>
      <c r="I92" s="27">
        <f t="shared" si="19"/>
        <v>23183</v>
      </c>
      <c r="J92" s="27">
        <f t="shared" si="19"/>
        <v>25494</v>
      </c>
      <c r="K92" s="27">
        <f t="shared" si="19"/>
        <v>25920</v>
      </c>
      <c r="L92" s="27">
        <f t="shared" si="19"/>
        <v>26884</v>
      </c>
      <c r="M92" s="16"/>
    </row>
    <row r="93" spans="1:21">
      <c r="A93" s="17" t="s">
        <v>316</v>
      </c>
      <c r="D93" s="23">
        <f>D86-'Income Statement'!D12</f>
        <v>-0.5</v>
      </c>
      <c r="E93" s="23">
        <f>E86-'Income Statement'!E12</f>
        <v>-0.5</v>
      </c>
      <c r="F93" s="23">
        <f>F86-'Income Statement'!F12</f>
        <v>0.2999999999992724</v>
      </c>
      <c r="G93" s="23">
        <f>G86-'Income Statement'!G12</f>
        <v>-0.1000000000003638</v>
      </c>
      <c r="H93" s="23">
        <f>H86-'Income Statement'!H12</f>
        <v>-0.3999999999996362</v>
      </c>
      <c r="I93" s="23">
        <f>I86-'Income Statement'!I12</f>
        <v>0</v>
      </c>
      <c r="J93" s="23">
        <f>J86-'Income Statement'!J12</f>
        <v>-1</v>
      </c>
      <c r="K93" s="23">
        <f>K86-'Income Statement'!K12</f>
        <v>0</v>
      </c>
      <c r="L93" s="23">
        <f>L86-'Income Statement'!L12</f>
        <v>0</v>
      </c>
      <c r="M93" s="9"/>
    </row>
    <row r="94" spans="1:21">
      <c r="A94" s="17" t="s">
        <v>317</v>
      </c>
      <c r="D94" s="23">
        <f>D90-'Income Statement'!D14</f>
        <v>0.1000000000003638</v>
      </c>
      <c r="E94" s="23">
        <f>E90-'Income Statement'!E14</f>
        <v>0.2999999999992724</v>
      </c>
      <c r="F94" s="23">
        <f>F90-'Income Statement'!F14</f>
        <v>0.2000000000007276</v>
      </c>
      <c r="G94" s="23">
        <f>G90-'Income Statement'!G14</f>
        <v>-0.1999999999998181</v>
      </c>
      <c r="H94" s="23">
        <f>H90-'Income Statement'!H14</f>
        <v>0.6000000000003638</v>
      </c>
      <c r="I94" s="23">
        <f>I90-'Income Statement'!I14</f>
        <v>0</v>
      </c>
      <c r="J94" s="23">
        <f>J90-'Income Statement'!J14</f>
        <v>0</v>
      </c>
      <c r="K94" s="23">
        <f>K90-'Income Statement'!K14</f>
        <v>0</v>
      </c>
      <c r="L94" s="23">
        <f>L90-'Income Statement'!L14</f>
        <v>-1</v>
      </c>
      <c r="M94" s="9"/>
    </row>
    <row r="95" spans="1:21">
      <c r="A95" s="17" t="s">
        <v>318</v>
      </c>
      <c r="D95" s="23">
        <f>D92-'Income Statement'!D17</f>
        <v>-0.40000000000145519</v>
      </c>
      <c r="E95" s="23">
        <f>E92-'Income Statement'!E17</f>
        <v>9.9999999998544808E-2</v>
      </c>
      <c r="F95" s="23">
        <f>F92-'Income Statement'!F17</f>
        <v>0.59999999999854481</v>
      </c>
      <c r="G95" s="23">
        <f>G92-'Income Statement'!G17</f>
        <v>0.2000000000007276</v>
      </c>
      <c r="H95" s="23">
        <f>H92-'Income Statement'!H17</f>
        <v>9.9999999998544808E-2</v>
      </c>
      <c r="I95" s="23">
        <f>I92-'Income Statement'!I17</f>
        <v>0</v>
      </c>
      <c r="J95" s="23">
        <f>J92-'Income Statement'!J17</f>
        <v>0</v>
      </c>
      <c r="K95" s="23">
        <f>K92-'Income Statement'!K17</f>
        <v>0</v>
      </c>
      <c r="L95" s="23">
        <f>L92-'Income Statement'!L17</f>
        <v>-1</v>
      </c>
      <c r="M95" s="9"/>
    </row>
    <row r="96" spans="1:21" ht="8" customHeight="1">
      <c r="M96" s="9"/>
    </row>
    <row r="97" spans="1:21" ht="20" customHeight="1">
      <c r="A97" s="12" t="s">
        <v>319</v>
      </c>
      <c r="B97" s="1"/>
      <c r="C97" s="1"/>
      <c r="D97" s="1"/>
      <c r="E97" s="1"/>
      <c r="F97" s="1"/>
      <c r="G97" s="1"/>
      <c r="H97" s="1"/>
      <c r="I97" s="1"/>
      <c r="J97" s="1"/>
      <c r="K97" s="1"/>
      <c r="L97" s="1"/>
      <c r="M97" s="9"/>
      <c r="N97" s="1"/>
      <c r="O97" s="1"/>
      <c r="P97" s="1"/>
      <c r="Q97" s="1"/>
      <c r="R97" s="1"/>
      <c r="S97" s="1"/>
      <c r="T97" s="1"/>
      <c r="U97" s="1"/>
    </row>
    <row r="98" spans="1:21">
      <c r="A98" s="5" t="s">
        <v>320</v>
      </c>
      <c r="D98" s="13">
        <v>3913</v>
      </c>
      <c r="E98" s="13">
        <v>4070</v>
      </c>
      <c r="F98" s="13">
        <v>4227</v>
      </c>
      <c r="G98" s="13">
        <v>4097</v>
      </c>
      <c r="H98" s="13">
        <v>4906</v>
      </c>
      <c r="I98" s="13">
        <v>5341</v>
      </c>
      <c r="J98" s="13">
        <v>5877</v>
      </c>
      <c r="K98" s="13">
        <v>5916</v>
      </c>
      <c r="L98" s="13">
        <v>6078</v>
      </c>
      <c r="M98" s="9"/>
      <c r="N98">
        <f>'Valuation Driver Build'!C313</f>
        <v>1525</v>
      </c>
      <c r="O98">
        <f>'Valuation Driver Build'!D313</f>
        <v>1472</v>
      </c>
      <c r="P98">
        <f>'Valuation Driver Build'!E313</f>
        <v>1360</v>
      </c>
      <c r="Q98">
        <f>'Valuation Driver Build'!F313</f>
        <v>1576</v>
      </c>
      <c r="R98">
        <f>'Valuation Driver Build'!G313</f>
        <v>1581</v>
      </c>
      <c r="S98">
        <f>'Valuation Driver Build'!H313</f>
        <v>1561</v>
      </c>
      <c r="T98">
        <f>'Valuation Driver Build'!I313</f>
        <v>1427</v>
      </c>
      <c r="U98">
        <f>'Valuation Driver Build'!J313</f>
        <v>1621</v>
      </c>
    </row>
    <row r="99" spans="1:21">
      <c r="A99" s="17" t="s">
        <v>111</v>
      </c>
      <c r="D99" s="18" t="str">
        <f t="shared" ref="D99:L99" si="20">IF(N(C98)=0,"",D98/C98-1)</f>
        <v/>
      </c>
      <c r="E99" s="18">
        <f t="shared" si="20"/>
        <v>4.0122668029644704E-2</v>
      </c>
      <c r="F99" s="18">
        <f t="shared" si="20"/>
        <v>3.8574938574938544E-2</v>
      </c>
      <c r="G99" s="18">
        <f t="shared" si="20"/>
        <v>-3.0754672344452283E-2</v>
      </c>
      <c r="H99" s="18">
        <f t="shared" si="20"/>
        <v>0.19746155723700265</v>
      </c>
      <c r="I99" s="18">
        <f t="shared" si="20"/>
        <v>8.866693844272322E-2</v>
      </c>
      <c r="J99" s="18">
        <f t="shared" si="20"/>
        <v>0.10035573862572544</v>
      </c>
      <c r="K99" s="18">
        <f t="shared" si="20"/>
        <v>6.6360387953037225E-3</v>
      </c>
      <c r="L99" s="18">
        <f t="shared" si="20"/>
        <v>2.738336713995948E-2</v>
      </c>
      <c r="M99" s="9"/>
      <c r="R99">
        <f>R98/N98-1</f>
        <v>3.6721311475409912E-2</v>
      </c>
      <c r="S99">
        <f>S98/O98-1</f>
        <v>6.0461956521739024E-2</v>
      </c>
      <c r="T99">
        <f>T98/P98-1</f>
        <v>4.9264705882352988E-2</v>
      </c>
      <c r="U99">
        <f>U98/Q98-1</f>
        <v>2.8553299492385831E-2</v>
      </c>
    </row>
    <row r="100" spans="1:21">
      <c r="A100" s="5" t="s">
        <v>321</v>
      </c>
      <c r="D100" s="13">
        <v>3365</v>
      </c>
      <c r="E100" s="13">
        <v>3829</v>
      </c>
      <c r="F100" s="13">
        <v>4018</v>
      </c>
      <c r="G100" s="13">
        <v>3329</v>
      </c>
      <c r="H100" s="13">
        <v>4516</v>
      </c>
      <c r="I100" s="13">
        <v>4899</v>
      </c>
      <c r="J100" s="13">
        <v>5379</v>
      </c>
      <c r="K100" s="13">
        <v>5514</v>
      </c>
      <c r="L100" s="13">
        <v>5954</v>
      </c>
      <c r="M100" s="9"/>
      <c r="N100">
        <f>'Valuation Driver Build'!C314</f>
        <v>1463</v>
      </c>
      <c r="O100">
        <f>'Valuation Driver Build'!D314</f>
        <v>1394</v>
      </c>
      <c r="P100">
        <f>'Valuation Driver Build'!E314</f>
        <v>1252</v>
      </c>
      <c r="Q100">
        <f>'Valuation Driver Build'!F314</f>
        <v>1511</v>
      </c>
      <c r="R100">
        <f>'Valuation Driver Build'!G314</f>
        <v>1620</v>
      </c>
      <c r="S100">
        <f>'Valuation Driver Build'!H314</f>
        <v>1571</v>
      </c>
      <c r="T100">
        <f>'Valuation Driver Build'!I314</f>
        <v>1429</v>
      </c>
      <c r="U100">
        <f>'Valuation Driver Build'!J314</f>
        <v>1577</v>
      </c>
    </row>
    <row r="101" spans="1:21">
      <c r="A101" s="17" t="s">
        <v>111</v>
      </c>
      <c r="D101" s="18" t="str">
        <f t="shared" ref="D101" si="21">IF(N(C100)=0,"",D100/C100-1)</f>
        <v/>
      </c>
      <c r="E101" s="18">
        <f t="shared" ref="E101" si="22">IF(N(D100)=0,"",E100/D100-1)</f>
        <v>0.13789004457652299</v>
      </c>
      <c r="F101" s="18">
        <f t="shared" ref="F101" si="23">IF(N(E100)=0,"",F100/E100-1)</f>
        <v>4.9360146252285242E-2</v>
      </c>
      <c r="G101" s="18">
        <f t="shared" ref="G101" si="24">IF(N(F100)=0,"",G100/F100-1)</f>
        <v>-0.17147834743653556</v>
      </c>
      <c r="H101" s="18">
        <f t="shared" ref="H101" si="25">IF(N(G100)=0,"",H100/G100-1)</f>
        <v>0.35656353259237017</v>
      </c>
      <c r="I101" s="18">
        <f t="shared" ref="I101" si="26">IF(N(H100)=0,"",I100/H100-1)</f>
        <v>8.4809565987599589E-2</v>
      </c>
      <c r="J101" s="18">
        <f t="shared" ref="J101" si="27">IF(N(I100)=0,"",J100/I100-1)</f>
        <v>9.7979179424372287E-2</v>
      </c>
      <c r="K101" s="18">
        <f t="shared" ref="K101" si="28">IF(N(J100)=0,"",K100/J100-1)</f>
        <v>2.5097601784718426E-2</v>
      </c>
      <c r="L101" s="18">
        <f t="shared" ref="L101" si="29">IF(N(K100)=0,"",L100/K100-1)</f>
        <v>7.9796880667392101E-2</v>
      </c>
      <c r="M101" s="9"/>
      <c r="R101">
        <f>R100/N100-1</f>
        <v>0.10731373889268636</v>
      </c>
      <c r="S101">
        <f>S100/O100-1</f>
        <v>0.12697274031563843</v>
      </c>
      <c r="T101">
        <f>T100/P100-1</f>
        <v>0.14137380191693283</v>
      </c>
      <c r="U101">
        <f>U100/Q100-1</f>
        <v>4.3679682329583081E-2</v>
      </c>
    </row>
    <row r="102" spans="1:21">
      <c r="A102" s="5" t="s">
        <v>322</v>
      </c>
      <c r="D102" s="13">
        <v>1034</v>
      </c>
      <c r="E102" s="13">
        <v>1140</v>
      </c>
      <c r="F102" s="13">
        <v>1210</v>
      </c>
      <c r="G102" s="13">
        <v>1093</v>
      </c>
      <c r="H102" s="13">
        <v>1328</v>
      </c>
      <c r="I102" s="13">
        <v>1516</v>
      </c>
      <c r="J102" s="13">
        <v>1706</v>
      </c>
      <c r="K102" s="13">
        <v>1748</v>
      </c>
      <c r="L102" s="13">
        <v>1897</v>
      </c>
      <c r="M102" s="9"/>
      <c r="N102">
        <f>'Valuation Driver Build'!C315</f>
        <v>459</v>
      </c>
      <c r="O102">
        <f>'Valuation Driver Build'!D315</f>
        <v>458</v>
      </c>
      <c r="P102">
        <f>'Valuation Driver Build'!E315</f>
        <v>429</v>
      </c>
      <c r="Q102">
        <f>'Valuation Driver Build'!F315</f>
        <v>473</v>
      </c>
      <c r="R102">
        <f>'Valuation Driver Build'!G315</f>
        <v>496</v>
      </c>
      <c r="S102">
        <f>'Valuation Driver Build'!H315</f>
        <v>500</v>
      </c>
      <c r="T102">
        <f>'Valuation Driver Build'!I315</f>
        <v>475</v>
      </c>
      <c r="U102">
        <f>'Valuation Driver Build'!J315</f>
        <v>515</v>
      </c>
    </row>
    <row r="103" spans="1:21">
      <c r="A103" s="17" t="s">
        <v>111</v>
      </c>
      <c r="D103" s="18" t="str">
        <f t="shared" ref="D103" si="30">IF(N(C102)=0,"",D102/C102-1)</f>
        <v/>
      </c>
      <c r="E103" s="18">
        <f t="shared" ref="E103" si="31">IF(N(D102)=0,"",E102/D102-1)</f>
        <v>0.10251450676982587</v>
      </c>
      <c r="F103" s="18">
        <f t="shared" ref="F103" si="32">IF(N(E102)=0,"",F102/E102-1)</f>
        <v>6.1403508771929793E-2</v>
      </c>
      <c r="G103" s="18">
        <f t="shared" ref="G103" si="33">IF(N(F102)=0,"",G102/F102-1)</f>
        <v>-9.6694214876033024E-2</v>
      </c>
      <c r="H103" s="18">
        <f t="shared" ref="H103" si="34">IF(N(G102)=0,"",H102/G102-1)</f>
        <v>0.21500457456541633</v>
      </c>
      <c r="I103" s="18">
        <f t="shared" ref="I103" si="35">IF(N(H102)=0,"",I102/H102-1)</f>
        <v>0.14156626506024095</v>
      </c>
      <c r="J103" s="18">
        <f t="shared" ref="J103" si="36">IF(N(I102)=0,"",J102/I102-1)</f>
        <v>0.12532981530343013</v>
      </c>
      <c r="K103" s="18">
        <f t="shared" ref="K103" si="37">IF(N(J102)=0,"",K102/J102-1)</f>
        <v>2.4618991793669442E-2</v>
      </c>
      <c r="L103" s="18">
        <f t="shared" ref="L103" si="38">IF(N(K102)=0,"",L102/K102-1)</f>
        <v>8.524027459954242E-2</v>
      </c>
      <c r="M103" s="9"/>
      <c r="R103">
        <f>R102/N102-1</f>
        <v>8.0610021786492458E-2</v>
      </c>
      <c r="S103">
        <f>S102/O102-1</f>
        <v>9.1703056768559055E-2</v>
      </c>
      <c r="T103">
        <f>T102/P102-1</f>
        <v>0.10722610722610715</v>
      </c>
      <c r="U103">
        <f>U102/Q102-1</f>
        <v>8.8794926004228225E-2</v>
      </c>
    </row>
    <row r="104" spans="1:21">
      <c r="A104" s="10" t="s">
        <v>323</v>
      </c>
      <c r="D104" s="15">
        <v>8312</v>
      </c>
      <c r="E104" s="15">
        <v>9039</v>
      </c>
      <c r="F104" s="15">
        <v>9455</v>
      </c>
      <c r="G104" s="15">
        <v>8519</v>
      </c>
      <c r="H104" s="15">
        <v>10750</v>
      </c>
      <c r="I104" s="15">
        <v>11756</v>
      </c>
      <c r="J104" s="15">
        <v>12962</v>
      </c>
      <c r="K104" s="15">
        <v>13178</v>
      </c>
      <c r="L104" s="15">
        <v>13930</v>
      </c>
      <c r="M104" s="16"/>
      <c r="N104">
        <f>'Valuation Driver Build'!C316</f>
        <v>3447</v>
      </c>
      <c r="O104">
        <f>'Valuation Driver Build'!D316</f>
        <v>3323</v>
      </c>
      <c r="P104">
        <f>'Valuation Driver Build'!E316</f>
        <v>3041</v>
      </c>
      <c r="Q104">
        <f>'Valuation Driver Build'!F316</f>
        <v>3559</v>
      </c>
      <c r="R104">
        <f>'Valuation Driver Build'!G316</f>
        <v>3697</v>
      </c>
      <c r="S104">
        <f>'Valuation Driver Build'!H316</f>
        <v>3632</v>
      </c>
      <c r="T104">
        <f>'Valuation Driver Build'!I316</f>
        <v>3331</v>
      </c>
      <c r="U104">
        <f>'Valuation Driver Build'!J316</f>
        <v>3713</v>
      </c>
    </row>
    <row r="105" spans="1:21">
      <c r="A105" s="17" t="s">
        <v>111</v>
      </c>
      <c r="D105" s="18" t="str">
        <f t="shared" ref="D105" si="39">IF(N(C104)=0,"",D104/C104-1)</f>
        <v/>
      </c>
      <c r="E105" s="18">
        <f t="shared" ref="E105" si="40">IF(N(D104)=0,"",E104/D104-1)</f>
        <v>8.7463907603464897E-2</v>
      </c>
      <c r="F105" s="18">
        <f t="shared" ref="F105" si="41">IF(N(E104)=0,"",F104/E104-1)</f>
        <v>4.602279013165167E-2</v>
      </c>
      <c r="G105" s="18">
        <f t="shared" ref="G105" si="42">IF(N(F104)=0,"",G104/F104-1)</f>
        <v>-9.8995240613432012E-2</v>
      </c>
      <c r="H105" s="18">
        <f t="shared" ref="H105" si="43">IF(N(G104)=0,"",H104/G104-1)</f>
        <v>0.26188519779316821</v>
      </c>
      <c r="I105" s="18">
        <f t="shared" ref="I105" si="44">IF(N(H104)=0,"",I104/H104-1)</f>
        <v>9.3581395348837138E-2</v>
      </c>
      <c r="J105" s="18">
        <f t="shared" ref="J105" si="45">IF(N(I104)=0,"",J104/I104-1)</f>
        <v>0.10258591357604629</v>
      </c>
      <c r="K105" s="18">
        <f t="shared" ref="K105" si="46">IF(N(J104)=0,"",K104/J104-1)</f>
        <v>1.6664095047060679E-2</v>
      </c>
      <c r="L105" s="18">
        <f t="shared" ref="L105" si="47">IF(N(K104)=0,"",L104/K104-1)</f>
        <v>5.70648049779936E-2</v>
      </c>
      <c r="M105" s="51"/>
      <c r="R105">
        <f>R104/N104-1</f>
        <v>7.2526834928923645E-2</v>
      </c>
      <c r="S105">
        <f>S104/O104-1</f>
        <v>9.2988263617213462E-2</v>
      </c>
      <c r="T105">
        <f>T104/P104-1</f>
        <v>9.5363367313383796E-2</v>
      </c>
      <c r="U105">
        <f>U104/Q104-1</f>
        <v>4.3270581624051729E-2</v>
      </c>
    </row>
    <row r="106" spans="1:21">
      <c r="A106" s="17"/>
      <c r="D106" s="18"/>
      <c r="E106" s="18"/>
      <c r="F106" s="18"/>
      <c r="G106" s="18"/>
      <c r="H106" s="18"/>
      <c r="I106" s="18"/>
      <c r="J106" s="18"/>
      <c r="K106" s="18"/>
      <c r="L106" s="18"/>
      <c r="M106" s="51"/>
    </row>
    <row r="107" spans="1:21" ht="14" customHeight="1">
      <c r="A107" s="5" t="s">
        <v>324</v>
      </c>
      <c r="B107" s="14" t="s">
        <v>325</v>
      </c>
      <c r="D107" s="13">
        <v>523</v>
      </c>
      <c r="E107" s="13">
        <v>397</v>
      </c>
      <c r="F107" s="13">
        <v>388</v>
      </c>
      <c r="G107" s="13">
        <v>405</v>
      </c>
      <c r="H107" s="13">
        <v>511</v>
      </c>
      <c r="I107" s="13">
        <v>429</v>
      </c>
      <c r="J107" s="13">
        <v>488</v>
      </c>
      <c r="K107" s="13">
        <v>417</v>
      </c>
      <c r="L107" s="13">
        <v>360</v>
      </c>
      <c r="M107" s="9"/>
      <c r="N107">
        <f>'Valuation Driver Build'!C317</f>
        <v>105</v>
      </c>
      <c r="O107">
        <f>'Valuation Driver Build'!D317</f>
        <v>89</v>
      </c>
      <c r="P107">
        <f>'Valuation Driver Build'!E317</f>
        <v>79</v>
      </c>
      <c r="Q107">
        <f>'Valuation Driver Build'!F317</f>
        <v>97</v>
      </c>
      <c r="R107">
        <f>'Valuation Driver Build'!G317</f>
        <v>90</v>
      </c>
      <c r="S107">
        <f>'Valuation Driver Build'!H317</f>
        <v>94</v>
      </c>
      <c r="T107">
        <f>'Valuation Driver Build'!I317</f>
        <v>59</v>
      </c>
      <c r="U107">
        <f>'Valuation Driver Build'!J317</f>
        <v>91</v>
      </c>
    </row>
    <row r="108" spans="1:21" ht="14" customHeight="1">
      <c r="A108" s="5" t="s">
        <v>326</v>
      </c>
      <c r="B108" s="14" t="s">
        <v>325</v>
      </c>
      <c r="D108" s="13">
        <v>1336</v>
      </c>
      <c r="E108" s="13">
        <v>1327</v>
      </c>
      <c r="F108" s="13">
        <v>1266</v>
      </c>
      <c r="G108" s="13">
        <v>748</v>
      </c>
      <c r="H108" s="13">
        <v>1208</v>
      </c>
      <c r="I108" s="13">
        <v>913</v>
      </c>
      <c r="J108" s="13">
        <v>995</v>
      </c>
      <c r="K108" s="13">
        <v>948</v>
      </c>
      <c r="L108" s="13">
        <v>1031</v>
      </c>
      <c r="M108" s="9"/>
      <c r="N108">
        <f>'Valuation Driver Build'!C318</f>
        <v>258</v>
      </c>
      <c r="O108">
        <f>'Valuation Driver Build'!D318</f>
        <v>237</v>
      </c>
      <c r="P108">
        <f>'Valuation Driver Build'!E318</f>
        <v>186</v>
      </c>
      <c r="Q108">
        <f>'Valuation Driver Build'!F318</f>
        <v>278</v>
      </c>
      <c r="R108">
        <f>'Valuation Driver Build'!G318</f>
        <v>288</v>
      </c>
      <c r="S108">
        <f>'Valuation Driver Build'!H318</f>
        <v>279</v>
      </c>
      <c r="T108">
        <f>'Valuation Driver Build'!I318</f>
        <v>222</v>
      </c>
      <c r="U108">
        <f>'Valuation Driver Build'!J318</f>
        <v>285</v>
      </c>
    </row>
    <row r="109" spans="1:21">
      <c r="A109" s="10" t="s">
        <v>327</v>
      </c>
      <c r="D109" s="15">
        <v>2309</v>
      </c>
      <c r="E109" s="15">
        <v>1747</v>
      </c>
      <c r="F109" s="15">
        <v>1660</v>
      </c>
      <c r="G109" s="15">
        <v>1158</v>
      </c>
      <c r="H109" s="15">
        <v>1740</v>
      </c>
      <c r="I109" s="15">
        <v>1368</v>
      </c>
      <c r="J109" s="15">
        <v>1517</v>
      </c>
      <c r="K109" s="15">
        <v>1447</v>
      </c>
      <c r="L109" s="15">
        <v>1422</v>
      </c>
      <c r="M109" s="16"/>
      <c r="N109">
        <f>'Valuation Driver Build'!C319</f>
        <v>407</v>
      </c>
      <c r="O109">
        <f>'Valuation Driver Build'!D319</f>
        <v>333</v>
      </c>
      <c r="P109">
        <f>'Valuation Driver Build'!E319</f>
        <v>273</v>
      </c>
      <c r="Q109">
        <f>'Valuation Driver Build'!F319</f>
        <v>380</v>
      </c>
      <c r="R109">
        <f>'Valuation Driver Build'!G319</f>
        <v>391</v>
      </c>
      <c r="S109">
        <f>'Valuation Driver Build'!H319</f>
        <v>378</v>
      </c>
      <c r="T109">
        <f>'Valuation Driver Build'!I319</f>
        <v>285</v>
      </c>
      <c r="U109">
        <f>'Valuation Driver Build'!J319</f>
        <v>387</v>
      </c>
    </row>
    <row r="110" spans="1:21">
      <c r="M110" s="9"/>
    </row>
    <row r="111" spans="1:21">
      <c r="A111" s="5" t="s">
        <v>328</v>
      </c>
      <c r="B111" s="14" t="s">
        <v>329</v>
      </c>
      <c r="E111" s="13">
        <v>4467</v>
      </c>
      <c r="F111" s="13">
        <v>4615</v>
      </c>
      <c r="G111" s="13">
        <v>4502</v>
      </c>
      <c r="H111" s="13">
        <v>5417</v>
      </c>
      <c r="I111" s="13">
        <v>5770</v>
      </c>
      <c r="J111" s="13">
        <v>6366</v>
      </c>
      <c r="K111" s="13">
        <v>6334</v>
      </c>
      <c r="L111" s="13">
        <v>6438</v>
      </c>
      <c r="M111" s="9"/>
    </row>
    <row r="112" spans="1:21">
      <c r="A112" s="5" t="s">
        <v>330</v>
      </c>
      <c r="B112" s="14" t="s">
        <v>329</v>
      </c>
      <c r="E112" s="13">
        <v>5156</v>
      </c>
      <c r="F112" s="13">
        <v>5284</v>
      </c>
      <c r="G112" s="13">
        <v>4077</v>
      </c>
      <c r="H112" s="13">
        <v>5724</v>
      </c>
      <c r="I112" s="13">
        <v>5813</v>
      </c>
      <c r="J112" s="13">
        <v>6374</v>
      </c>
      <c r="K112" s="13">
        <v>6462</v>
      </c>
      <c r="L112" s="13">
        <v>6985</v>
      </c>
      <c r="M112" s="9"/>
    </row>
    <row r="113" spans="1:21">
      <c r="A113" s="10" t="s">
        <v>331</v>
      </c>
      <c r="E113" s="15">
        <v>10786</v>
      </c>
      <c r="F113" s="15">
        <v>11115</v>
      </c>
      <c r="G113" s="15">
        <v>9677</v>
      </c>
      <c r="H113" s="15">
        <v>12490</v>
      </c>
      <c r="I113" s="15">
        <v>13124</v>
      </c>
      <c r="J113" s="15">
        <v>14479</v>
      </c>
      <c r="K113" s="15">
        <v>14625</v>
      </c>
      <c r="L113" s="15">
        <v>15351</v>
      </c>
      <c r="M113" s="16"/>
    </row>
    <row r="114" spans="1:21">
      <c r="M114" s="9"/>
    </row>
    <row r="115" spans="1:21">
      <c r="A115" s="44" t="s">
        <v>332</v>
      </c>
      <c r="B115" s="45"/>
      <c r="C115" s="45"/>
      <c r="D115" s="46">
        <f>D98/D83</f>
        <v>0.82448377581120946</v>
      </c>
      <c r="E115" s="46">
        <f t="shared" ref="E115:L115" si="48">E98/E83</f>
        <v>0.81383723255348928</v>
      </c>
      <c r="F115" s="46">
        <f t="shared" si="48"/>
        <v>0.78965066317952548</v>
      </c>
      <c r="G115" s="46">
        <f t="shared" si="48"/>
        <v>0.77874928720775516</v>
      </c>
      <c r="H115" s="46">
        <f t="shared" si="48"/>
        <v>0.80505415162454874</v>
      </c>
      <c r="I115" s="46">
        <f t="shared" si="48"/>
        <v>0.81108580106302197</v>
      </c>
      <c r="J115" s="46">
        <f t="shared" si="48"/>
        <v>0.82046628507608543</v>
      </c>
      <c r="K115" s="46">
        <f t="shared" si="48"/>
        <v>0.82041325752322836</v>
      </c>
      <c r="L115" s="46">
        <f t="shared" si="48"/>
        <v>0.82458282458282461</v>
      </c>
      <c r="M115" s="9"/>
      <c r="N115">
        <f t="shared" ref="N115:U115" si="49">N98/N83</f>
        <v>0.82387898433279305</v>
      </c>
      <c r="O115">
        <f t="shared" si="49"/>
        <v>0.82051282051282048</v>
      </c>
      <c r="P115">
        <f t="shared" si="49"/>
        <v>0.81000595592614655</v>
      </c>
      <c r="Q115">
        <f t="shared" si="49"/>
        <v>0.82903734876380852</v>
      </c>
      <c r="R115">
        <f t="shared" si="49"/>
        <v>0.829485834207765</v>
      </c>
      <c r="S115">
        <f t="shared" si="49"/>
        <v>0.82767762460233296</v>
      </c>
      <c r="T115">
        <f t="shared" si="49"/>
        <v>0.81542857142857139</v>
      </c>
      <c r="U115">
        <f t="shared" si="49"/>
        <v>0.83470648815653969</v>
      </c>
    </row>
    <row r="116" spans="1:21">
      <c r="A116" s="44" t="s">
        <v>333</v>
      </c>
      <c r="B116" s="45"/>
      <c r="C116" s="45"/>
      <c r="D116" s="46">
        <f>D100/D84</f>
        <v>0.78787169281198788</v>
      </c>
      <c r="E116" s="46">
        <f t="shared" ref="E116:L116" si="50">E100/E84</f>
        <v>0.7912791899152718</v>
      </c>
      <c r="F116" s="46">
        <f t="shared" si="50"/>
        <v>0.79344391785150081</v>
      </c>
      <c r="G116" s="46">
        <f t="shared" si="50"/>
        <v>0.76563937442502294</v>
      </c>
      <c r="H116" s="46">
        <f t="shared" si="50"/>
        <v>0.80099326002128413</v>
      </c>
      <c r="I116" s="46">
        <f t="shared" si="50"/>
        <v>0.81854636591478702</v>
      </c>
      <c r="J116" s="46">
        <f t="shared" si="50"/>
        <v>0.82134677049931282</v>
      </c>
      <c r="K116" s="46">
        <f t="shared" si="50"/>
        <v>0.8173732582270975</v>
      </c>
      <c r="L116" s="46">
        <f t="shared" si="50"/>
        <v>0.81796950130512436</v>
      </c>
      <c r="M116" s="9"/>
      <c r="N116">
        <f t="shared" ref="N116:U116" si="51">N100/N84</f>
        <v>0.82144862436833244</v>
      </c>
      <c r="O116">
        <f t="shared" si="51"/>
        <v>0.81663737551259519</v>
      </c>
      <c r="P116">
        <f t="shared" si="51"/>
        <v>0.80566280566280568</v>
      </c>
      <c r="Q116">
        <f t="shared" si="51"/>
        <v>0.82164219684611206</v>
      </c>
      <c r="R116">
        <f t="shared" si="51"/>
        <v>0.82568807339449546</v>
      </c>
      <c r="S116">
        <f t="shared" si="51"/>
        <v>0.81610389610389611</v>
      </c>
      <c r="T116">
        <f t="shared" si="51"/>
        <v>0.8019079685746352</v>
      </c>
      <c r="U116">
        <f t="shared" si="51"/>
        <v>0.81456611570247939</v>
      </c>
    </row>
    <row r="117" spans="1:21">
      <c r="A117" s="44" t="s">
        <v>334</v>
      </c>
      <c r="B117" s="45"/>
      <c r="C117" s="45"/>
      <c r="D117" s="46">
        <f>D102/D85</f>
        <v>0.95387453874538741</v>
      </c>
      <c r="E117" s="46">
        <f t="shared" ref="E117:L117" si="52">E102/E85</f>
        <v>0.97269624573378843</v>
      </c>
      <c r="F117" s="46">
        <f t="shared" si="52"/>
        <v>0.97659402744148505</v>
      </c>
      <c r="G117" s="46">
        <f t="shared" si="52"/>
        <v>0.9785138764547896</v>
      </c>
      <c r="H117" s="46">
        <f t="shared" si="52"/>
        <v>0.9815225424981523</v>
      </c>
      <c r="I117" s="46">
        <f t="shared" si="52"/>
        <v>0.98697916666666663</v>
      </c>
      <c r="J117" s="46">
        <f t="shared" si="52"/>
        <v>0.98955916473317862</v>
      </c>
      <c r="K117" s="46">
        <f t="shared" si="52"/>
        <v>0.99431171786120587</v>
      </c>
      <c r="L117" s="46">
        <f t="shared" si="52"/>
        <v>0.99947312961011592</v>
      </c>
      <c r="M117" s="9"/>
      <c r="N117">
        <f t="shared" ref="N117:U117" si="53">N102/N85</f>
        <v>0.99566160520607372</v>
      </c>
      <c r="O117">
        <f t="shared" si="53"/>
        <v>1</v>
      </c>
      <c r="P117">
        <f t="shared" si="53"/>
        <v>1</v>
      </c>
      <c r="Q117">
        <f t="shared" si="53"/>
        <v>1</v>
      </c>
      <c r="R117">
        <f t="shared" si="53"/>
        <v>1</v>
      </c>
      <c r="S117">
        <f t="shared" si="53"/>
        <v>1</v>
      </c>
      <c r="T117">
        <f t="shared" si="53"/>
        <v>0.99789915966386555</v>
      </c>
      <c r="U117">
        <f t="shared" si="53"/>
        <v>1</v>
      </c>
    </row>
    <row r="118" spans="1:21">
      <c r="A118" s="48" t="s">
        <v>335</v>
      </c>
      <c r="B118" s="45"/>
      <c r="C118" s="47"/>
      <c r="D118" s="49">
        <f t="shared" ref="D118:L118" si="54">D104/D86</f>
        <v>0.82288882288882292</v>
      </c>
      <c r="E118" s="49">
        <f t="shared" si="54"/>
        <v>0.82083181983290954</v>
      </c>
      <c r="F118" s="49">
        <f t="shared" si="54"/>
        <v>0.81117021276595747</v>
      </c>
      <c r="G118" s="49">
        <f t="shared" si="54"/>
        <v>0.79423829945925783</v>
      </c>
      <c r="H118" s="49">
        <f t="shared" si="54"/>
        <v>0.8215513947267864</v>
      </c>
      <c r="I118" s="49">
        <f t="shared" si="54"/>
        <v>0.83340422515241741</v>
      </c>
      <c r="J118" s="49">
        <f t="shared" si="54"/>
        <v>0.83972531743975121</v>
      </c>
      <c r="K118" s="49">
        <f t="shared" si="54"/>
        <v>0.83856188355074768</v>
      </c>
      <c r="L118" s="49">
        <f t="shared" si="54"/>
        <v>0.84179357021996615</v>
      </c>
      <c r="M118" s="9"/>
      <c r="N118">
        <f t="shared" ref="N118:U118" si="55">N104/N86</f>
        <v>0.84196384953590619</v>
      </c>
      <c r="O118">
        <f t="shared" si="55"/>
        <v>0.83935337206365246</v>
      </c>
      <c r="P118">
        <f t="shared" si="55"/>
        <v>0.8306473641081672</v>
      </c>
      <c r="Q118">
        <f t="shared" si="55"/>
        <v>0.84476619985758372</v>
      </c>
      <c r="R118">
        <f t="shared" si="55"/>
        <v>0.84735273894109553</v>
      </c>
      <c r="S118">
        <f t="shared" si="55"/>
        <v>0.84269141531322511</v>
      </c>
      <c r="T118">
        <f t="shared" si="55"/>
        <v>0.83129523334165212</v>
      </c>
      <c r="U118">
        <f t="shared" si="55"/>
        <v>0.84520828590940134</v>
      </c>
    </row>
    <row r="119" spans="1:21">
      <c r="A119" s="44" t="s">
        <v>336</v>
      </c>
      <c r="B119" s="45"/>
      <c r="C119" s="45"/>
      <c r="D119" s="46">
        <f t="shared" ref="D119:L119" si="56">D107/D87</f>
        <v>0.16042944785276073</v>
      </c>
      <c r="E119" s="46">
        <f t="shared" si="56"/>
        <v>0.14896810506566605</v>
      </c>
      <c r="F119" s="46">
        <f t="shared" si="56"/>
        <v>0.15582329317269075</v>
      </c>
      <c r="G119" s="46">
        <f t="shared" si="56"/>
        <v>0.16910229645093947</v>
      </c>
      <c r="H119" s="46">
        <f t="shared" si="56"/>
        <v>0.19526175009552924</v>
      </c>
      <c r="I119" s="46">
        <f t="shared" si="56"/>
        <v>0.1512693935119887</v>
      </c>
      <c r="J119" s="46">
        <f t="shared" si="56"/>
        <v>0.15150574355790128</v>
      </c>
      <c r="K119" s="46">
        <f t="shared" si="56"/>
        <v>0.13043478260869565</v>
      </c>
      <c r="L119" s="46">
        <f t="shared" si="56"/>
        <v>0.11556982343499198</v>
      </c>
      <c r="M119" s="9"/>
      <c r="N119">
        <f t="shared" ref="N119:U120" si="57">N107/N87</f>
        <v>0.12773722627737227</v>
      </c>
      <c r="O119">
        <f t="shared" si="57"/>
        <v>0.1141025641025641</v>
      </c>
      <c r="P119">
        <f t="shared" si="57"/>
        <v>0.10911602209944751</v>
      </c>
      <c r="Q119">
        <f t="shared" si="57"/>
        <v>0.12262958280657396</v>
      </c>
      <c r="R119">
        <f t="shared" si="57"/>
        <v>0.11392405063291139</v>
      </c>
      <c r="S119">
        <f t="shared" si="57"/>
        <v>0.11619283065512979</v>
      </c>
      <c r="T119">
        <f t="shared" si="57"/>
        <v>8.0932784636488342E-2</v>
      </c>
      <c r="U119">
        <f t="shared" si="57"/>
        <v>0.11607142857142858</v>
      </c>
    </row>
    <row r="120" spans="1:21">
      <c r="A120" s="44" t="s">
        <v>337</v>
      </c>
      <c r="B120" s="45"/>
      <c r="C120" s="45"/>
      <c r="D120" s="46">
        <f t="shared" ref="D120:L120" si="58">D108/D88</f>
        <v>0.19517896274653032</v>
      </c>
      <c r="E120" s="46">
        <f t="shared" si="58"/>
        <v>0.19901019796040792</v>
      </c>
      <c r="F120" s="46">
        <f t="shared" si="58"/>
        <v>0.19987369750552572</v>
      </c>
      <c r="G120" s="46">
        <f t="shared" si="58"/>
        <v>0.14626515447790378</v>
      </c>
      <c r="H120" s="46">
        <f t="shared" si="58"/>
        <v>0.18711276332094176</v>
      </c>
      <c r="I120" s="46">
        <f t="shared" si="58"/>
        <v>0.17628885885306045</v>
      </c>
      <c r="J120" s="46">
        <f t="shared" si="58"/>
        <v>0.17450017537706067</v>
      </c>
      <c r="K120" s="46">
        <f t="shared" si="58"/>
        <v>0.16593733590057763</v>
      </c>
      <c r="L120" s="46">
        <f t="shared" si="58"/>
        <v>0.16816180068504322</v>
      </c>
      <c r="M120" s="9"/>
      <c r="N120">
        <f t="shared" si="57"/>
        <v>0.17373737373737375</v>
      </c>
      <c r="O120">
        <f t="shared" si="57"/>
        <v>0.1651567944250871</v>
      </c>
      <c r="P120">
        <f t="shared" si="57"/>
        <v>0.14209320091673033</v>
      </c>
      <c r="Q120">
        <f t="shared" si="57"/>
        <v>0.17774936061381075</v>
      </c>
      <c r="R120">
        <f t="shared" si="57"/>
        <v>0.17507598784194528</v>
      </c>
      <c r="S120">
        <f t="shared" si="57"/>
        <v>0.17296962182269063</v>
      </c>
      <c r="T120">
        <f t="shared" si="57"/>
        <v>0.15030467163168584</v>
      </c>
      <c r="U120">
        <f t="shared" si="57"/>
        <v>0.17734909769757312</v>
      </c>
    </row>
    <row r="121" spans="1:21">
      <c r="A121" s="44" t="s">
        <v>338</v>
      </c>
      <c r="B121" s="45"/>
      <c r="C121" s="45"/>
      <c r="D121" s="46">
        <f t="shared" ref="D121:L121" si="59">D109/D90</f>
        <v>0.18153942920040883</v>
      </c>
      <c r="E121" s="46">
        <f t="shared" si="59"/>
        <v>0.17447318485968241</v>
      </c>
      <c r="F121" s="46">
        <f t="shared" si="59"/>
        <v>0.17620210168771894</v>
      </c>
      <c r="G121" s="46">
        <f t="shared" si="59"/>
        <v>0.14227792112053078</v>
      </c>
      <c r="H121" s="46">
        <f t="shared" si="59"/>
        <v>0.17776869636289333</v>
      </c>
      <c r="I121" s="46">
        <f t="shared" si="59"/>
        <v>0.15637860082304528</v>
      </c>
      <c r="J121" s="46">
        <f t="shared" si="59"/>
        <v>0.15571751180455759</v>
      </c>
      <c r="K121" s="46">
        <f t="shared" si="59"/>
        <v>0.14792475976282968</v>
      </c>
      <c r="L121" s="46">
        <f t="shared" si="59"/>
        <v>0.14676437196821138</v>
      </c>
      <c r="M121" s="9"/>
      <c r="N121">
        <f t="shared" ref="N121:U121" si="60">N109/N90</f>
        <v>0.15323795180722891</v>
      </c>
      <c r="O121">
        <f t="shared" si="60"/>
        <v>0.14415584415584415</v>
      </c>
      <c r="P121">
        <f t="shared" si="60"/>
        <v>0.12804878048780488</v>
      </c>
      <c r="Q121">
        <f t="shared" si="60"/>
        <v>0.15459723352318958</v>
      </c>
      <c r="R121">
        <f t="shared" si="60"/>
        <v>0.15255559890753023</v>
      </c>
      <c r="S121">
        <f t="shared" si="60"/>
        <v>0.14911242603550295</v>
      </c>
      <c r="T121">
        <f t="shared" si="60"/>
        <v>0.12300388433318947</v>
      </c>
      <c r="U121">
        <f t="shared" si="60"/>
        <v>0.15326732673267326</v>
      </c>
    </row>
    <row r="122" spans="1:21">
      <c r="A122" s="48" t="s">
        <v>339</v>
      </c>
      <c r="B122" s="45"/>
      <c r="C122" s="45"/>
      <c r="D122" s="50">
        <f t="shared" ref="D122:L122" si="61">D104/(D104+D109)</f>
        <v>0.78260050842670181</v>
      </c>
      <c r="E122" s="50">
        <f t="shared" si="61"/>
        <v>0.83803078064157244</v>
      </c>
      <c r="F122" s="50">
        <f t="shared" si="61"/>
        <v>0.85065227170490332</v>
      </c>
      <c r="G122" s="50">
        <f t="shared" si="61"/>
        <v>0.88033481450862872</v>
      </c>
      <c r="H122" s="50">
        <f t="shared" si="61"/>
        <v>0.86068855084067253</v>
      </c>
      <c r="I122" s="50">
        <f t="shared" si="61"/>
        <v>0.89576348674184703</v>
      </c>
      <c r="J122" s="50">
        <f t="shared" si="61"/>
        <v>0.89522757096484562</v>
      </c>
      <c r="K122" s="50">
        <f t="shared" si="61"/>
        <v>0.90105982905982906</v>
      </c>
      <c r="L122" s="50">
        <f t="shared" si="61"/>
        <v>0.90737363210005206</v>
      </c>
      <c r="M122" s="9"/>
    </row>
    <row r="123" spans="1:21">
      <c r="A123" s="17" t="s">
        <v>340</v>
      </c>
      <c r="D123" s="23">
        <f>D104-('Income Statement'!D12-'Income Statement'!D20)</f>
        <v>0.5</v>
      </c>
      <c r="E123" s="23">
        <f>E104-('Income Statement'!E12-'Income Statement'!E20)</f>
        <v>-0.2000000000007276</v>
      </c>
      <c r="F123" s="23">
        <f>F104-('Income Statement'!F12-'Income Statement'!F20)</f>
        <v>-0.1000000000003638</v>
      </c>
      <c r="G123" s="23">
        <f>G104-('Income Statement'!G12-'Income Statement'!G20)</f>
        <v>0.3999999999996362</v>
      </c>
      <c r="H123" s="23">
        <f>H104-('Income Statement'!H12-'Income Statement'!H20)</f>
        <v>-0.3999999999996362</v>
      </c>
      <c r="I123" s="23">
        <f>I104-('Income Statement'!I12-'Income Statement'!I20)</f>
        <v>0</v>
      </c>
      <c r="J123" s="23">
        <f>J104-('Income Statement'!J12-'Income Statement'!J20)</f>
        <v>0</v>
      </c>
      <c r="K123" s="23">
        <f>K104-('Income Statement'!K12-'Income Statement'!K20)</f>
        <v>-1</v>
      </c>
      <c r="L123" s="23">
        <f>L104-('Income Statement'!L12-'Income Statement'!L20)</f>
        <v>0</v>
      </c>
      <c r="M123" s="9"/>
      <c r="N123">
        <f>N104-'Derived Metrics'!N17</f>
        <v>-1</v>
      </c>
      <c r="O123">
        <f>O104-'Derived Metrics'!O17</f>
        <v>-2</v>
      </c>
      <c r="P123">
        <f>P104-'Derived Metrics'!P17</f>
        <v>0</v>
      </c>
      <c r="Q123">
        <f>Q104-'Derived Metrics'!Q17</f>
        <v>0</v>
      </c>
      <c r="R123">
        <f>R104-'Derived Metrics'!R17</f>
        <v>0</v>
      </c>
      <c r="S123">
        <f>S104-'Derived Metrics'!S17</f>
        <v>0</v>
      </c>
      <c r="T123">
        <f>T104-'Derived Metrics'!T17</f>
        <v>0</v>
      </c>
      <c r="U123">
        <f>U104-'Derived Metrics'!U17</f>
        <v>0</v>
      </c>
    </row>
    <row r="124" spans="1:21">
      <c r="A124" s="17" t="s">
        <v>341</v>
      </c>
      <c r="D124" s="23">
        <f t="shared" ref="D124:L124" si="62">D98+D100+D102-D104</f>
        <v>0</v>
      </c>
      <c r="E124" s="23">
        <f t="shared" si="62"/>
        <v>0</v>
      </c>
      <c r="F124" s="23">
        <f t="shared" si="62"/>
        <v>0</v>
      </c>
      <c r="G124" s="23">
        <f t="shared" si="62"/>
        <v>0</v>
      </c>
      <c r="H124" s="23">
        <f t="shared" si="62"/>
        <v>0</v>
      </c>
      <c r="I124" s="23">
        <f t="shared" si="62"/>
        <v>0</v>
      </c>
      <c r="J124" s="23">
        <f t="shared" si="62"/>
        <v>0</v>
      </c>
      <c r="K124" s="23">
        <f t="shared" si="62"/>
        <v>0</v>
      </c>
      <c r="L124" s="23">
        <f t="shared" si="62"/>
        <v>-1</v>
      </c>
      <c r="M124" s="9"/>
      <c r="N124">
        <f t="shared" ref="N124:U124" si="63">SUM(N98,N100,N102)-N104</f>
        <v>0</v>
      </c>
      <c r="O124">
        <f t="shared" si="63"/>
        <v>1</v>
      </c>
      <c r="P124">
        <f t="shared" si="63"/>
        <v>0</v>
      </c>
      <c r="Q124">
        <f t="shared" si="63"/>
        <v>1</v>
      </c>
      <c r="R124">
        <f t="shared" si="63"/>
        <v>0</v>
      </c>
      <c r="S124">
        <f t="shared" si="63"/>
        <v>0</v>
      </c>
      <c r="T124">
        <f t="shared" si="63"/>
        <v>0</v>
      </c>
      <c r="U124">
        <f t="shared" si="63"/>
        <v>0</v>
      </c>
    </row>
    <row r="125" spans="1:21">
      <c r="A125" s="17" t="s">
        <v>342</v>
      </c>
      <c r="D125" s="23">
        <f>D109-('Income Statement'!D14-'Income Statement'!D25)</f>
        <v>-0.2999999999992724</v>
      </c>
      <c r="E125" s="23">
        <f>E109-('Income Statement'!E14-'Income Statement'!E25)</f>
        <v>0.2000000000007276</v>
      </c>
      <c r="F125" s="23">
        <f>F109-('Income Statement'!F14-'Income Statement'!F25)</f>
        <v>-0.19999999999890861</v>
      </c>
      <c r="G125" s="23">
        <f>G109-('Income Statement'!G14-'Income Statement'!G25)</f>
        <v>0</v>
      </c>
      <c r="H125" s="23">
        <f>H109-('Income Statement'!H14-'Income Statement'!H25)</f>
        <v>-9.9999999999454303E-2</v>
      </c>
      <c r="I125" s="23">
        <f>I109-('Income Statement'!I14-'Income Statement'!I25)</f>
        <v>0</v>
      </c>
      <c r="J125" s="23">
        <f>J109-('Income Statement'!J14-'Income Statement'!J25)</f>
        <v>-1</v>
      </c>
      <c r="K125" s="23">
        <f>K109-('Income Statement'!K14-'Income Statement'!K25)</f>
        <v>0</v>
      </c>
      <c r="L125" s="23">
        <f>L109-('Income Statement'!L14-'Income Statement'!L25)</f>
        <v>1</v>
      </c>
      <c r="M125" s="9"/>
      <c r="N125">
        <f>N109-'Derived Metrics'!N19</f>
        <v>-1</v>
      </c>
      <c r="O125">
        <f>O109-'Derived Metrics'!O19</f>
        <v>0</v>
      </c>
      <c r="P125">
        <f>P109-'Derived Metrics'!P19</f>
        <v>0</v>
      </c>
      <c r="Q125">
        <f>Q109-'Derived Metrics'!Q19</f>
        <v>0</v>
      </c>
      <c r="R125">
        <f>R109-'Derived Metrics'!R19</f>
        <v>0</v>
      </c>
      <c r="S125">
        <f>S109-'Derived Metrics'!S19</f>
        <v>2</v>
      </c>
      <c r="T125">
        <f>T109-'Derived Metrics'!T19</f>
        <v>0</v>
      </c>
      <c r="U125">
        <f>U109-'Derived Metrics'!U19</f>
        <v>0</v>
      </c>
    </row>
    <row r="126" spans="1:21">
      <c r="A126" s="17" t="s">
        <v>343</v>
      </c>
      <c r="E126" s="23">
        <f t="shared" ref="E126:L126" si="64">E113-E104-E109</f>
        <v>0</v>
      </c>
      <c r="F126" s="23">
        <f t="shared" si="64"/>
        <v>0</v>
      </c>
      <c r="G126" s="23">
        <f t="shared" si="64"/>
        <v>0</v>
      </c>
      <c r="H126" s="23">
        <f t="shared" si="64"/>
        <v>0</v>
      </c>
      <c r="I126" s="23">
        <f t="shared" si="64"/>
        <v>0</v>
      </c>
      <c r="J126" s="23">
        <f t="shared" si="64"/>
        <v>0</v>
      </c>
      <c r="K126" s="23">
        <f t="shared" si="64"/>
        <v>0</v>
      </c>
      <c r="L126" s="23">
        <f t="shared" si="64"/>
        <v>-1</v>
      </c>
      <c r="M126" s="9"/>
    </row>
    <row r="127" spans="1:21" ht="8" customHeight="1">
      <c r="M127" s="9"/>
    </row>
    <row r="128" spans="1:21" ht="20" customHeight="1">
      <c r="A128" s="12" t="s">
        <v>344</v>
      </c>
      <c r="B128" s="1"/>
      <c r="C128" s="1"/>
      <c r="D128" s="1"/>
      <c r="E128" s="1"/>
      <c r="F128" s="1"/>
      <c r="G128" s="1"/>
      <c r="H128" s="1"/>
      <c r="I128" s="1"/>
      <c r="J128" s="1"/>
      <c r="K128" s="1"/>
      <c r="L128" s="1"/>
      <c r="M128" s="9"/>
      <c r="N128" s="1"/>
      <c r="O128" s="1"/>
      <c r="P128" s="1"/>
      <c r="Q128" s="1"/>
      <c r="R128" s="1"/>
      <c r="S128" s="1"/>
      <c r="T128" s="1"/>
      <c r="U128" s="1"/>
    </row>
    <row r="129" spans="1:21">
      <c r="A129" s="5" t="s">
        <v>279</v>
      </c>
      <c r="D129" s="13">
        <v>624</v>
      </c>
      <c r="E129" s="13">
        <v>591</v>
      </c>
      <c r="F129" s="13">
        <v>587</v>
      </c>
      <c r="G129" s="13">
        <v>625</v>
      </c>
      <c r="H129" s="13">
        <v>696</v>
      </c>
      <c r="I129" s="13">
        <v>692</v>
      </c>
      <c r="J129" s="13">
        <v>661</v>
      </c>
      <c r="K129" s="13">
        <v>654</v>
      </c>
      <c r="L129" s="13">
        <v>653</v>
      </c>
      <c r="M129" s="9"/>
    </row>
    <row r="130" spans="1:21">
      <c r="A130" s="5" t="s">
        <v>280</v>
      </c>
      <c r="D130" s="13">
        <v>654</v>
      </c>
      <c r="E130" s="13">
        <v>641</v>
      </c>
      <c r="F130" s="13">
        <v>629</v>
      </c>
      <c r="G130" s="13">
        <v>700</v>
      </c>
      <c r="H130" s="13">
        <v>692</v>
      </c>
      <c r="I130" s="13">
        <v>629</v>
      </c>
      <c r="J130" s="13">
        <v>635</v>
      </c>
      <c r="K130" s="13">
        <v>631</v>
      </c>
      <c r="L130" s="13">
        <v>705</v>
      </c>
      <c r="M130" s="9"/>
    </row>
    <row r="131" spans="1:21">
      <c r="A131" s="5" t="s">
        <v>281</v>
      </c>
      <c r="D131" s="13">
        <v>953</v>
      </c>
      <c r="E131" s="13">
        <v>968</v>
      </c>
      <c r="F131" s="13">
        <v>1013</v>
      </c>
      <c r="G131" s="13">
        <v>1221</v>
      </c>
      <c r="H131" s="13">
        <v>1320</v>
      </c>
      <c r="I131" s="13">
        <v>1541</v>
      </c>
      <c r="J131" s="13">
        <v>1521</v>
      </c>
      <c r="K131" s="13">
        <v>1573</v>
      </c>
      <c r="L131" s="13">
        <v>1682</v>
      </c>
      <c r="M131" s="9"/>
    </row>
    <row r="132" spans="1:21">
      <c r="A132" s="10" t="s">
        <v>304</v>
      </c>
      <c r="D132" s="15">
        <v>2231</v>
      </c>
      <c r="E132" s="15">
        <v>2200</v>
      </c>
      <c r="F132" s="15">
        <v>2229</v>
      </c>
      <c r="G132" s="15">
        <v>2546</v>
      </c>
      <c r="H132" s="15">
        <v>2708</v>
      </c>
      <c r="I132" s="15">
        <v>2863</v>
      </c>
      <c r="J132" s="15">
        <v>2817</v>
      </c>
      <c r="K132" s="15">
        <v>2858</v>
      </c>
      <c r="L132" s="15">
        <v>3039</v>
      </c>
      <c r="M132" s="16"/>
    </row>
    <row r="133" spans="1:21">
      <c r="A133" s="5" t="s">
        <v>345</v>
      </c>
      <c r="D133" s="13">
        <v>336</v>
      </c>
      <c r="E133" s="13">
        <v>284</v>
      </c>
      <c r="F133" s="13">
        <v>289</v>
      </c>
      <c r="G133" s="13">
        <v>158</v>
      </c>
      <c r="H133" s="13">
        <v>439</v>
      </c>
      <c r="I133" s="13">
        <v>404</v>
      </c>
      <c r="J133" s="13">
        <v>424</v>
      </c>
      <c r="K133" s="13">
        <v>268</v>
      </c>
      <c r="L133" s="13">
        <v>370</v>
      </c>
      <c r="M133" s="9"/>
    </row>
    <row r="134" spans="1:21">
      <c r="A134" s="10" t="s">
        <v>346</v>
      </c>
      <c r="D134" s="15">
        <v>1895</v>
      </c>
      <c r="E134" s="15">
        <v>1916</v>
      </c>
      <c r="F134" s="15">
        <v>1940</v>
      </c>
      <c r="G134" s="15">
        <v>2388</v>
      </c>
      <c r="H134" s="15">
        <v>2269</v>
      </c>
      <c r="I134" s="15">
        <v>2459</v>
      </c>
      <c r="J134" s="15">
        <v>2393</v>
      </c>
      <c r="K134" s="15">
        <v>2591</v>
      </c>
      <c r="L134" s="15">
        <v>2670</v>
      </c>
      <c r="M134" s="16"/>
    </row>
    <row r="135" spans="1:21">
      <c r="A135" s="17" t="s">
        <v>347</v>
      </c>
      <c r="D135" s="18">
        <f t="shared" ref="D135:L135" si="65">D133/D132</f>
        <v>0.15060510981622591</v>
      </c>
      <c r="E135" s="18">
        <f t="shared" si="65"/>
        <v>0.12909090909090909</v>
      </c>
      <c r="F135" s="18">
        <f t="shared" si="65"/>
        <v>0.12965455361148498</v>
      </c>
      <c r="G135" s="18">
        <f t="shared" si="65"/>
        <v>6.2058130400628436E-2</v>
      </c>
      <c r="H135" s="18">
        <f t="shared" si="65"/>
        <v>0.16211225997045789</v>
      </c>
      <c r="I135" s="18">
        <f t="shared" si="65"/>
        <v>0.14111072301781349</v>
      </c>
      <c r="J135" s="18">
        <f t="shared" si="65"/>
        <v>0.15051473198438053</v>
      </c>
      <c r="K135" s="18">
        <f t="shared" si="65"/>
        <v>9.3771868439468165E-2</v>
      </c>
      <c r="L135" s="18">
        <f t="shared" si="65"/>
        <v>0.1217505758473182</v>
      </c>
      <c r="M135" s="9"/>
    </row>
    <row r="136" spans="1:21">
      <c r="A136" s="17" t="s">
        <v>111</v>
      </c>
      <c r="D136" s="18" t="str">
        <f t="shared" ref="D136:L136" si="66">IF(N(C132)=0,"",D132/C132-1)</f>
        <v/>
      </c>
      <c r="E136" s="18">
        <f t="shared" si="66"/>
        <v>-1.3895114298520861E-2</v>
      </c>
      <c r="F136" s="18">
        <f t="shared" si="66"/>
        <v>1.3181818181818183E-2</v>
      </c>
      <c r="G136" s="18">
        <f t="shared" si="66"/>
        <v>0.14221624046657699</v>
      </c>
      <c r="H136" s="18">
        <f t="shared" si="66"/>
        <v>6.3629222309505185E-2</v>
      </c>
      <c r="I136" s="18">
        <f t="shared" si="66"/>
        <v>5.7237813884785771E-2</v>
      </c>
      <c r="J136" s="18">
        <f t="shared" si="66"/>
        <v>-1.6067062521830211E-2</v>
      </c>
      <c r="K136" s="18">
        <f t="shared" si="66"/>
        <v>1.4554490592829206E-2</v>
      </c>
      <c r="L136" s="18">
        <f t="shared" si="66"/>
        <v>6.333100069979003E-2</v>
      </c>
      <c r="M136" s="9"/>
    </row>
    <row r="137" spans="1:21">
      <c r="A137" s="17" t="s">
        <v>348</v>
      </c>
      <c r="D137" s="18" t="str">
        <f t="shared" ref="D137:L137" si="67">IF(N(C134)=0,"",D134/C134-1)</f>
        <v/>
      </c>
      <c r="E137" s="18">
        <f t="shared" si="67"/>
        <v>1.1081794195250572E-2</v>
      </c>
      <c r="F137" s="18">
        <f t="shared" si="67"/>
        <v>1.2526096033402823E-2</v>
      </c>
      <c r="G137" s="18">
        <f t="shared" si="67"/>
        <v>0.23092783505154646</v>
      </c>
      <c r="H137" s="18">
        <f t="shared" si="67"/>
        <v>-4.983249581239535E-2</v>
      </c>
      <c r="I137" s="18">
        <f t="shared" si="67"/>
        <v>8.3737329219920609E-2</v>
      </c>
      <c r="J137" s="18">
        <f t="shared" si="67"/>
        <v>-2.6840178934526282E-2</v>
      </c>
      <c r="K137" s="18">
        <f t="shared" si="67"/>
        <v>8.2741328875888032E-2</v>
      </c>
      <c r="L137" s="18">
        <f t="shared" si="67"/>
        <v>3.0490158240061849E-2</v>
      </c>
      <c r="M137" s="9"/>
    </row>
    <row r="138" spans="1:21">
      <c r="A138" s="17" t="s">
        <v>349</v>
      </c>
      <c r="D138" s="23">
        <f>D132-'Income Statement'!D30</f>
        <v>-0.3000000000001819</v>
      </c>
      <c r="E138" s="23">
        <f>E132-'Income Statement'!E30</f>
        <v>-0.20000000000027285</v>
      </c>
      <c r="F138" s="23">
        <f>F132-'Income Statement'!F30</f>
        <v>-0.40000000000009095</v>
      </c>
      <c r="G138" s="23">
        <f>G132-'Income Statement'!G30</f>
        <v>0.40000000000009095</v>
      </c>
      <c r="H138" s="23">
        <f>H132-'Income Statement'!H30</f>
        <v>0.5</v>
      </c>
      <c r="I138" s="23">
        <f>I132-'Income Statement'!I30</f>
        <v>1</v>
      </c>
      <c r="J138" s="23">
        <f>J132-'Income Statement'!J30</f>
        <v>0</v>
      </c>
      <c r="K138" s="23">
        <f>K132-'Income Statement'!K30</f>
        <v>-1</v>
      </c>
      <c r="L138" s="23">
        <f>L132-'Income Statement'!L30</f>
        <v>-1</v>
      </c>
      <c r="M138" s="9"/>
    </row>
    <row r="139" spans="1:21">
      <c r="A139" s="17" t="s">
        <v>350</v>
      </c>
      <c r="D139" s="23">
        <f t="shared" ref="D139:L139" si="68">D129+D130+D131-D132</f>
        <v>0</v>
      </c>
      <c r="E139" s="23">
        <f t="shared" si="68"/>
        <v>0</v>
      </c>
      <c r="F139" s="23">
        <f t="shared" si="68"/>
        <v>0</v>
      </c>
      <c r="G139" s="23">
        <f t="shared" si="68"/>
        <v>0</v>
      </c>
      <c r="H139" s="23">
        <f t="shared" si="68"/>
        <v>0</v>
      </c>
      <c r="I139" s="23">
        <f t="shared" si="68"/>
        <v>-1</v>
      </c>
      <c r="J139" s="23">
        <f t="shared" si="68"/>
        <v>0</v>
      </c>
      <c r="K139" s="23">
        <f t="shared" si="68"/>
        <v>0</v>
      </c>
      <c r="L139" s="23">
        <f t="shared" si="68"/>
        <v>1</v>
      </c>
      <c r="M139" s="9"/>
    </row>
    <row r="140" spans="1:21">
      <c r="A140" s="17" t="s">
        <v>351</v>
      </c>
      <c r="D140" s="23">
        <f t="shared" ref="D140:L140" si="69">D132-D133-D134</f>
        <v>0</v>
      </c>
      <c r="E140" s="23">
        <f t="shared" si="69"/>
        <v>0</v>
      </c>
      <c r="F140" s="23">
        <f t="shared" si="69"/>
        <v>0</v>
      </c>
      <c r="G140" s="23">
        <f t="shared" si="69"/>
        <v>0</v>
      </c>
      <c r="H140" s="23">
        <f t="shared" si="69"/>
        <v>0</v>
      </c>
      <c r="I140" s="23">
        <f t="shared" si="69"/>
        <v>0</v>
      </c>
      <c r="J140" s="23">
        <f t="shared" si="69"/>
        <v>0</v>
      </c>
      <c r="K140" s="23">
        <f t="shared" si="69"/>
        <v>-1</v>
      </c>
      <c r="L140" s="23">
        <f t="shared" si="69"/>
        <v>-1</v>
      </c>
      <c r="M140" s="9"/>
    </row>
    <row r="141" spans="1:21" ht="8" customHeight="1">
      <c r="M141" s="9"/>
    </row>
    <row r="142" spans="1:21" ht="20" customHeight="1">
      <c r="A142" s="12" t="s">
        <v>352</v>
      </c>
      <c r="B142" s="1"/>
      <c r="C142" s="1"/>
      <c r="D142" s="1"/>
      <c r="E142" s="1"/>
      <c r="F142" s="1"/>
      <c r="G142" s="1"/>
      <c r="H142" s="1"/>
      <c r="I142" s="1"/>
      <c r="J142" s="1"/>
      <c r="K142" s="1"/>
      <c r="L142" s="1"/>
      <c r="M142" s="9"/>
      <c r="N142" s="1"/>
      <c r="O142" s="1"/>
      <c r="P142" s="1"/>
      <c r="Q142" s="1"/>
      <c r="R142" s="1"/>
      <c r="S142" s="1"/>
      <c r="T142" s="1"/>
      <c r="U142" s="1"/>
    </row>
    <row r="143" spans="1:21">
      <c r="A143" s="5" t="s">
        <v>353</v>
      </c>
      <c r="C143" s="13">
        <v>8252.7000000000007</v>
      </c>
      <c r="D143" s="13">
        <v>8006.4</v>
      </c>
      <c r="E143" s="13">
        <v>7665.8</v>
      </c>
      <c r="M143" s="9"/>
    </row>
    <row r="144" spans="1:21">
      <c r="A144" s="5" t="s">
        <v>354</v>
      </c>
      <c r="C144" s="13">
        <v>7223.4</v>
      </c>
      <c r="D144" s="13">
        <v>7340.3</v>
      </c>
      <c r="E144" s="13">
        <v>7600.1</v>
      </c>
      <c r="M144" s="9"/>
    </row>
    <row r="145" spans="1:13">
      <c r="A145" s="5" t="s">
        <v>355</v>
      </c>
      <c r="C145" s="13">
        <v>6160.7</v>
      </c>
      <c r="D145" s="13">
        <v>5533.2</v>
      </c>
      <c r="E145" s="13">
        <v>3988.7</v>
      </c>
      <c r="M145" s="9"/>
    </row>
    <row r="146" spans="1:13">
      <c r="A146" s="5" t="s">
        <v>356</v>
      </c>
      <c r="C146" s="13">
        <v>2985.1</v>
      </c>
      <c r="D146" s="13">
        <v>1940.5</v>
      </c>
      <c r="E146" s="13">
        <v>1770.6</v>
      </c>
      <c r="M146" s="9"/>
    </row>
    <row r="147" spans="1:13">
      <c r="A147" s="10" t="s">
        <v>357</v>
      </c>
      <c r="C147" s="15">
        <v>24621.9</v>
      </c>
      <c r="D147" s="15">
        <v>22820.400000000001</v>
      </c>
      <c r="E147" s="15">
        <v>21025.200000000001</v>
      </c>
      <c r="M147" s="16"/>
    </row>
    <row r="148" spans="1:13">
      <c r="M148" s="9"/>
    </row>
    <row r="149" spans="1:13">
      <c r="A149" s="5" t="s">
        <v>358</v>
      </c>
      <c r="C149" s="13">
        <v>3768.7</v>
      </c>
      <c r="D149" s="13">
        <v>4022.4</v>
      </c>
      <c r="E149" s="13">
        <v>4015.6</v>
      </c>
      <c r="M149" s="9"/>
    </row>
    <row r="150" spans="1:13">
      <c r="A150" s="5" t="s">
        <v>359</v>
      </c>
      <c r="C150" s="13">
        <v>2838.4</v>
      </c>
      <c r="D150" s="13">
        <v>3166.5</v>
      </c>
      <c r="E150" s="13">
        <v>3485.7</v>
      </c>
      <c r="M150" s="9"/>
    </row>
    <row r="151" spans="1:13">
      <c r="A151" s="5" t="s">
        <v>360</v>
      </c>
      <c r="C151" s="13">
        <v>1048.8</v>
      </c>
      <c r="D151" s="13">
        <v>2001.4</v>
      </c>
      <c r="E151" s="13">
        <v>1001.2</v>
      </c>
      <c r="M151" s="9"/>
    </row>
    <row r="152" spans="1:13">
      <c r="A152" s="5" t="s">
        <v>361</v>
      </c>
      <c r="C152" s="13">
        <v>88.6</v>
      </c>
      <c r="D152" s="13">
        <v>362.4</v>
      </c>
      <c r="E152" s="13">
        <v>320.10000000000002</v>
      </c>
      <c r="M152" s="9"/>
    </row>
    <row r="153" spans="1:13">
      <c r="A153" s="10" t="s">
        <v>362</v>
      </c>
      <c r="C153" s="15">
        <v>7744.5</v>
      </c>
      <c r="D153" s="15">
        <v>9552.7000000000007</v>
      </c>
      <c r="E153" s="15">
        <v>8822.6</v>
      </c>
      <c r="M153" s="16"/>
    </row>
    <row r="154" spans="1:13">
      <c r="M154" s="9"/>
    </row>
    <row r="155" spans="1:13">
      <c r="A155" s="5" t="s">
        <v>363</v>
      </c>
      <c r="C155" s="13">
        <v>11960.6</v>
      </c>
      <c r="D155" s="13">
        <v>12648.6</v>
      </c>
      <c r="E155" s="13">
        <v>14483.8</v>
      </c>
      <c r="M155" s="9"/>
    </row>
    <row r="156" spans="1:13">
      <c r="A156" s="5" t="s">
        <v>364</v>
      </c>
      <c r="C156" s="13">
        <v>9112.5</v>
      </c>
      <c r="D156" s="13">
        <v>11844.3</v>
      </c>
      <c r="E156" s="13">
        <v>12713</v>
      </c>
      <c r="M156" s="9"/>
    </row>
    <row r="157" spans="1:13">
      <c r="A157" s="5" t="s">
        <v>365</v>
      </c>
      <c r="C157" s="13">
        <v>5208.6000000000004</v>
      </c>
      <c r="D157" s="13">
        <v>4480.7</v>
      </c>
      <c r="E157" s="13">
        <v>4404.8999999999996</v>
      </c>
      <c r="M157" s="9"/>
    </row>
    <row r="158" spans="1:13">
      <c r="A158" s="5" t="s">
        <v>366</v>
      </c>
      <c r="C158" s="13">
        <v>4742.2</v>
      </c>
      <c r="D158" s="13">
        <v>4830.1000000000004</v>
      </c>
      <c r="E158" s="13">
        <v>1209.5</v>
      </c>
      <c r="M158" s="9"/>
    </row>
    <row r="159" spans="1:13">
      <c r="A159" s="10" t="s">
        <v>367</v>
      </c>
      <c r="C159" s="15">
        <v>31023.9</v>
      </c>
      <c r="D159" s="15">
        <v>33803.699999999997</v>
      </c>
      <c r="E159" s="15">
        <v>32811.199999999997</v>
      </c>
      <c r="M159" s="16"/>
    </row>
    <row r="160" spans="1:13">
      <c r="M160" s="9"/>
    </row>
    <row r="161" spans="1:13">
      <c r="A161" s="5" t="s">
        <v>368</v>
      </c>
      <c r="C161" s="13">
        <v>586.70000000000005</v>
      </c>
      <c r="D161" s="13">
        <v>861.2</v>
      </c>
      <c r="E161" s="13">
        <v>1849.8</v>
      </c>
      <c r="M161" s="9"/>
    </row>
    <row r="162" spans="1:13">
      <c r="A162" s="5" t="s">
        <v>369</v>
      </c>
      <c r="C162" s="13">
        <v>635.6</v>
      </c>
      <c r="D162" s="13">
        <v>515.29999999999995</v>
      </c>
      <c r="E162" s="13">
        <v>436.4</v>
      </c>
      <c r="M162" s="9"/>
    </row>
    <row r="163" spans="1:13">
      <c r="A163" s="5" t="s">
        <v>370</v>
      </c>
      <c r="C163" s="13">
        <v>493.2</v>
      </c>
      <c r="D163" s="13">
        <v>378.5</v>
      </c>
      <c r="E163" s="13">
        <v>285.60000000000002</v>
      </c>
      <c r="M163" s="9"/>
    </row>
    <row r="164" spans="1:13">
      <c r="A164" s="5" t="s">
        <v>371</v>
      </c>
      <c r="C164" s="13">
        <v>105.6</v>
      </c>
      <c r="D164" s="13">
        <v>98.7</v>
      </c>
      <c r="E164" s="13">
        <v>169.9</v>
      </c>
      <c r="M164" s="9"/>
    </row>
    <row r="165" spans="1:13">
      <c r="A165" s="10" t="s">
        <v>372</v>
      </c>
      <c r="C165" s="15">
        <v>1821.1</v>
      </c>
      <c r="D165" s="15">
        <v>1853.7</v>
      </c>
      <c r="E165" s="15">
        <v>2741.7</v>
      </c>
      <c r="M165" s="16"/>
    </row>
    <row r="166" spans="1:13">
      <c r="M166" s="9"/>
    </row>
    <row r="167" spans="1:13">
      <c r="A167" s="5" t="s">
        <v>373</v>
      </c>
      <c r="C167" s="13">
        <v>510.3</v>
      </c>
      <c r="D167" s="13">
        <v>524.1</v>
      </c>
      <c r="E167" s="13">
        <v>598.4</v>
      </c>
      <c r="M167" s="9"/>
    </row>
    <row r="168" spans="1:13">
      <c r="A168" s="5" t="s">
        <v>374</v>
      </c>
      <c r="C168" s="13">
        <v>451.6</v>
      </c>
      <c r="D168" s="13">
        <v>461.1</v>
      </c>
      <c r="E168" s="13">
        <v>472.9</v>
      </c>
      <c r="M168" s="9"/>
    </row>
    <row r="169" spans="1:13">
      <c r="A169" s="5" t="s">
        <v>375</v>
      </c>
      <c r="C169" s="13">
        <v>362</v>
      </c>
      <c r="D169" s="13">
        <v>231.7</v>
      </c>
      <c r="E169" s="13">
        <v>233</v>
      </c>
      <c r="M169" s="9"/>
    </row>
    <row r="170" spans="1:13">
      <c r="A170" s="5" t="s">
        <v>376</v>
      </c>
      <c r="C170" s="13">
        <v>192.6</v>
      </c>
      <c r="D170" s="13">
        <v>146.5</v>
      </c>
      <c r="E170" s="13">
        <v>177.7</v>
      </c>
      <c r="M170" s="9"/>
    </row>
    <row r="171" spans="1:13">
      <c r="A171" s="10" t="s">
        <v>377</v>
      </c>
      <c r="C171" s="15">
        <v>1516.5</v>
      </c>
      <c r="D171" s="15">
        <v>1363.4</v>
      </c>
      <c r="E171" s="15">
        <v>1482</v>
      </c>
      <c r="M171" s="16"/>
    </row>
    <row r="172" spans="1:13">
      <c r="M172" s="9"/>
    </row>
    <row r="173" spans="1:13">
      <c r="A173" s="17" t="s">
        <v>378</v>
      </c>
      <c r="C173" s="23">
        <f>C143+C144+C145+C146-C147</f>
        <v>0</v>
      </c>
      <c r="D173" s="23">
        <f>D143+D144+D145+D146-D147</f>
        <v>0</v>
      </c>
      <c r="E173" s="23">
        <f>E143+E144+E145+E146-E147</f>
        <v>0</v>
      </c>
      <c r="M173" s="9"/>
    </row>
    <row r="174" spans="1:13">
      <c r="A174" s="17" t="s">
        <v>379</v>
      </c>
      <c r="C174" s="23">
        <f>C149+C150+C151+C152-C153</f>
        <v>0</v>
      </c>
      <c r="D174" s="23">
        <f>D149+D150+D151+D152-D153</f>
        <v>0</v>
      </c>
      <c r="E174" s="23">
        <f>E149+E150+E151+E152-E153</f>
        <v>0</v>
      </c>
      <c r="M174" s="9"/>
    </row>
    <row r="175" spans="1:13">
      <c r="M175" s="9"/>
    </row>
  </sheetData>
  <phoneticPr fontId="3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D2415-64DA-3840-991F-04F66192AFEC}">
  <sheetPr>
    <tabColor rgb="FF548235"/>
  </sheetPr>
  <dimension ref="A1:U182"/>
  <sheetViews>
    <sheetView showGridLines="0" workbookViewId="0">
      <pane xSplit="2" ySplit="5" topLeftCell="H33" activePane="bottomRight" state="frozen"/>
      <selection pane="topRight"/>
      <selection pane="bottomLeft"/>
      <selection pane="bottomRight" activeCell="L62" sqref="L62"/>
    </sheetView>
  </sheetViews>
  <sheetFormatPr baseColWidth="10" defaultColWidth="8.83203125" defaultRowHeight="14"/>
  <cols>
    <col min="1" max="1" width="46" customWidth="1"/>
    <col min="2" max="2" width="34" hidden="1" customWidth="1"/>
    <col min="3" max="12" width="12" customWidth="1"/>
    <col min="13" max="13" width="9" customWidth="1"/>
    <col min="14" max="21" width="12" customWidth="1"/>
  </cols>
  <sheetData>
    <row r="1" spans="1:21" ht="28" customHeight="1">
      <c r="A1" s="2" t="s">
        <v>380</v>
      </c>
      <c r="B1" s="1"/>
      <c r="C1" s="1"/>
      <c r="D1" s="1"/>
      <c r="E1" s="1"/>
      <c r="F1" s="1"/>
      <c r="G1" s="1"/>
      <c r="H1" s="1"/>
      <c r="I1" s="1"/>
      <c r="J1" s="1"/>
      <c r="K1" s="1"/>
      <c r="L1" s="1"/>
      <c r="M1" s="1"/>
      <c r="N1" s="1"/>
      <c r="O1" s="1"/>
      <c r="P1" s="1"/>
      <c r="Q1" s="1"/>
      <c r="R1" s="1"/>
      <c r="S1" s="1"/>
      <c r="T1" s="1"/>
      <c r="U1" s="1"/>
    </row>
    <row r="2" spans="1:21" ht="16" customHeight="1">
      <c r="A2" s="3" t="s">
        <v>1</v>
      </c>
    </row>
    <row r="3" spans="1:21">
      <c r="C3" s="6" t="s">
        <v>73</v>
      </c>
      <c r="D3" s="6" t="s">
        <v>74</v>
      </c>
      <c r="E3" s="6" t="s">
        <v>75</v>
      </c>
      <c r="F3" s="6" t="s">
        <v>76</v>
      </c>
      <c r="G3" s="6" t="s">
        <v>77</v>
      </c>
      <c r="H3" s="6" t="s">
        <v>78</v>
      </c>
      <c r="I3" s="6" t="s">
        <v>79</v>
      </c>
      <c r="J3" s="6" t="s">
        <v>80</v>
      </c>
      <c r="K3" s="6" t="s">
        <v>81</v>
      </c>
      <c r="L3" s="6" t="s">
        <v>82</v>
      </c>
      <c r="M3" s="7" t="s">
        <v>83</v>
      </c>
      <c r="N3" s="6" t="s">
        <v>84</v>
      </c>
      <c r="O3" s="6" t="s">
        <v>85</v>
      </c>
      <c r="P3" s="6" t="s">
        <v>86</v>
      </c>
      <c r="Q3" s="6" t="s">
        <v>87</v>
      </c>
      <c r="R3" s="6" t="s">
        <v>88</v>
      </c>
      <c r="S3" s="6" t="s">
        <v>89</v>
      </c>
      <c r="T3" s="6" t="s">
        <v>90</v>
      </c>
      <c r="U3" s="6" t="s">
        <v>91</v>
      </c>
    </row>
    <row r="4" spans="1:21">
      <c r="C4" s="8" t="s">
        <v>92</v>
      </c>
      <c r="D4" s="8" t="s">
        <v>93</v>
      </c>
      <c r="E4" s="8" t="s">
        <v>94</v>
      </c>
      <c r="F4" s="8" t="s">
        <v>95</v>
      </c>
      <c r="G4" s="8" t="s">
        <v>96</v>
      </c>
      <c r="H4" s="8" t="s">
        <v>97</v>
      </c>
      <c r="I4" s="8" t="s">
        <v>98</v>
      </c>
      <c r="J4" s="8" t="s">
        <v>99</v>
      </c>
      <c r="K4" s="8" t="s">
        <v>100</v>
      </c>
      <c r="L4" s="8" t="s">
        <v>101</v>
      </c>
      <c r="M4" s="9"/>
      <c r="N4" s="8" t="s">
        <v>102</v>
      </c>
      <c r="O4" s="8" t="s">
        <v>100</v>
      </c>
      <c r="P4" s="8" t="s">
        <v>103</v>
      </c>
      <c r="Q4" s="8" t="s">
        <v>104</v>
      </c>
      <c r="R4" s="8" t="s">
        <v>105</v>
      </c>
      <c r="S4" s="8" t="s">
        <v>101</v>
      </c>
      <c r="T4" s="8" t="s">
        <v>106</v>
      </c>
      <c r="U4" s="8" t="s">
        <v>107</v>
      </c>
    </row>
    <row r="5" spans="1:21">
      <c r="M5" s="9"/>
    </row>
    <row r="6" spans="1:21">
      <c r="A6" s="10" t="s">
        <v>108</v>
      </c>
      <c r="M6" s="9"/>
    </row>
    <row r="7" spans="1:21">
      <c r="A7" s="11" t="str">
        <f>HYPERLINK("#'Operating Metrics'!A22","1. RESTAURANT COUNT (YEAR END)")</f>
        <v>1. RESTAURANT COUNT (YEAR END)</v>
      </c>
      <c r="M7" s="9"/>
    </row>
    <row r="8" spans="1:21">
      <c r="A8" s="11" t="str">
        <f>HYPERLINK("#'Operating Metrics'!A33","2. FRANCHISED SALES AND SYSTEMWIDE SALES (MD&amp;A; FY2016 TOTAL FROM ITEM 6)")</f>
        <v>2. FRANCHISED SALES AND SYSTEMWIDE SALES (MD&amp;A; FY2016 TOTAL FROM ITEM 6)</v>
      </c>
      <c r="M8" s="9"/>
    </row>
    <row r="9" spans="1:21">
      <c r="A9" s="11" t="str">
        <f>HYPERLINK("#'Operating Metrics'!A51","3. RESTAURANTS BY SEGMENT AND NET ADDITIONS")</f>
        <v>3. RESTAURANTS BY SEGMENT AND NET ADDITIONS</v>
      </c>
      <c r="M9" s="9"/>
    </row>
    <row r="10" spans="1:21">
      <c r="A10" s="11" t="str">
        <f>HYPERLINK("#'Operating Metrics'!A64","4. COMPARABLE SALES GROWTH (U.S. / TOTAL FROM FY2016; SEGMENTS FROM FY2018; SEGMENT DEFINITIONS PER FY2019+ 10-KS)")</f>
        <v>4. COMPARABLE SALES GROWTH (U.S. / TOTAL FROM FY2016; SEGMENTS FROM FY2018; SEGMENT DEFINITIONS PER FY2019+ 10-KS)</v>
      </c>
      <c r="M10" s="9"/>
    </row>
    <row r="11" spans="1:21">
      <c r="A11" s="11" t="str">
        <f>HYPERLINK("#'Operating Metrics'!A75","5. SYSTEMWIDE SALES GROWTH (FY2019-FY2025)")</f>
        <v>5. SYSTEMWIDE SALES GROWTH (FY2019-FY2025)</v>
      </c>
      <c r="M11" s="9"/>
    </row>
    <row r="12" spans="1:21">
      <c r="A12" s="11" t="str">
        <f>HYPERLINK("#'Operating Metrics'!A85","6. MARKET DATA (ITEM 6 SELECTED FINANCIAL DATA, FY2016-FY2021 ONLY)")</f>
        <v>6. MARKET DATA (ITEM 6 SELECTED FINANCIAL DATA, FY2016-FY2021 ONLY)</v>
      </c>
      <c r="M12" s="9"/>
    </row>
    <row r="13" spans="1:21">
      <c r="A13" s="11" t="str">
        <f>HYPERLINK("#'Operating Metrics'!A89","7. FRANCHISED REVENUE COMPOSITION")</f>
        <v>7. FRANCHISED REVENUE COMPOSITION</v>
      </c>
      <c r="M13" s="9"/>
    </row>
    <row r="14" spans="1:21">
      <c r="A14" s="11" t="str">
        <f>HYPERLINK("#'Operating Metrics'!A98","8. SHAREHOLDER RETURNS (MD&amp;A TABLE)")</f>
        <v>8. SHAREHOLDER RETURNS (MD&amp;A TABLE)</v>
      </c>
      <c r="M14" s="9"/>
    </row>
    <row r="15" spans="1:21">
      <c r="A15" s="11" t="str">
        <f>HYPERLINK("#'Operating Metrics'!A108","9. DEBT STRUCTURE STATISTICS (MD&amp;A TABLE)")</f>
        <v>9. DEBT STRUCTURE STATISTICS (MD&amp;A TABLE)</v>
      </c>
      <c r="M15" s="9"/>
    </row>
    <row r="16" spans="1:21">
      <c r="A16" s="11" t="str">
        <f>HYPERLINK("#'Operating Metrics'!A115","10. CURRENCY TRANSLATION IMPACT ON REPORTED RESULTS (COMPANY-DISCLOSED BENEFIT / (COST) VS PRIOR-YEAR RATES)")</f>
        <v>10. CURRENCY TRANSLATION IMPACT ON REPORTED RESULTS (COMPANY-DISCLOSED BENEFIT / (COST) VS PRIOR-YEAR RATES)</v>
      </c>
      <c r="M16" s="9"/>
    </row>
    <row r="17" spans="1:21">
      <c r="A17" s="11" t="str">
        <f>HYPERLINK("#'Operating Metrics'!A126","11. NON-GAAP RECONCILIATION: EARNINGS PER SHARE (ADJUSTMENT LINES AS PRESENTED IN THE FILING SUPPLYING EACH NON-GAAP FIGURE)")</f>
        <v>11. NON-GAAP RECONCILIATION: EARNINGS PER SHARE (ADJUSTMENT LINES AS PRESENTED IN THE FILING SUPPLYING EACH NON-GAAP FIGURE)</v>
      </c>
      <c r="M17" s="9"/>
    </row>
    <row r="18" spans="1:21">
      <c r="A18" s="11" t="str">
        <f>HYPERLINK("#'Operating Metrics'!A135","12. NON-GAAP RECONCILIATION: NET INCOME (FY2021+)")</f>
        <v>12. NON-GAAP RECONCILIATION: NET INCOME (FY2021+)</v>
      </c>
      <c r="M18" s="9"/>
    </row>
    <row r="19" spans="1:21">
      <c r="A19" s="11" t="str">
        <f>HYPERLINK("#'Operating Metrics'!A144","13. NON-GAAP RECONCILIATION: OPERATING INCOME (FY2021+)")</f>
        <v>13. NON-GAAP RECONCILIATION: OPERATING INCOME (FY2021+)</v>
      </c>
      <c r="M19" s="9"/>
    </row>
    <row r="20" spans="1:21">
      <c r="A20" s="11" t="str">
        <f>HYPERLINK("#'Operating Metrics'!A157","14. CAPITAL EXPENDITURES BY PURPOSE (DISCLOSED FY2016-FY2019 ONLY)")</f>
        <v>14. CAPITAL EXPENDITURES BY PURPOSE (DISCLOSED FY2016-FY2019 ONLY)</v>
      </c>
      <c r="M20" s="9"/>
    </row>
    <row r="21" spans="1:21" ht="8" customHeight="1">
      <c r="M21" s="9"/>
    </row>
    <row r="22" spans="1:21" ht="20" customHeight="1">
      <c r="A22" s="12" t="s">
        <v>381</v>
      </c>
      <c r="B22" s="1"/>
      <c r="C22" s="1"/>
      <c r="D22" s="1"/>
      <c r="E22" s="1"/>
      <c r="F22" s="1"/>
      <c r="G22" s="1"/>
      <c r="H22" s="1"/>
      <c r="I22" s="1"/>
      <c r="J22" s="1"/>
      <c r="K22" s="1"/>
      <c r="L22" s="1"/>
      <c r="M22" s="9"/>
      <c r="N22" s="1"/>
      <c r="O22" s="1"/>
      <c r="P22" s="1"/>
      <c r="Q22" s="1"/>
      <c r="R22" s="1"/>
      <c r="S22" s="1"/>
      <c r="T22" s="1"/>
      <c r="U22" s="1"/>
    </row>
    <row r="23" spans="1:21">
      <c r="A23" s="5" t="s">
        <v>382</v>
      </c>
      <c r="D23" s="13">
        <v>21366</v>
      </c>
      <c r="E23" s="13">
        <v>21685</v>
      </c>
      <c r="F23" s="13">
        <v>21837</v>
      </c>
      <c r="G23" s="13">
        <v>21712</v>
      </c>
      <c r="H23" s="13">
        <v>21607</v>
      </c>
      <c r="I23" s="13">
        <v>21720</v>
      </c>
      <c r="J23" s="13">
        <v>21818</v>
      </c>
      <c r="K23" s="13">
        <v>22077</v>
      </c>
      <c r="L23" s="13">
        <v>22570</v>
      </c>
      <c r="M23" s="9"/>
    </row>
    <row r="24" spans="1:21">
      <c r="A24" s="5" t="s">
        <v>383</v>
      </c>
      <c r="D24" s="13">
        <v>6945</v>
      </c>
      <c r="E24" s="13">
        <v>7225</v>
      </c>
      <c r="F24" s="13">
        <v>7648</v>
      </c>
      <c r="G24" s="13">
        <v>7663</v>
      </c>
      <c r="H24" s="13">
        <v>7913</v>
      </c>
      <c r="I24" s="13">
        <v>8229</v>
      </c>
      <c r="J24" s="13">
        <v>8684</v>
      </c>
      <c r="K24" s="13">
        <v>9247</v>
      </c>
      <c r="L24" s="13">
        <v>9675</v>
      </c>
      <c r="M24" s="9"/>
    </row>
    <row r="25" spans="1:21">
      <c r="A25" s="5" t="s">
        <v>384</v>
      </c>
      <c r="D25" s="13">
        <v>5797</v>
      </c>
      <c r="E25" s="13">
        <v>6175</v>
      </c>
      <c r="F25" s="13">
        <v>6574</v>
      </c>
      <c r="G25" s="13">
        <v>7146</v>
      </c>
      <c r="H25" s="13">
        <v>7775</v>
      </c>
      <c r="I25" s="13">
        <v>8220</v>
      </c>
      <c r="J25" s="13">
        <v>9178</v>
      </c>
      <c r="K25" s="13">
        <v>10108</v>
      </c>
      <c r="L25" s="13">
        <v>11072</v>
      </c>
      <c r="M25" s="9"/>
    </row>
    <row r="26" spans="1:21">
      <c r="A26" s="10" t="s">
        <v>385</v>
      </c>
      <c r="B26" s="14" t="s">
        <v>386</v>
      </c>
      <c r="C26" s="15">
        <v>31230</v>
      </c>
      <c r="D26" s="15">
        <v>34108</v>
      </c>
      <c r="E26" s="15">
        <v>35085</v>
      </c>
      <c r="F26" s="15">
        <v>36059</v>
      </c>
      <c r="G26" s="15">
        <v>36521</v>
      </c>
      <c r="H26" s="15">
        <v>37295</v>
      </c>
      <c r="I26" s="15">
        <v>38169</v>
      </c>
      <c r="J26" s="15">
        <v>39680</v>
      </c>
      <c r="K26" s="15">
        <v>41432</v>
      </c>
      <c r="L26" s="15">
        <v>43317</v>
      </c>
      <c r="M26" s="16"/>
    </row>
    <row r="27" spans="1:21">
      <c r="A27" s="5" t="s">
        <v>387</v>
      </c>
      <c r="C27" s="13">
        <v>5669</v>
      </c>
      <c r="D27" s="13">
        <v>3133</v>
      </c>
      <c r="E27" s="13">
        <v>2770</v>
      </c>
      <c r="F27" s="13">
        <v>2636</v>
      </c>
      <c r="G27" s="13">
        <v>2677</v>
      </c>
      <c r="H27" s="13">
        <v>2736</v>
      </c>
      <c r="I27" s="13">
        <v>2106</v>
      </c>
      <c r="J27" s="13">
        <v>2142</v>
      </c>
      <c r="K27" s="13">
        <v>2045</v>
      </c>
      <c r="L27" s="13">
        <v>2039</v>
      </c>
      <c r="M27" s="9"/>
    </row>
    <row r="28" spans="1:21">
      <c r="A28" s="10" t="s">
        <v>388</v>
      </c>
      <c r="C28" s="42">
        <v>36899</v>
      </c>
      <c r="D28" s="42">
        <v>37241</v>
      </c>
      <c r="E28" s="42">
        <v>37855</v>
      </c>
      <c r="F28" s="42">
        <v>38695</v>
      </c>
      <c r="G28" s="42">
        <v>39198</v>
      </c>
      <c r="H28" s="42">
        <v>40031</v>
      </c>
      <c r="I28" s="42">
        <v>40275</v>
      </c>
      <c r="J28" s="42">
        <v>41822</v>
      </c>
      <c r="K28" s="42">
        <v>43477</v>
      </c>
      <c r="L28" s="42">
        <v>45356</v>
      </c>
      <c r="M28" s="16"/>
    </row>
    <row r="29" spans="1:21" ht="16">
      <c r="A29" s="40" t="s">
        <v>389</v>
      </c>
      <c r="C29" s="26"/>
      <c r="D29" s="26"/>
      <c r="E29" s="41">
        <f>E23-D23</f>
        <v>319</v>
      </c>
      <c r="F29" s="41">
        <f t="shared" ref="F29:L29" si="0">F23-E23</f>
        <v>152</v>
      </c>
      <c r="G29" s="41">
        <f t="shared" si="0"/>
        <v>-125</v>
      </c>
      <c r="H29" s="41">
        <f t="shared" si="0"/>
        <v>-105</v>
      </c>
      <c r="I29" s="41">
        <f t="shared" si="0"/>
        <v>113</v>
      </c>
      <c r="J29" s="41">
        <f t="shared" si="0"/>
        <v>98</v>
      </c>
      <c r="K29" s="41">
        <f t="shared" si="0"/>
        <v>259</v>
      </c>
      <c r="L29" s="41">
        <f t="shared" si="0"/>
        <v>493</v>
      </c>
      <c r="M29" s="9"/>
    </row>
    <row r="30" spans="1:21" ht="16">
      <c r="A30" s="40" t="s">
        <v>390</v>
      </c>
      <c r="C30" s="26"/>
      <c r="D30" s="26"/>
      <c r="E30" s="41">
        <f t="shared" ref="E30:L34" si="1">E24-D24</f>
        <v>280</v>
      </c>
      <c r="F30" s="41">
        <f t="shared" si="1"/>
        <v>423</v>
      </c>
      <c r="G30" s="41">
        <f t="shared" si="1"/>
        <v>15</v>
      </c>
      <c r="H30" s="41">
        <f t="shared" si="1"/>
        <v>250</v>
      </c>
      <c r="I30" s="41">
        <f t="shared" si="1"/>
        <v>316</v>
      </c>
      <c r="J30" s="41">
        <f t="shared" si="1"/>
        <v>455</v>
      </c>
      <c r="K30" s="41">
        <f t="shared" si="1"/>
        <v>563</v>
      </c>
      <c r="L30" s="41">
        <f t="shared" si="1"/>
        <v>428</v>
      </c>
      <c r="M30" s="9"/>
    </row>
    <row r="31" spans="1:21" ht="16">
      <c r="A31" s="40" t="s">
        <v>391</v>
      </c>
      <c r="C31" s="26"/>
      <c r="D31" s="26"/>
      <c r="E31" s="41">
        <f t="shared" si="1"/>
        <v>378</v>
      </c>
      <c r="F31" s="41">
        <f t="shared" si="1"/>
        <v>399</v>
      </c>
      <c r="G31" s="41">
        <f t="shared" si="1"/>
        <v>572</v>
      </c>
      <c r="H31" s="41">
        <f t="shared" si="1"/>
        <v>629</v>
      </c>
      <c r="I31" s="41">
        <f t="shared" si="1"/>
        <v>445</v>
      </c>
      <c r="J31" s="41">
        <f t="shared" si="1"/>
        <v>958</v>
      </c>
      <c r="K31" s="41">
        <f t="shared" si="1"/>
        <v>930</v>
      </c>
      <c r="L31" s="41">
        <f t="shared" si="1"/>
        <v>964</v>
      </c>
      <c r="M31" s="9"/>
    </row>
    <row r="32" spans="1:21" ht="16">
      <c r="A32" s="43" t="s">
        <v>392</v>
      </c>
      <c r="C32" s="26"/>
      <c r="D32" s="26"/>
      <c r="E32" s="41">
        <f t="shared" si="1"/>
        <v>977</v>
      </c>
      <c r="F32" s="41">
        <f t="shared" si="1"/>
        <v>974</v>
      </c>
      <c r="G32" s="41">
        <f t="shared" si="1"/>
        <v>462</v>
      </c>
      <c r="H32" s="41">
        <f t="shared" si="1"/>
        <v>774</v>
      </c>
      <c r="I32" s="41">
        <f t="shared" si="1"/>
        <v>874</v>
      </c>
      <c r="J32" s="41">
        <f t="shared" si="1"/>
        <v>1511</v>
      </c>
      <c r="K32" s="41">
        <f t="shared" si="1"/>
        <v>1752</v>
      </c>
      <c r="L32" s="41">
        <f t="shared" si="1"/>
        <v>1885</v>
      </c>
      <c r="M32" s="9"/>
    </row>
    <row r="33" spans="1:21" ht="16">
      <c r="A33" s="40" t="s">
        <v>393</v>
      </c>
      <c r="C33" s="26"/>
      <c r="D33" s="26"/>
      <c r="E33" s="41">
        <f t="shared" si="1"/>
        <v>-363</v>
      </c>
      <c r="F33" s="41">
        <f t="shared" si="1"/>
        <v>-134</v>
      </c>
      <c r="G33" s="41">
        <f t="shared" si="1"/>
        <v>41</v>
      </c>
      <c r="H33" s="41">
        <f t="shared" si="1"/>
        <v>59</v>
      </c>
      <c r="I33" s="41">
        <f t="shared" si="1"/>
        <v>-630</v>
      </c>
      <c r="J33" s="41">
        <f t="shared" si="1"/>
        <v>36</v>
      </c>
      <c r="K33" s="41">
        <f t="shared" si="1"/>
        <v>-97</v>
      </c>
      <c r="L33" s="41">
        <f t="shared" si="1"/>
        <v>-6</v>
      </c>
      <c r="M33" s="9"/>
    </row>
    <row r="34" spans="1:21" ht="16">
      <c r="A34" s="43" t="s">
        <v>394</v>
      </c>
      <c r="C34" s="26"/>
      <c r="D34" s="26"/>
      <c r="E34" s="41">
        <f t="shared" si="1"/>
        <v>614</v>
      </c>
      <c r="F34" s="41">
        <f t="shared" si="1"/>
        <v>840</v>
      </c>
      <c r="G34" s="41">
        <f t="shared" si="1"/>
        <v>503</v>
      </c>
      <c r="H34" s="41">
        <f t="shared" si="1"/>
        <v>833</v>
      </c>
      <c r="I34" s="41">
        <f t="shared" si="1"/>
        <v>244</v>
      </c>
      <c r="J34" s="41">
        <f t="shared" si="1"/>
        <v>1547</v>
      </c>
      <c r="K34" s="41">
        <f t="shared" si="1"/>
        <v>1655</v>
      </c>
      <c r="L34" s="41">
        <f t="shared" si="1"/>
        <v>1879</v>
      </c>
      <c r="M34" s="9"/>
    </row>
    <row r="35" spans="1:21">
      <c r="A35" s="17" t="s">
        <v>111</v>
      </c>
      <c r="D35" s="18">
        <f t="shared" ref="D35:L35" si="2">IF(N(C28)=0,"",D28/C28-1)</f>
        <v>9.2685438629773742E-3</v>
      </c>
      <c r="E35" s="18">
        <f t="shared" si="2"/>
        <v>1.648720496227285E-2</v>
      </c>
      <c r="F35" s="18">
        <f t="shared" si="2"/>
        <v>2.2189935279355533E-2</v>
      </c>
      <c r="G35" s="18">
        <f t="shared" si="2"/>
        <v>1.2999095490373369E-2</v>
      </c>
      <c r="H35" s="18">
        <f t="shared" si="2"/>
        <v>2.1251084238991691E-2</v>
      </c>
      <c r="I35" s="18">
        <f t="shared" si="2"/>
        <v>6.0952761609751605E-3</v>
      </c>
      <c r="J35" s="18">
        <f t="shared" si="2"/>
        <v>3.8410924891371767E-2</v>
      </c>
      <c r="K35" s="18">
        <f t="shared" si="2"/>
        <v>3.9572473817607978E-2</v>
      </c>
      <c r="L35" s="18">
        <f t="shared" si="2"/>
        <v>4.321825332934659E-2</v>
      </c>
      <c r="M35" s="9"/>
    </row>
    <row r="36" spans="1:21">
      <c r="A36" s="17" t="s">
        <v>395</v>
      </c>
      <c r="C36" s="18">
        <f t="shared" ref="C36:L36" si="3">C26/C28</f>
        <v>0.84636440011924441</v>
      </c>
      <c r="D36" s="18">
        <f t="shared" si="3"/>
        <v>0.91587229129185577</v>
      </c>
      <c r="E36" s="18">
        <f t="shared" si="3"/>
        <v>0.92682604675736358</v>
      </c>
      <c r="F36" s="18">
        <f t="shared" si="3"/>
        <v>0.93187750355343069</v>
      </c>
      <c r="G36" s="18">
        <f t="shared" si="3"/>
        <v>0.93170569927037095</v>
      </c>
      <c r="H36" s="18">
        <f t="shared" si="3"/>
        <v>0.93165296894906446</v>
      </c>
      <c r="I36" s="18">
        <f t="shared" si="3"/>
        <v>0.94770949720670394</v>
      </c>
      <c r="J36" s="18">
        <f t="shared" si="3"/>
        <v>0.94878293721008078</v>
      </c>
      <c r="K36" s="18">
        <f t="shared" si="3"/>
        <v>0.95296363594544242</v>
      </c>
      <c r="L36" s="18">
        <f t="shared" si="3"/>
        <v>0.95504453655525179</v>
      </c>
      <c r="M36" s="9"/>
    </row>
    <row r="37" spans="1:21">
      <c r="A37" s="17" t="s">
        <v>396</v>
      </c>
      <c r="C37" s="24">
        <f t="shared" ref="C37:L37" si="4">C26+C27-C28</f>
        <v>0</v>
      </c>
      <c r="D37" s="24">
        <f t="shared" si="4"/>
        <v>0</v>
      </c>
      <c r="E37" s="24">
        <f t="shared" si="4"/>
        <v>0</v>
      </c>
      <c r="F37" s="24">
        <f t="shared" si="4"/>
        <v>0</v>
      </c>
      <c r="G37" s="24">
        <f t="shared" si="4"/>
        <v>0</v>
      </c>
      <c r="H37" s="24">
        <f t="shared" si="4"/>
        <v>0</v>
      </c>
      <c r="I37" s="24">
        <f t="shared" si="4"/>
        <v>0</v>
      </c>
      <c r="J37" s="24">
        <f t="shared" si="4"/>
        <v>0</v>
      </c>
      <c r="K37" s="24">
        <f t="shared" si="4"/>
        <v>0</v>
      </c>
      <c r="L37" s="24">
        <f t="shared" si="4"/>
        <v>0</v>
      </c>
      <c r="M37" s="9"/>
    </row>
    <row r="38" spans="1:21" ht="8" customHeight="1">
      <c r="M38" s="9"/>
    </row>
    <row r="39" spans="1:21" ht="20" customHeight="1">
      <c r="A39" s="35" t="s">
        <v>397</v>
      </c>
      <c r="B39" s="1"/>
      <c r="C39" s="1"/>
      <c r="D39" s="1"/>
      <c r="E39" s="1"/>
      <c r="F39" s="1"/>
      <c r="G39" s="1"/>
      <c r="H39" s="1"/>
      <c r="I39" s="1"/>
      <c r="J39" s="1"/>
      <c r="K39" s="1"/>
      <c r="L39" s="1"/>
      <c r="M39" s="9"/>
      <c r="N39" s="1"/>
      <c r="O39" s="1"/>
      <c r="P39" s="1"/>
      <c r="Q39" s="1"/>
      <c r="R39" s="1"/>
      <c r="S39" s="1"/>
      <c r="T39" s="1"/>
      <c r="U39" s="1"/>
    </row>
    <row r="40" spans="1:21">
      <c r="A40" s="5" t="s">
        <v>279</v>
      </c>
      <c r="D40" s="13">
        <v>34379</v>
      </c>
      <c r="E40" s="13">
        <v>35860</v>
      </c>
      <c r="F40" s="13">
        <v>37923</v>
      </c>
      <c r="G40" s="13">
        <v>38123</v>
      </c>
      <c r="H40" s="13">
        <v>43344</v>
      </c>
      <c r="I40" s="13">
        <v>45898</v>
      </c>
      <c r="J40" s="13">
        <v>49914</v>
      </c>
      <c r="K40" s="13">
        <v>50272</v>
      </c>
      <c r="L40" s="13">
        <v>51946</v>
      </c>
      <c r="M40" s="9"/>
      <c r="N40" s="13">
        <f>'Valuation Driver Build'!C320</f>
        <v>12893</v>
      </c>
      <c r="O40" s="13">
        <f>'Valuation Driver Build'!D320</f>
        <v>12529</v>
      </c>
      <c r="P40" s="13">
        <f>'Valuation Driver Build'!E320</f>
        <v>11771</v>
      </c>
      <c r="Q40" s="13">
        <f>'Valuation Driver Build'!F320</f>
        <v>13231</v>
      </c>
      <c r="R40" s="13">
        <f>'Valuation Driver Build'!G320</f>
        <v>13376</v>
      </c>
      <c r="S40" s="13">
        <f>'Valuation Driver Build'!H320</f>
        <v>13568</v>
      </c>
      <c r="T40" s="13">
        <f>'Valuation Driver Build'!I320</f>
        <v>12388</v>
      </c>
      <c r="U40" s="13">
        <f>'Valuation Driver Build'!J320</f>
        <v>13523</v>
      </c>
    </row>
    <row r="41" spans="1:21">
      <c r="A41" s="5" t="s">
        <v>280</v>
      </c>
      <c r="D41" s="13">
        <v>24386</v>
      </c>
      <c r="E41" s="13">
        <v>27557</v>
      </c>
      <c r="F41" s="13">
        <v>28853</v>
      </c>
      <c r="G41" s="13">
        <v>25446</v>
      </c>
      <c r="H41" s="13">
        <v>33097</v>
      </c>
      <c r="I41" s="13">
        <v>34537</v>
      </c>
      <c r="J41" s="13">
        <v>38264</v>
      </c>
      <c r="K41" s="13">
        <v>39132</v>
      </c>
      <c r="L41" s="13">
        <v>42440</v>
      </c>
      <c r="M41" s="9"/>
      <c r="N41" s="13">
        <f>'Valuation Driver Build'!C321</f>
        <v>10334</v>
      </c>
      <c r="O41" s="13">
        <f>'Valuation Driver Build'!D321</f>
        <v>9907</v>
      </c>
      <c r="P41" s="13">
        <f>'Valuation Driver Build'!E321</f>
        <v>8984</v>
      </c>
      <c r="Q41" s="13">
        <f>'Valuation Driver Build'!F321</f>
        <v>10712</v>
      </c>
      <c r="R41" s="13">
        <f>'Valuation Driver Build'!G321</f>
        <v>11439</v>
      </c>
      <c r="S41" s="13">
        <f>'Valuation Driver Build'!H321</f>
        <v>11305</v>
      </c>
      <c r="T41" s="13">
        <f>'Valuation Driver Build'!I321</f>
        <v>10498</v>
      </c>
      <c r="U41" s="13">
        <f>'Valuation Driver Build'!J321</f>
        <v>11456</v>
      </c>
    </row>
    <row r="42" spans="1:21">
      <c r="A42" s="5" t="s">
        <v>398</v>
      </c>
      <c r="D42" s="13">
        <v>19426</v>
      </c>
      <c r="E42" s="13">
        <v>22717</v>
      </c>
      <c r="F42" s="13">
        <v>23981</v>
      </c>
      <c r="G42" s="13">
        <v>21609</v>
      </c>
      <c r="H42" s="13">
        <v>26234</v>
      </c>
      <c r="I42" s="13">
        <v>29038</v>
      </c>
      <c r="J42" s="13">
        <v>31573</v>
      </c>
      <c r="K42" s="13">
        <v>31529</v>
      </c>
      <c r="L42" s="13">
        <v>35289</v>
      </c>
      <c r="M42" s="9"/>
      <c r="N42" s="13">
        <f>'Valuation Driver Build'!C322</f>
        <v>8106</v>
      </c>
      <c r="O42" s="13">
        <f>'Valuation Driver Build'!D322</f>
        <v>8168</v>
      </c>
      <c r="P42" s="13">
        <f>'Valuation Driver Build'!E322</f>
        <v>8048</v>
      </c>
      <c r="Q42" s="13">
        <f>'Valuation Driver Build'!F322</f>
        <v>8817</v>
      </c>
      <c r="R42" s="13">
        <f>'Valuation Driver Build'!G322</f>
        <v>9279</v>
      </c>
      <c r="S42" s="13">
        <f>'Valuation Driver Build'!H322</f>
        <v>9146</v>
      </c>
      <c r="T42" s="13">
        <f>'Valuation Driver Build'!I322</f>
        <v>9030</v>
      </c>
      <c r="U42" s="13">
        <f>'Valuation Driver Build'!J322</f>
        <v>9473</v>
      </c>
    </row>
    <row r="43" spans="1:21" ht="14" customHeight="1">
      <c r="A43" s="10" t="s">
        <v>399</v>
      </c>
      <c r="B43" s="14" t="s">
        <v>400</v>
      </c>
      <c r="C43" s="15">
        <v>69707</v>
      </c>
      <c r="D43" s="15">
        <v>78191</v>
      </c>
      <c r="E43" s="15">
        <v>86134</v>
      </c>
      <c r="F43" s="15">
        <v>90757</v>
      </c>
      <c r="G43" s="15">
        <v>85178</v>
      </c>
      <c r="H43" s="15">
        <v>102675</v>
      </c>
      <c r="I43" s="15">
        <v>109473</v>
      </c>
      <c r="J43" s="15">
        <v>119750</v>
      </c>
      <c r="K43" s="15">
        <v>120933</v>
      </c>
      <c r="L43" s="15">
        <v>129675</v>
      </c>
      <c r="M43" s="16"/>
      <c r="N43" s="15">
        <f>'Valuation Driver Build'!C323</f>
        <v>31333</v>
      </c>
      <c r="O43" s="15">
        <f>'Valuation Driver Build'!D323</f>
        <v>30603</v>
      </c>
      <c r="P43" s="15">
        <f>'Valuation Driver Build'!E323</f>
        <v>28804</v>
      </c>
      <c r="Q43" s="15">
        <f>'Valuation Driver Build'!F323</f>
        <v>32760</v>
      </c>
      <c r="R43" s="15">
        <f>'Valuation Driver Build'!G323</f>
        <v>34093</v>
      </c>
      <c r="S43" s="15">
        <f>'Valuation Driver Build'!H323</f>
        <v>34019</v>
      </c>
      <c r="T43" s="15">
        <f>'Valuation Driver Build'!I323</f>
        <v>31917</v>
      </c>
      <c r="U43" s="15">
        <f>'Valuation Driver Build'!J323</f>
        <v>34451</v>
      </c>
    </row>
    <row r="44" spans="1:21">
      <c r="A44" s="17" t="s">
        <v>111</v>
      </c>
      <c r="D44" s="18">
        <f t="shared" ref="D44:L44" si="5">IF(N(C43)=0,"",D43/C43-1)</f>
        <v>0.12170944094567271</v>
      </c>
      <c r="E44" s="18">
        <f t="shared" si="5"/>
        <v>0.10158458134567927</v>
      </c>
      <c r="F44" s="18">
        <f t="shared" si="5"/>
        <v>5.3672185199804989E-2</v>
      </c>
      <c r="G44" s="18">
        <f t="shared" si="5"/>
        <v>-6.1471842392322396E-2</v>
      </c>
      <c r="H44" s="18">
        <f t="shared" si="5"/>
        <v>0.20541689168564647</v>
      </c>
      <c r="I44" s="18">
        <f t="shared" si="5"/>
        <v>6.6208911614316968E-2</v>
      </c>
      <c r="J44" s="18">
        <f t="shared" si="5"/>
        <v>9.3877029039123761E-2</v>
      </c>
      <c r="K44" s="18">
        <f t="shared" si="5"/>
        <v>9.8789144050104305E-3</v>
      </c>
      <c r="L44" s="18">
        <f t="shared" si="5"/>
        <v>7.2287961102428522E-2</v>
      </c>
      <c r="M44" s="9"/>
      <c r="N44" s="18"/>
      <c r="O44" s="18"/>
      <c r="P44" s="18"/>
      <c r="Q44" s="18"/>
      <c r="R44" s="18"/>
      <c r="S44" s="18"/>
      <c r="T44" s="18"/>
      <c r="U44" s="18"/>
    </row>
    <row r="45" spans="1:21">
      <c r="A45" s="5" t="s">
        <v>382</v>
      </c>
      <c r="D45" s="13">
        <v>59151</v>
      </c>
      <c r="E45" s="13">
        <v>63251</v>
      </c>
      <c r="F45" s="13">
        <v>66415</v>
      </c>
      <c r="G45" s="13">
        <v>63297</v>
      </c>
      <c r="H45" s="13">
        <v>75956</v>
      </c>
      <c r="I45" s="13">
        <v>80066</v>
      </c>
      <c r="J45" s="13">
        <v>87809</v>
      </c>
      <c r="K45" s="13">
        <v>88934</v>
      </c>
      <c r="L45" s="13">
        <v>93761</v>
      </c>
      <c r="M45" s="9"/>
      <c r="N45" s="13"/>
      <c r="O45" s="13"/>
      <c r="P45" s="13"/>
      <c r="Q45" s="13"/>
      <c r="R45" s="13"/>
      <c r="S45" s="13"/>
      <c r="T45" s="13"/>
      <c r="U45" s="13"/>
    </row>
    <row r="46" spans="1:21">
      <c r="A46" s="5" t="s">
        <v>383</v>
      </c>
      <c r="D46" s="13">
        <v>12546</v>
      </c>
      <c r="E46" s="13">
        <v>13519</v>
      </c>
      <c r="F46" s="13">
        <v>14392</v>
      </c>
      <c r="G46" s="13">
        <v>11781</v>
      </c>
      <c r="H46" s="13">
        <v>15151</v>
      </c>
      <c r="I46" s="13">
        <v>18444</v>
      </c>
      <c r="J46" s="13">
        <v>20045</v>
      </c>
      <c r="K46" s="13">
        <v>19736</v>
      </c>
      <c r="L46" s="13">
        <v>22451</v>
      </c>
      <c r="M46" s="9"/>
      <c r="N46" s="13"/>
      <c r="O46" s="13"/>
      <c r="P46" s="13"/>
      <c r="Q46" s="13"/>
      <c r="R46" s="13"/>
      <c r="S46" s="13"/>
      <c r="T46" s="13"/>
      <c r="U46" s="13"/>
    </row>
    <row r="47" spans="1:21">
      <c r="A47" s="5" t="s">
        <v>384</v>
      </c>
      <c r="D47" s="13">
        <v>6494</v>
      </c>
      <c r="E47" s="13">
        <v>9364</v>
      </c>
      <c r="F47" s="13">
        <v>9950</v>
      </c>
      <c r="G47" s="13">
        <v>10100</v>
      </c>
      <c r="H47" s="13">
        <v>11568</v>
      </c>
      <c r="I47" s="13">
        <v>10963</v>
      </c>
      <c r="J47" s="13">
        <v>11896</v>
      </c>
      <c r="K47" s="13">
        <v>12263</v>
      </c>
      <c r="L47" s="13">
        <v>13463</v>
      </c>
      <c r="M47" s="9"/>
      <c r="N47" s="13"/>
      <c r="O47" s="13"/>
      <c r="P47" s="13"/>
      <c r="Q47" s="13"/>
      <c r="R47" s="13"/>
      <c r="S47" s="13"/>
      <c r="T47" s="13"/>
      <c r="U47" s="13"/>
    </row>
    <row r="48" spans="1:21">
      <c r="M48" s="9"/>
    </row>
    <row r="49" spans="1:21" ht="12" customHeight="1">
      <c r="A49" s="10" t="s">
        <v>401</v>
      </c>
      <c r="B49" s="14" t="s">
        <v>402</v>
      </c>
      <c r="C49" s="25">
        <f>C43+'Income Statement'!C14</f>
        <v>85002</v>
      </c>
      <c r="D49" s="25">
        <f>D43+'Income Statement'!D14</f>
        <v>90909.9</v>
      </c>
      <c r="E49" s="25">
        <f>E43+'Income Statement'!E14</f>
        <v>96146.7</v>
      </c>
      <c r="F49" s="25">
        <f>F43+'Income Statement'!F14</f>
        <v>100177.8</v>
      </c>
      <c r="G49" s="25">
        <f>G43+'Income Statement'!G14</f>
        <v>93317.2</v>
      </c>
      <c r="H49" s="25">
        <f>H43+'Income Statement'!H14</f>
        <v>112462.39999999999</v>
      </c>
      <c r="I49" s="25">
        <f>I43+'Income Statement'!I14</f>
        <v>118221</v>
      </c>
      <c r="J49" s="25">
        <f>J43+'Income Statement'!J14</f>
        <v>129492</v>
      </c>
      <c r="K49" s="25">
        <f>K43+'Income Statement'!K14</f>
        <v>130715</v>
      </c>
      <c r="L49" s="25">
        <f>L43+'Income Statement'!L14</f>
        <v>139365</v>
      </c>
      <c r="M49" s="9"/>
      <c r="N49" s="25">
        <f>N43+'Income Statement'!N14</f>
        <v>33989</v>
      </c>
      <c r="O49" s="25">
        <f>O43+'Income Statement'!O14</f>
        <v>32913</v>
      </c>
      <c r="P49" s="25">
        <f>P43+'Income Statement'!P14</f>
        <v>30936</v>
      </c>
      <c r="Q49" s="25">
        <f>Q43+'Income Statement'!Q14</f>
        <v>35218</v>
      </c>
      <c r="R49" s="25">
        <f>R43+'Income Statement'!R14</f>
        <v>36656</v>
      </c>
      <c r="S49" s="25">
        <f>S43+'Income Statement'!S14</f>
        <v>36555</v>
      </c>
      <c r="T49" s="25">
        <f>T43+'Income Statement'!T14</f>
        <v>34234</v>
      </c>
      <c r="U49" s="25">
        <f>U43+'Income Statement'!U14</f>
        <v>36976</v>
      </c>
    </row>
    <row r="50" spans="1:21">
      <c r="A50" s="17" t="s">
        <v>111</v>
      </c>
      <c r="D50" s="18">
        <f t="shared" ref="D50:L50" si="6">IF(N(C49)=0,"",D49/C49-1)</f>
        <v>6.9503070515987808E-2</v>
      </c>
      <c r="E50" s="18">
        <f t="shared" si="6"/>
        <v>5.7604287321842973E-2</v>
      </c>
      <c r="F50" s="18">
        <f t="shared" si="6"/>
        <v>4.1926555981640634E-2</v>
      </c>
      <c r="G50" s="18">
        <f t="shared" si="6"/>
        <v>-6.8484235030116469E-2</v>
      </c>
      <c r="H50" s="18">
        <f t="shared" si="6"/>
        <v>0.20516260667915454</v>
      </c>
      <c r="I50" s="18">
        <f t="shared" si="6"/>
        <v>5.1204669293915206E-2</v>
      </c>
      <c r="J50" s="18">
        <f t="shared" si="6"/>
        <v>9.5338391656304644E-2</v>
      </c>
      <c r="K50" s="18">
        <f t="shared" si="6"/>
        <v>9.4445988941402881E-3</v>
      </c>
      <c r="L50" s="18">
        <f t="shared" si="6"/>
        <v>6.6174501778678785E-2</v>
      </c>
      <c r="M50" s="9"/>
    </row>
    <row r="51" spans="1:21">
      <c r="A51" s="36" t="s">
        <v>403</v>
      </c>
      <c r="B51" s="37"/>
      <c r="C51" s="38">
        <f>'Income Statement'!C12/C43</f>
        <v>0.13380148335174372</v>
      </c>
      <c r="D51" s="38">
        <f>'Income Statement'!D12/D43</f>
        <v>0.12919006023711169</v>
      </c>
      <c r="E51" s="38">
        <f>'Income Statement'!E12/E43</f>
        <v>0.12785311259200779</v>
      </c>
      <c r="F51" s="38">
        <f>'Income Statement'!F12/F43</f>
        <v>0.12842755930672015</v>
      </c>
      <c r="G51" s="38">
        <f>'Income Statement'!G12/G43</f>
        <v>0.12592570851628354</v>
      </c>
      <c r="H51" s="38">
        <f>'Income Statement'!H12/H43</f>
        <v>0.12744485025566107</v>
      </c>
      <c r="I51" s="38">
        <f>'Income Statement'!I12/I43</f>
        <v>0.12885368995094681</v>
      </c>
      <c r="J51" s="38">
        <f>'Income Statement'!J12/J43</f>
        <v>0.12891022964509394</v>
      </c>
      <c r="K51" s="38">
        <f>'Income Statement'!K12/K43</f>
        <v>0.12994798772874236</v>
      </c>
      <c r="L51" s="38">
        <f>'Income Statement'!L12/L43</f>
        <v>0.12761133603238867</v>
      </c>
      <c r="M51" s="9"/>
      <c r="N51" s="38">
        <f>'Income Statement'!N12/N43</f>
        <v>0.13066096447834552</v>
      </c>
      <c r="O51" s="38">
        <f>'Income Statement'!O12/O43</f>
        <v>0.12936640198673333</v>
      </c>
      <c r="P51" s="38">
        <f>'Income Statement'!P12/P43</f>
        <v>0.1271004027218442</v>
      </c>
      <c r="Q51" s="38">
        <f>'Income Statement'!Q12/Q43</f>
        <v>0.12860195360195359</v>
      </c>
      <c r="R51" s="38">
        <f>'Income Statement'!R12/R43</f>
        <v>0.12797348429296337</v>
      </c>
      <c r="S51" s="38">
        <f>'Income Statement'!S12/S43</f>
        <v>0.12669390634645344</v>
      </c>
      <c r="T51" s="38">
        <f>'Income Statement'!T12/T43</f>
        <v>0.12554438073753799</v>
      </c>
      <c r="U51" s="38">
        <f>'Income Statement'!U12/U43</f>
        <v>0.12751444079997679</v>
      </c>
    </row>
    <row r="52" spans="1:21">
      <c r="A52" s="17" t="s">
        <v>404</v>
      </c>
      <c r="C52" s="18">
        <f>'Income Statement'!C30/C49</f>
        <v>2.8052281122797111E-2</v>
      </c>
      <c r="D52" s="18">
        <f>'Income Statement'!D30/D49</f>
        <v>2.4544081557674142E-2</v>
      </c>
      <c r="E52" s="18">
        <f>'Income Statement'!E30/E49</f>
        <v>2.2883780722583305E-2</v>
      </c>
      <c r="F52" s="18">
        <f>'Income Statement'!F30/F49</f>
        <v>2.2254431620578611E-2</v>
      </c>
      <c r="G52" s="18">
        <f>'Income Statement'!G30/G49</f>
        <v>2.7279001084473172E-2</v>
      </c>
      <c r="H52" s="18">
        <f>'Income Statement'!H30/H49</f>
        <v>2.4074712970735108E-2</v>
      </c>
      <c r="I52" s="18">
        <f>'Income Statement'!I30/I49</f>
        <v>2.4208896896490473E-2</v>
      </c>
      <c r="J52" s="18">
        <f>'Income Statement'!J30/J49</f>
        <v>2.17542396441479E-2</v>
      </c>
      <c r="K52" s="18">
        <f>'Income Statement'!K30/K49</f>
        <v>2.1872011628351756E-2</v>
      </c>
      <c r="L52" s="18">
        <f>'Income Statement'!L30/L49</f>
        <v>2.1813224267211998E-2</v>
      </c>
      <c r="M52" s="9"/>
      <c r="N52" s="18">
        <f>'Income Statement'!N30/N49</f>
        <v>1.9035570331577864E-2</v>
      </c>
      <c r="O52" s="18">
        <f>'Income Statement'!O30/O49</f>
        <v>2.4306505028408226E-2</v>
      </c>
      <c r="P52" s="18">
        <f>'Income Statement'!P30/P49</f>
        <v>2.2045513317817428E-2</v>
      </c>
      <c r="Q52" s="18">
        <f>'Income Statement'!Q30/Q49</f>
        <v>1.990459424158101E-2</v>
      </c>
      <c r="R52" s="18">
        <f>'Income Statement'!R30/R49</f>
        <v>2.1415320820602358E-2</v>
      </c>
      <c r="S52" s="18">
        <f>'Income Statement'!S30/S49</f>
        <v>2.3881821912187115E-2</v>
      </c>
      <c r="T52" s="18">
        <f>'Income Statement'!T30/T49</f>
        <v>2.2170941169597475E-2</v>
      </c>
      <c r="U52" s="18">
        <f>'Income Statement'!U30/U49</f>
        <v>2.2095413241021204E-2</v>
      </c>
    </row>
    <row r="53" spans="1:21">
      <c r="A53" s="17" t="s">
        <v>405</v>
      </c>
      <c r="D53" s="28">
        <f t="shared" ref="D53:L53" si="7">D43/((D26+C26)/2)</f>
        <v>2.3934310814533655</v>
      </c>
      <c r="E53" s="28">
        <f t="shared" si="7"/>
        <v>2.4896738109346321</v>
      </c>
      <c r="F53" s="28">
        <f t="shared" si="7"/>
        <v>2.5513606207129205</v>
      </c>
      <c r="G53" s="28">
        <f t="shared" si="7"/>
        <v>2.3471479746486636</v>
      </c>
      <c r="H53" s="28">
        <f t="shared" si="7"/>
        <v>2.7819171995231384</v>
      </c>
      <c r="I53" s="28">
        <f t="shared" si="7"/>
        <v>2.901330435704442</v>
      </c>
      <c r="J53" s="28">
        <f t="shared" si="7"/>
        <v>3.0764685480866807</v>
      </c>
      <c r="K53" s="28">
        <f t="shared" si="7"/>
        <v>2.9818769109379621</v>
      </c>
      <c r="L53" s="28">
        <f t="shared" si="7"/>
        <v>3.0602130998595856</v>
      </c>
      <c r="M53" s="9"/>
    </row>
    <row r="54" spans="1:21">
      <c r="A54" s="17" t="s">
        <v>406</v>
      </c>
      <c r="D54" s="23">
        <f t="shared" ref="D54:L54" si="8">D40+D41+D42-D43</f>
        <v>0</v>
      </c>
      <c r="E54" s="23">
        <f t="shared" si="8"/>
        <v>0</v>
      </c>
      <c r="F54" s="23">
        <f t="shared" si="8"/>
        <v>0</v>
      </c>
      <c r="G54" s="23">
        <f t="shared" si="8"/>
        <v>0</v>
      </c>
      <c r="H54" s="23">
        <f t="shared" si="8"/>
        <v>0</v>
      </c>
      <c r="I54" s="23">
        <f t="shared" si="8"/>
        <v>0</v>
      </c>
      <c r="J54" s="23">
        <f t="shared" si="8"/>
        <v>1</v>
      </c>
      <c r="K54" s="23">
        <f t="shared" si="8"/>
        <v>0</v>
      </c>
      <c r="L54" s="23">
        <f t="shared" si="8"/>
        <v>0</v>
      </c>
      <c r="M54" s="9"/>
    </row>
    <row r="55" spans="1:21">
      <c r="A55" s="17" t="s">
        <v>407</v>
      </c>
      <c r="D55" s="23">
        <f t="shared" ref="D55:L55" si="9">D45+D46+D47-D43</f>
        <v>0</v>
      </c>
      <c r="E55" s="23">
        <f t="shared" si="9"/>
        <v>0</v>
      </c>
      <c r="F55" s="23">
        <f t="shared" si="9"/>
        <v>0</v>
      </c>
      <c r="G55" s="23">
        <f t="shared" si="9"/>
        <v>0</v>
      </c>
      <c r="H55" s="23">
        <f t="shared" si="9"/>
        <v>0</v>
      </c>
      <c r="I55" s="23">
        <f t="shared" si="9"/>
        <v>0</v>
      </c>
      <c r="J55" s="23">
        <f t="shared" si="9"/>
        <v>0</v>
      </c>
      <c r="K55" s="23">
        <f t="shared" si="9"/>
        <v>0</v>
      </c>
      <c r="L55" s="23">
        <f t="shared" si="9"/>
        <v>0</v>
      </c>
      <c r="M55" s="9"/>
    </row>
    <row r="56" spans="1:21" ht="8" customHeight="1">
      <c r="M56" s="9"/>
    </row>
    <row r="57" spans="1:21" ht="20" customHeight="1">
      <c r="A57" s="12" t="s">
        <v>408</v>
      </c>
      <c r="B57" s="1"/>
      <c r="C57" s="1"/>
      <c r="D57" s="1"/>
      <c r="E57" s="1"/>
      <c r="F57" s="1"/>
      <c r="G57" s="1"/>
      <c r="H57" s="1"/>
      <c r="I57" s="1"/>
      <c r="J57" s="1"/>
      <c r="K57" s="1"/>
      <c r="L57" s="1"/>
      <c r="M57" s="9"/>
      <c r="N57" s="1"/>
      <c r="O57" s="1"/>
      <c r="P57" s="1"/>
      <c r="Q57" s="1"/>
      <c r="R57" s="1"/>
      <c r="S57" s="1"/>
      <c r="T57" s="1"/>
      <c r="U57" s="1"/>
    </row>
    <row r="58" spans="1:21">
      <c r="A58" s="5" t="s">
        <v>279</v>
      </c>
      <c r="D58" s="13">
        <v>14036</v>
      </c>
      <c r="E58" s="13">
        <v>13914</v>
      </c>
      <c r="F58" s="13">
        <v>13846</v>
      </c>
      <c r="G58" s="13">
        <v>13682</v>
      </c>
      <c r="H58" s="13">
        <v>13438</v>
      </c>
      <c r="I58" s="13">
        <v>13444</v>
      </c>
      <c r="J58" s="13">
        <v>13457</v>
      </c>
      <c r="K58" s="13">
        <v>13557</v>
      </c>
      <c r="L58" s="13">
        <v>13706</v>
      </c>
      <c r="M58" s="9"/>
    </row>
    <row r="59" spans="1:21">
      <c r="A59" s="5" t="s">
        <v>280</v>
      </c>
      <c r="D59" s="13">
        <v>10098</v>
      </c>
      <c r="E59" s="13">
        <v>10263</v>
      </c>
      <c r="F59" s="13">
        <v>10465</v>
      </c>
      <c r="G59" s="13">
        <v>10560</v>
      </c>
      <c r="H59" s="13">
        <v>10785</v>
      </c>
      <c r="I59" s="13">
        <v>10103</v>
      </c>
      <c r="J59" s="13">
        <v>10263</v>
      </c>
      <c r="K59" s="13">
        <v>10512</v>
      </c>
      <c r="L59" s="13">
        <v>10845</v>
      </c>
      <c r="M59" s="9"/>
    </row>
    <row r="60" spans="1:21">
      <c r="A60" s="5" t="s">
        <v>281</v>
      </c>
      <c r="D60" s="13">
        <v>13107</v>
      </c>
      <c r="E60" s="13">
        <v>13678</v>
      </c>
      <c r="F60" s="13">
        <v>14384</v>
      </c>
      <c r="G60" s="13">
        <v>14956</v>
      </c>
      <c r="H60" s="13">
        <v>15808</v>
      </c>
      <c r="I60" s="13">
        <v>16728</v>
      </c>
      <c r="J60" s="13">
        <v>18102</v>
      </c>
      <c r="K60" s="13">
        <v>19408</v>
      </c>
      <c r="L60" s="13">
        <v>20805</v>
      </c>
      <c r="M60" s="9"/>
    </row>
    <row r="61" spans="1:21">
      <c r="A61" s="10" t="s">
        <v>388</v>
      </c>
      <c r="D61" s="15">
        <v>37241</v>
      </c>
      <c r="E61" s="15">
        <v>37855</v>
      </c>
      <c r="F61" s="15">
        <v>38695</v>
      </c>
      <c r="G61" s="15">
        <v>39198</v>
      </c>
      <c r="H61" s="15">
        <v>40031</v>
      </c>
      <c r="I61" s="15">
        <v>40275</v>
      </c>
      <c r="J61" s="15">
        <v>41822</v>
      </c>
      <c r="K61" s="15">
        <v>43477</v>
      </c>
      <c r="L61" s="15">
        <v>45356</v>
      </c>
      <c r="M61" s="16"/>
    </row>
    <row r="62" spans="1:21" ht="16">
      <c r="A62" s="40" t="s">
        <v>389</v>
      </c>
      <c r="C62" s="26"/>
      <c r="D62" s="26"/>
      <c r="E62" s="41">
        <f>E58-D58</f>
        <v>-122</v>
      </c>
      <c r="F62" s="41">
        <f t="shared" ref="F62:L62" si="10">F58-E58</f>
        <v>-68</v>
      </c>
      <c r="G62" s="41">
        <f t="shared" si="10"/>
        <v>-164</v>
      </c>
      <c r="H62" s="41">
        <f t="shared" si="10"/>
        <v>-244</v>
      </c>
      <c r="I62" s="41">
        <f t="shared" si="10"/>
        <v>6</v>
      </c>
      <c r="J62" s="41">
        <f t="shared" si="10"/>
        <v>13</v>
      </c>
      <c r="K62" s="41">
        <f t="shared" si="10"/>
        <v>100</v>
      </c>
      <c r="L62" s="41">
        <f t="shared" si="10"/>
        <v>149</v>
      </c>
      <c r="M62" s="9"/>
    </row>
    <row r="63" spans="1:21" ht="16">
      <c r="A63" s="40" t="s">
        <v>390</v>
      </c>
      <c r="C63" s="26"/>
      <c r="D63" s="26"/>
      <c r="E63" s="41">
        <f t="shared" ref="E63:L64" si="11">E59-D59</f>
        <v>165</v>
      </c>
      <c r="F63" s="41">
        <f t="shared" si="11"/>
        <v>202</v>
      </c>
      <c r="G63" s="41">
        <f t="shared" si="11"/>
        <v>95</v>
      </c>
      <c r="H63" s="41">
        <f t="shared" si="11"/>
        <v>225</v>
      </c>
      <c r="I63" s="41">
        <f t="shared" si="11"/>
        <v>-682</v>
      </c>
      <c r="J63" s="41">
        <f t="shared" si="11"/>
        <v>160</v>
      </c>
      <c r="K63" s="41">
        <f t="shared" si="11"/>
        <v>249</v>
      </c>
      <c r="L63" s="41">
        <f t="shared" si="11"/>
        <v>333</v>
      </c>
      <c r="M63" s="9"/>
    </row>
    <row r="64" spans="1:21" ht="16">
      <c r="A64" s="40" t="s">
        <v>391</v>
      </c>
      <c r="C64" s="26"/>
      <c r="D64" s="26"/>
      <c r="E64" s="41">
        <f t="shared" si="11"/>
        <v>571</v>
      </c>
      <c r="F64" s="41">
        <f t="shared" si="11"/>
        <v>706</v>
      </c>
      <c r="G64" s="41">
        <f t="shared" si="11"/>
        <v>572</v>
      </c>
      <c r="H64" s="41">
        <f t="shared" si="11"/>
        <v>852</v>
      </c>
      <c r="I64" s="41">
        <f t="shared" si="11"/>
        <v>920</v>
      </c>
      <c r="J64" s="41">
        <f t="shared" si="11"/>
        <v>1374</v>
      </c>
      <c r="K64" s="41">
        <f t="shared" si="11"/>
        <v>1306</v>
      </c>
      <c r="L64" s="41">
        <f t="shared" si="11"/>
        <v>1397</v>
      </c>
      <c r="M64" s="9"/>
    </row>
    <row r="65" spans="1:21">
      <c r="A65" s="5" t="s">
        <v>409</v>
      </c>
      <c r="E65" s="19">
        <f t="shared" ref="E65:L65" si="12">E61-D61</f>
        <v>614</v>
      </c>
      <c r="F65" s="19">
        <f t="shared" si="12"/>
        <v>840</v>
      </c>
      <c r="G65" s="19">
        <f t="shared" si="12"/>
        <v>503</v>
      </c>
      <c r="H65" s="19">
        <f t="shared" si="12"/>
        <v>833</v>
      </c>
      <c r="I65" s="19">
        <f t="shared" si="12"/>
        <v>244</v>
      </c>
      <c r="J65" s="19">
        <f t="shared" si="12"/>
        <v>1547</v>
      </c>
      <c r="K65" s="19">
        <f t="shared" si="12"/>
        <v>1655</v>
      </c>
      <c r="L65" s="19">
        <f t="shared" si="12"/>
        <v>1879</v>
      </c>
      <c r="M65" s="9"/>
    </row>
    <row r="66" spans="1:21">
      <c r="A66" s="17" t="s">
        <v>410</v>
      </c>
      <c r="E66" s="18">
        <f t="shared" ref="E66:L66" si="13">E65/D61</f>
        <v>1.6487204962272763E-2</v>
      </c>
      <c r="F66" s="18">
        <f t="shared" si="13"/>
        <v>2.2189935279355436E-2</v>
      </c>
      <c r="G66" s="18">
        <f t="shared" si="13"/>
        <v>1.2999095490373433E-2</v>
      </c>
      <c r="H66" s="18">
        <f t="shared" si="13"/>
        <v>2.1251084238991785E-2</v>
      </c>
      <c r="I66" s="18">
        <f t="shared" si="13"/>
        <v>6.0952761609752446E-3</v>
      </c>
      <c r="J66" s="18">
        <f t="shared" si="13"/>
        <v>3.8410924891371816E-2</v>
      </c>
      <c r="K66" s="18">
        <f t="shared" si="13"/>
        <v>3.9572473817607957E-2</v>
      </c>
      <c r="L66" s="18">
        <f t="shared" si="13"/>
        <v>4.3218253329346548E-2</v>
      </c>
      <c r="M66" s="9"/>
    </row>
    <row r="67" spans="1:21">
      <c r="A67" s="17" t="s">
        <v>411</v>
      </c>
      <c r="E67" s="24">
        <f t="shared" ref="E67:L69" si="14">E58-D58</f>
        <v>-122</v>
      </c>
      <c r="F67" s="24">
        <f t="shared" si="14"/>
        <v>-68</v>
      </c>
      <c r="G67" s="24">
        <f t="shared" si="14"/>
        <v>-164</v>
      </c>
      <c r="H67" s="24">
        <f t="shared" si="14"/>
        <v>-244</v>
      </c>
      <c r="I67" s="24">
        <f t="shared" si="14"/>
        <v>6</v>
      </c>
      <c r="J67" s="24">
        <f t="shared" si="14"/>
        <v>13</v>
      </c>
      <c r="K67" s="24">
        <f t="shared" si="14"/>
        <v>100</v>
      </c>
      <c r="L67" s="24">
        <f t="shared" si="14"/>
        <v>149</v>
      </c>
      <c r="M67" s="9"/>
    </row>
    <row r="68" spans="1:21">
      <c r="A68" s="17" t="s">
        <v>412</v>
      </c>
      <c r="E68" s="24">
        <f t="shared" si="14"/>
        <v>165</v>
      </c>
      <c r="F68" s="24">
        <f t="shared" si="14"/>
        <v>202</v>
      </c>
      <c r="G68" s="24">
        <f t="shared" si="14"/>
        <v>95</v>
      </c>
      <c r="H68" s="24">
        <f t="shared" si="14"/>
        <v>225</v>
      </c>
      <c r="I68" s="24">
        <f t="shared" si="14"/>
        <v>-682</v>
      </c>
      <c r="J68" s="24">
        <f t="shared" si="14"/>
        <v>160</v>
      </c>
      <c r="K68" s="24">
        <f t="shared" si="14"/>
        <v>249</v>
      </c>
      <c r="L68" s="24">
        <f t="shared" si="14"/>
        <v>333</v>
      </c>
      <c r="M68" s="9"/>
    </row>
    <row r="69" spans="1:21">
      <c r="A69" s="17" t="s">
        <v>413</v>
      </c>
      <c r="E69" s="24">
        <f t="shared" si="14"/>
        <v>571</v>
      </c>
      <c r="F69" s="24">
        <f t="shared" si="14"/>
        <v>706</v>
      </c>
      <c r="G69" s="24">
        <f t="shared" si="14"/>
        <v>572</v>
      </c>
      <c r="H69" s="24">
        <f t="shared" si="14"/>
        <v>852</v>
      </c>
      <c r="I69" s="24">
        <f t="shared" si="14"/>
        <v>920</v>
      </c>
      <c r="J69" s="24">
        <f t="shared" si="14"/>
        <v>1374</v>
      </c>
      <c r="K69" s="24">
        <f t="shared" si="14"/>
        <v>1306</v>
      </c>
      <c r="L69" s="24">
        <f t="shared" si="14"/>
        <v>1397</v>
      </c>
      <c r="M69" s="9"/>
    </row>
    <row r="70" spans="1:21">
      <c r="A70" s="17" t="s">
        <v>414</v>
      </c>
      <c r="D70" s="24">
        <f t="shared" ref="D70:L70" si="15">D58+D59+D60-D61</f>
        <v>0</v>
      </c>
      <c r="E70" s="24">
        <f t="shared" si="15"/>
        <v>0</v>
      </c>
      <c r="F70" s="24">
        <f t="shared" si="15"/>
        <v>0</v>
      </c>
      <c r="G70" s="24">
        <f t="shared" si="15"/>
        <v>0</v>
      </c>
      <c r="H70" s="24">
        <f t="shared" si="15"/>
        <v>0</v>
      </c>
      <c r="I70" s="24">
        <f t="shared" si="15"/>
        <v>0</v>
      </c>
      <c r="J70" s="24">
        <f t="shared" si="15"/>
        <v>0</v>
      </c>
      <c r="K70" s="24">
        <f t="shared" si="15"/>
        <v>0</v>
      </c>
      <c r="L70" s="24">
        <f t="shared" si="15"/>
        <v>0</v>
      </c>
      <c r="M70" s="9"/>
    </row>
    <row r="71" spans="1:21">
      <c r="A71" s="17" t="s">
        <v>415</v>
      </c>
      <c r="D71" s="24">
        <f t="shared" ref="D71:L71" si="16">D61-D28</f>
        <v>0</v>
      </c>
      <c r="E71" s="24">
        <f t="shared" si="16"/>
        <v>0</v>
      </c>
      <c r="F71" s="24">
        <f t="shared" si="16"/>
        <v>0</v>
      </c>
      <c r="G71" s="24">
        <f t="shared" si="16"/>
        <v>0</v>
      </c>
      <c r="H71" s="24">
        <f t="shared" si="16"/>
        <v>0</v>
      </c>
      <c r="I71" s="24">
        <f t="shared" si="16"/>
        <v>0</v>
      </c>
      <c r="J71" s="24">
        <f t="shared" si="16"/>
        <v>0</v>
      </c>
      <c r="K71" s="24">
        <f t="shared" si="16"/>
        <v>0</v>
      </c>
      <c r="L71" s="24">
        <f t="shared" si="16"/>
        <v>0</v>
      </c>
      <c r="M71" s="9"/>
    </row>
    <row r="72" spans="1:21" ht="8" customHeight="1">
      <c r="M72" s="9"/>
    </row>
    <row r="73" spans="1:21" ht="20" customHeight="1">
      <c r="A73" s="35" t="s">
        <v>416</v>
      </c>
      <c r="B73" s="1"/>
      <c r="C73" s="1"/>
      <c r="D73" s="1"/>
      <c r="E73" s="1"/>
      <c r="F73" s="1"/>
      <c r="G73" s="1"/>
      <c r="H73" s="1"/>
      <c r="I73" s="1"/>
      <c r="J73" s="1"/>
      <c r="K73" s="1"/>
      <c r="L73" s="1"/>
      <c r="M73" s="9"/>
      <c r="N73" s="1"/>
      <c r="O73" s="1"/>
      <c r="P73" s="1"/>
      <c r="Q73" s="1"/>
      <c r="R73" s="1"/>
      <c r="S73" s="1"/>
      <c r="T73" s="1"/>
      <c r="U73" s="1"/>
    </row>
    <row r="74" spans="1:21" ht="14" customHeight="1">
      <c r="A74" s="5" t="s">
        <v>417</v>
      </c>
      <c r="B74" s="14" t="s">
        <v>418</v>
      </c>
      <c r="C74" s="29">
        <v>1.7000000000000001E-2</v>
      </c>
      <c r="D74" s="29">
        <v>3.5999999999999997E-2</v>
      </c>
      <c r="E74" s="29">
        <v>2.5000000000000001E-2</v>
      </c>
      <c r="F74" s="29">
        <v>0.05</v>
      </c>
      <c r="G74" s="29">
        <v>4.0000000000000001E-3</v>
      </c>
      <c r="H74" s="29">
        <v>0.13800000000000001</v>
      </c>
      <c r="I74" s="29">
        <v>5.8999999999999997E-2</v>
      </c>
      <c r="J74" s="29">
        <v>8.6999999999999994E-2</v>
      </c>
      <c r="K74" s="29">
        <v>2E-3</v>
      </c>
      <c r="L74" s="29">
        <v>2.1000000000000001E-2</v>
      </c>
      <c r="M74" s="9"/>
      <c r="N74" s="29">
        <v>3.0000000000000001E-3</v>
      </c>
      <c r="O74" s="29">
        <v>-1.3999999999999999E-2</v>
      </c>
      <c r="P74" s="29">
        <v>-3.6000000000000004E-2</v>
      </c>
      <c r="Q74" s="29">
        <v>2.5000000000000001E-2</v>
      </c>
      <c r="R74" s="29">
        <v>2.4E-2</v>
      </c>
      <c r="S74" s="29">
        <v>6.8000000000000005E-2</v>
      </c>
      <c r="T74" s="29">
        <v>3.9E-2</v>
      </c>
      <c r="U74" s="29">
        <v>8.0000000000000002E-3</v>
      </c>
    </row>
    <row r="75" spans="1:21">
      <c r="A75" s="5" t="s">
        <v>419</v>
      </c>
      <c r="E75" s="29">
        <v>6.0999999999999999E-2</v>
      </c>
      <c r="F75" s="29">
        <v>6.0999999999999999E-2</v>
      </c>
      <c r="G75" s="29">
        <v>-0.15</v>
      </c>
      <c r="H75" s="29">
        <v>0.216</v>
      </c>
      <c r="I75" s="29">
        <v>0.13300000000000001</v>
      </c>
      <c r="J75" s="29">
        <v>9.1999999999999998E-2</v>
      </c>
      <c r="K75" s="29">
        <v>-2E-3</v>
      </c>
      <c r="L75" s="29">
        <v>3.2000000000000001E-2</v>
      </c>
      <c r="M75" s="9"/>
      <c r="N75" s="29">
        <v>-2.1000000000000001E-2</v>
      </c>
      <c r="O75" s="29">
        <v>1E-3</v>
      </c>
      <c r="P75" s="29">
        <v>-0.01</v>
      </c>
      <c r="Q75" s="29">
        <v>0.04</v>
      </c>
      <c r="R75" s="29">
        <v>4.2999999999999997E-2</v>
      </c>
      <c r="S75" s="29">
        <v>5.2000000000000005E-2</v>
      </c>
      <c r="T75" s="29">
        <v>3.9E-2</v>
      </c>
      <c r="U75" s="29">
        <v>1.4999999999999999E-2</v>
      </c>
    </row>
    <row r="76" spans="1:21">
      <c r="A76" s="5" t="s">
        <v>420</v>
      </c>
      <c r="E76" s="29">
        <v>5.5999999999999987E-2</v>
      </c>
      <c r="F76" s="29">
        <v>7.2000000000000008E-2</v>
      </c>
      <c r="G76" s="29">
        <v>-0.105</v>
      </c>
      <c r="H76" s="29">
        <v>0.16600000000000001</v>
      </c>
      <c r="I76" s="29">
        <v>0.16</v>
      </c>
      <c r="J76" s="29">
        <v>9.4E-2</v>
      </c>
      <c r="K76" s="29">
        <v>-3.0000000000000001E-3</v>
      </c>
      <c r="L76" s="29">
        <v>4.5999999999999999E-2</v>
      </c>
      <c r="M76" s="9"/>
      <c r="N76" s="29">
        <v>-3.5000000000000003E-2</v>
      </c>
      <c r="O76" s="29">
        <v>4.0999999999999995E-2</v>
      </c>
      <c r="P76" s="29">
        <v>3.5000000000000003E-2</v>
      </c>
      <c r="Q76" s="29">
        <v>5.5999999999999994E-2</v>
      </c>
      <c r="R76" s="29">
        <v>4.7E-2</v>
      </c>
      <c r="S76" s="29">
        <v>4.4999999999999998E-2</v>
      </c>
      <c r="T76" s="29">
        <v>3.4000000000000002E-2</v>
      </c>
      <c r="U76" s="29">
        <v>1.9E-2</v>
      </c>
    </row>
    <row r="77" spans="1:21" ht="14" customHeight="1">
      <c r="A77" s="10" t="s">
        <v>421</v>
      </c>
      <c r="B77" s="14" t="s">
        <v>418</v>
      </c>
      <c r="C77" s="30">
        <v>3.7999999999999999E-2</v>
      </c>
      <c r="D77" s="30">
        <v>5.2999999999999999E-2</v>
      </c>
      <c r="E77" s="30">
        <v>4.4999999999999998E-2</v>
      </c>
      <c r="F77" s="30">
        <v>5.8999999999999997E-2</v>
      </c>
      <c r="G77" s="30">
        <v>-7.6999999999999999E-2</v>
      </c>
      <c r="H77" s="30">
        <v>0.17</v>
      </c>
      <c r="I77" s="30">
        <v>0.109</v>
      </c>
      <c r="J77" s="30">
        <v>0.09</v>
      </c>
      <c r="K77" s="30">
        <v>-1E-3</v>
      </c>
      <c r="L77" s="30">
        <v>3.1E-2</v>
      </c>
      <c r="M77" s="9"/>
      <c r="N77" s="29">
        <v>-1.4999999999999999E-2</v>
      </c>
      <c r="O77" s="29">
        <v>4.0000000000000001E-3</v>
      </c>
      <c r="P77" s="29">
        <v>-0.01</v>
      </c>
      <c r="Q77" s="29">
        <v>3.7999999999999999E-2</v>
      </c>
      <c r="R77" s="29">
        <v>3.6000000000000004E-2</v>
      </c>
      <c r="S77" s="29">
        <v>5.7000000000000002E-2</v>
      </c>
      <c r="T77" s="29">
        <v>3.7999999999999999E-2</v>
      </c>
      <c r="U77" s="29">
        <v>1.3000000000000001E-2</v>
      </c>
    </row>
    <row r="78" spans="1:21">
      <c r="M78" s="9"/>
    </row>
    <row r="79" spans="1:21" ht="14" customHeight="1">
      <c r="A79" s="5" t="s">
        <v>422</v>
      </c>
      <c r="B79" s="14" t="s">
        <v>423</v>
      </c>
      <c r="C79" s="29">
        <v>-2.1000000000000001E-2</v>
      </c>
      <c r="D79" s="29">
        <v>0.01</v>
      </c>
      <c r="E79" s="29">
        <v>-2.1999999999999999E-2</v>
      </c>
      <c r="F79" s="29">
        <v>-1.9E-2</v>
      </c>
      <c r="M79" s="9"/>
    </row>
    <row r="80" spans="1:21" ht="14" customHeight="1">
      <c r="A80" s="5" t="s">
        <v>424</v>
      </c>
      <c r="B80" s="14" t="s">
        <v>423</v>
      </c>
      <c r="D80" s="29">
        <v>2.7E-2</v>
      </c>
      <c r="E80" s="29">
        <v>2.8000000000000001E-2</v>
      </c>
      <c r="F80" s="29">
        <v>3.5000000000000003E-2</v>
      </c>
      <c r="M80" s="9"/>
    </row>
    <row r="81" spans="1:21" ht="14" customHeight="1">
      <c r="A81" s="5" t="s">
        <v>425</v>
      </c>
      <c r="B81" s="14" t="s">
        <v>423</v>
      </c>
      <c r="D81" s="29">
        <v>2.5000000000000001E-2</v>
      </c>
      <c r="E81" s="29">
        <v>0.01</v>
      </c>
      <c r="F81" s="29">
        <v>2.1999999999999999E-2</v>
      </c>
      <c r="M81" s="9"/>
    </row>
    <row r="82" spans="1:21" ht="24">
      <c r="A82" s="10" t="s">
        <v>426</v>
      </c>
      <c r="B82" s="14" t="s">
        <v>423</v>
      </c>
      <c r="C82" s="30">
        <v>-3.0000000000000001E-3</v>
      </c>
      <c r="D82" s="30">
        <v>1.9E-2</v>
      </c>
      <c r="E82" s="30">
        <v>2E-3</v>
      </c>
      <c r="F82" s="30">
        <v>0.01</v>
      </c>
      <c r="M82" s="9"/>
    </row>
    <row r="83" spans="1:21" ht="8" customHeight="1">
      <c r="M83" s="9"/>
    </row>
    <row r="84" spans="1:21" ht="20" customHeight="1">
      <c r="A84" s="12" t="s">
        <v>427</v>
      </c>
      <c r="B84" s="1"/>
      <c r="C84" s="1"/>
      <c r="D84" s="1"/>
      <c r="E84" s="1"/>
      <c r="F84" s="1"/>
      <c r="G84" s="1"/>
      <c r="H84" s="1"/>
      <c r="I84" s="1"/>
      <c r="J84" s="1"/>
      <c r="K84" s="1"/>
      <c r="L84" s="1"/>
      <c r="M84" s="9"/>
      <c r="N84" s="1"/>
      <c r="O84" s="1"/>
      <c r="P84" s="1"/>
      <c r="Q84" s="1"/>
      <c r="R84" s="1"/>
      <c r="S84" s="1"/>
      <c r="T84" s="1"/>
      <c r="U84" s="1"/>
    </row>
    <row r="85" spans="1:21">
      <c r="A85" s="5" t="s">
        <v>428</v>
      </c>
      <c r="F85" s="29">
        <v>0.05</v>
      </c>
      <c r="G85" s="29">
        <v>0</v>
      </c>
      <c r="H85" s="29">
        <v>0.13</v>
      </c>
      <c r="I85" s="29">
        <v>0.06</v>
      </c>
      <c r="J85" s="29">
        <v>0.09</v>
      </c>
      <c r="K85" s="29">
        <v>0.01</v>
      </c>
      <c r="L85" s="29">
        <v>0.03</v>
      </c>
      <c r="M85" s="9"/>
      <c r="N85" s="29">
        <v>0.01</v>
      </c>
      <c r="O85" s="29">
        <v>-0.01</v>
      </c>
      <c r="P85" s="29">
        <v>-0.03</v>
      </c>
      <c r="Q85" s="29">
        <v>0.03</v>
      </c>
      <c r="R85" s="29">
        <v>0.03</v>
      </c>
      <c r="S85" s="29">
        <v>0.08</v>
      </c>
      <c r="T85" s="29">
        <v>0.05</v>
      </c>
      <c r="U85" s="29">
        <v>0.02</v>
      </c>
    </row>
    <row r="86" spans="1:21">
      <c r="A86" s="5" t="s">
        <v>429</v>
      </c>
      <c r="F86" s="29">
        <v>0.03</v>
      </c>
      <c r="G86" s="29">
        <v>-0.13</v>
      </c>
      <c r="H86" s="29">
        <v>0.28999999999999998</v>
      </c>
      <c r="I86" s="29">
        <v>0</v>
      </c>
      <c r="J86" s="29">
        <v>0.11</v>
      </c>
      <c r="K86" s="29">
        <v>0.02</v>
      </c>
      <c r="L86" s="29">
        <v>0.08</v>
      </c>
      <c r="M86" s="9"/>
      <c r="N86" s="29">
        <v>0.01</v>
      </c>
      <c r="O86" s="29">
        <v>0.02</v>
      </c>
      <c r="P86" s="29">
        <v>-0.02</v>
      </c>
      <c r="Q86" s="29">
        <v>0.1</v>
      </c>
      <c r="R86" s="29">
        <v>0.11</v>
      </c>
      <c r="S86" s="29">
        <v>0.14000000000000001</v>
      </c>
      <c r="T86" s="29">
        <v>0.16</v>
      </c>
      <c r="U86" s="29">
        <v>0.06</v>
      </c>
    </row>
    <row r="87" spans="1:21">
      <c r="A87" s="5" t="s">
        <v>430</v>
      </c>
      <c r="F87" s="29">
        <v>0.05</v>
      </c>
      <c r="G87" s="29">
        <v>-0.1</v>
      </c>
      <c r="H87" s="29">
        <v>0.21</v>
      </c>
      <c r="I87" s="29">
        <v>0.1</v>
      </c>
      <c r="J87" s="29">
        <v>0.09</v>
      </c>
      <c r="K87" s="29">
        <v>0</v>
      </c>
      <c r="L87" s="29">
        <v>0.1</v>
      </c>
      <c r="M87" s="9"/>
      <c r="N87" s="29">
        <v>-0.02</v>
      </c>
      <c r="O87" s="29">
        <v>0.05</v>
      </c>
      <c r="P87" s="29">
        <v>0.05</v>
      </c>
      <c r="Q87" s="29">
        <v>0.13</v>
      </c>
      <c r="R87" s="29">
        <v>0.11</v>
      </c>
      <c r="S87" s="29">
        <v>0.12</v>
      </c>
      <c r="T87" s="29">
        <v>0.12</v>
      </c>
      <c r="U87" s="29">
        <v>0.08</v>
      </c>
    </row>
    <row r="88" spans="1:21">
      <c r="A88" s="10" t="s">
        <v>431</v>
      </c>
      <c r="F88" s="30">
        <v>0.04</v>
      </c>
      <c r="G88" s="30">
        <v>-7.0000000000000007E-2</v>
      </c>
      <c r="H88" s="30">
        <v>0.21</v>
      </c>
      <c r="I88" s="30">
        <v>0.05</v>
      </c>
      <c r="J88" s="30">
        <v>0.1</v>
      </c>
      <c r="K88" s="30">
        <v>0.01</v>
      </c>
      <c r="L88" s="30">
        <v>7.0000000000000007E-2</v>
      </c>
      <c r="M88" s="9"/>
      <c r="N88" s="29">
        <v>0</v>
      </c>
      <c r="O88" s="29">
        <v>0.02</v>
      </c>
      <c r="P88" s="29">
        <v>-0.01</v>
      </c>
      <c r="Q88" s="29">
        <v>0.08</v>
      </c>
      <c r="R88" s="29">
        <v>0.08</v>
      </c>
      <c r="S88" s="29">
        <v>0.11</v>
      </c>
      <c r="T88" s="29">
        <v>0.11</v>
      </c>
      <c r="U88" s="29">
        <v>0.05</v>
      </c>
    </row>
    <row r="89" spans="1:21">
      <c r="A89" s="5" t="s">
        <v>432</v>
      </c>
      <c r="F89" s="29">
        <v>0.05</v>
      </c>
      <c r="G89" s="29">
        <v>0</v>
      </c>
      <c r="H89" s="29">
        <v>0.13</v>
      </c>
      <c r="I89" s="29">
        <v>0.06</v>
      </c>
      <c r="J89" s="29">
        <v>0.09</v>
      </c>
      <c r="K89" s="29">
        <v>0.01</v>
      </c>
      <c r="L89" s="29">
        <v>0.03</v>
      </c>
      <c r="M89" s="9"/>
      <c r="N89" s="30">
        <v>0.01</v>
      </c>
      <c r="O89" s="30">
        <v>-0.01</v>
      </c>
      <c r="P89" s="30">
        <v>-0.03</v>
      </c>
      <c r="Q89" s="30">
        <v>0.03</v>
      </c>
      <c r="R89" s="30">
        <v>0.03</v>
      </c>
      <c r="S89" s="30">
        <v>0.08</v>
      </c>
      <c r="T89" s="30">
        <v>0.05</v>
      </c>
      <c r="U89" s="30">
        <v>0.02</v>
      </c>
    </row>
    <row r="90" spans="1:21">
      <c r="A90" s="5" t="s">
        <v>433</v>
      </c>
      <c r="F90" s="29">
        <v>0.08</v>
      </c>
      <c r="G90" s="29">
        <v>-0.14000000000000001</v>
      </c>
      <c r="H90" s="29">
        <v>0.24</v>
      </c>
      <c r="I90" s="29">
        <v>0.11</v>
      </c>
      <c r="J90" s="29">
        <v>0.1</v>
      </c>
      <c r="K90" s="29">
        <v>0.02</v>
      </c>
      <c r="L90" s="29">
        <v>0.05</v>
      </c>
      <c r="M90" s="9"/>
      <c r="N90" s="29">
        <v>0</v>
      </c>
      <c r="O90" s="29">
        <v>0.02</v>
      </c>
      <c r="P90" s="29">
        <v>0.01</v>
      </c>
      <c r="Q90" s="29">
        <v>0.06</v>
      </c>
      <c r="R90" s="29">
        <v>0.06</v>
      </c>
      <c r="S90" s="29">
        <v>7.0000000000000007E-2</v>
      </c>
      <c r="T90" s="29">
        <v>0.06</v>
      </c>
      <c r="U90" s="29">
        <v>0.04</v>
      </c>
    </row>
    <row r="91" spans="1:21">
      <c r="A91" s="5" t="s">
        <v>434</v>
      </c>
      <c r="F91" s="29">
        <v>0.1</v>
      </c>
      <c r="G91" s="29">
        <v>-0.08</v>
      </c>
      <c r="H91" s="29">
        <v>0.2</v>
      </c>
      <c r="I91" s="29">
        <v>0.21</v>
      </c>
      <c r="J91" s="29">
        <v>0.12</v>
      </c>
      <c r="K91" s="29">
        <v>0.04</v>
      </c>
      <c r="L91" s="29">
        <v>0.1</v>
      </c>
      <c r="M91" s="9"/>
      <c r="N91" s="29">
        <v>0</v>
      </c>
      <c r="O91" s="29">
        <v>0.09</v>
      </c>
      <c r="P91" s="29">
        <v>0.09</v>
      </c>
      <c r="Q91" s="29">
        <v>0.11</v>
      </c>
      <c r="R91" s="29">
        <v>0.1</v>
      </c>
      <c r="S91" s="29">
        <v>0.09</v>
      </c>
      <c r="T91" s="29">
        <v>0.08</v>
      </c>
      <c r="U91" s="29">
        <v>7.0000000000000007E-2</v>
      </c>
    </row>
    <row r="92" spans="1:21">
      <c r="A92" s="10" t="s">
        <v>435</v>
      </c>
      <c r="F92" s="30">
        <v>7.0000000000000007E-2</v>
      </c>
      <c r="G92" s="30">
        <v>-7.0000000000000007E-2</v>
      </c>
      <c r="H92" s="30">
        <v>0.18</v>
      </c>
      <c r="I92" s="30">
        <v>0.11</v>
      </c>
      <c r="J92" s="30">
        <v>0.1</v>
      </c>
      <c r="K92" s="30">
        <v>0.02</v>
      </c>
      <c r="L92" s="30">
        <v>0.05</v>
      </c>
      <c r="M92" s="9"/>
      <c r="N92" s="29">
        <v>0</v>
      </c>
      <c r="O92" s="29">
        <v>0.02</v>
      </c>
      <c r="P92" s="29">
        <v>0.01</v>
      </c>
      <c r="Q92" s="29">
        <v>0.06</v>
      </c>
      <c r="R92" s="29">
        <v>0.06</v>
      </c>
      <c r="S92" s="29">
        <v>0.08</v>
      </c>
      <c r="T92" s="29">
        <v>0.06</v>
      </c>
      <c r="U92" s="29">
        <v>0.04</v>
      </c>
    </row>
    <row r="93" spans="1:21" ht="8" customHeight="1">
      <c r="M93" s="9"/>
    </row>
    <row r="94" spans="1:21" ht="20" customHeight="1">
      <c r="A94" s="12" t="s">
        <v>436</v>
      </c>
      <c r="B94" s="1"/>
      <c r="C94" s="1"/>
      <c r="D94" s="1"/>
      <c r="E94" s="1"/>
      <c r="F94" s="1"/>
      <c r="G94" s="1"/>
      <c r="H94" s="1"/>
      <c r="I94" s="1"/>
      <c r="J94" s="1"/>
      <c r="K94" s="1"/>
      <c r="L94" s="1"/>
      <c r="M94" s="9"/>
      <c r="N94" s="1"/>
      <c r="O94" s="1"/>
      <c r="P94" s="1"/>
      <c r="Q94" s="1"/>
      <c r="R94" s="1"/>
      <c r="S94" s="1"/>
      <c r="T94" s="1"/>
      <c r="U94" s="1"/>
    </row>
    <row r="95" spans="1:21">
      <c r="A95" s="5" t="s">
        <v>437</v>
      </c>
      <c r="B95" s="14" t="s">
        <v>438</v>
      </c>
      <c r="C95" s="20">
        <v>121.72</v>
      </c>
      <c r="D95" s="20">
        <v>172.12</v>
      </c>
      <c r="E95" s="20">
        <v>177.57</v>
      </c>
      <c r="F95" s="20">
        <v>197.61</v>
      </c>
      <c r="G95" s="20">
        <v>214.58</v>
      </c>
      <c r="H95" s="20">
        <v>268.07</v>
      </c>
      <c r="M95" s="9"/>
    </row>
    <row r="96" spans="1:21">
      <c r="A96" s="5" t="s">
        <v>439</v>
      </c>
      <c r="C96" s="13">
        <v>25956</v>
      </c>
      <c r="D96" s="13">
        <v>29536</v>
      </c>
      <c r="E96" s="13">
        <v>31075</v>
      </c>
      <c r="F96" s="13">
        <v>34177</v>
      </c>
      <c r="G96" s="13">
        <v>37440</v>
      </c>
      <c r="H96" s="13">
        <v>35623</v>
      </c>
      <c r="M96" s="9"/>
    </row>
    <row r="97" spans="1:21" ht="8" customHeight="1">
      <c r="M97" s="9"/>
    </row>
    <row r="98" spans="1:21" ht="20" customHeight="1">
      <c r="A98" s="12" t="s">
        <v>440</v>
      </c>
      <c r="B98" s="1"/>
      <c r="C98" s="1"/>
      <c r="D98" s="1"/>
      <c r="E98" s="1"/>
      <c r="F98" s="1"/>
      <c r="G98" s="1"/>
      <c r="H98" s="1"/>
      <c r="I98" s="1"/>
      <c r="J98" s="1"/>
      <c r="K98" s="1"/>
      <c r="L98" s="1"/>
      <c r="M98" s="9"/>
      <c r="N98" s="1"/>
      <c r="O98" s="1"/>
      <c r="P98" s="1"/>
      <c r="Q98" s="1"/>
      <c r="R98" s="1"/>
      <c r="S98" s="1"/>
      <c r="T98" s="1"/>
      <c r="U98" s="1"/>
    </row>
    <row r="99" spans="1:21">
      <c r="A99" s="5" t="s">
        <v>441</v>
      </c>
      <c r="C99" s="13">
        <v>6107.6</v>
      </c>
      <c r="D99" s="13">
        <v>6496.3</v>
      </c>
      <c r="E99" s="13">
        <v>7082.2</v>
      </c>
      <c r="F99" s="13">
        <v>7500.2</v>
      </c>
      <c r="G99" s="13">
        <v>6844.7</v>
      </c>
      <c r="H99" s="13">
        <v>8381.1</v>
      </c>
      <c r="I99" s="13">
        <v>9046</v>
      </c>
      <c r="J99" s="13">
        <v>9840</v>
      </c>
      <c r="K99" s="13">
        <v>10017</v>
      </c>
      <c r="L99" s="13">
        <v>10442</v>
      </c>
      <c r="M99" s="9"/>
    </row>
    <row r="100" spans="1:21">
      <c r="A100" s="5" t="s">
        <v>442</v>
      </c>
      <c r="C100" s="13">
        <v>3129.9</v>
      </c>
      <c r="D100" s="13">
        <v>3518.7</v>
      </c>
      <c r="E100" s="13">
        <v>3886.3</v>
      </c>
      <c r="F100" s="13">
        <v>4107.1000000000004</v>
      </c>
      <c r="G100" s="13">
        <v>3831.5</v>
      </c>
      <c r="H100" s="13">
        <v>4645.1000000000004</v>
      </c>
      <c r="I100" s="13">
        <v>5006</v>
      </c>
      <c r="J100" s="13">
        <v>5531</v>
      </c>
      <c r="K100" s="13">
        <v>5606</v>
      </c>
      <c r="L100" s="13">
        <v>6018</v>
      </c>
      <c r="M100" s="9"/>
    </row>
    <row r="101" spans="1:21">
      <c r="A101" s="5" t="s">
        <v>443</v>
      </c>
      <c r="C101" s="13">
        <v>89.4</v>
      </c>
      <c r="D101" s="13">
        <v>86.5</v>
      </c>
      <c r="E101" s="13">
        <v>44</v>
      </c>
      <c r="F101" s="13">
        <v>48.4</v>
      </c>
      <c r="G101" s="13">
        <v>49.9</v>
      </c>
      <c r="H101" s="13">
        <v>59.2</v>
      </c>
      <c r="I101" s="13">
        <v>54</v>
      </c>
      <c r="J101" s="13">
        <v>66</v>
      </c>
      <c r="K101" s="13">
        <v>92</v>
      </c>
      <c r="L101" s="13">
        <v>88</v>
      </c>
      <c r="M101" s="9"/>
    </row>
    <row r="102" spans="1:21">
      <c r="A102" s="10" t="s">
        <v>110</v>
      </c>
      <c r="C102" s="27">
        <f t="shared" ref="C102:L102" si="17">C99+C100+C101</f>
        <v>9326.9</v>
      </c>
      <c r="D102" s="27">
        <f t="shared" si="17"/>
        <v>10101.5</v>
      </c>
      <c r="E102" s="27">
        <f t="shared" si="17"/>
        <v>11012.5</v>
      </c>
      <c r="F102" s="27">
        <f t="shared" si="17"/>
        <v>11655.699999999999</v>
      </c>
      <c r="G102" s="27">
        <f t="shared" si="17"/>
        <v>10726.1</v>
      </c>
      <c r="H102" s="27">
        <f t="shared" si="17"/>
        <v>13085.400000000001</v>
      </c>
      <c r="I102" s="27">
        <f t="shared" si="17"/>
        <v>14106</v>
      </c>
      <c r="J102" s="27">
        <f t="shared" si="17"/>
        <v>15437</v>
      </c>
      <c r="K102" s="27">
        <f t="shared" si="17"/>
        <v>15715</v>
      </c>
      <c r="L102" s="27">
        <f t="shared" si="17"/>
        <v>16548</v>
      </c>
      <c r="M102" s="16"/>
    </row>
    <row r="103" spans="1:21">
      <c r="A103" s="17" t="s">
        <v>444</v>
      </c>
      <c r="C103" s="18">
        <f t="shared" ref="C103:L103" si="18">C99/C102</f>
        <v>0.65483708413299169</v>
      </c>
      <c r="D103" s="18">
        <f t="shared" si="18"/>
        <v>0.64310250952828785</v>
      </c>
      <c r="E103" s="18">
        <f t="shared" si="18"/>
        <v>0.64310556186152101</v>
      </c>
      <c r="F103" s="18">
        <f t="shared" si="18"/>
        <v>0.64347915612103956</v>
      </c>
      <c r="G103" s="18">
        <f t="shared" si="18"/>
        <v>0.63813501645518866</v>
      </c>
      <c r="H103" s="18">
        <f t="shared" si="18"/>
        <v>0.64049245724242276</v>
      </c>
      <c r="I103" s="18">
        <f t="shared" si="18"/>
        <v>0.64128739543456681</v>
      </c>
      <c r="J103" s="18">
        <f t="shared" si="18"/>
        <v>0.63742955237416599</v>
      </c>
      <c r="K103" s="18">
        <f t="shared" si="18"/>
        <v>0.63741648106904236</v>
      </c>
      <c r="L103" s="18">
        <f t="shared" si="18"/>
        <v>0.63101281121585695</v>
      </c>
      <c r="M103" s="9"/>
    </row>
    <row r="104" spans="1:21">
      <c r="A104" s="17" t="s">
        <v>445</v>
      </c>
      <c r="C104" s="18">
        <f t="shared" ref="C104:L104" si="19">C100/C102</f>
        <v>0.33557773751192788</v>
      </c>
      <c r="D104" s="18">
        <f t="shared" si="19"/>
        <v>0.34833440578131958</v>
      </c>
      <c r="E104" s="18">
        <f t="shared" si="19"/>
        <v>0.35289897843359819</v>
      </c>
      <c r="F104" s="18">
        <f t="shared" si="19"/>
        <v>0.35236836912411962</v>
      </c>
      <c r="G104" s="18">
        <f t="shared" si="19"/>
        <v>0.35721278004120788</v>
      </c>
      <c r="H104" s="18">
        <f t="shared" si="19"/>
        <v>0.35498341663227717</v>
      </c>
      <c r="I104" s="18">
        <f t="shared" si="19"/>
        <v>0.35488444633489297</v>
      </c>
      <c r="J104" s="18">
        <f t="shared" si="19"/>
        <v>0.35829500550625121</v>
      </c>
      <c r="K104" s="18">
        <f t="shared" si="19"/>
        <v>0.35672923958001906</v>
      </c>
      <c r="L104" s="18">
        <f t="shared" si="19"/>
        <v>0.3636693255982596</v>
      </c>
      <c r="M104" s="9"/>
    </row>
    <row r="105" spans="1:21">
      <c r="A105" s="17" t="s">
        <v>446</v>
      </c>
      <c r="C105" s="23">
        <f>C102-'Income Statement'!C12</f>
        <v>0</v>
      </c>
      <c r="D105" s="23">
        <f>D102-'Income Statement'!D12</f>
        <v>0</v>
      </c>
      <c r="E105" s="23">
        <f>E102-'Income Statement'!E12</f>
        <v>0</v>
      </c>
      <c r="F105" s="23">
        <f>F102-'Income Statement'!F12</f>
        <v>0</v>
      </c>
      <c r="G105" s="23">
        <f>G102-'Income Statement'!G12</f>
        <v>0</v>
      </c>
      <c r="H105" s="23">
        <f>H102-'Income Statement'!H12</f>
        <v>0</v>
      </c>
      <c r="I105" s="23">
        <f>I102-'Income Statement'!I12</f>
        <v>0</v>
      </c>
      <c r="J105" s="23">
        <f>J102-'Income Statement'!J12</f>
        <v>0</v>
      </c>
      <c r="K105" s="23">
        <f>K102-'Income Statement'!K12</f>
        <v>0</v>
      </c>
      <c r="L105" s="23">
        <f>L102-'Income Statement'!L12</f>
        <v>0</v>
      </c>
      <c r="M105" s="9"/>
    </row>
    <row r="106" spans="1:21" ht="8" customHeight="1">
      <c r="M106" s="9"/>
    </row>
    <row r="107" spans="1:21" ht="20" customHeight="1">
      <c r="A107" s="12" t="s">
        <v>447</v>
      </c>
      <c r="B107" s="1"/>
      <c r="C107" s="1"/>
      <c r="D107" s="1"/>
      <c r="E107" s="1"/>
      <c r="F107" s="1"/>
      <c r="G107" s="1"/>
      <c r="H107" s="1"/>
      <c r="I107" s="1"/>
      <c r="J107" s="1"/>
      <c r="K107" s="1"/>
      <c r="L107" s="1"/>
      <c r="M107" s="9"/>
      <c r="N107" s="1"/>
      <c r="O107" s="1"/>
      <c r="P107" s="1"/>
      <c r="Q107" s="1"/>
      <c r="R107" s="1"/>
      <c r="S107" s="1"/>
      <c r="T107" s="1"/>
      <c r="U107" s="1"/>
    </row>
    <row r="108" spans="1:21">
      <c r="A108" s="5" t="s">
        <v>448</v>
      </c>
      <c r="C108" s="22">
        <v>92.3</v>
      </c>
      <c r="D108" s="22">
        <v>31.4</v>
      </c>
      <c r="E108" s="22">
        <v>32.200000000000003</v>
      </c>
      <c r="F108" s="22">
        <v>25</v>
      </c>
      <c r="G108" s="22">
        <v>4.3</v>
      </c>
      <c r="H108" s="22">
        <v>3.4</v>
      </c>
      <c r="I108" s="22">
        <v>15.8</v>
      </c>
      <c r="J108" s="22">
        <v>11.1</v>
      </c>
      <c r="K108" s="22">
        <v>10.1</v>
      </c>
      <c r="L108" s="22">
        <v>6.7</v>
      </c>
      <c r="M108" s="9"/>
    </row>
    <row r="109" spans="1:21">
      <c r="A109" s="5" t="s">
        <v>449</v>
      </c>
      <c r="C109" s="13">
        <v>819</v>
      </c>
      <c r="D109" s="13">
        <v>794</v>
      </c>
      <c r="E109" s="13">
        <v>767</v>
      </c>
      <c r="F109" s="13">
        <v>746</v>
      </c>
      <c r="G109" s="13">
        <v>745</v>
      </c>
      <c r="H109" s="13">
        <v>745</v>
      </c>
      <c r="I109" s="13">
        <v>731</v>
      </c>
      <c r="J109" s="13">
        <v>723</v>
      </c>
      <c r="K109" s="13">
        <v>715</v>
      </c>
      <c r="L109" s="13">
        <v>711</v>
      </c>
      <c r="M109" s="9"/>
    </row>
    <row r="110" spans="1:21">
      <c r="A110" s="5" t="s">
        <v>450</v>
      </c>
      <c r="C110" s="20">
        <v>3.61</v>
      </c>
      <c r="D110" s="20">
        <v>3.83</v>
      </c>
      <c r="E110" s="20">
        <v>4.1900000000000004</v>
      </c>
      <c r="F110" s="20">
        <v>4.7300000000000004</v>
      </c>
      <c r="G110" s="20">
        <v>5.04</v>
      </c>
      <c r="H110" s="20">
        <v>5.25</v>
      </c>
      <c r="I110" s="20">
        <v>5.66</v>
      </c>
      <c r="J110" s="20">
        <v>6.23</v>
      </c>
      <c r="K110" s="20">
        <v>6.78</v>
      </c>
      <c r="L110" s="20">
        <v>7.17</v>
      </c>
      <c r="M110" s="9"/>
    </row>
    <row r="111" spans="1:21">
      <c r="A111" s="5" t="s">
        <v>451</v>
      </c>
      <c r="C111" s="13">
        <v>11142</v>
      </c>
      <c r="D111" s="13">
        <v>4651</v>
      </c>
      <c r="E111" s="13">
        <v>5247</v>
      </c>
      <c r="F111" s="13">
        <v>4980</v>
      </c>
      <c r="G111" s="13">
        <v>874</v>
      </c>
      <c r="H111" s="13">
        <v>846</v>
      </c>
      <c r="I111" s="13">
        <v>3896</v>
      </c>
      <c r="J111" s="13">
        <v>3105</v>
      </c>
      <c r="K111" s="13">
        <v>2826</v>
      </c>
      <c r="L111" s="13">
        <v>2016</v>
      </c>
      <c r="M111" s="9"/>
    </row>
    <row r="112" spans="1:21">
      <c r="A112" s="5" t="s">
        <v>452</v>
      </c>
      <c r="C112" s="13">
        <v>3058</v>
      </c>
      <c r="D112" s="13">
        <v>3089</v>
      </c>
      <c r="E112" s="13">
        <v>3256</v>
      </c>
      <c r="F112" s="13">
        <v>3582</v>
      </c>
      <c r="G112" s="13">
        <v>3753</v>
      </c>
      <c r="H112" s="13">
        <v>3919</v>
      </c>
      <c r="I112" s="13">
        <v>4168</v>
      </c>
      <c r="J112" s="13">
        <v>4533</v>
      </c>
      <c r="K112" s="13">
        <v>4870</v>
      </c>
      <c r="L112" s="13">
        <v>5115</v>
      </c>
      <c r="M112" s="9"/>
    </row>
    <row r="113" spans="1:21">
      <c r="A113" s="10" t="s">
        <v>453</v>
      </c>
      <c r="C113" s="15">
        <v>14200</v>
      </c>
      <c r="D113" s="15">
        <v>7740</v>
      </c>
      <c r="E113" s="15">
        <v>8503</v>
      </c>
      <c r="F113" s="15">
        <v>8562</v>
      </c>
      <c r="G113" s="15">
        <v>4627</v>
      </c>
      <c r="H113" s="15">
        <v>4765</v>
      </c>
      <c r="I113" s="15">
        <v>8064</v>
      </c>
      <c r="J113" s="15">
        <v>7638</v>
      </c>
      <c r="K113" s="15">
        <v>7696</v>
      </c>
      <c r="L113" s="15">
        <v>7131</v>
      </c>
      <c r="M113" s="16"/>
    </row>
    <row r="114" spans="1:21">
      <c r="A114" s="17" t="s">
        <v>454</v>
      </c>
      <c r="C114" s="23">
        <f t="shared" ref="C114:L114" si="20">C111+C112-C113</f>
        <v>0</v>
      </c>
      <c r="D114" s="23">
        <f t="shared" si="20"/>
        <v>0</v>
      </c>
      <c r="E114" s="23">
        <f t="shared" si="20"/>
        <v>0</v>
      </c>
      <c r="F114" s="23">
        <f t="shared" si="20"/>
        <v>0</v>
      </c>
      <c r="G114" s="23">
        <f t="shared" si="20"/>
        <v>0</v>
      </c>
      <c r="H114" s="23">
        <f t="shared" si="20"/>
        <v>0</v>
      </c>
      <c r="I114" s="23">
        <f t="shared" si="20"/>
        <v>0</v>
      </c>
      <c r="J114" s="23">
        <f t="shared" si="20"/>
        <v>0</v>
      </c>
      <c r="K114" s="23">
        <f t="shared" si="20"/>
        <v>0</v>
      </c>
      <c r="L114" s="23">
        <f t="shared" si="20"/>
        <v>0</v>
      </c>
      <c r="M114" s="9"/>
    </row>
    <row r="115" spans="1:21">
      <c r="A115" s="17" t="s">
        <v>455</v>
      </c>
      <c r="C115" s="23">
        <f>C112+'Cash Flow'!C45</f>
        <v>-0.1999999999998181</v>
      </c>
      <c r="D115" s="23">
        <f>D112+'Cash Flow'!D45</f>
        <v>-0.1999999999998181</v>
      </c>
      <c r="E115" s="23">
        <f>E112+'Cash Flow'!E45</f>
        <v>9.9999999999909051E-2</v>
      </c>
      <c r="F115" s="23">
        <f>F112+'Cash Flow'!F45</f>
        <v>9.9999999999909051E-2</v>
      </c>
      <c r="G115" s="23">
        <f>G112+'Cash Flow'!G45</f>
        <v>9.9999999999909051E-2</v>
      </c>
      <c r="H115" s="23">
        <f>H112+'Cash Flow'!H45</f>
        <v>0.40000000000009095</v>
      </c>
      <c r="I115" s="23">
        <f>I112+'Cash Flow'!I45</f>
        <v>0</v>
      </c>
      <c r="J115" s="23">
        <f>J112+'Cash Flow'!J45</f>
        <v>0</v>
      </c>
      <c r="K115" s="23">
        <f>K112+'Cash Flow'!K45</f>
        <v>0</v>
      </c>
      <c r="L115" s="23">
        <f>L112+'Cash Flow'!L45</f>
        <v>0</v>
      </c>
      <c r="M115" s="9"/>
    </row>
    <row r="116" spans="1:21" ht="8" customHeight="1">
      <c r="M116" s="9"/>
    </row>
    <row r="117" spans="1:21" ht="20" customHeight="1">
      <c r="A117" s="12" t="s">
        <v>456</v>
      </c>
      <c r="B117" s="1"/>
      <c r="C117" s="1"/>
      <c r="D117" s="1"/>
      <c r="E117" s="1"/>
      <c r="F117" s="1"/>
      <c r="G117" s="1"/>
      <c r="H117" s="1"/>
      <c r="I117" s="1"/>
      <c r="J117" s="1"/>
      <c r="K117" s="1"/>
      <c r="L117" s="1"/>
      <c r="M117" s="9"/>
      <c r="N117" s="1"/>
      <c r="O117" s="1"/>
      <c r="P117" s="1"/>
      <c r="Q117" s="1"/>
      <c r="R117" s="1"/>
      <c r="S117" s="1"/>
      <c r="T117" s="1"/>
      <c r="U117" s="1"/>
    </row>
    <row r="118" spans="1:21">
      <c r="A118" s="5" t="s">
        <v>457</v>
      </c>
      <c r="C118" s="29">
        <v>8.199999999999999E-3</v>
      </c>
      <c r="D118" s="29">
        <v>8.8999999999999999E-3</v>
      </c>
      <c r="E118" s="29">
        <v>0.91</v>
      </c>
      <c r="F118" s="29">
        <v>0.92</v>
      </c>
      <c r="G118" s="29">
        <v>0.95</v>
      </c>
      <c r="H118" s="29">
        <v>0.95</v>
      </c>
      <c r="I118" s="29">
        <v>0.96</v>
      </c>
      <c r="J118" s="29">
        <v>0.96</v>
      </c>
      <c r="K118" s="29">
        <v>0.96</v>
      </c>
      <c r="L118" s="29">
        <v>0.97</v>
      </c>
      <c r="M118" s="9"/>
    </row>
    <row r="119" spans="1:21">
      <c r="A119" s="5" t="s">
        <v>458</v>
      </c>
      <c r="C119" s="29">
        <v>3.5000000000000003E-2</v>
      </c>
      <c r="D119" s="29">
        <v>3.3000000000000002E-2</v>
      </c>
      <c r="E119" s="29">
        <v>3.2000000000000001E-2</v>
      </c>
      <c r="F119" s="29">
        <v>3.2000000000000001E-2</v>
      </c>
      <c r="G119" s="29">
        <v>3.2000000000000001E-2</v>
      </c>
      <c r="H119" s="29">
        <v>3.2000000000000001E-2</v>
      </c>
      <c r="I119" s="29">
        <v>3.5000000000000003E-2</v>
      </c>
      <c r="J119" s="29">
        <v>3.7000000000000012E-2</v>
      </c>
      <c r="K119" s="29">
        <v>0.04</v>
      </c>
      <c r="L119" s="29">
        <v>0.04</v>
      </c>
      <c r="M119" s="9"/>
    </row>
    <row r="120" spans="1:21">
      <c r="A120" s="5" t="s">
        <v>459</v>
      </c>
      <c r="C120" s="29">
        <v>0.34</v>
      </c>
      <c r="D120" s="29">
        <v>0.42</v>
      </c>
      <c r="E120" s="29">
        <v>0.38</v>
      </c>
      <c r="F120" s="29">
        <v>0.38</v>
      </c>
      <c r="G120" s="29">
        <v>0.36</v>
      </c>
      <c r="H120" s="29">
        <v>0.36</v>
      </c>
      <c r="I120" s="29">
        <v>0.36</v>
      </c>
      <c r="J120" s="29">
        <v>0.38</v>
      </c>
      <c r="K120" s="29">
        <v>0.34</v>
      </c>
      <c r="L120" s="29">
        <v>0.39</v>
      </c>
      <c r="M120" s="9"/>
    </row>
    <row r="121" spans="1:21">
      <c r="A121" s="5" t="s">
        <v>460</v>
      </c>
      <c r="C121" s="29">
        <v>1.0900000000000001</v>
      </c>
      <c r="D121" s="29">
        <v>1.1200000000000001</v>
      </c>
      <c r="E121" s="29">
        <v>1.25</v>
      </c>
      <c r="F121" s="29">
        <v>1.31</v>
      </c>
      <c r="G121" s="29">
        <v>1.26</v>
      </c>
      <c r="H121" s="29">
        <v>1.1499999999999999</v>
      </c>
      <c r="I121" s="29">
        <v>1.2</v>
      </c>
      <c r="J121" s="29">
        <v>1.1399999999999999</v>
      </c>
      <c r="K121" s="29">
        <v>1.1100000000000001</v>
      </c>
      <c r="L121" s="29">
        <v>1.05</v>
      </c>
      <c r="M121" s="9"/>
    </row>
    <row r="122" spans="1:21">
      <c r="A122" s="5" t="s">
        <v>461</v>
      </c>
      <c r="C122" s="29">
        <v>0.23</v>
      </c>
      <c r="D122" s="29">
        <v>0.19</v>
      </c>
      <c r="E122" s="29">
        <v>0.22</v>
      </c>
      <c r="F122" s="29">
        <v>0.24</v>
      </c>
      <c r="G122" s="29">
        <v>0.17</v>
      </c>
      <c r="H122" s="29">
        <v>0.26</v>
      </c>
      <c r="I122" s="29">
        <v>0.2</v>
      </c>
      <c r="J122" s="29">
        <v>0.24</v>
      </c>
      <c r="K122" s="29">
        <v>0.24</v>
      </c>
      <c r="L122" s="29">
        <v>0.26</v>
      </c>
      <c r="M122" s="9"/>
    </row>
    <row r="123" spans="1:21" ht="8" customHeight="1">
      <c r="M123" s="9"/>
    </row>
    <row r="124" spans="1:21" ht="20" customHeight="1">
      <c r="A124" s="12" t="s">
        <v>462</v>
      </c>
      <c r="B124" s="1"/>
      <c r="C124" s="1"/>
      <c r="D124" s="1"/>
      <c r="E124" s="1"/>
      <c r="F124" s="1"/>
      <c r="G124" s="1"/>
      <c r="H124" s="1"/>
      <c r="I124" s="1"/>
      <c r="J124" s="1"/>
      <c r="K124" s="1"/>
      <c r="L124" s="1"/>
      <c r="M124" s="9"/>
      <c r="N124" s="1"/>
      <c r="O124" s="1"/>
      <c r="P124" s="1"/>
      <c r="Q124" s="1"/>
      <c r="R124" s="1"/>
      <c r="S124" s="1"/>
      <c r="T124" s="1"/>
      <c r="U124" s="1"/>
    </row>
    <row r="125" spans="1:21">
      <c r="A125" s="5" t="s">
        <v>463</v>
      </c>
      <c r="C125" s="13">
        <v>-692</v>
      </c>
      <c r="D125" s="13">
        <v>186</v>
      </c>
      <c r="E125" s="13">
        <v>124</v>
      </c>
      <c r="F125" s="13">
        <v>-610</v>
      </c>
      <c r="G125" s="13">
        <v>-75</v>
      </c>
      <c r="H125" s="13">
        <v>488</v>
      </c>
      <c r="I125" s="13">
        <v>-1419</v>
      </c>
      <c r="J125" s="13">
        <v>22</v>
      </c>
      <c r="K125" s="13">
        <v>-57</v>
      </c>
      <c r="L125" s="13">
        <v>385</v>
      </c>
      <c r="M125" s="9"/>
    </row>
    <row r="126" spans="1:21">
      <c r="A126" s="5" t="s">
        <v>464</v>
      </c>
      <c r="C126" s="13">
        <v>-118</v>
      </c>
      <c r="D126" s="13">
        <v>25</v>
      </c>
      <c r="E126" s="13">
        <v>57</v>
      </c>
      <c r="F126" s="13">
        <v>-256</v>
      </c>
      <c r="G126" s="13">
        <v>32</v>
      </c>
      <c r="H126" s="13">
        <v>223</v>
      </c>
      <c r="I126" s="13">
        <v>-646</v>
      </c>
      <c r="J126" s="13">
        <v>23</v>
      </c>
      <c r="K126" s="13">
        <v>-31</v>
      </c>
      <c r="L126" s="13">
        <v>190</v>
      </c>
      <c r="M126" s="9"/>
    </row>
    <row r="127" spans="1:21">
      <c r="A127" s="5" t="s">
        <v>465</v>
      </c>
      <c r="C127" s="13">
        <v>-89</v>
      </c>
      <c r="D127" s="13">
        <v>17</v>
      </c>
      <c r="E127" s="13">
        <v>4</v>
      </c>
      <c r="F127" s="13">
        <v>-51</v>
      </c>
      <c r="G127" s="13">
        <v>-1</v>
      </c>
      <c r="H127" s="13">
        <v>42</v>
      </c>
      <c r="I127" s="13">
        <v>-99</v>
      </c>
      <c r="J127" s="13">
        <v>1</v>
      </c>
      <c r="K127" s="13">
        <v>-9</v>
      </c>
      <c r="L127" s="13">
        <v>24</v>
      </c>
      <c r="M127" s="9"/>
    </row>
    <row r="128" spans="1:21">
      <c r="A128" s="5" t="s">
        <v>466</v>
      </c>
      <c r="C128" s="13">
        <v>28</v>
      </c>
      <c r="D128" s="13">
        <v>-10</v>
      </c>
      <c r="E128" s="13">
        <v>-13</v>
      </c>
      <c r="F128" s="13">
        <v>29</v>
      </c>
      <c r="G128" s="13">
        <v>-2</v>
      </c>
      <c r="H128" s="13">
        <v>-28</v>
      </c>
      <c r="I128" s="13">
        <v>63</v>
      </c>
      <c r="J128" s="13">
        <v>-3</v>
      </c>
      <c r="K128" s="13">
        <v>0</v>
      </c>
      <c r="L128" s="13">
        <v>-18</v>
      </c>
      <c r="M128" s="9"/>
    </row>
    <row r="129" spans="1:21">
      <c r="A129" s="5" t="s">
        <v>467</v>
      </c>
      <c r="C129" s="13">
        <v>-173</v>
      </c>
      <c r="D129" s="13">
        <v>28</v>
      </c>
      <c r="E129" s="13">
        <v>56</v>
      </c>
      <c r="F129" s="13">
        <v>-280</v>
      </c>
      <c r="G129" s="13">
        <v>35</v>
      </c>
      <c r="H129" s="13">
        <v>231</v>
      </c>
      <c r="I129" s="13">
        <v>-652</v>
      </c>
      <c r="J129" s="13">
        <v>19</v>
      </c>
      <c r="K129" s="13">
        <v>-46</v>
      </c>
      <c r="L129" s="13">
        <v>198</v>
      </c>
      <c r="M129" s="9"/>
    </row>
    <row r="130" spans="1:21">
      <c r="A130" s="5" t="s">
        <v>468</v>
      </c>
      <c r="C130" s="13">
        <v>-97</v>
      </c>
      <c r="D130" s="13">
        <v>2</v>
      </c>
      <c r="E130" s="13">
        <v>33</v>
      </c>
      <c r="F130" s="13">
        <v>-165</v>
      </c>
      <c r="G130" s="13">
        <v>26</v>
      </c>
      <c r="H130" s="13">
        <v>150</v>
      </c>
      <c r="I130" s="13">
        <v>-386</v>
      </c>
      <c r="J130" s="13">
        <v>30</v>
      </c>
      <c r="K130" s="13">
        <v>-41</v>
      </c>
      <c r="L130" s="13">
        <v>114</v>
      </c>
      <c r="M130" s="9"/>
    </row>
    <row r="131" spans="1:21">
      <c r="A131" s="5" t="s">
        <v>469</v>
      </c>
      <c r="C131" s="20">
        <v>-0.11</v>
      </c>
      <c r="D131" s="20">
        <v>0</v>
      </c>
      <c r="E131" s="20">
        <v>0.04</v>
      </c>
      <c r="F131" s="20">
        <v>-0.21</v>
      </c>
      <c r="G131" s="20">
        <v>0.04</v>
      </c>
      <c r="H131" s="20">
        <v>0.2</v>
      </c>
      <c r="I131" s="20">
        <v>-0.52</v>
      </c>
      <c r="J131" s="20">
        <v>0.04</v>
      </c>
      <c r="K131" s="20">
        <v>-0.06</v>
      </c>
      <c r="L131" s="20">
        <v>0.16</v>
      </c>
      <c r="M131" s="9"/>
    </row>
    <row r="132" spans="1:21">
      <c r="A132" s="17" t="s">
        <v>470</v>
      </c>
      <c r="C132" s="18">
        <f>C129/'Income Statement'!C33</f>
        <v>-2.2338433727161211E-2</v>
      </c>
      <c r="D132" s="18">
        <f>D129/'Income Statement'!D33</f>
        <v>2.9311084824185829E-3</v>
      </c>
      <c r="E132" s="18">
        <f>E129/'Income Statement'!E33</f>
        <v>6.3473352526466119E-3</v>
      </c>
      <c r="F132" s="18">
        <f>F129/'Income Statement'!F33</f>
        <v>-3.0871684050364948E-2</v>
      </c>
      <c r="G132" s="18">
        <f>G129/'Income Statement'!G33</f>
        <v>4.7788093937738939E-3</v>
      </c>
      <c r="H132" s="18">
        <f>H129/'Income Statement'!H33</f>
        <v>2.2305909617612977E-2</v>
      </c>
      <c r="I132" s="18">
        <f>I129/'Income Statement'!I33</f>
        <v>-6.9576352577099557E-2</v>
      </c>
      <c r="J132" s="18">
        <f>J129/'Income Statement'!J33</f>
        <v>1.6313213703099511E-3</v>
      </c>
      <c r="K132" s="18">
        <f>K129/'Income Statement'!K33</f>
        <v>-3.9275956284153006E-3</v>
      </c>
      <c r="L132" s="18">
        <f>L129/'Income Statement'!L33</f>
        <v>1.597676107480029E-2</v>
      </c>
      <c r="M132" s="9"/>
    </row>
    <row r="133" spans="1:21">
      <c r="A133" s="17" t="s">
        <v>471</v>
      </c>
      <c r="C133" s="18">
        <f>C125/'Income Statement'!C17</f>
        <v>-2.8105060941681997E-2</v>
      </c>
      <c r="D133" s="18">
        <f>D125/'Income Statement'!D17</f>
        <v>8.1506020928642786E-3</v>
      </c>
      <c r="E133" s="18">
        <f>E125/'Income Statement'!E17</f>
        <v>5.8331255674361057E-3</v>
      </c>
      <c r="F133" s="18">
        <f>F125/'Income Statement'!F17</f>
        <v>-2.8552170901125235E-2</v>
      </c>
      <c r="G133" s="18">
        <f>G125/'Income Statement'!G17</f>
        <v>-3.9046637303595416E-3</v>
      </c>
      <c r="H133" s="18">
        <f>H125/'Income Statement'!H17</f>
        <v>2.1013740747279623E-2</v>
      </c>
      <c r="I133" s="18">
        <f>I125/'Income Statement'!I17</f>
        <v>-6.1208644265194324E-2</v>
      </c>
      <c r="J133" s="18">
        <f>J125/'Income Statement'!J17</f>
        <v>8.6294814466148894E-4</v>
      </c>
      <c r="K133" s="18">
        <f>K125/'Income Statement'!K17</f>
        <v>-2.1990740740740742E-3</v>
      </c>
      <c r="L133" s="18">
        <f>L125/'Income Statement'!L17</f>
        <v>1.4320252929142645E-2</v>
      </c>
      <c r="M133" s="9"/>
    </row>
    <row r="134" spans="1:21" ht="8" customHeight="1">
      <c r="M134" s="9"/>
    </row>
    <row r="135" spans="1:21" ht="20" customHeight="1">
      <c r="A135" s="12" t="s">
        <v>472</v>
      </c>
      <c r="B135" s="1"/>
      <c r="C135" s="1"/>
      <c r="D135" s="1"/>
      <c r="E135" s="1"/>
      <c r="F135" s="1"/>
      <c r="G135" s="1"/>
      <c r="H135" s="1"/>
      <c r="I135" s="1"/>
      <c r="J135" s="1"/>
      <c r="K135" s="1"/>
      <c r="L135" s="1"/>
      <c r="M135" s="9"/>
      <c r="N135" s="1"/>
      <c r="O135" s="1"/>
      <c r="P135" s="1"/>
      <c r="Q135" s="1"/>
      <c r="R135" s="1"/>
      <c r="S135" s="1"/>
      <c r="T135" s="1"/>
      <c r="U135" s="1"/>
    </row>
    <row r="136" spans="1:21">
      <c r="A136" s="10" t="s">
        <v>473</v>
      </c>
      <c r="D136" s="21">
        <v>6.37</v>
      </c>
      <c r="E136" s="21">
        <v>7.54</v>
      </c>
      <c r="F136" s="21">
        <v>7.88</v>
      </c>
      <c r="G136" s="21">
        <v>6.31</v>
      </c>
      <c r="H136" s="21">
        <v>10.039999999999999</v>
      </c>
      <c r="I136" s="21">
        <v>8.33</v>
      </c>
      <c r="J136" s="21">
        <v>11.56</v>
      </c>
      <c r="K136" s="21">
        <v>11.39</v>
      </c>
      <c r="L136" s="21">
        <v>11.95</v>
      </c>
      <c r="M136" s="9"/>
    </row>
    <row r="137" spans="1:21">
      <c r="A137" s="5" t="s">
        <v>474</v>
      </c>
      <c r="D137" s="20">
        <v>-0.53</v>
      </c>
      <c r="E137" s="20">
        <v>0.26</v>
      </c>
      <c r="F137" s="20">
        <v>7.0000000000000007E-2</v>
      </c>
      <c r="G137" s="20">
        <v>-0.26</v>
      </c>
      <c r="H137" s="20">
        <v>-0.28000000000000003</v>
      </c>
      <c r="I137" s="20">
        <v>1.04</v>
      </c>
      <c r="J137" s="20">
        <v>0.38</v>
      </c>
      <c r="K137" s="20">
        <v>0.33</v>
      </c>
      <c r="L137" s="20">
        <v>0.25</v>
      </c>
      <c r="M137" s="9"/>
    </row>
    <row r="138" spans="1:21">
      <c r="A138" s="5" t="s">
        <v>475</v>
      </c>
      <c r="D138" s="20">
        <v>0.82</v>
      </c>
      <c r="E138" s="20">
        <v>0.1</v>
      </c>
      <c r="F138" s="20">
        <v>-0.11</v>
      </c>
      <c r="G138" s="20">
        <v>0</v>
      </c>
      <c r="H138" s="20">
        <v>-0.48</v>
      </c>
      <c r="M138" s="9"/>
    </row>
    <row r="139" spans="1:21">
      <c r="A139" s="5" t="s">
        <v>476</v>
      </c>
      <c r="H139" s="20">
        <v>0</v>
      </c>
      <c r="I139" s="20">
        <v>0.73</v>
      </c>
      <c r="M139" s="9"/>
    </row>
    <row r="140" spans="1:21">
      <c r="A140" s="10" t="s">
        <v>477</v>
      </c>
      <c r="D140" s="31">
        <v>6.66</v>
      </c>
      <c r="E140" s="31">
        <v>7.9</v>
      </c>
      <c r="F140" s="31">
        <v>7.84</v>
      </c>
      <c r="G140" s="31">
        <v>6.05</v>
      </c>
      <c r="H140" s="31">
        <v>9.2799999999999994</v>
      </c>
      <c r="I140" s="31">
        <v>10.1</v>
      </c>
      <c r="J140" s="31">
        <v>11.94</v>
      </c>
      <c r="K140" s="31">
        <v>11.72</v>
      </c>
      <c r="L140" s="31">
        <v>12.2</v>
      </c>
      <c r="M140" s="16"/>
    </row>
    <row r="141" spans="1:21">
      <c r="A141" s="17" t="s">
        <v>478</v>
      </c>
      <c r="D141" s="23">
        <f t="shared" ref="D141:L141" si="21">D136+D137+D138+D139-D140</f>
        <v>0</v>
      </c>
      <c r="E141" s="23">
        <f t="shared" si="21"/>
        <v>0</v>
      </c>
      <c r="F141" s="23">
        <f t="shared" si="21"/>
        <v>0</v>
      </c>
      <c r="G141" s="23">
        <f t="shared" si="21"/>
        <v>0</v>
      </c>
      <c r="H141" s="23">
        <f t="shared" si="21"/>
        <v>0</v>
      </c>
      <c r="I141" s="23">
        <f t="shared" si="21"/>
        <v>0</v>
      </c>
      <c r="J141" s="23">
        <f t="shared" si="21"/>
        <v>0</v>
      </c>
      <c r="K141" s="23">
        <f t="shared" si="21"/>
        <v>0</v>
      </c>
      <c r="L141" s="23">
        <f t="shared" si="21"/>
        <v>0</v>
      </c>
      <c r="M141" s="9"/>
    </row>
    <row r="142" spans="1:21">
      <c r="A142" s="17" t="s">
        <v>479</v>
      </c>
      <c r="D142" s="23">
        <f>D136-'Income Statement'!D47</f>
        <v>0</v>
      </c>
      <c r="E142" s="23">
        <f>E136-'Income Statement'!E47</f>
        <v>0</v>
      </c>
      <c r="F142" s="23">
        <f>F136-'Income Statement'!F47</f>
        <v>0</v>
      </c>
      <c r="G142" s="23">
        <f>G136-'Income Statement'!G47</f>
        <v>0</v>
      </c>
      <c r="H142" s="23">
        <f>H136-'Income Statement'!H47</f>
        <v>0</v>
      </c>
      <c r="I142" s="23">
        <f>I136-'Income Statement'!I47</f>
        <v>0</v>
      </c>
      <c r="J142" s="23">
        <f>J136-'Income Statement'!J47</f>
        <v>0</v>
      </c>
      <c r="K142" s="23">
        <f>K136-'Income Statement'!K47</f>
        <v>0</v>
      </c>
      <c r="L142" s="23">
        <f>L136-'Income Statement'!L47</f>
        <v>0</v>
      </c>
      <c r="M142" s="9"/>
    </row>
    <row r="143" spans="1:21" ht="8" customHeight="1">
      <c r="M143" s="9"/>
    </row>
    <row r="144" spans="1:21" ht="20" customHeight="1">
      <c r="A144" s="12" t="s">
        <v>480</v>
      </c>
      <c r="B144" s="1"/>
      <c r="C144" s="1"/>
      <c r="D144" s="1"/>
      <c r="E144" s="1"/>
      <c r="F144" s="1"/>
      <c r="G144" s="1"/>
      <c r="H144" s="1"/>
      <c r="I144" s="1"/>
      <c r="J144" s="1"/>
      <c r="K144" s="1"/>
      <c r="L144" s="1"/>
      <c r="M144" s="9"/>
      <c r="N144" s="1"/>
      <c r="O144" s="1"/>
      <c r="P144" s="1"/>
      <c r="Q144" s="1"/>
      <c r="R144" s="1"/>
      <c r="S144" s="1"/>
      <c r="T144" s="1"/>
      <c r="U144" s="1"/>
    </row>
    <row r="145" spans="1:21">
      <c r="A145" s="10" t="s">
        <v>481</v>
      </c>
      <c r="H145" s="26">
        <v>7545.2</v>
      </c>
      <c r="I145" s="26">
        <v>6177.4</v>
      </c>
      <c r="J145" s="26">
        <v>8469</v>
      </c>
      <c r="K145" s="26">
        <v>8223</v>
      </c>
      <c r="L145" s="26">
        <v>8563</v>
      </c>
      <c r="M145" s="9"/>
    </row>
    <row r="146" spans="1:21">
      <c r="A146" s="5" t="s">
        <v>474</v>
      </c>
      <c r="H146" s="13">
        <v>-202.7</v>
      </c>
      <c r="I146" s="13">
        <v>770.7</v>
      </c>
      <c r="J146" s="13">
        <v>274</v>
      </c>
      <c r="K146" s="13">
        <v>236</v>
      </c>
      <c r="L146" s="13">
        <v>178</v>
      </c>
      <c r="M146" s="9"/>
    </row>
    <row r="147" spans="1:21">
      <c r="A147" s="5" t="s">
        <v>475</v>
      </c>
      <c r="H147" s="13">
        <v>-363.7</v>
      </c>
      <c r="M147" s="9"/>
    </row>
    <row r="148" spans="1:21">
      <c r="A148" s="5" t="s">
        <v>476</v>
      </c>
      <c r="H148" s="13">
        <v>0</v>
      </c>
      <c r="I148" s="13">
        <v>537.20000000000005</v>
      </c>
      <c r="M148" s="9"/>
    </row>
    <row r="149" spans="1:21">
      <c r="A149" s="10" t="s">
        <v>482</v>
      </c>
      <c r="H149" s="15">
        <v>6978.8</v>
      </c>
      <c r="I149" s="15">
        <v>7485.3</v>
      </c>
      <c r="J149" s="15">
        <v>8742</v>
      </c>
      <c r="K149" s="15">
        <v>8459</v>
      </c>
      <c r="L149" s="15">
        <v>8741</v>
      </c>
      <c r="M149" s="16"/>
    </row>
    <row r="150" spans="1:21">
      <c r="A150" s="17" t="s">
        <v>478</v>
      </c>
      <c r="H150" s="23">
        <f>H145+H146+H147+H148-H149</f>
        <v>0</v>
      </c>
      <c r="I150" s="23">
        <f>I145+I146+I147+I148-I149</f>
        <v>0</v>
      </c>
      <c r="J150" s="23">
        <f>J145+J146+J147+J148-J149</f>
        <v>1</v>
      </c>
      <c r="K150" s="23">
        <f>K145+K146+K147+K148-K149</f>
        <v>0</v>
      </c>
      <c r="L150" s="23">
        <f>L145+L146+L147+L148-L149</f>
        <v>0</v>
      </c>
      <c r="M150" s="9"/>
    </row>
    <row r="151" spans="1:21">
      <c r="A151" s="17" t="s">
        <v>479</v>
      </c>
      <c r="H151" s="23">
        <f>H145-'Income Statement'!H41</f>
        <v>0</v>
      </c>
      <c r="I151" s="23">
        <f>I145-'Income Statement'!I41</f>
        <v>0.3999999999996362</v>
      </c>
      <c r="J151" s="23">
        <f>J145-'Income Statement'!J41</f>
        <v>0</v>
      </c>
      <c r="K151" s="23">
        <f>K145-'Income Statement'!K41</f>
        <v>0</v>
      </c>
      <c r="L151" s="23">
        <f>L145-'Income Statement'!L41</f>
        <v>0</v>
      </c>
      <c r="M151" s="9"/>
    </row>
    <row r="152" spans="1:21" ht="8" customHeight="1">
      <c r="M152" s="9"/>
    </row>
    <row r="153" spans="1:21" ht="20" customHeight="1">
      <c r="A153" s="12" t="s">
        <v>483</v>
      </c>
      <c r="B153" s="1"/>
      <c r="C153" s="1"/>
      <c r="D153" s="1"/>
      <c r="E153" s="1"/>
      <c r="F153" s="1"/>
      <c r="G153" s="1"/>
      <c r="H153" s="1"/>
      <c r="I153" s="1"/>
      <c r="J153" s="1"/>
      <c r="K153" s="1"/>
      <c r="L153" s="1"/>
      <c r="M153" s="9"/>
      <c r="N153" s="1"/>
      <c r="O153" s="1"/>
      <c r="P153" s="1"/>
      <c r="Q153" s="1"/>
      <c r="R153" s="1"/>
      <c r="S153" s="1"/>
      <c r="T153" s="1"/>
      <c r="U153" s="1"/>
    </row>
    <row r="154" spans="1:21">
      <c r="A154" s="10" t="s">
        <v>484</v>
      </c>
      <c r="H154" s="26">
        <v>10356</v>
      </c>
      <c r="I154" s="26">
        <v>9371</v>
      </c>
      <c r="J154" s="26">
        <v>11647</v>
      </c>
      <c r="K154" s="26">
        <v>11712</v>
      </c>
      <c r="L154" s="26">
        <v>12393</v>
      </c>
      <c r="M154" s="9"/>
    </row>
    <row r="155" spans="1:21">
      <c r="A155" s="5" t="s">
        <v>474</v>
      </c>
      <c r="I155" s="13">
        <v>0</v>
      </c>
      <c r="J155" s="13">
        <v>362</v>
      </c>
      <c r="K155" s="13">
        <v>291</v>
      </c>
      <c r="L155" s="13">
        <v>229</v>
      </c>
      <c r="M155" s="9"/>
    </row>
    <row r="156" spans="1:21">
      <c r="A156" s="5" t="s">
        <v>485</v>
      </c>
      <c r="H156" s="13">
        <v>0</v>
      </c>
      <c r="I156" s="13">
        <v>1281</v>
      </c>
      <c r="M156" s="9"/>
    </row>
    <row r="157" spans="1:21">
      <c r="A157" s="5" t="s">
        <v>486</v>
      </c>
      <c r="H157" s="13">
        <v>0</v>
      </c>
      <c r="I157" s="13">
        <v>-271</v>
      </c>
      <c r="M157" s="9"/>
    </row>
    <row r="158" spans="1:21">
      <c r="A158" s="5" t="s">
        <v>487</v>
      </c>
      <c r="H158" s="13">
        <v>-339</v>
      </c>
      <c r="M158" s="9"/>
    </row>
    <row r="159" spans="1:21">
      <c r="A159" s="5" t="s">
        <v>488</v>
      </c>
      <c r="H159" s="13">
        <v>54</v>
      </c>
      <c r="M159" s="9"/>
    </row>
    <row r="160" spans="1:21">
      <c r="A160" s="10" t="s">
        <v>489</v>
      </c>
      <c r="H160" s="15">
        <v>10071</v>
      </c>
      <c r="I160" s="15">
        <v>10381</v>
      </c>
      <c r="J160" s="15">
        <v>12009</v>
      </c>
      <c r="K160" s="15">
        <v>12003</v>
      </c>
      <c r="L160" s="15">
        <v>12621</v>
      </c>
      <c r="M160" s="16"/>
    </row>
    <row r="161" spans="1:21">
      <c r="A161" s="17" t="s">
        <v>490</v>
      </c>
      <c r="H161" s="18">
        <v>0.434</v>
      </c>
      <c r="I161" s="18">
        <v>0.44800000000000001</v>
      </c>
      <c r="J161" s="18">
        <v>0.47099999999999997</v>
      </c>
      <c r="K161" s="18">
        <v>0.46300000000000002</v>
      </c>
      <c r="L161" s="18">
        <v>0.46899999999999997</v>
      </c>
      <c r="M161" s="9"/>
    </row>
    <row r="162" spans="1:21">
      <c r="A162" s="17" t="s">
        <v>491</v>
      </c>
      <c r="C162" s="18">
        <f>C160/'Income Statement'!C17</f>
        <v>0</v>
      </c>
      <c r="D162" s="18">
        <f>D160/'Income Statement'!D17</f>
        <v>0</v>
      </c>
      <c r="E162" s="18">
        <f>E160/'Income Statement'!E17</f>
        <v>0</v>
      </c>
      <c r="F162" s="18">
        <f>F160/'Income Statement'!F17</f>
        <v>0</v>
      </c>
      <c r="G162" s="18">
        <f>G160/'Income Statement'!G17</f>
        <v>0</v>
      </c>
      <c r="H162" s="18">
        <f>H160/'Income Statement'!H17</f>
        <v>0.43366676857756781</v>
      </c>
      <c r="I162" s="18">
        <f>I160/'Income Statement'!I17</f>
        <v>0.44778501488159428</v>
      </c>
      <c r="J162" s="18">
        <f>J160/'Income Statement'!J17</f>
        <v>0.47105201223817367</v>
      </c>
      <c r="K162" s="18">
        <f>K160/'Income Statement'!K17</f>
        <v>0.46307870370370369</v>
      </c>
      <c r="L162" s="18">
        <f>L160/'Income Statement'!L17</f>
        <v>0.46944392784080341</v>
      </c>
      <c r="M162" s="9"/>
    </row>
    <row r="163" spans="1:21">
      <c r="A163" s="17" t="s">
        <v>478</v>
      </c>
      <c r="H163" s="23">
        <f>H154+H155+H156+H157+H158+H159-H160</f>
        <v>0</v>
      </c>
      <c r="I163" s="23">
        <f>I154+I155+I156+I157+I158+I159-I160</f>
        <v>0</v>
      </c>
      <c r="J163" s="23">
        <f>J154+J155+J156+J157+J158+J159-J160</f>
        <v>0</v>
      </c>
      <c r="K163" s="23">
        <f>K154+K155+K156+K157+K158+K159-K160</f>
        <v>0</v>
      </c>
      <c r="L163" s="23">
        <f>L154+L155+L156+L157+L158+L159-L160</f>
        <v>1</v>
      </c>
      <c r="M163" s="9"/>
    </row>
    <row r="164" spans="1:21">
      <c r="A164" s="17" t="s">
        <v>479</v>
      </c>
      <c r="H164" s="23">
        <f>H154-'Income Statement'!H33</f>
        <v>0</v>
      </c>
      <c r="I164" s="23">
        <f>I154-'Income Statement'!I33</f>
        <v>0</v>
      </c>
      <c r="J164" s="23">
        <f>J154-'Income Statement'!J33</f>
        <v>0</v>
      </c>
      <c r="K164" s="23">
        <f>K154-'Income Statement'!K33</f>
        <v>0</v>
      </c>
      <c r="L164" s="23">
        <f>L154-'Income Statement'!L33</f>
        <v>0</v>
      </c>
      <c r="M164" s="9"/>
    </row>
    <row r="165" spans="1:21" ht="8" customHeight="1">
      <c r="M165" s="9"/>
    </row>
    <row r="166" spans="1:21" ht="20" customHeight="1">
      <c r="A166" s="12" t="s">
        <v>492</v>
      </c>
      <c r="B166" s="1"/>
      <c r="C166" s="1"/>
      <c r="D166" s="1"/>
      <c r="E166" s="1"/>
      <c r="F166" s="1"/>
      <c r="G166" s="1"/>
      <c r="H166" s="1"/>
      <c r="I166" s="1"/>
      <c r="J166" s="1"/>
      <c r="K166" s="1"/>
      <c r="L166" s="1"/>
      <c r="M166" s="9"/>
      <c r="N166" s="1"/>
      <c r="O166" s="1"/>
      <c r="P166" s="1"/>
      <c r="Q166" s="1"/>
      <c r="R166" s="1"/>
      <c r="S166" s="1"/>
      <c r="T166" s="1"/>
      <c r="U166" s="1"/>
    </row>
    <row r="167" spans="1:21">
      <c r="A167" s="5" t="s">
        <v>493</v>
      </c>
      <c r="C167" s="13">
        <v>674</v>
      </c>
      <c r="D167" s="13">
        <v>537</v>
      </c>
      <c r="E167" s="13">
        <v>488</v>
      </c>
      <c r="F167" s="13">
        <v>605</v>
      </c>
      <c r="M167" s="9"/>
    </row>
    <row r="168" spans="1:21">
      <c r="A168" s="5" t="s">
        <v>494</v>
      </c>
      <c r="C168" s="13">
        <v>1108</v>
      </c>
      <c r="D168" s="13">
        <v>1236</v>
      </c>
      <c r="E168" s="13">
        <v>2111</v>
      </c>
      <c r="F168" s="13">
        <v>1702</v>
      </c>
      <c r="M168" s="9"/>
    </row>
    <row r="169" spans="1:21">
      <c r="A169" s="5" t="s">
        <v>221</v>
      </c>
      <c r="C169" s="13">
        <v>39</v>
      </c>
      <c r="D169" s="13">
        <v>81</v>
      </c>
      <c r="E169" s="13">
        <v>143</v>
      </c>
      <c r="F169" s="13">
        <v>87</v>
      </c>
      <c r="M169" s="9"/>
    </row>
    <row r="170" spans="1:21">
      <c r="A170" s="10" t="s">
        <v>296</v>
      </c>
      <c r="C170" s="27">
        <f t="shared" ref="C170:L170" si="22">C167+C168+C169</f>
        <v>1821</v>
      </c>
      <c r="D170" s="27">
        <f t="shared" si="22"/>
        <v>1854</v>
      </c>
      <c r="E170" s="27">
        <f t="shared" si="22"/>
        <v>2742</v>
      </c>
      <c r="F170" s="27">
        <f t="shared" si="22"/>
        <v>2394</v>
      </c>
      <c r="G170" s="27">
        <f t="shared" si="22"/>
        <v>0</v>
      </c>
      <c r="H170" s="27">
        <f t="shared" si="22"/>
        <v>0</v>
      </c>
      <c r="I170" s="27">
        <f t="shared" si="22"/>
        <v>0</v>
      </c>
      <c r="J170" s="27">
        <f t="shared" si="22"/>
        <v>0</v>
      </c>
      <c r="K170" s="27">
        <f t="shared" si="22"/>
        <v>0</v>
      </c>
      <c r="L170" s="27">
        <f t="shared" si="22"/>
        <v>0</v>
      </c>
      <c r="M170" s="16"/>
    </row>
    <row r="171" spans="1:21">
      <c r="A171" s="17" t="s">
        <v>495</v>
      </c>
      <c r="C171" s="23">
        <f>C170+'Cash Flow'!C31</f>
        <v>-9.9999999999909051E-2</v>
      </c>
      <c r="D171" s="23">
        <f>D170+'Cash Flow'!D31</f>
        <v>0.29999999999995453</v>
      </c>
      <c r="E171" s="23">
        <f>E170+'Cash Flow'!E31</f>
        <v>0.3000000000001819</v>
      </c>
      <c r="F171" s="23">
        <f>F170+'Cash Flow'!F31</f>
        <v>0.3000000000001819</v>
      </c>
      <c r="M171" s="9"/>
    </row>
    <row r="172" spans="1:21">
      <c r="M172" s="9"/>
    </row>
    <row r="178" spans="1:12">
      <c r="A178" s="12" t="s">
        <v>496</v>
      </c>
    </row>
    <row r="179" spans="1:12">
      <c r="A179" s="5" t="s">
        <v>279</v>
      </c>
      <c r="D179" s="39">
        <f>Segments!D83/'Operating Metrics'!D40</f>
        <v>0.13804939061636465</v>
      </c>
      <c r="E179" s="39">
        <f>Segments!E83/'Operating Metrics'!E40</f>
        <v>0.13945900725041829</v>
      </c>
      <c r="F179" s="39">
        <f>Segments!F83/'Operating Metrics'!F40</f>
        <v>0.14115444453234186</v>
      </c>
      <c r="G179" s="39">
        <f>Segments!G83/'Operating Metrics'!G40</f>
        <v>0.13800068200299032</v>
      </c>
      <c r="H179" s="39">
        <f>Segments!H83/'Operating Metrics'!H40</f>
        <v>0.14059616094499816</v>
      </c>
      <c r="I179" s="39">
        <f>Segments!I83/'Operating Metrics'!I40</f>
        <v>0.14347030371693756</v>
      </c>
      <c r="J179" s="39">
        <f>Segments!J83/'Operating Metrics'!J40</f>
        <v>0.14350683175061105</v>
      </c>
      <c r="K179" s="39">
        <f>Segments!K83/'Operating Metrics'!K40</f>
        <v>0.14343968809675367</v>
      </c>
      <c r="L179" s="39">
        <f>Segments!L83/'Operating Metrics'!L40</f>
        <v>0.14189735494552036</v>
      </c>
    </row>
    <row r="180" spans="1:12">
      <c r="A180" s="5" t="s">
        <v>280</v>
      </c>
      <c r="D180" s="39">
        <f>Segments!D84/'Operating Metrics'!D41</f>
        <v>0.17514147461658328</v>
      </c>
      <c r="E180" s="39">
        <f>Segments!E84/'Operating Metrics'!E41</f>
        <v>0.17559966614653263</v>
      </c>
      <c r="F180" s="39">
        <f>Segments!F84/'Operating Metrics'!F41</f>
        <v>0.17551034554465741</v>
      </c>
      <c r="G180" s="39">
        <f>Segments!G84/'Operating Metrics'!G41</f>
        <v>0.17087164976813646</v>
      </c>
      <c r="H180" s="39">
        <f>Segments!H84/'Operating Metrics'!H41</f>
        <v>0.17034776565851889</v>
      </c>
      <c r="I180" s="39">
        <f>Segments!I84/'Operating Metrics'!I41</f>
        <v>0.17329241103743812</v>
      </c>
      <c r="J180" s="39">
        <f>Segments!J84/'Operating Metrics'!J41</f>
        <v>0.17115304202383441</v>
      </c>
      <c r="K180" s="39">
        <f>Segments!K84/'Operating Metrics'!K41</f>
        <v>0.17239088214249207</v>
      </c>
      <c r="L180" s="39">
        <f>Segments!L84/'Operating Metrics'!L41</f>
        <v>0.17151272384542884</v>
      </c>
    </row>
    <row r="181" spans="1:12">
      <c r="A181" s="5" t="s">
        <v>398</v>
      </c>
      <c r="D181" s="39">
        <f>Segments!D85/'Operating Metrics'!D42</f>
        <v>5.5801503140121486E-2</v>
      </c>
      <c r="E181" s="39">
        <f>Segments!E85/'Operating Metrics'!E42</f>
        <v>5.1591319276312893E-2</v>
      </c>
      <c r="F181" s="39">
        <f>Segments!F85/'Operating Metrics'!F42</f>
        <v>5.166590217255327E-2</v>
      </c>
      <c r="G181" s="39">
        <f>Segments!G85/'Operating Metrics'!G42</f>
        <v>5.1691424869267436E-2</v>
      </c>
      <c r="H181" s="39">
        <f>Segments!H85/'Operating Metrics'!H42</f>
        <v>5.1574292902340474E-2</v>
      </c>
      <c r="I181" s="39">
        <f>Segments!I85/'Operating Metrics'!I42</f>
        <v>5.2896204972794271E-2</v>
      </c>
      <c r="J181" s="39">
        <f>Segments!J85/'Operating Metrics'!J42</f>
        <v>5.4603617014537739E-2</v>
      </c>
      <c r="K181" s="39">
        <f>Segments!K85/'Operating Metrics'!K42</f>
        <v>5.5758190871895714E-2</v>
      </c>
      <c r="L181" s="39">
        <f>Segments!L85/'Operating Metrics'!L42</f>
        <v>5.3784465414151716E-2</v>
      </c>
    </row>
    <row r="182" spans="1:12">
      <c r="A182" s="10" t="s">
        <v>399</v>
      </c>
      <c r="D182" s="39">
        <f>Segments!D86/'Operating Metrics'!D43</f>
        <v>0.12918366563926795</v>
      </c>
      <c r="E182" s="39">
        <f>Segments!E86/'Operating Metrics'!E43</f>
        <v>0.12784730768337707</v>
      </c>
      <c r="F182" s="39">
        <f>Segments!F86/'Operating Metrics'!F43</f>
        <v>0.12843086483687208</v>
      </c>
      <c r="G182" s="39">
        <f>Segments!G86/'Operating Metrics'!G43</f>
        <v>0.1259245345042147</v>
      </c>
      <c r="H182" s="39">
        <f>Segments!H86/'Operating Metrics'!H43</f>
        <v>0.12744095446798148</v>
      </c>
      <c r="I182" s="39">
        <f>Segments!I86/'Operating Metrics'!I43</f>
        <v>0.12885368995094681</v>
      </c>
      <c r="J182" s="39">
        <f>Segments!J86/'Operating Metrics'!J43</f>
        <v>0.12890187891440502</v>
      </c>
      <c r="K182" s="39">
        <f>Segments!K86/'Operating Metrics'!K43</f>
        <v>0.12994798772874236</v>
      </c>
      <c r="L182" s="39">
        <f>Segments!L86/'Operating Metrics'!L43</f>
        <v>0.12761133603238867</v>
      </c>
    </row>
  </sheetData>
  <phoneticPr fontId="33" type="noConversion"/>
  <conditionalFormatting sqref="C37:U37">
    <cfRule type="cellIs" dxfId="1" priority="1" operator="notBetween">
      <formula>-0.5</formula>
      <formula>0.5</formula>
    </cfRule>
  </conditionalFormatting>
  <conditionalFormatting sqref="C70:U71">
    <cfRule type="cellIs" dxfId="0" priority="2" operator="notBetween">
      <formula>-0.5</formula>
      <formula>0.5</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7D71B5-5FE2-CA45-B7D4-F83BA40A77E5}">
  <sheetPr>
    <tabColor rgb="FF548235"/>
  </sheetPr>
  <dimension ref="A1:U130"/>
  <sheetViews>
    <sheetView showGridLines="0" workbookViewId="0">
      <pane xSplit="2" ySplit="5" topLeftCell="C6" activePane="bottomRight" state="frozen"/>
      <selection pane="topRight"/>
      <selection pane="bottomLeft"/>
      <selection pane="bottomRight" activeCell="C6" sqref="C6"/>
    </sheetView>
  </sheetViews>
  <sheetFormatPr baseColWidth="10" defaultColWidth="8.83203125" defaultRowHeight="14"/>
  <cols>
    <col min="1" max="1" width="46" customWidth="1"/>
    <col min="2" max="2" width="34" hidden="1" customWidth="1"/>
    <col min="3" max="12" width="12" customWidth="1"/>
    <col min="13" max="13" width="9" customWidth="1"/>
    <col min="14" max="21" width="12" customWidth="1"/>
  </cols>
  <sheetData>
    <row r="1" spans="1:21" ht="28" customHeight="1">
      <c r="A1" s="2" t="s">
        <v>497</v>
      </c>
      <c r="B1" s="1"/>
      <c r="C1" s="1"/>
      <c r="D1" s="1"/>
      <c r="E1" s="1"/>
      <c r="F1" s="1"/>
      <c r="G1" s="1"/>
      <c r="H1" s="1"/>
      <c r="I1" s="1"/>
      <c r="J1" s="1"/>
      <c r="K1" s="1"/>
      <c r="L1" s="1"/>
      <c r="M1" s="1"/>
      <c r="N1" s="1"/>
      <c r="O1" s="1"/>
      <c r="P1" s="1"/>
      <c r="Q1" s="1"/>
      <c r="R1" s="1"/>
      <c r="S1" s="1"/>
      <c r="T1" s="1"/>
      <c r="U1" s="1"/>
    </row>
    <row r="2" spans="1:21" ht="16" customHeight="1">
      <c r="A2" s="3" t="s">
        <v>1</v>
      </c>
    </row>
    <row r="3" spans="1:21">
      <c r="C3" s="6" t="s">
        <v>73</v>
      </c>
      <c r="D3" s="6" t="s">
        <v>74</v>
      </c>
      <c r="E3" s="6" t="s">
        <v>75</v>
      </c>
      <c r="F3" s="6" t="s">
        <v>76</v>
      </c>
      <c r="G3" s="6" t="s">
        <v>77</v>
      </c>
      <c r="H3" s="6" t="s">
        <v>78</v>
      </c>
      <c r="I3" s="6" t="s">
        <v>79</v>
      </c>
      <c r="J3" s="6" t="s">
        <v>80</v>
      </c>
      <c r="K3" s="6" t="s">
        <v>81</v>
      </c>
      <c r="L3" s="6" t="s">
        <v>82</v>
      </c>
      <c r="M3" s="7" t="s">
        <v>83</v>
      </c>
      <c r="N3" s="6" t="s">
        <v>84</v>
      </c>
      <c r="O3" s="6" t="s">
        <v>85</v>
      </c>
      <c r="P3" s="6" t="s">
        <v>86</v>
      </c>
      <c r="Q3" s="6" t="s">
        <v>87</v>
      </c>
      <c r="R3" s="6" t="s">
        <v>88</v>
      </c>
      <c r="S3" s="6" t="s">
        <v>89</v>
      </c>
      <c r="T3" s="6" t="s">
        <v>90</v>
      </c>
      <c r="U3" s="6" t="s">
        <v>91</v>
      </c>
    </row>
    <row r="4" spans="1:21">
      <c r="C4" s="8" t="s">
        <v>92</v>
      </c>
      <c r="D4" s="8" t="s">
        <v>93</v>
      </c>
      <c r="E4" s="8" t="s">
        <v>94</v>
      </c>
      <c r="F4" s="8" t="s">
        <v>95</v>
      </c>
      <c r="G4" s="8" t="s">
        <v>96</v>
      </c>
      <c r="H4" s="8" t="s">
        <v>97</v>
      </c>
      <c r="I4" s="8" t="s">
        <v>98</v>
      </c>
      <c r="J4" s="8" t="s">
        <v>99</v>
      </c>
      <c r="K4" s="8" t="s">
        <v>100</v>
      </c>
      <c r="L4" s="8" t="s">
        <v>101</v>
      </c>
      <c r="M4" s="9"/>
      <c r="N4" s="8" t="s">
        <v>102</v>
      </c>
      <c r="O4" s="8" t="s">
        <v>100</v>
      </c>
      <c r="P4" s="8" t="s">
        <v>103</v>
      </c>
      <c r="Q4" s="8" t="s">
        <v>104</v>
      </c>
      <c r="R4" s="8" t="s">
        <v>105</v>
      </c>
      <c r="S4" s="8" t="s">
        <v>101</v>
      </c>
      <c r="T4" s="8" t="s">
        <v>106</v>
      </c>
      <c r="U4" s="8" t="s">
        <v>107</v>
      </c>
    </row>
    <row r="5" spans="1:21">
      <c r="M5" s="9"/>
    </row>
    <row r="6" spans="1:21">
      <c r="A6" s="10" t="s">
        <v>108</v>
      </c>
      <c r="M6" s="9"/>
    </row>
    <row r="7" spans="1:21">
      <c r="A7" s="11" t="str">
        <f>HYPERLINK("#'Note Schedules'!A17","1. PROPERTY AND EQUIPMENT (NOTE)")</f>
        <v>1. PROPERTY AND EQUIPMENT (NOTE)</v>
      </c>
      <c r="M7" s="9"/>
    </row>
    <row r="8" spans="1:21">
      <c r="A8" s="11" t="str">
        <f>HYPERLINK("#'Note Schedules'!A29","2. INCOME TAXES (NOTE)")</f>
        <v>2. INCOME TAXES (NOTE)</v>
      </c>
      <c r="M8" s="9"/>
    </row>
    <row r="9" spans="1:21">
      <c r="A9" s="11" t="str">
        <f>HYPERLINK("#'Note Schedules'!A47","3. OTHER OPERATING (INCOME) EXPENSE, NET - COMPONENTS (MD&amp;A / NOTE)")</f>
        <v>3. OTHER OPERATING (INCOME) EXPENSE, NET - COMPONENTS (MD&amp;A / NOTE)</v>
      </c>
      <c r="M9" s="9"/>
    </row>
    <row r="10" spans="1:21">
      <c r="A10" s="11" t="str">
        <f>HYPERLINK("#'Note Schedules'!A56","4. NONOPERATING (INCOME) EXPENSE, NET - COMPONENTS (MD&amp;A)")</f>
        <v>4. NONOPERATING (INCOME) EXPENSE, NET - COMPONENTS (MD&amp;A)</v>
      </c>
      <c r="M10" s="9"/>
    </row>
    <row r="11" spans="1:21">
      <c r="A11" s="11" t="str">
        <f>HYPERLINK("#'Note Schedules'!A64","5. GOODWILL BY SEGMENT (YEAR END; NOTE)")</f>
        <v>5. GOODWILL BY SEGMENT (YEAR END; NOTE)</v>
      </c>
      <c r="M11" s="9"/>
    </row>
    <row r="12" spans="1:21">
      <c r="A12" s="11" t="str">
        <f>HYPERLINK("#'Note Schedules'!A71","6. DEBT BY CURRENCY, FAIR VALUE AND MATURITY (FINANCING NOTE)")</f>
        <v>6. DEBT BY CURRENCY, FAIR VALUE AND MATURITY (FINANCING NOTE)</v>
      </c>
      <c r="M12" s="9"/>
    </row>
    <row r="13" spans="1:21">
      <c r="A13" s="11" t="str">
        <f>HYPERLINK("#'Note Schedules'!A92","7. RENT, LEASE COMMITMENTS AND MINIMUM RENT RECEIVABLE")</f>
        <v>7. RENT, LEASE COMMITMENTS AND MINIMUM RENT RECEIVABLE</v>
      </c>
      <c r="M13" s="9"/>
    </row>
    <row r="14" spans="1:21">
      <c r="A14" s="11" t="str">
        <f>HYPERLINK("#'Note Schedules'!A106","8. FRANCHISE-ARRANGEMENT ASSETS, ADVERTISING AND SHARE-BASED COMPENSATION")</f>
        <v>8. FRANCHISE-ARRANGEMENT ASSETS, ADVERTISING AND SHARE-BASED COMPENSATION</v>
      </c>
      <c r="M14" s="9"/>
    </row>
    <row r="15" spans="1:21">
      <c r="A15" s="11" t="str">
        <f>HYPERLINK("#'Note Schedules'!A121","9. OTHER OPERATING FACTS DISCLOSED IN TEXT ONLY (APPROXIMATE; NOT TABULATED BY THE COMPANY)")</f>
        <v>9. OTHER OPERATING FACTS DISCLOSED IN TEXT ONLY (APPROXIMATE; NOT TABULATED BY THE COMPANY)</v>
      </c>
      <c r="M15" s="9"/>
    </row>
    <row r="16" spans="1:21" ht="8" customHeight="1">
      <c r="M16" s="9"/>
    </row>
    <row r="17" spans="1:21" ht="20" customHeight="1">
      <c r="A17" s="12" t="s">
        <v>498</v>
      </c>
      <c r="B17" s="1"/>
      <c r="C17" s="1"/>
      <c r="D17" s="1"/>
      <c r="E17" s="1"/>
      <c r="F17" s="1"/>
      <c r="G17" s="1"/>
      <c r="H17" s="1"/>
      <c r="I17" s="1"/>
      <c r="J17" s="1"/>
      <c r="K17" s="1"/>
      <c r="L17" s="1"/>
      <c r="M17" s="9"/>
      <c r="N17" s="1"/>
      <c r="O17" s="1"/>
      <c r="P17" s="1"/>
      <c r="Q17" s="1"/>
      <c r="R17" s="1"/>
      <c r="S17" s="1"/>
      <c r="T17" s="1"/>
      <c r="U17" s="1"/>
    </row>
    <row r="18" spans="1:21">
      <c r="A18" s="5" t="s">
        <v>499</v>
      </c>
      <c r="D18" s="13">
        <v>5662.2</v>
      </c>
      <c r="E18" s="13">
        <v>5521.4</v>
      </c>
      <c r="F18" s="13">
        <v>6026.4</v>
      </c>
      <c r="G18" s="13">
        <v>6349.1</v>
      </c>
      <c r="H18" s="13">
        <v>6487.6</v>
      </c>
      <c r="I18" s="13">
        <v>6686.3</v>
      </c>
      <c r="J18" s="13">
        <v>7081</v>
      </c>
      <c r="K18" s="13">
        <v>7253</v>
      </c>
      <c r="L18" s="13">
        <v>8169</v>
      </c>
      <c r="M18" s="9"/>
    </row>
    <row r="19" spans="1:21">
      <c r="A19" s="5" t="s">
        <v>500</v>
      </c>
      <c r="D19" s="13">
        <v>14776.9</v>
      </c>
      <c r="E19" s="13">
        <v>15377.4</v>
      </c>
      <c r="F19" s="13">
        <v>17003.7</v>
      </c>
      <c r="G19" s="13">
        <v>18218.900000000001</v>
      </c>
      <c r="H19" s="13">
        <v>18666</v>
      </c>
      <c r="I19" s="13">
        <v>18934.2</v>
      </c>
      <c r="J19" s="13">
        <v>20059</v>
      </c>
      <c r="K19" s="13">
        <v>20487</v>
      </c>
      <c r="L19" s="13">
        <v>22202</v>
      </c>
      <c r="M19" s="9"/>
    </row>
    <row r="20" spans="1:21">
      <c r="A20" s="5" t="s">
        <v>501</v>
      </c>
      <c r="D20" s="13">
        <v>12509.2</v>
      </c>
      <c r="E20" s="13">
        <v>12863.6</v>
      </c>
      <c r="F20" s="13">
        <v>12605.9</v>
      </c>
      <c r="G20" s="13">
        <v>13364.5</v>
      </c>
      <c r="H20" s="13">
        <v>13283.3</v>
      </c>
      <c r="I20" s="13">
        <v>12492</v>
      </c>
      <c r="J20" s="13">
        <v>13322</v>
      </c>
      <c r="K20" s="13">
        <v>13417</v>
      </c>
      <c r="L20" s="13">
        <v>15506</v>
      </c>
      <c r="M20" s="9"/>
    </row>
    <row r="21" spans="1:21">
      <c r="A21" s="5" t="s">
        <v>502</v>
      </c>
      <c r="D21" s="13">
        <v>3165.7</v>
      </c>
      <c r="E21" s="13">
        <v>2942.6</v>
      </c>
      <c r="F21" s="13">
        <v>2994.5</v>
      </c>
      <c r="G21" s="13">
        <v>3119</v>
      </c>
      <c r="H21" s="13">
        <v>3032</v>
      </c>
      <c r="I21" s="13">
        <v>2498.6</v>
      </c>
      <c r="J21" s="13">
        <v>2693</v>
      </c>
      <c r="K21" s="13">
        <v>2586</v>
      </c>
      <c r="L21" s="13">
        <v>2954</v>
      </c>
      <c r="M21" s="9"/>
    </row>
    <row r="22" spans="1:21">
      <c r="A22" s="5" t="s">
        <v>221</v>
      </c>
      <c r="D22" s="13">
        <v>512.4</v>
      </c>
      <c r="E22" s="13">
        <v>488.6</v>
      </c>
      <c r="F22" s="13">
        <v>420.4</v>
      </c>
      <c r="G22" s="13">
        <v>425</v>
      </c>
      <c r="H22" s="13">
        <v>447.7</v>
      </c>
      <c r="I22" s="13">
        <v>426.5</v>
      </c>
      <c r="J22" s="13">
        <v>414</v>
      </c>
      <c r="K22" s="13">
        <v>434</v>
      </c>
      <c r="L22" s="13">
        <v>459</v>
      </c>
      <c r="M22" s="9"/>
    </row>
    <row r="23" spans="1:21">
      <c r="A23" s="10" t="s">
        <v>168</v>
      </c>
      <c r="D23" s="15">
        <v>36626.400000000001</v>
      </c>
      <c r="E23" s="15">
        <v>37193.599999999999</v>
      </c>
      <c r="F23" s="15">
        <v>39050.9</v>
      </c>
      <c r="G23" s="15">
        <v>41476.5</v>
      </c>
      <c r="H23" s="15">
        <v>41916.6</v>
      </c>
      <c r="I23" s="15">
        <v>41037.599999999999</v>
      </c>
      <c r="J23" s="15">
        <v>43570</v>
      </c>
      <c r="K23" s="15">
        <v>44177</v>
      </c>
      <c r="L23" s="15">
        <v>49290</v>
      </c>
      <c r="M23" s="16"/>
    </row>
    <row r="24" spans="1:21">
      <c r="A24" s="5" t="s">
        <v>169</v>
      </c>
      <c r="D24" s="13">
        <v>-14178.1</v>
      </c>
      <c r="E24" s="13">
        <v>-14350.9</v>
      </c>
      <c r="F24" s="13">
        <v>-14890.9</v>
      </c>
      <c r="G24" s="13">
        <v>-16518.3</v>
      </c>
      <c r="H24" s="13">
        <v>-17196</v>
      </c>
      <c r="I24" s="13">
        <v>-17264</v>
      </c>
      <c r="J24" s="13">
        <v>-18662</v>
      </c>
      <c r="K24" s="13">
        <v>-18882</v>
      </c>
      <c r="L24" s="13">
        <v>-21049</v>
      </c>
      <c r="M24" s="9"/>
    </row>
    <row r="25" spans="1:21">
      <c r="A25" s="10" t="s">
        <v>170</v>
      </c>
      <c r="D25" s="15">
        <v>22448.3</v>
      </c>
      <c r="E25" s="15">
        <v>22842.7</v>
      </c>
      <c r="F25" s="15">
        <v>24160</v>
      </c>
      <c r="G25" s="15">
        <v>24958.2</v>
      </c>
      <c r="H25" s="15">
        <v>24720.6</v>
      </c>
      <c r="I25" s="15">
        <v>23773.599999999999</v>
      </c>
      <c r="J25" s="15">
        <v>24908</v>
      </c>
      <c r="K25" s="15">
        <v>25295</v>
      </c>
      <c r="L25" s="15">
        <v>28241</v>
      </c>
      <c r="M25" s="16"/>
    </row>
    <row r="26" spans="1:21">
      <c r="A26" s="17" t="s">
        <v>503</v>
      </c>
      <c r="D26" s="23">
        <f t="shared" ref="D26:L26" si="0">D18+D19+D20+D21+D22-D23</f>
        <v>0</v>
      </c>
      <c r="E26" s="23">
        <f t="shared" si="0"/>
        <v>0</v>
      </c>
      <c r="F26" s="23">
        <f t="shared" si="0"/>
        <v>0</v>
      </c>
      <c r="G26" s="23">
        <f t="shared" si="0"/>
        <v>0</v>
      </c>
      <c r="H26" s="23">
        <f t="shared" si="0"/>
        <v>0</v>
      </c>
      <c r="I26" s="23">
        <f t="shared" si="0"/>
        <v>0</v>
      </c>
      <c r="J26" s="23">
        <f t="shared" si="0"/>
        <v>-1</v>
      </c>
      <c r="K26" s="23">
        <f t="shared" si="0"/>
        <v>0</v>
      </c>
      <c r="L26" s="23">
        <f t="shared" si="0"/>
        <v>0</v>
      </c>
      <c r="M26" s="9"/>
    </row>
    <row r="27" spans="1:21">
      <c r="A27" s="17" t="s">
        <v>504</v>
      </c>
      <c r="D27" s="23">
        <f>D25-'Balance Sheet'!D28</f>
        <v>0</v>
      </c>
      <c r="E27" s="23">
        <f>E25-'Balance Sheet'!E28</f>
        <v>0</v>
      </c>
      <c r="F27" s="23">
        <f>F25-'Balance Sheet'!F28</f>
        <v>0</v>
      </c>
      <c r="G27" s="23">
        <f>G25-'Balance Sheet'!G28</f>
        <v>0</v>
      </c>
      <c r="H27" s="23">
        <f>H25-'Balance Sheet'!H28</f>
        <v>0</v>
      </c>
      <c r="I27" s="23">
        <f>I25-'Balance Sheet'!I28</f>
        <v>0</v>
      </c>
      <c r="J27" s="23">
        <f>J25-'Balance Sheet'!J28</f>
        <v>0</v>
      </c>
      <c r="K27" s="23">
        <f>K25-'Balance Sheet'!K28</f>
        <v>0</v>
      </c>
      <c r="L27" s="23">
        <f>L25-'Balance Sheet'!L28</f>
        <v>0</v>
      </c>
      <c r="M27" s="9"/>
    </row>
    <row r="28" spans="1:21" ht="8" customHeight="1">
      <c r="M28" s="9"/>
    </row>
    <row r="29" spans="1:21" ht="20" customHeight="1">
      <c r="A29" s="12" t="s">
        <v>505</v>
      </c>
      <c r="B29" s="1"/>
      <c r="C29" s="1"/>
      <c r="D29" s="1"/>
      <c r="E29" s="1"/>
      <c r="F29" s="1"/>
      <c r="G29" s="1"/>
      <c r="H29" s="1"/>
      <c r="I29" s="1"/>
      <c r="J29" s="1"/>
      <c r="K29" s="1"/>
      <c r="L29" s="1"/>
      <c r="M29" s="9"/>
      <c r="N29" s="1"/>
      <c r="O29" s="1"/>
      <c r="P29" s="1"/>
      <c r="Q29" s="1"/>
      <c r="R29" s="1"/>
      <c r="S29" s="1"/>
      <c r="T29" s="1"/>
      <c r="U29" s="1"/>
    </row>
    <row r="30" spans="1:21">
      <c r="A30" s="5" t="s">
        <v>506</v>
      </c>
      <c r="C30" s="13">
        <v>2059.4</v>
      </c>
      <c r="D30" s="13">
        <v>2242</v>
      </c>
      <c r="E30" s="13">
        <v>2218</v>
      </c>
      <c r="F30" s="13">
        <v>2159.1</v>
      </c>
      <c r="G30" s="13">
        <v>1390.4</v>
      </c>
      <c r="H30" s="13">
        <v>2413.9</v>
      </c>
      <c r="I30" s="13">
        <v>1846</v>
      </c>
      <c r="J30" s="13">
        <v>3665</v>
      </c>
      <c r="K30" s="13">
        <v>3282</v>
      </c>
      <c r="L30" s="13">
        <v>3291</v>
      </c>
      <c r="M30" s="9"/>
    </row>
    <row r="31" spans="1:21">
      <c r="A31" s="5" t="s">
        <v>507</v>
      </c>
      <c r="C31" s="13">
        <v>4806.6000000000004</v>
      </c>
      <c r="D31" s="13">
        <v>6331.5</v>
      </c>
      <c r="E31" s="13">
        <v>5598.1</v>
      </c>
      <c r="F31" s="13">
        <v>5859</v>
      </c>
      <c r="G31" s="13">
        <v>4750.3</v>
      </c>
      <c r="H31" s="13">
        <v>6714</v>
      </c>
      <c r="I31" s="13">
        <v>5980</v>
      </c>
      <c r="J31" s="13">
        <v>6857</v>
      </c>
      <c r="K31" s="13">
        <v>7062</v>
      </c>
      <c r="L31" s="13">
        <v>7606</v>
      </c>
      <c r="M31" s="9"/>
    </row>
    <row r="32" spans="1:21">
      <c r="A32" s="10" t="s">
        <v>137</v>
      </c>
      <c r="C32" s="15">
        <v>6866</v>
      </c>
      <c r="D32" s="15">
        <v>8573.5</v>
      </c>
      <c r="E32" s="15">
        <v>7816.1</v>
      </c>
      <c r="F32" s="15">
        <v>8018.1</v>
      </c>
      <c r="G32" s="15">
        <v>6140.7</v>
      </c>
      <c r="H32" s="15">
        <v>9127.9</v>
      </c>
      <c r="I32" s="15">
        <v>7825</v>
      </c>
      <c r="J32" s="15">
        <v>10522</v>
      </c>
      <c r="K32" s="15">
        <v>10345</v>
      </c>
      <c r="L32" s="15">
        <v>10897</v>
      </c>
      <c r="M32" s="16"/>
    </row>
    <row r="33" spans="1:21">
      <c r="A33" s="5" t="s">
        <v>508</v>
      </c>
      <c r="C33" s="13">
        <v>1046.5999999999999</v>
      </c>
      <c r="D33" s="13">
        <v>2030.8</v>
      </c>
      <c r="E33" s="13">
        <v>292.89999999999998</v>
      </c>
      <c r="F33" s="13">
        <v>521.79999999999995</v>
      </c>
      <c r="G33" s="13">
        <v>554.1</v>
      </c>
      <c r="H33" s="13">
        <v>887.6</v>
      </c>
      <c r="I33" s="13">
        <v>517</v>
      </c>
      <c r="J33" s="13">
        <v>1340</v>
      </c>
      <c r="K33" s="13">
        <v>1412</v>
      </c>
      <c r="L33" s="13">
        <v>1085</v>
      </c>
      <c r="M33" s="9"/>
    </row>
    <row r="34" spans="1:21">
      <c r="A34" s="5" t="s">
        <v>509</v>
      </c>
      <c r="C34" s="13">
        <v>121.3</v>
      </c>
      <c r="D34" s="13">
        <v>169.8</v>
      </c>
      <c r="E34" s="13">
        <v>183.9</v>
      </c>
      <c r="F34" s="13">
        <v>194.7</v>
      </c>
      <c r="G34" s="13">
        <v>119.1</v>
      </c>
      <c r="H34" s="13">
        <v>228.1</v>
      </c>
      <c r="I34" s="13">
        <v>246</v>
      </c>
      <c r="J34" s="13">
        <v>263</v>
      </c>
      <c r="K34" s="13">
        <v>269</v>
      </c>
      <c r="L34" s="13">
        <v>198</v>
      </c>
      <c r="M34" s="9"/>
    </row>
    <row r="35" spans="1:21">
      <c r="A35" s="5" t="s">
        <v>510</v>
      </c>
      <c r="C35" s="13">
        <v>1550.2</v>
      </c>
      <c r="D35" s="13">
        <v>1217</v>
      </c>
      <c r="E35" s="13">
        <v>1312.4</v>
      </c>
      <c r="F35" s="13">
        <v>1126.5</v>
      </c>
      <c r="G35" s="13">
        <v>730.6</v>
      </c>
      <c r="H35" s="13">
        <v>895.3</v>
      </c>
      <c r="I35" s="13">
        <v>1230</v>
      </c>
      <c r="J35" s="13">
        <v>1137</v>
      </c>
      <c r="K35" s="13">
        <v>1014</v>
      </c>
      <c r="L35" s="13">
        <v>1177</v>
      </c>
      <c r="M35" s="9"/>
    </row>
    <row r="36" spans="1:21">
      <c r="A36" s="10" t="s">
        <v>511</v>
      </c>
      <c r="C36" s="15">
        <v>2718.1</v>
      </c>
      <c r="D36" s="15">
        <v>3417.6</v>
      </c>
      <c r="E36" s="15">
        <v>1789.2</v>
      </c>
      <c r="F36" s="15">
        <v>1843</v>
      </c>
      <c r="G36" s="15">
        <v>1403.8</v>
      </c>
      <c r="H36" s="15">
        <v>2011</v>
      </c>
      <c r="I36" s="15">
        <v>1994</v>
      </c>
      <c r="J36" s="15">
        <v>2740</v>
      </c>
      <c r="K36" s="15">
        <v>2695</v>
      </c>
      <c r="L36" s="15">
        <v>2460</v>
      </c>
      <c r="M36" s="16"/>
    </row>
    <row r="37" spans="1:21">
      <c r="A37" s="5" t="s">
        <v>512</v>
      </c>
      <c r="C37" s="13">
        <v>-122.1</v>
      </c>
      <c r="D37" s="13">
        <v>-120.1</v>
      </c>
      <c r="E37" s="13">
        <v>145.69999999999999</v>
      </c>
      <c r="F37" s="13">
        <v>38.5</v>
      </c>
      <c r="G37" s="13">
        <v>870.3</v>
      </c>
      <c r="H37" s="13">
        <v>-177.4</v>
      </c>
      <c r="I37" s="13">
        <v>-80</v>
      </c>
      <c r="J37" s="13">
        <v>-146</v>
      </c>
      <c r="K37" s="13">
        <v>-76</v>
      </c>
      <c r="L37" s="13">
        <v>-349</v>
      </c>
      <c r="M37" s="9"/>
    </row>
    <row r="38" spans="1:21">
      <c r="A38" s="5" t="s">
        <v>513</v>
      </c>
      <c r="C38" s="13">
        <v>14.1</v>
      </c>
      <c r="D38" s="13">
        <v>12.8</v>
      </c>
      <c r="E38" s="13">
        <v>18.7</v>
      </c>
      <c r="F38" s="13">
        <v>20</v>
      </c>
      <c r="G38" s="13">
        <v>73.3</v>
      </c>
      <c r="H38" s="13">
        <v>-24.1</v>
      </c>
      <c r="I38" s="13">
        <v>-46</v>
      </c>
      <c r="J38" s="13">
        <v>-30</v>
      </c>
      <c r="K38" s="13">
        <v>-20</v>
      </c>
      <c r="L38" s="13">
        <v>-84</v>
      </c>
      <c r="M38" s="9"/>
    </row>
    <row r="39" spans="1:21">
      <c r="A39" s="5" t="s">
        <v>514</v>
      </c>
      <c r="C39" s="13">
        <v>-430.6</v>
      </c>
      <c r="D39" s="13">
        <v>70.900000000000006</v>
      </c>
      <c r="E39" s="13">
        <v>-61.8</v>
      </c>
      <c r="F39" s="13">
        <v>91.2</v>
      </c>
      <c r="G39" s="13">
        <v>-937.2</v>
      </c>
      <c r="H39" s="13">
        <v>-226.8</v>
      </c>
      <c r="I39" s="13">
        <v>-220</v>
      </c>
      <c r="J39" s="13">
        <v>-511</v>
      </c>
      <c r="K39" s="13">
        <v>-478</v>
      </c>
      <c r="L39" s="13">
        <v>307</v>
      </c>
      <c r="M39" s="9"/>
    </row>
    <row r="40" spans="1:21">
      <c r="A40" s="10" t="s">
        <v>515</v>
      </c>
      <c r="C40" s="15">
        <v>-538.6</v>
      </c>
      <c r="D40" s="15">
        <v>-36.4</v>
      </c>
      <c r="E40" s="15">
        <v>102.6</v>
      </c>
      <c r="F40" s="15">
        <v>149.69999999999999</v>
      </c>
      <c r="G40" s="15">
        <v>6.4</v>
      </c>
      <c r="H40" s="15">
        <v>-428.3</v>
      </c>
      <c r="I40" s="15">
        <v>-346</v>
      </c>
      <c r="J40" s="15">
        <v>-686</v>
      </c>
      <c r="K40" s="15">
        <v>-574</v>
      </c>
      <c r="L40" s="15">
        <v>-126</v>
      </c>
      <c r="M40" s="16"/>
    </row>
    <row r="41" spans="1:21">
      <c r="A41" s="10" t="s">
        <v>138</v>
      </c>
      <c r="C41" s="15">
        <v>2179.5</v>
      </c>
      <c r="D41" s="15">
        <v>3381.2</v>
      </c>
      <c r="E41" s="15">
        <v>1891.8</v>
      </c>
      <c r="F41" s="15">
        <v>1992.7</v>
      </c>
      <c r="G41" s="15">
        <v>1410.2</v>
      </c>
      <c r="H41" s="15">
        <v>1582.7</v>
      </c>
      <c r="I41" s="15">
        <v>1648</v>
      </c>
      <c r="J41" s="15">
        <v>2053</v>
      </c>
      <c r="K41" s="15">
        <v>2121</v>
      </c>
      <c r="L41" s="15">
        <v>2334</v>
      </c>
      <c r="M41" s="16"/>
    </row>
    <row r="42" spans="1:21">
      <c r="A42" s="17" t="s">
        <v>516</v>
      </c>
      <c r="C42" s="18">
        <f t="shared" ref="C42:L42" si="1">C30/C32</f>
        <v>0.29994174191669093</v>
      </c>
      <c r="D42" s="18">
        <f t="shared" si="1"/>
        <v>0.26150346999475127</v>
      </c>
      <c r="E42" s="18">
        <f t="shared" si="1"/>
        <v>0.28377323729225573</v>
      </c>
      <c r="F42" s="18">
        <f t="shared" si="1"/>
        <v>0.26927825794140753</v>
      </c>
      <c r="G42" s="18">
        <f t="shared" si="1"/>
        <v>0.2264236976240494</v>
      </c>
      <c r="H42" s="18">
        <f t="shared" si="1"/>
        <v>0.26445294098313965</v>
      </c>
      <c r="I42" s="18">
        <f t="shared" si="1"/>
        <v>0.23591054313099041</v>
      </c>
      <c r="J42" s="18">
        <f t="shared" si="1"/>
        <v>0.34831781030222392</v>
      </c>
      <c r="K42" s="18">
        <f t="shared" si="1"/>
        <v>0.31725471242145964</v>
      </c>
      <c r="L42" s="18">
        <f t="shared" si="1"/>
        <v>0.30200972744792143</v>
      </c>
      <c r="M42" s="9"/>
    </row>
    <row r="43" spans="1:21">
      <c r="A43" s="17" t="s">
        <v>517</v>
      </c>
      <c r="C43" s="23">
        <f>C32-'Income Statement'!C39</f>
        <v>0</v>
      </c>
      <c r="D43" s="23">
        <f>D32-'Income Statement'!D39</f>
        <v>0</v>
      </c>
      <c r="E43" s="23">
        <f>E32-'Income Statement'!E39</f>
        <v>0</v>
      </c>
      <c r="F43" s="23">
        <f>F32-'Income Statement'!F39</f>
        <v>0</v>
      </c>
      <c r="G43" s="23">
        <f>G32-'Income Statement'!G39</f>
        <v>0</v>
      </c>
      <c r="H43" s="23">
        <f>H32-'Income Statement'!H39</f>
        <v>0</v>
      </c>
      <c r="I43" s="23">
        <f>I32-'Income Statement'!I39</f>
        <v>0</v>
      </c>
      <c r="J43" s="23">
        <f>J32-'Income Statement'!J39</f>
        <v>0</v>
      </c>
      <c r="K43" s="23">
        <f>K32-'Income Statement'!K39</f>
        <v>0</v>
      </c>
      <c r="L43" s="23">
        <f>L32-'Income Statement'!L39</f>
        <v>0</v>
      </c>
      <c r="M43" s="9"/>
    </row>
    <row r="44" spans="1:21">
      <c r="A44" s="17" t="s">
        <v>518</v>
      </c>
      <c r="C44" s="23">
        <f>C41-'Income Statement'!C40</f>
        <v>0</v>
      </c>
      <c r="D44" s="23">
        <f>D41-'Income Statement'!D40</f>
        <v>0</v>
      </c>
      <c r="E44" s="23">
        <f>E41-'Income Statement'!E40</f>
        <v>0</v>
      </c>
      <c r="F44" s="23">
        <f>F41-'Income Statement'!F40</f>
        <v>0</v>
      </c>
      <c r="G44" s="23">
        <f>G41-'Income Statement'!G40</f>
        <v>0</v>
      </c>
      <c r="H44" s="23">
        <f>H41-'Income Statement'!H40</f>
        <v>0</v>
      </c>
      <c r="I44" s="23">
        <f>I41-'Income Statement'!I40</f>
        <v>0</v>
      </c>
      <c r="J44" s="23">
        <f>J41-'Income Statement'!J40</f>
        <v>0</v>
      </c>
      <c r="K44" s="23">
        <f>K41-'Income Statement'!K40</f>
        <v>0</v>
      </c>
      <c r="L44" s="23">
        <f>L41-'Income Statement'!L40</f>
        <v>0</v>
      </c>
      <c r="M44" s="9"/>
    </row>
    <row r="45" spans="1:21">
      <c r="A45" s="17" t="s">
        <v>519</v>
      </c>
      <c r="C45" s="23">
        <f t="shared" ref="C45:L45" si="2">C36+C40-C41</f>
        <v>0</v>
      </c>
      <c r="D45" s="23">
        <f t="shared" si="2"/>
        <v>0</v>
      </c>
      <c r="E45" s="23">
        <f t="shared" si="2"/>
        <v>0</v>
      </c>
      <c r="F45" s="23">
        <f t="shared" si="2"/>
        <v>0</v>
      </c>
      <c r="G45" s="23">
        <f t="shared" si="2"/>
        <v>0</v>
      </c>
      <c r="H45" s="23">
        <f t="shared" si="2"/>
        <v>0</v>
      </c>
      <c r="I45" s="23">
        <f t="shared" si="2"/>
        <v>0</v>
      </c>
      <c r="J45" s="23">
        <f t="shared" si="2"/>
        <v>1</v>
      </c>
      <c r="K45" s="23">
        <f t="shared" si="2"/>
        <v>0</v>
      </c>
      <c r="L45" s="23">
        <f t="shared" si="2"/>
        <v>0</v>
      </c>
      <c r="M45" s="9"/>
    </row>
    <row r="46" spans="1:21" ht="8" customHeight="1">
      <c r="M46" s="9"/>
    </row>
    <row r="47" spans="1:21" ht="20" customHeight="1">
      <c r="A47" s="12" t="s">
        <v>520</v>
      </c>
      <c r="B47" s="1"/>
      <c r="C47" s="1"/>
      <c r="D47" s="1"/>
      <c r="E47" s="1"/>
      <c r="F47" s="1"/>
      <c r="G47" s="1"/>
      <c r="H47" s="1"/>
      <c r="I47" s="1"/>
      <c r="J47" s="1"/>
      <c r="K47" s="1"/>
      <c r="L47" s="1"/>
      <c r="M47" s="9"/>
      <c r="N47" s="1"/>
      <c r="O47" s="1"/>
      <c r="P47" s="1"/>
      <c r="Q47" s="1"/>
      <c r="R47" s="1"/>
      <c r="S47" s="1"/>
      <c r="T47" s="1"/>
      <c r="U47" s="1"/>
    </row>
    <row r="48" spans="1:21">
      <c r="A48" s="5" t="s">
        <v>521</v>
      </c>
      <c r="C48" s="13">
        <v>-283.39999999999998</v>
      </c>
      <c r="D48" s="13">
        <v>-295.39999999999998</v>
      </c>
      <c r="E48" s="13">
        <v>-304.10000000000002</v>
      </c>
      <c r="F48" s="13">
        <v>-127.5</v>
      </c>
      <c r="G48" s="13">
        <v>-23.3</v>
      </c>
      <c r="H48" s="13">
        <v>-96.6</v>
      </c>
      <c r="I48" s="13">
        <v>-60</v>
      </c>
      <c r="J48" s="13">
        <v>-103</v>
      </c>
      <c r="K48" s="13">
        <v>-94</v>
      </c>
      <c r="L48" s="13">
        <v>-133</v>
      </c>
      <c r="M48" s="9"/>
      <c r="N48">
        <f>'Valuation Driver Build'!C324</f>
        <v>-9</v>
      </c>
      <c r="O48">
        <f>'Valuation Driver Build'!D324</f>
        <v>-72</v>
      </c>
      <c r="P48">
        <f>'Valuation Driver Build'!E324</f>
        <v>-8</v>
      </c>
      <c r="Q48">
        <f>'Valuation Driver Build'!F324</f>
        <v>-7</v>
      </c>
      <c r="R48">
        <f>'Valuation Driver Build'!G324</f>
        <v>-35</v>
      </c>
      <c r="S48">
        <f>'Valuation Driver Build'!H324</f>
        <v>-83</v>
      </c>
      <c r="T48">
        <f>'Valuation Driver Build'!I324</f>
        <v>-30</v>
      </c>
      <c r="U48">
        <f>'Valuation Driver Build'!J324</f>
        <v>-40</v>
      </c>
    </row>
    <row r="49" spans="1:21">
      <c r="A49" s="5" t="s">
        <v>522</v>
      </c>
      <c r="C49" s="13">
        <v>-54.8</v>
      </c>
      <c r="D49" s="13">
        <v>-183.7</v>
      </c>
      <c r="E49" s="13">
        <v>-151.5</v>
      </c>
      <c r="F49" s="13">
        <v>-153.80000000000001</v>
      </c>
      <c r="G49" s="13">
        <v>-117.4</v>
      </c>
      <c r="H49" s="13">
        <v>-176.7</v>
      </c>
      <c r="I49" s="13">
        <v>-113</v>
      </c>
      <c r="J49" s="13">
        <v>-153</v>
      </c>
      <c r="K49" s="13">
        <v>-157</v>
      </c>
      <c r="L49" s="13">
        <v>-190</v>
      </c>
      <c r="M49" s="9"/>
      <c r="N49">
        <f>'Valuation Driver Build'!C325</f>
        <v>-52</v>
      </c>
      <c r="O49">
        <f>'Valuation Driver Build'!D325</f>
        <v>-14</v>
      </c>
      <c r="P49">
        <f>'Valuation Driver Build'!E325</f>
        <v>-62</v>
      </c>
      <c r="Q49">
        <f>'Valuation Driver Build'!F325</f>
        <v>-54</v>
      </c>
      <c r="R49">
        <f>'Valuation Driver Build'!G325</f>
        <v>-63</v>
      </c>
      <c r="S49">
        <f>'Valuation Driver Build'!H325</f>
        <v>-10</v>
      </c>
      <c r="T49">
        <f>'Valuation Driver Build'!I325</f>
        <v>-62</v>
      </c>
      <c r="U49">
        <f>'Valuation Driver Build'!J325</f>
        <v>-60</v>
      </c>
    </row>
    <row r="50" spans="1:21">
      <c r="A50" s="5" t="s">
        <v>523</v>
      </c>
      <c r="C50" s="13">
        <v>72.3</v>
      </c>
      <c r="D50" s="13">
        <v>18.7</v>
      </c>
      <c r="E50" s="13">
        <v>33.700000000000003</v>
      </c>
      <c r="F50" s="13">
        <v>87.2</v>
      </c>
      <c r="G50" s="13">
        <v>290.7</v>
      </c>
      <c r="H50" s="13">
        <v>75.400000000000006</v>
      </c>
      <c r="I50" s="13">
        <v>137</v>
      </c>
      <c r="J50" s="13">
        <v>-7</v>
      </c>
      <c r="K50" s="13">
        <v>100</v>
      </c>
      <c r="L50" s="13">
        <v>97</v>
      </c>
      <c r="M50" s="9"/>
      <c r="N50">
        <f>'Valuation Driver Build'!C326</f>
        <v>2</v>
      </c>
      <c r="O50">
        <f>'Valuation Driver Build'!D326</f>
        <v>93</v>
      </c>
      <c r="P50">
        <f>'Valuation Driver Build'!E326</f>
        <v>11</v>
      </c>
      <c r="Q50">
        <f>'Valuation Driver Build'!F326</f>
        <v>48</v>
      </c>
      <c r="R50">
        <f>'Valuation Driver Build'!G326</f>
        <v>21</v>
      </c>
      <c r="S50">
        <f>'Valuation Driver Build'!H326</f>
        <v>16</v>
      </c>
      <c r="T50">
        <f>'Valuation Driver Build'!I326</f>
        <v>-24</v>
      </c>
      <c r="U50">
        <f>'Valuation Driver Build'!J326</f>
        <v>10</v>
      </c>
    </row>
    <row r="51" spans="1:21">
      <c r="A51" s="5" t="s">
        <v>524</v>
      </c>
      <c r="C51" s="13">
        <v>341.6</v>
      </c>
      <c r="D51" s="13">
        <v>-702.8</v>
      </c>
      <c r="E51" s="13">
        <v>231.7</v>
      </c>
      <c r="F51" s="13">
        <v>74.3</v>
      </c>
      <c r="G51" s="13">
        <v>-267.5</v>
      </c>
      <c r="H51" s="13">
        <v>-285.39999999999998</v>
      </c>
      <c r="I51" s="13">
        <v>1010</v>
      </c>
      <c r="J51" s="13">
        <v>362</v>
      </c>
      <c r="K51" s="13">
        <v>291</v>
      </c>
      <c r="L51" s="13">
        <v>229</v>
      </c>
      <c r="M51" s="9"/>
      <c r="N51">
        <f>'Valuation Driver Build'!C327</f>
        <v>98</v>
      </c>
      <c r="O51">
        <f>'Valuation Driver Build'!D327</f>
        <v>4</v>
      </c>
      <c r="P51">
        <f>'Valuation Driver Build'!E327</f>
        <v>66</v>
      </c>
      <c r="Q51">
        <f>'Valuation Driver Build'!F327</f>
        <v>43</v>
      </c>
      <c r="R51">
        <f>'Valuation Driver Build'!G327</f>
        <v>39</v>
      </c>
      <c r="S51">
        <f>'Valuation Driver Build'!H327</f>
        <v>81</v>
      </c>
      <c r="T51">
        <f>'Valuation Driver Build'!I327</f>
        <v>47</v>
      </c>
      <c r="U51">
        <f>'Valuation Driver Build'!J327</f>
        <v>52</v>
      </c>
    </row>
    <row r="52" spans="1:21">
      <c r="A52" s="10" t="s">
        <v>131</v>
      </c>
      <c r="C52" s="15">
        <v>75.7</v>
      </c>
      <c r="D52" s="15">
        <v>-1163.2</v>
      </c>
      <c r="E52" s="15">
        <v>-190.2</v>
      </c>
      <c r="F52" s="15">
        <v>-119.8</v>
      </c>
      <c r="G52" s="15">
        <v>-117.5</v>
      </c>
      <c r="H52" s="15">
        <v>-483.3</v>
      </c>
      <c r="I52" s="15">
        <v>974</v>
      </c>
      <c r="J52" s="15">
        <v>99</v>
      </c>
      <c r="K52" s="15">
        <v>139</v>
      </c>
      <c r="L52" s="15">
        <v>2</v>
      </c>
      <c r="M52" s="16"/>
    </row>
    <row r="53" spans="1:21">
      <c r="A53" s="17" t="s">
        <v>525</v>
      </c>
      <c r="C53" s="23">
        <f t="shared" ref="C53:L53" si="3">C48+C49+C50+C51-C52</f>
        <v>0</v>
      </c>
      <c r="D53" s="23">
        <f t="shared" si="3"/>
        <v>0</v>
      </c>
      <c r="E53" s="23">
        <f t="shared" si="3"/>
        <v>0</v>
      </c>
      <c r="F53" s="23">
        <f t="shared" si="3"/>
        <v>0</v>
      </c>
      <c r="G53" s="23">
        <f t="shared" si="3"/>
        <v>0</v>
      </c>
      <c r="H53" s="23">
        <f t="shared" si="3"/>
        <v>0</v>
      </c>
      <c r="I53" s="23">
        <f t="shared" si="3"/>
        <v>0</v>
      </c>
      <c r="J53" s="23">
        <f t="shared" si="3"/>
        <v>0</v>
      </c>
      <c r="K53" s="23">
        <f t="shared" si="3"/>
        <v>1</v>
      </c>
      <c r="L53" s="23">
        <f t="shared" si="3"/>
        <v>1</v>
      </c>
      <c r="M53" s="9"/>
    </row>
    <row r="54" spans="1:21">
      <c r="A54" s="17" t="s">
        <v>526</v>
      </c>
      <c r="C54" s="23">
        <f>C52-'Income Statement'!C31</f>
        <v>0</v>
      </c>
      <c r="D54" s="23">
        <f>D52-'Income Statement'!D31</f>
        <v>0</v>
      </c>
      <c r="E54" s="23">
        <f>E52-'Income Statement'!E31</f>
        <v>0</v>
      </c>
      <c r="F54" s="23">
        <f>F52-'Income Statement'!F31</f>
        <v>0</v>
      </c>
      <c r="G54" s="23">
        <f>G52-'Income Statement'!G31</f>
        <v>0</v>
      </c>
      <c r="H54" s="23">
        <f>H52-'Income Statement'!H31</f>
        <v>0</v>
      </c>
      <c r="I54" s="23">
        <f>I52-'Income Statement'!I31</f>
        <v>0</v>
      </c>
      <c r="J54" s="23">
        <f>J52-'Income Statement'!J31</f>
        <v>0</v>
      </c>
      <c r="K54" s="23">
        <f>K52-'Income Statement'!K31</f>
        <v>0</v>
      </c>
      <c r="L54" s="23">
        <f>L52-'Income Statement'!L31</f>
        <v>0</v>
      </c>
      <c r="M54" s="9"/>
    </row>
    <row r="55" spans="1:21" ht="8" customHeight="1">
      <c r="M55" s="9"/>
    </row>
    <row r="56" spans="1:21" ht="20" customHeight="1">
      <c r="A56" s="12" t="s">
        <v>527</v>
      </c>
      <c r="B56" s="1"/>
      <c r="C56" s="1"/>
      <c r="D56" s="1"/>
      <c r="E56" s="1"/>
      <c r="F56" s="1"/>
      <c r="G56" s="1"/>
      <c r="H56" s="1"/>
      <c r="I56" s="1"/>
      <c r="J56" s="1"/>
      <c r="K56" s="1"/>
      <c r="L56" s="1"/>
      <c r="M56" s="9"/>
      <c r="N56" s="1"/>
      <c r="O56" s="1"/>
      <c r="P56" s="1"/>
      <c r="Q56" s="1"/>
      <c r="R56" s="1"/>
      <c r="S56" s="1"/>
      <c r="T56" s="1"/>
      <c r="U56" s="1"/>
    </row>
    <row r="57" spans="1:21">
      <c r="A57" s="5" t="s">
        <v>528</v>
      </c>
      <c r="C57" s="13">
        <v>-4</v>
      </c>
      <c r="D57" s="13">
        <v>-7</v>
      </c>
      <c r="E57" s="13">
        <v>-4</v>
      </c>
      <c r="F57" s="13">
        <v>-37</v>
      </c>
      <c r="G57" s="13">
        <v>-18</v>
      </c>
      <c r="H57" s="13">
        <v>-9</v>
      </c>
      <c r="I57" s="13">
        <v>-44</v>
      </c>
      <c r="J57" s="13">
        <v>-187</v>
      </c>
      <c r="K57" s="13">
        <v>-103</v>
      </c>
      <c r="L57" s="13">
        <v>-82</v>
      </c>
      <c r="M57" s="9"/>
    </row>
    <row r="58" spans="1:21">
      <c r="A58" s="5" t="s">
        <v>529</v>
      </c>
      <c r="C58" s="13">
        <v>-24</v>
      </c>
      <c r="D58" s="13">
        <v>26</v>
      </c>
      <c r="E58" s="13">
        <v>5</v>
      </c>
      <c r="F58" s="13">
        <v>-48</v>
      </c>
      <c r="G58" s="13">
        <v>-3</v>
      </c>
      <c r="H58" s="13">
        <v>37</v>
      </c>
      <c r="I58" s="13">
        <v>-134</v>
      </c>
      <c r="J58" s="13">
        <v>-19</v>
      </c>
      <c r="K58" s="13">
        <v>6</v>
      </c>
      <c r="L58" s="13">
        <v>40</v>
      </c>
      <c r="M58" s="9"/>
    </row>
    <row r="59" spans="1:21">
      <c r="A59" s="5" t="s">
        <v>530</v>
      </c>
      <c r="C59" s="13">
        <v>22</v>
      </c>
      <c r="D59" s="13">
        <v>39</v>
      </c>
      <c r="E59" s="13">
        <v>25</v>
      </c>
      <c r="F59" s="13">
        <v>15</v>
      </c>
      <c r="G59" s="13">
        <v>-14</v>
      </c>
      <c r="H59" s="13">
        <v>14</v>
      </c>
      <c r="I59" s="13">
        <v>517</v>
      </c>
      <c r="J59" s="13">
        <v>-31</v>
      </c>
      <c r="K59" s="13">
        <v>-42</v>
      </c>
      <c r="L59" s="13">
        <v>-45</v>
      </c>
      <c r="M59" s="9"/>
    </row>
    <row r="60" spans="1:21">
      <c r="A60" s="10" t="s">
        <v>136</v>
      </c>
      <c r="C60" s="15">
        <v>-6</v>
      </c>
      <c r="D60" s="15">
        <v>58</v>
      </c>
      <c r="E60" s="15">
        <v>26</v>
      </c>
      <c r="F60" s="15">
        <v>-70</v>
      </c>
      <c r="G60" s="15">
        <v>-35</v>
      </c>
      <c r="H60" s="15">
        <v>42</v>
      </c>
      <c r="I60" s="15">
        <v>339</v>
      </c>
      <c r="J60" s="15">
        <v>-236</v>
      </c>
      <c r="K60" s="15">
        <v>-139</v>
      </c>
      <c r="L60" s="15">
        <v>-87</v>
      </c>
      <c r="M60" s="16"/>
    </row>
    <row r="61" spans="1:21">
      <c r="A61" s="17" t="s">
        <v>525</v>
      </c>
      <c r="C61" s="23">
        <f t="shared" ref="C61:L61" si="4">C57+C58+C59-C60</f>
        <v>0</v>
      </c>
      <c r="D61" s="23">
        <f t="shared" si="4"/>
        <v>0</v>
      </c>
      <c r="E61" s="23">
        <f t="shared" si="4"/>
        <v>0</v>
      </c>
      <c r="F61" s="23">
        <f t="shared" si="4"/>
        <v>0</v>
      </c>
      <c r="G61" s="23">
        <f t="shared" si="4"/>
        <v>0</v>
      </c>
      <c r="H61" s="23">
        <f t="shared" si="4"/>
        <v>0</v>
      </c>
      <c r="I61" s="23">
        <f t="shared" si="4"/>
        <v>0</v>
      </c>
      <c r="J61" s="23">
        <f t="shared" si="4"/>
        <v>-1</v>
      </c>
      <c r="K61" s="23">
        <f t="shared" si="4"/>
        <v>0</v>
      </c>
      <c r="L61" s="23">
        <f t="shared" si="4"/>
        <v>0</v>
      </c>
      <c r="M61" s="9"/>
    </row>
    <row r="62" spans="1:21">
      <c r="A62" s="17" t="s">
        <v>526</v>
      </c>
      <c r="C62" s="23">
        <f>C60-'Income Statement'!C38</f>
        <v>0.29999999999999982</v>
      </c>
      <c r="D62" s="23">
        <f>D60-'Income Statement'!D38</f>
        <v>0.10000000000000142</v>
      </c>
      <c r="E62" s="23">
        <f>E60-'Income Statement'!E38</f>
        <v>0.69999999999999929</v>
      </c>
      <c r="F62" s="23">
        <f>F60-'Income Statement'!F38</f>
        <v>0.20000000000000284</v>
      </c>
      <c r="G62" s="23">
        <f>G60-'Income Statement'!G38</f>
        <v>-0.20000000000000284</v>
      </c>
      <c r="H62" s="23">
        <f>H60-'Income Statement'!H38</f>
        <v>-0.29999999999999716</v>
      </c>
      <c r="I62" s="23">
        <f>I60-'Income Statement'!I38</f>
        <v>0</v>
      </c>
      <c r="J62" s="23">
        <f>J60-'Income Statement'!J38</f>
        <v>0</v>
      </c>
      <c r="K62" s="23">
        <f>K60-'Income Statement'!K38</f>
        <v>0</v>
      </c>
      <c r="L62" s="23">
        <f>L60-'Income Statement'!L38</f>
        <v>0</v>
      </c>
      <c r="M62" s="9"/>
    </row>
    <row r="63" spans="1:21" ht="8" customHeight="1">
      <c r="M63" s="9"/>
    </row>
    <row r="64" spans="1:21" ht="20" customHeight="1">
      <c r="A64" s="12" t="s">
        <v>531</v>
      </c>
      <c r="B64" s="1"/>
      <c r="C64" s="1"/>
      <c r="D64" s="1"/>
      <c r="E64" s="1"/>
      <c r="F64" s="1"/>
      <c r="G64" s="1"/>
      <c r="H64" s="1"/>
      <c r="I64" s="1"/>
      <c r="J64" s="1"/>
      <c r="K64" s="1"/>
      <c r="L64" s="1"/>
      <c r="M64" s="9"/>
      <c r="N64" s="1"/>
      <c r="O64" s="1"/>
      <c r="P64" s="1"/>
      <c r="Q64" s="1"/>
      <c r="R64" s="1"/>
      <c r="S64" s="1"/>
      <c r="T64" s="1"/>
      <c r="U64" s="1"/>
    </row>
    <row r="65" spans="1:21">
      <c r="A65" s="5" t="s">
        <v>279</v>
      </c>
      <c r="F65" s="13">
        <v>1615.8</v>
      </c>
      <c r="G65" s="13">
        <v>1625.5</v>
      </c>
      <c r="H65" s="13">
        <v>1673.4</v>
      </c>
      <c r="I65" s="13">
        <v>1815.2</v>
      </c>
      <c r="J65" s="13">
        <v>1833</v>
      </c>
      <c r="K65" s="13">
        <v>1851</v>
      </c>
      <c r="L65" s="13">
        <v>1850</v>
      </c>
      <c r="M65" s="9"/>
    </row>
    <row r="66" spans="1:21">
      <c r="A66" s="5" t="s">
        <v>280</v>
      </c>
      <c r="F66" s="13">
        <v>1061.5999999999999</v>
      </c>
      <c r="G66" s="13">
        <v>1147.5999999999999</v>
      </c>
      <c r="H66" s="13">
        <v>1109.0999999999999</v>
      </c>
      <c r="I66" s="13">
        <v>1085.2</v>
      </c>
      <c r="J66" s="13">
        <v>1207</v>
      </c>
      <c r="K66" s="13">
        <v>1132</v>
      </c>
      <c r="L66" s="13">
        <v>1319</v>
      </c>
      <c r="M66" s="9"/>
    </row>
    <row r="67" spans="1:21">
      <c r="A67" s="5" t="s">
        <v>281</v>
      </c>
      <c r="F67" s="13">
        <v>0</v>
      </c>
      <c r="G67" s="13">
        <v>0</v>
      </c>
      <c r="H67" s="13">
        <v>0</v>
      </c>
      <c r="I67" s="13">
        <v>0</v>
      </c>
      <c r="J67" s="13">
        <v>0</v>
      </c>
      <c r="K67" s="13">
        <v>162</v>
      </c>
      <c r="L67" s="13">
        <v>185</v>
      </c>
      <c r="M67" s="9"/>
    </row>
    <row r="68" spans="1:21">
      <c r="A68" s="10" t="s">
        <v>532</v>
      </c>
      <c r="C68" s="27">
        <f t="shared" ref="C68:L68" si="5">C65+C66+C67</f>
        <v>0</v>
      </c>
      <c r="D68" s="27">
        <f t="shared" si="5"/>
        <v>0</v>
      </c>
      <c r="E68" s="27">
        <f t="shared" si="5"/>
        <v>0</v>
      </c>
      <c r="F68" s="27">
        <f t="shared" si="5"/>
        <v>2677.3999999999996</v>
      </c>
      <c r="G68" s="27">
        <f t="shared" si="5"/>
        <v>2773.1</v>
      </c>
      <c r="H68" s="27">
        <f t="shared" si="5"/>
        <v>2782.5</v>
      </c>
      <c r="I68" s="27">
        <f t="shared" si="5"/>
        <v>2900.4</v>
      </c>
      <c r="J68" s="27">
        <f t="shared" si="5"/>
        <v>3040</v>
      </c>
      <c r="K68" s="27">
        <f t="shared" si="5"/>
        <v>3145</v>
      </c>
      <c r="L68" s="27">
        <f t="shared" si="5"/>
        <v>3354</v>
      </c>
      <c r="M68" s="16"/>
    </row>
    <row r="69" spans="1:21">
      <c r="A69" s="17" t="s">
        <v>533</v>
      </c>
      <c r="F69" s="23">
        <f>F68-'Balance Sheet'!F22</f>
        <v>0</v>
      </c>
      <c r="G69" s="23">
        <f>G68-'Balance Sheet'!G22</f>
        <v>0</v>
      </c>
      <c r="H69" s="23">
        <f>H68-'Balance Sheet'!H22</f>
        <v>0</v>
      </c>
      <c r="I69" s="23">
        <f>I68-'Balance Sheet'!I22</f>
        <v>0</v>
      </c>
      <c r="J69" s="23">
        <f>J68-'Balance Sheet'!J22</f>
        <v>0</v>
      </c>
      <c r="K69" s="23">
        <f>K68-'Balance Sheet'!K22</f>
        <v>0</v>
      </c>
      <c r="L69" s="23">
        <f>L68-'Balance Sheet'!L22</f>
        <v>0</v>
      </c>
      <c r="M69" s="9"/>
    </row>
    <row r="70" spans="1:21" ht="8" customHeight="1">
      <c r="M70" s="9"/>
    </row>
    <row r="71" spans="1:21" ht="20" customHeight="1">
      <c r="A71" s="12" t="s">
        <v>534</v>
      </c>
      <c r="B71" s="1"/>
      <c r="C71" s="1"/>
      <c r="D71" s="1"/>
      <c r="E71" s="1"/>
      <c r="F71" s="1"/>
      <c r="G71" s="1"/>
      <c r="H71" s="1"/>
      <c r="I71" s="1"/>
      <c r="J71" s="1"/>
      <c r="K71" s="1"/>
      <c r="L71" s="1"/>
      <c r="M71" s="9"/>
      <c r="N71" s="1"/>
      <c r="O71" s="1"/>
      <c r="P71" s="1"/>
      <c r="Q71" s="1"/>
      <c r="R71" s="1"/>
      <c r="S71" s="1"/>
      <c r="T71" s="1"/>
      <c r="U71" s="1"/>
    </row>
    <row r="72" spans="1:21">
      <c r="A72" s="5" t="s">
        <v>535</v>
      </c>
      <c r="C72" s="13">
        <v>17139.5</v>
      </c>
      <c r="D72" s="13">
        <v>17283.3</v>
      </c>
      <c r="E72" s="13">
        <v>19425.7</v>
      </c>
      <c r="F72" s="13">
        <v>21389.5</v>
      </c>
      <c r="G72" s="13">
        <v>23884.5</v>
      </c>
      <c r="H72" s="13">
        <v>22983.7</v>
      </c>
      <c r="I72" s="13">
        <v>23132</v>
      </c>
      <c r="J72" s="13">
        <v>24480</v>
      </c>
      <c r="K72" s="13">
        <v>25424</v>
      </c>
      <c r="L72" s="13">
        <v>24531</v>
      </c>
      <c r="M72" s="9"/>
    </row>
    <row r="73" spans="1:21">
      <c r="A73" s="5" t="s">
        <v>536</v>
      </c>
      <c r="C73" s="13">
        <v>7298.4</v>
      </c>
      <c r="D73" s="13">
        <v>9770</v>
      </c>
      <c r="E73" s="13">
        <v>9333.2000000000007</v>
      </c>
      <c r="F73" s="13">
        <v>9008.7999999999993</v>
      </c>
      <c r="G73" s="13">
        <v>9820.4</v>
      </c>
      <c r="H73" s="13">
        <v>9023.4</v>
      </c>
      <c r="I73" s="13">
        <v>9025.2999999999993</v>
      </c>
      <c r="J73" s="13">
        <v>11112</v>
      </c>
      <c r="K73" s="13">
        <v>9186</v>
      </c>
      <c r="L73" s="13">
        <v>11486</v>
      </c>
      <c r="M73" s="9"/>
    </row>
    <row r="74" spans="1:21">
      <c r="A74" s="5" t="s">
        <v>537</v>
      </c>
      <c r="C74" s="13">
        <v>921.3</v>
      </c>
      <c r="D74" s="13">
        <v>1008.9</v>
      </c>
      <c r="E74" s="13">
        <v>952.3</v>
      </c>
      <c r="F74" s="13">
        <v>1386.3</v>
      </c>
      <c r="G74" s="13">
        <v>1156.4000000000001</v>
      </c>
      <c r="H74" s="13">
        <v>1145</v>
      </c>
      <c r="I74" s="13">
        <v>1504.1</v>
      </c>
      <c r="J74" s="13">
        <v>1585</v>
      </c>
      <c r="K74" s="13">
        <v>1559</v>
      </c>
      <c r="L74" s="13">
        <v>1679</v>
      </c>
      <c r="M74" s="9"/>
    </row>
    <row r="75" spans="1:21">
      <c r="A75" s="5" t="s">
        <v>538</v>
      </c>
      <c r="C75" s="13">
        <v>0</v>
      </c>
      <c r="D75" s="13">
        <v>793.8</v>
      </c>
      <c r="E75" s="13">
        <v>732</v>
      </c>
      <c r="F75" s="13">
        <v>768.6</v>
      </c>
      <c r="G75" s="13">
        <v>784.9</v>
      </c>
      <c r="H75" s="13">
        <v>790.6</v>
      </c>
      <c r="I75" s="13">
        <v>737.3</v>
      </c>
      <c r="J75" s="13">
        <v>755</v>
      </c>
      <c r="K75" s="13">
        <v>1390</v>
      </c>
      <c r="L75" s="13">
        <v>1275</v>
      </c>
      <c r="M75" s="9"/>
    </row>
    <row r="76" spans="1:21">
      <c r="A76" s="5" t="s">
        <v>539</v>
      </c>
      <c r="E76" s="13">
        <v>0</v>
      </c>
      <c r="F76" s="13">
        <v>981.6</v>
      </c>
      <c r="G76" s="13">
        <v>1075.9000000000001</v>
      </c>
      <c r="H76" s="13">
        <v>1015.8</v>
      </c>
      <c r="I76" s="13">
        <v>953.1</v>
      </c>
      <c r="J76" s="13">
        <v>953</v>
      </c>
      <c r="K76" s="13">
        <v>371</v>
      </c>
      <c r="L76" s="13">
        <v>400</v>
      </c>
      <c r="M76" s="9"/>
    </row>
    <row r="77" spans="1:21">
      <c r="A77" s="5" t="s">
        <v>540</v>
      </c>
      <c r="C77" s="13">
        <v>106.9</v>
      </c>
      <c r="D77" s="13">
        <v>110.9</v>
      </c>
      <c r="E77" s="13">
        <v>114</v>
      </c>
      <c r="F77" s="13">
        <v>115.1</v>
      </c>
      <c r="G77" s="13">
        <v>121.1</v>
      </c>
      <c r="H77" s="13">
        <v>108.6</v>
      </c>
      <c r="I77" s="13">
        <v>95.3</v>
      </c>
      <c r="J77" s="13">
        <v>89</v>
      </c>
      <c r="K77" s="13">
        <v>79</v>
      </c>
      <c r="L77" s="13">
        <v>80</v>
      </c>
      <c r="M77" s="9"/>
    </row>
    <row r="78" spans="1:21">
      <c r="A78" s="5" t="s">
        <v>541</v>
      </c>
      <c r="C78" s="13">
        <v>0</v>
      </c>
      <c r="M78" s="9"/>
    </row>
    <row r="79" spans="1:21">
      <c r="A79" s="5" t="s">
        <v>542</v>
      </c>
      <c r="C79" s="13">
        <v>599.6</v>
      </c>
      <c r="D79" s="13">
        <v>696.2</v>
      </c>
      <c r="E79" s="13">
        <v>659.1</v>
      </c>
      <c r="F79" s="13">
        <v>655.6</v>
      </c>
      <c r="G79" s="13">
        <v>717.6</v>
      </c>
      <c r="H79" s="13">
        <v>695.3</v>
      </c>
      <c r="I79" s="13">
        <v>695.3</v>
      </c>
      <c r="J79" s="13">
        <v>593</v>
      </c>
      <c r="K79" s="13">
        <v>607</v>
      </c>
      <c r="L79" s="13">
        <v>694</v>
      </c>
      <c r="M79" s="9"/>
    </row>
    <row r="80" spans="1:21">
      <c r="A80" s="10" t="s">
        <v>543</v>
      </c>
      <c r="C80" s="27">
        <f t="shared" ref="C80:L80" si="6">C72+C73+C74+C75+C76+C77+C78+C79</f>
        <v>26065.7</v>
      </c>
      <c r="D80" s="27">
        <f t="shared" si="6"/>
        <v>29663.100000000002</v>
      </c>
      <c r="E80" s="27">
        <f t="shared" si="6"/>
        <v>31216.3</v>
      </c>
      <c r="F80" s="27">
        <f t="shared" si="6"/>
        <v>34305.499999999993</v>
      </c>
      <c r="G80" s="27">
        <f t="shared" si="6"/>
        <v>37560.800000000003</v>
      </c>
      <c r="H80" s="27">
        <f t="shared" si="6"/>
        <v>35762.400000000001</v>
      </c>
      <c r="I80" s="27">
        <f t="shared" si="6"/>
        <v>36142.400000000009</v>
      </c>
      <c r="J80" s="27">
        <f t="shared" si="6"/>
        <v>39567</v>
      </c>
      <c r="K80" s="27">
        <f t="shared" si="6"/>
        <v>38616</v>
      </c>
      <c r="L80" s="27">
        <f t="shared" si="6"/>
        <v>40145</v>
      </c>
      <c r="M80" s="16"/>
    </row>
    <row r="81" spans="1:21">
      <c r="A81" s="5" t="s">
        <v>544</v>
      </c>
      <c r="C81" s="13">
        <v>0</v>
      </c>
      <c r="D81" s="13">
        <v>-6.2</v>
      </c>
      <c r="E81" s="13">
        <v>-12</v>
      </c>
      <c r="F81" s="13">
        <v>12.1</v>
      </c>
      <c r="G81" s="13">
        <v>35.799999999999997</v>
      </c>
      <c r="H81" s="13">
        <v>4.8</v>
      </c>
      <c r="I81" s="13">
        <v>-91.5</v>
      </c>
      <c r="J81" s="13">
        <v>-62</v>
      </c>
      <c r="K81" s="13">
        <v>-40</v>
      </c>
      <c r="L81" s="13">
        <v>-15</v>
      </c>
      <c r="M81" s="9"/>
    </row>
    <row r="82" spans="1:21">
      <c r="A82" s="5" t="s">
        <v>545</v>
      </c>
      <c r="C82" s="13">
        <v>-110</v>
      </c>
      <c r="D82" s="13">
        <v>-120.5</v>
      </c>
      <c r="E82" s="13">
        <v>-129</v>
      </c>
      <c r="F82" s="13">
        <v>-140.4</v>
      </c>
      <c r="G82" s="13">
        <v>-156.19999999999999</v>
      </c>
      <c r="H82" s="13">
        <v>-144.5</v>
      </c>
      <c r="I82" s="13">
        <v>-147.4</v>
      </c>
      <c r="J82" s="13">
        <v>-160</v>
      </c>
      <c r="K82" s="13">
        <v>-152</v>
      </c>
      <c r="L82" s="13">
        <v>-157</v>
      </c>
      <c r="M82" s="9"/>
    </row>
    <row r="83" spans="1:21">
      <c r="A83" s="10" t="s">
        <v>546</v>
      </c>
      <c r="C83" s="27">
        <f t="shared" ref="C83:L83" si="7">C80+C81+C82</f>
        <v>25955.7</v>
      </c>
      <c r="D83" s="27">
        <f t="shared" si="7"/>
        <v>29536.400000000001</v>
      </c>
      <c r="E83" s="27">
        <f t="shared" si="7"/>
        <v>31075.3</v>
      </c>
      <c r="F83" s="27">
        <f t="shared" si="7"/>
        <v>34177.19999999999</v>
      </c>
      <c r="G83" s="27">
        <f t="shared" si="7"/>
        <v>37440.400000000009</v>
      </c>
      <c r="H83" s="27">
        <f t="shared" si="7"/>
        <v>35622.700000000004</v>
      </c>
      <c r="I83" s="27">
        <f t="shared" si="7"/>
        <v>35903.500000000007</v>
      </c>
      <c r="J83" s="27">
        <f t="shared" si="7"/>
        <v>39345</v>
      </c>
      <c r="K83" s="27">
        <f t="shared" si="7"/>
        <v>38424</v>
      </c>
      <c r="L83" s="27">
        <f t="shared" si="7"/>
        <v>39973</v>
      </c>
      <c r="M83" s="16"/>
    </row>
    <row r="84" spans="1:21">
      <c r="A84" s="17" t="s">
        <v>547</v>
      </c>
      <c r="C84" s="18">
        <f t="shared" ref="C84:L84" si="8">1-C72/C80</f>
        <v>0.34245003970735488</v>
      </c>
      <c r="D84" s="18">
        <f t="shared" si="8"/>
        <v>0.41734680461583595</v>
      </c>
      <c r="E84" s="18">
        <f t="shared" si="8"/>
        <v>0.37770651870977656</v>
      </c>
      <c r="F84" s="18">
        <f t="shared" si="8"/>
        <v>0.37649939514072073</v>
      </c>
      <c r="G84" s="18">
        <f t="shared" si="8"/>
        <v>0.36411098805137276</v>
      </c>
      <c r="H84" s="18">
        <f t="shared" si="8"/>
        <v>0.3573222155112632</v>
      </c>
      <c r="I84" s="18">
        <f t="shared" si="8"/>
        <v>0.35997609455929891</v>
      </c>
      <c r="J84" s="18">
        <f t="shared" si="8"/>
        <v>0.38130260065205857</v>
      </c>
      <c r="K84" s="18">
        <f t="shared" si="8"/>
        <v>0.34162005386368344</v>
      </c>
      <c r="L84" s="18">
        <f t="shared" si="8"/>
        <v>0.38894009216589864</v>
      </c>
      <c r="M84" s="9"/>
    </row>
    <row r="85" spans="1:21">
      <c r="A85" s="5" t="s">
        <v>548</v>
      </c>
      <c r="C85" s="13">
        <v>27500</v>
      </c>
      <c r="D85" s="13">
        <v>31800</v>
      </c>
      <c r="E85" s="13">
        <v>31700</v>
      </c>
      <c r="F85" s="13">
        <v>37600</v>
      </c>
      <c r="G85" s="13">
        <v>43700</v>
      </c>
      <c r="H85" s="13">
        <v>40000</v>
      </c>
      <c r="I85" s="13">
        <v>33500</v>
      </c>
      <c r="J85" s="13">
        <v>38400</v>
      </c>
      <c r="K85" s="13">
        <v>36600</v>
      </c>
      <c r="L85" s="13">
        <v>38700</v>
      </c>
      <c r="M85" s="9"/>
    </row>
    <row r="86" spans="1:21">
      <c r="A86" s="17" t="s">
        <v>549</v>
      </c>
      <c r="C86" s="18">
        <f t="shared" ref="C86:L86" si="9">C85/C83</f>
        <v>1.0594975284812198</v>
      </c>
      <c r="D86" s="18">
        <f t="shared" si="9"/>
        <v>1.0766376403353151</v>
      </c>
      <c r="E86" s="18">
        <f t="shared" si="9"/>
        <v>1.0201027825958238</v>
      </c>
      <c r="F86" s="18">
        <f t="shared" si="9"/>
        <v>1.1001486371030984</v>
      </c>
      <c r="G86" s="18">
        <f t="shared" si="9"/>
        <v>1.1671883847394791</v>
      </c>
      <c r="H86" s="18">
        <f t="shared" si="9"/>
        <v>1.1228795122211397</v>
      </c>
      <c r="I86" s="18">
        <f t="shared" si="9"/>
        <v>0.93305666578467261</v>
      </c>
      <c r="J86" s="18">
        <f t="shared" si="9"/>
        <v>0.9759817003431186</v>
      </c>
      <c r="K86" s="18">
        <f t="shared" si="9"/>
        <v>0.95252966895690194</v>
      </c>
      <c r="L86" s="18">
        <f t="shared" si="9"/>
        <v>0.96815350361494013</v>
      </c>
      <c r="M86" s="9"/>
    </row>
    <row r="87" spans="1:21">
      <c r="A87" s="5" t="s">
        <v>550</v>
      </c>
      <c r="C87" s="13">
        <v>77.2</v>
      </c>
      <c r="D87" s="13">
        <v>2024.6</v>
      </c>
      <c r="E87" s="13">
        <v>0</v>
      </c>
      <c r="F87" s="13">
        <v>59.1</v>
      </c>
      <c r="G87" s="13">
        <v>2243.6</v>
      </c>
      <c r="H87" s="13">
        <v>0</v>
      </c>
      <c r="I87" s="13">
        <v>0</v>
      </c>
      <c r="J87" s="13">
        <v>2192.4</v>
      </c>
      <c r="K87" s="13">
        <v>0</v>
      </c>
      <c r="L87" s="13">
        <v>0</v>
      </c>
      <c r="M87" s="9"/>
    </row>
    <row r="88" spans="1:21">
      <c r="A88" s="17" t="s">
        <v>551</v>
      </c>
      <c r="C88" s="23">
        <f>C83-'Balance Sheet'!C69</f>
        <v>0</v>
      </c>
      <c r="D88" s="23">
        <f>D83-'Balance Sheet'!D69</f>
        <v>0</v>
      </c>
      <c r="E88" s="23">
        <f>E83-'Balance Sheet'!E69</f>
        <v>0</v>
      </c>
      <c r="F88" s="23">
        <f>F83-'Balance Sheet'!F69</f>
        <v>0</v>
      </c>
      <c r="G88" s="23">
        <f>G83-'Balance Sheet'!G69</f>
        <v>0</v>
      </c>
      <c r="H88" s="23">
        <f>H83-'Balance Sheet'!H69</f>
        <v>0</v>
      </c>
      <c r="I88" s="23">
        <f>I83-'Balance Sheet'!I69</f>
        <v>0</v>
      </c>
      <c r="J88" s="23">
        <f>J83-'Balance Sheet'!J69</f>
        <v>0</v>
      </c>
      <c r="K88" s="23">
        <f>K83-'Balance Sheet'!K69</f>
        <v>0</v>
      </c>
      <c r="L88" s="23">
        <f>L83-'Balance Sheet'!L69</f>
        <v>0</v>
      </c>
      <c r="M88" s="9"/>
    </row>
    <row r="89" spans="1:21">
      <c r="A89" s="5" t="s">
        <v>552</v>
      </c>
      <c r="C89" s="13">
        <v>26065.7</v>
      </c>
      <c r="D89" s="13">
        <v>29663.1</v>
      </c>
      <c r="E89" s="13">
        <v>31216.3</v>
      </c>
      <c r="F89" s="13">
        <v>34305.5</v>
      </c>
      <c r="G89" s="13">
        <v>37560.800000000003</v>
      </c>
      <c r="H89" s="13">
        <v>35762.400000000001</v>
      </c>
      <c r="I89" s="13">
        <v>36142.399999999987</v>
      </c>
      <c r="J89" s="13">
        <v>39567.1</v>
      </c>
      <c r="K89" s="13">
        <v>38616</v>
      </c>
      <c r="L89" s="13">
        <v>40145</v>
      </c>
      <c r="M89" s="9"/>
    </row>
    <row r="90" spans="1:21">
      <c r="A90" s="17" t="s">
        <v>553</v>
      </c>
      <c r="C90" s="23">
        <f t="shared" ref="C90:L90" si="10">C80-C89</f>
        <v>0</v>
      </c>
      <c r="D90" s="23">
        <f t="shared" si="10"/>
        <v>0</v>
      </c>
      <c r="E90" s="23">
        <f t="shared" si="10"/>
        <v>0</v>
      </c>
      <c r="F90" s="23">
        <f t="shared" si="10"/>
        <v>0</v>
      </c>
      <c r="G90" s="23">
        <f t="shared" si="10"/>
        <v>0</v>
      </c>
      <c r="H90" s="23">
        <f t="shared" si="10"/>
        <v>0</v>
      </c>
      <c r="I90" s="23">
        <f t="shared" si="10"/>
        <v>0</v>
      </c>
      <c r="J90" s="23">
        <f t="shared" si="10"/>
        <v>-9.9999999998544808E-2</v>
      </c>
      <c r="K90" s="23">
        <f t="shared" si="10"/>
        <v>0</v>
      </c>
      <c r="L90" s="23">
        <f t="shared" si="10"/>
        <v>0</v>
      </c>
      <c r="M90" s="9"/>
    </row>
    <row r="91" spans="1:21" ht="8" customHeight="1">
      <c r="M91" s="9"/>
    </row>
    <row r="92" spans="1:21" ht="20" customHeight="1">
      <c r="A92" s="12" t="s">
        <v>554</v>
      </c>
      <c r="B92" s="1"/>
      <c r="C92" s="1"/>
      <c r="D92" s="1"/>
      <c r="E92" s="1"/>
      <c r="F92" s="1"/>
      <c r="G92" s="1"/>
      <c r="H92" s="1"/>
      <c r="I92" s="1"/>
      <c r="J92" s="1"/>
      <c r="K92" s="1"/>
      <c r="L92" s="1"/>
      <c r="M92" s="9"/>
      <c r="N92" s="1"/>
      <c r="O92" s="1"/>
      <c r="P92" s="1"/>
      <c r="Q92" s="1"/>
      <c r="R92" s="1"/>
      <c r="S92" s="1"/>
      <c r="T92" s="1"/>
      <c r="U92" s="1"/>
    </row>
    <row r="93" spans="1:21" ht="24">
      <c r="A93" s="5" t="s">
        <v>555</v>
      </c>
      <c r="B93" s="14" t="s">
        <v>556</v>
      </c>
      <c r="D93" s="13">
        <v>1562.5</v>
      </c>
      <c r="E93" s="13">
        <v>1433.9</v>
      </c>
      <c r="F93" s="13">
        <v>1530.4</v>
      </c>
      <c r="G93" s="13">
        <v>1399.5</v>
      </c>
      <c r="H93" s="13">
        <v>1486.3</v>
      </c>
      <c r="I93" s="13">
        <v>1416</v>
      </c>
      <c r="J93" s="13">
        <v>1491</v>
      </c>
      <c r="K93" s="13">
        <v>1531</v>
      </c>
      <c r="L93" s="13">
        <v>1573</v>
      </c>
      <c r="M93" s="9"/>
    </row>
    <row r="94" spans="1:21">
      <c r="A94" s="5" t="s">
        <v>557</v>
      </c>
      <c r="D94" s="13">
        <v>82</v>
      </c>
      <c r="E94" s="13">
        <v>87.9</v>
      </c>
      <c r="F94" s="13">
        <v>76.400000000000006</v>
      </c>
      <c r="G94" s="13">
        <v>79.8</v>
      </c>
      <c r="H94" s="13">
        <v>74</v>
      </c>
      <c r="I94" s="13">
        <v>60</v>
      </c>
      <c r="J94" s="13">
        <v>51</v>
      </c>
      <c r="K94" s="13">
        <v>51</v>
      </c>
      <c r="L94" s="13">
        <v>58</v>
      </c>
      <c r="M94" s="9"/>
    </row>
    <row r="95" spans="1:21">
      <c r="A95" s="10" t="s">
        <v>558</v>
      </c>
      <c r="C95" s="15">
        <v>1814.2</v>
      </c>
      <c r="D95" s="15">
        <v>1644.5</v>
      </c>
      <c r="E95" s="15">
        <v>1521.8</v>
      </c>
      <c r="F95" s="15">
        <v>1606.8</v>
      </c>
      <c r="G95" s="15">
        <v>1479.3</v>
      </c>
      <c r="H95" s="15">
        <v>1560.3</v>
      </c>
      <c r="I95" s="15">
        <v>1476</v>
      </c>
      <c r="J95" s="15">
        <v>1542</v>
      </c>
      <c r="K95" s="15">
        <v>1582</v>
      </c>
      <c r="L95" s="15">
        <v>1631</v>
      </c>
      <c r="M95" s="16"/>
    </row>
    <row r="96" spans="1:21">
      <c r="A96" s="5" t="s">
        <v>559</v>
      </c>
      <c r="B96" s="14" t="s">
        <v>560</v>
      </c>
      <c r="C96" s="13">
        <v>135</v>
      </c>
      <c r="D96" s="13">
        <v>115.6</v>
      </c>
      <c r="E96" s="13">
        <v>82.1</v>
      </c>
      <c r="F96" s="13">
        <v>74.400000000000006</v>
      </c>
      <c r="G96" s="13">
        <v>53.7</v>
      </c>
      <c r="H96" s="13">
        <v>69.2</v>
      </c>
      <c r="I96" s="13">
        <v>40</v>
      </c>
      <c r="J96" s="13">
        <v>56</v>
      </c>
      <c r="K96" s="13">
        <v>55</v>
      </c>
      <c r="L96" s="13">
        <v>46</v>
      </c>
      <c r="M96" s="9"/>
    </row>
    <row r="97" spans="1:21">
      <c r="A97" s="5" t="s">
        <v>561</v>
      </c>
      <c r="C97" s="13">
        <v>186.4</v>
      </c>
      <c r="D97" s="13">
        <v>204.9</v>
      </c>
      <c r="E97" s="13">
        <v>200.8</v>
      </c>
      <c r="F97" s="13">
        <v>200.7</v>
      </c>
      <c r="G97" s="13">
        <v>136.5</v>
      </c>
      <c r="H97" s="13">
        <v>160</v>
      </c>
      <c r="I97" s="13">
        <v>209</v>
      </c>
      <c r="J97" s="13">
        <v>261</v>
      </c>
      <c r="K97" s="13">
        <v>271</v>
      </c>
      <c r="L97" s="13">
        <v>285</v>
      </c>
      <c r="M97" s="9"/>
    </row>
    <row r="98" spans="1:21">
      <c r="M98" s="9"/>
    </row>
    <row r="99" spans="1:21" ht="36">
      <c r="A99" s="5" t="s">
        <v>562</v>
      </c>
      <c r="B99" s="14" t="s">
        <v>563</v>
      </c>
      <c r="C99" s="13">
        <v>1303</v>
      </c>
      <c r="D99" s="13">
        <v>1152</v>
      </c>
      <c r="E99" s="13">
        <v>1145</v>
      </c>
      <c r="F99" s="13">
        <v>1161.9000000000001</v>
      </c>
      <c r="G99" s="13">
        <v>1230.7</v>
      </c>
      <c r="H99" s="13">
        <v>1205.7</v>
      </c>
      <c r="I99" s="13">
        <v>1161.5999999999999</v>
      </c>
      <c r="J99" s="13">
        <v>1204.3</v>
      </c>
      <c r="K99" s="13">
        <v>1178</v>
      </c>
      <c r="L99" s="13">
        <v>1321</v>
      </c>
      <c r="M99" s="9"/>
    </row>
    <row r="100" spans="1:21">
      <c r="A100" s="5" t="s">
        <v>564</v>
      </c>
      <c r="C100" s="13">
        <v>12253</v>
      </c>
      <c r="D100" s="13">
        <v>11857</v>
      </c>
      <c r="E100" s="13">
        <v>12266</v>
      </c>
      <c r="F100" s="13">
        <v>19022.599999999999</v>
      </c>
      <c r="G100" s="13">
        <v>20090</v>
      </c>
      <c r="H100" s="13">
        <v>19445</v>
      </c>
      <c r="I100" s="13">
        <v>18236.8</v>
      </c>
      <c r="J100" s="13">
        <v>19879.8</v>
      </c>
      <c r="K100" s="13">
        <v>18962</v>
      </c>
      <c r="L100" s="13">
        <v>20626</v>
      </c>
      <c r="M100" s="9"/>
    </row>
    <row r="101" spans="1:21">
      <c r="A101" s="5" t="s">
        <v>565</v>
      </c>
      <c r="C101" s="13">
        <v>2690</v>
      </c>
      <c r="D101" s="13">
        <v>2893.5</v>
      </c>
      <c r="E101" s="13">
        <v>2961.7</v>
      </c>
      <c r="F101" s="13">
        <v>3008.3</v>
      </c>
      <c r="G101" s="13">
        <v>3072.8</v>
      </c>
      <c r="H101" s="13">
        <v>3062.6</v>
      </c>
      <c r="I101" s="13">
        <v>2970.5</v>
      </c>
      <c r="J101" s="13">
        <v>2980.3</v>
      </c>
      <c r="K101" s="13">
        <v>2880</v>
      </c>
      <c r="L101" s="13">
        <v>3045</v>
      </c>
      <c r="M101" s="9"/>
    </row>
    <row r="102" spans="1:21">
      <c r="A102" s="5" t="s">
        <v>566</v>
      </c>
      <c r="C102" s="13">
        <v>31332</v>
      </c>
      <c r="D102" s="13">
        <v>33761.300000000003</v>
      </c>
      <c r="E102" s="13">
        <v>34427.300000000003</v>
      </c>
      <c r="F102" s="13">
        <v>34324</v>
      </c>
      <c r="G102" s="13">
        <v>34422.199999999997</v>
      </c>
      <c r="H102" s="13">
        <v>33783.199999999997</v>
      </c>
      <c r="I102" s="13">
        <v>31780.3</v>
      </c>
      <c r="J102" s="13">
        <v>31162.400000000001</v>
      </c>
      <c r="K102" s="13">
        <v>29598</v>
      </c>
      <c r="L102" s="13">
        <v>31451</v>
      </c>
      <c r="M102" s="9"/>
    </row>
    <row r="103" spans="1:21">
      <c r="A103" s="17" t="s">
        <v>567</v>
      </c>
      <c r="C103" s="32">
        <f t="shared" ref="C103:L103" si="11">C101/C99</f>
        <v>2.0644666155026861</v>
      </c>
      <c r="D103" s="32">
        <f t="shared" si="11"/>
        <v>2.51171875</v>
      </c>
      <c r="E103" s="32">
        <f t="shared" si="11"/>
        <v>2.5866375545851525</v>
      </c>
      <c r="F103" s="32">
        <f t="shared" si="11"/>
        <v>2.5891212668904382</v>
      </c>
      <c r="G103" s="32">
        <f t="shared" si="11"/>
        <v>2.4967904444625009</v>
      </c>
      <c r="H103" s="32">
        <f t="shared" si="11"/>
        <v>2.5401011860330098</v>
      </c>
      <c r="I103" s="32">
        <f t="shared" si="11"/>
        <v>2.5572486225895319</v>
      </c>
      <c r="J103" s="32">
        <f t="shared" si="11"/>
        <v>2.4747156024246451</v>
      </c>
      <c r="K103" s="32">
        <f t="shared" si="11"/>
        <v>2.4448217317487266</v>
      </c>
      <c r="L103" s="32">
        <f t="shared" si="11"/>
        <v>2.3050719152157457</v>
      </c>
      <c r="M103" s="9"/>
    </row>
    <row r="104" spans="1:21">
      <c r="A104" s="17" t="s">
        <v>568</v>
      </c>
      <c r="C104" s="32">
        <f t="shared" ref="C104:L104" si="12">C102/C100</f>
        <v>2.5570880600669224</v>
      </c>
      <c r="D104" s="32">
        <f t="shared" si="12"/>
        <v>2.8473728599139752</v>
      </c>
      <c r="E104" s="32">
        <f t="shared" si="12"/>
        <v>2.8067259090167944</v>
      </c>
      <c r="F104" s="32">
        <f t="shared" si="12"/>
        <v>1.8043800531998782</v>
      </c>
      <c r="G104" s="32">
        <f t="shared" si="12"/>
        <v>1.7133997013439521</v>
      </c>
      <c r="H104" s="32">
        <f t="shared" si="12"/>
        <v>1.7373720750835688</v>
      </c>
      <c r="I104" s="32">
        <f t="shared" si="12"/>
        <v>1.742646736269521</v>
      </c>
      <c r="J104" s="32">
        <f t="shared" si="12"/>
        <v>1.5675409209348183</v>
      </c>
      <c r="K104" s="32">
        <f t="shared" si="12"/>
        <v>1.5609112962767639</v>
      </c>
      <c r="L104" s="32">
        <f t="shared" si="12"/>
        <v>1.5248230388829633</v>
      </c>
      <c r="M104" s="9"/>
    </row>
    <row r="105" spans="1:21" ht="8" customHeight="1">
      <c r="M105" s="9"/>
    </row>
    <row r="106" spans="1:21" ht="20" customHeight="1">
      <c r="A106" s="12" t="s">
        <v>569</v>
      </c>
      <c r="B106" s="1"/>
      <c r="C106" s="1"/>
      <c r="D106" s="1"/>
      <c r="E106" s="1"/>
      <c r="F106" s="1"/>
      <c r="G106" s="1"/>
      <c r="H106" s="1"/>
      <c r="I106" s="1"/>
      <c r="J106" s="1"/>
      <c r="K106" s="1"/>
      <c r="L106" s="1"/>
      <c r="M106" s="9"/>
      <c r="N106" s="1"/>
      <c r="O106" s="1"/>
      <c r="P106" s="1"/>
      <c r="Q106" s="1"/>
      <c r="R106" s="1"/>
      <c r="S106" s="1"/>
      <c r="T106" s="1"/>
      <c r="U106" s="1"/>
    </row>
    <row r="107" spans="1:21">
      <c r="A107" s="5" t="s">
        <v>570</v>
      </c>
      <c r="B107" s="14" t="s">
        <v>571</v>
      </c>
      <c r="C107" s="13">
        <v>16300</v>
      </c>
      <c r="D107" s="13">
        <v>16500</v>
      </c>
      <c r="E107" s="13">
        <v>17800</v>
      </c>
      <c r="F107" s="13">
        <v>19200</v>
      </c>
      <c r="G107" s="13">
        <v>20000</v>
      </c>
      <c r="H107" s="13">
        <v>19900</v>
      </c>
      <c r="I107" s="13">
        <v>20200</v>
      </c>
      <c r="J107" s="13">
        <v>20100</v>
      </c>
      <c r="K107" s="13">
        <v>20600</v>
      </c>
      <c r="L107" s="13">
        <v>22800</v>
      </c>
      <c r="M107" s="9"/>
    </row>
    <row r="108" spans="1:21">
      <c r="A108" s="5" t="s">
        <v>572</v>
      </c>
      <c r="C108" s="13">
        <v>4500</v>
      </c>
      <c r="D108" s="13">
        <v>4800</v>
      </c>
      <c r="E108" s="13">
        <v>4900</v>
      </c>
      <c r="F108" s="13">
        <v>5400</v>
      </c>
      <c r="G108" s="13">
        <v>5700</v>
      </c>
      <c r="H108" s="13">
        <v>5800</v>
      </c>
      <c r="I108" s="13">
        <v>5900</v>
      </c>
      <c r="J108" s="13">
        <v>6200</v>
      </c>
      <c r="K108" s="13">
        <v>6400</v>
      </c>
      <c r="L108" s="13">
        <v>7100</v>
      </c>
      <c r="M108" s="9"/>
    </row>
    <row r="109" spans="1:21">
      <c r="A109" s="5" t="s">
        <v>573</v>
      </c>
      <c r="C109" s="13">
        <v>7600</v>
      </c>
      <c r="D109" s="13">
        <v>9800</v>
      </c>
      <c r="E109" s="13">
        <v>10400</v>
      </c>
      <c r="F109" s="13">
        <v>10900</v>
      </c>
      <c r="G109" s="13">
        <v>12100</v>
      </c>
      <c r="H109" s="13">
        <v>12700</v>
      </c>
      <c r="I109" s="13">
        <v>14300</v>
      </c>
      <c r="J109" s="13">
        <v>14500</v>
      </c>
      <c r="K109" s="13">
        <v>14900</v>
      </c>
      <c r="L109" s="13">
        <v>16900</v>
      </c>
      <c r="M109" s="9"/>
    </row>
    <row r="110" spans="1:21">
      <c r="A110" s="17" t="s">
        <v>574</v>
      </c>
      <c r="C110" s="18">
        <f>C107/'Balance Sheet'!C28</f>
        <v>0.76678458527773596</v>
      </c>
      <c r="D110" s="18">
        <f>D107/'Balance Sheet'!D28</f>
        <v>0.73502225112814779</v>
      </c>
      <c r="E110" s="18">
        <f>E107/'Balance Sheet'!E28</f>
        <v>0.77924238378125177</v>
      </c>
      <c r="F110" s="18">
        <f>F107/'Balance Sheet'!F28</f>
        <v>0.79470198675496684</v>
      </c>
      <c r="G110" s="18">
        <f>G107/'Balance Sheet'!G28</f>
        <v>0.80133984021283589</v>
      </c>
      <c r="H110" s="18">
        <f>H107/'Balance Sheet'!H28</f>
        <v>0.80499664247631531</v>
      </c>
      <c r="I110" s="18">
        <f>I107/'Balance Sheet'!I28</f>
        <v>0.84968200020190465</v>
      </c>
      <c r="J110" s="18">
        <f>J107/'Balance Sheet'!J28</f>
        <v>0.80696964830576523</v>
      </c>
      <c r="K110" s="18">
        <f>K107/'Balance Sheet'!K28</f>
        <v>0.81439019569084803</v>
      </c>
      <c r="L110" s="18">
        <f>L107/'Balance Sheet'!L28</f>
        <v>0.80733685067809213</v>
      </c>
      <c r="M110" s="9"/>
    </row>
    <row r="111" spans="1:21">
      <c r="M111" s="9"/>
    </row>
    <row r="112" spans="1:21">
      <c r="A112" s="5" t="s">
        <v>575</v>
      </c>
      <c r="C112" s="13">
        <v>645</v>
      </c>
      <c r="D112" s="13">
        <v>532</v>
      </c>
      <c r="E112" s="13">
        <v>388</v>
      </c>
      <c r="F112" s="13">
        <v>365</v>
      </c>
      <c r="G112" s="13">
        <v>325</v>
      </c>
      <c r="H112" s="13">
        <v>377</v>
      </c>
      <c r="I112" s="13">
        <v>335</v>
      </c>
      <c r="J112" s="13">
        <v>347</v>
      </c>
      <c r="K112" s="13">
        <v>355</v>
      </c>
      <c r="L112" s="13">
        <v>341</v>
      </c>
      <c r="M112" s="9"/>
    </row>
    <row r="113" spans="1:21">
      <c r="A113" s="5" t="s">
        <v>576</v>
      </c>
      <c r="C113" s="13">
        <v>88</v>
      </c>
      <c r="D113" s="13">
        <v>100</v>
      </c>
      <c r="E113" s="13">
        <v>88</v>
      </c>
      <c r="F113" s="13">
        <v>81</v>
      </c>
      <c r="G113" s="13">
        <v>329</v>
      </c>
      <c r="H113" s="13">
        <v>82</v>
      </c>
      <c r="I113" s="13">
        <v>64</v>
      </c>
      <c r="J113" s="13">
        <v>42</v>
      </c>
      <c r="K113" s="13">
        <v>90</v>
      </c>
      <c r="L113" s="13">
        <v>88</v>
      </c>
      <c r="M113" s="9"/>
    </row>
    <row r="114" spans="1:21">
      <c r="A114" s="17" t="s">
        <v>577</v>
      </c>
      <c r="C114" s="18">
        <f>C112/'Income Statement'!C14</f>
        <v>4.2170644001307614E-2</v>
      </c>
      <c r="D114" s="18">
        <f>D112/'Income Statement'!D14</f>
        <v>4.1827516530517576E-2</v>
      </c>
      <c r="E114" s="18">
        <f>E112/'Income Statement'!E14</f>
        <v>3.8750786501143546E-2</v>
      </c>
      <c r="F114" s="18">
        <f>F112/'Income Statement'!F14</f>
        <v>3.8744055706521743E-2</v>
      </c>
      <c r="G114" s="18">
        <f>G112/'Income Statement'!G14</f>
        <v>3.9930214271672891E-2</v>
      </c>
      <c r="H114" s="18">
        <f>H112/'Income Statement'!H14</f>
        <v>3.8518912070621414E-2</v>
      </c>
      <c r="I114" s="18">
        <f>I112/'Income Statement'!I14</f>
        <v>3.8294467306812983E-2</v>
      </c>
      <c r="J114" s="18">
        <f>J112/'Income Statement'!J14</f>
        <v>3.5618969410798604E-2</v>
      </c>
      <c r="K114" s="18">
        <f>K112/'Income Statement'!K14</f>
        <v>3.6291147004702512E-2</v>
      </c>
      <c r="L114" s="18">
        <f>L112/'Income Statement'!L14</f>
        <v>3.5190918472652218E-2</v>
      </c>
      <c r="M114" s="9"/>
    </row>
    <row r="115" spans="1:21">
      <c r="M115" s="9"/>
    </row>
    <row r="116" spans="1:21">
      <c r="A116" s="5" t="s">
        <v>578</v>
      </c>
      <c r="C116" s="13">
        <v>131.30000000000001</v>
      </c>
      <c r="D116" s="13">
        <v>117.5</v>
      </c>
      <c r="E116" s="13">
        <v>125.1</v>
      </c>
      <c r="F116" s="13">
        <v>109.6</v>
      </c>
      <c r="G116" s="13">
        <v>92.4</v>
      </c>
      <c r="H116" s="13">
        <v>139.19999999999999</v>
      </c>
      <c r="I116" s="13">
        <v>167</v>
      </c>
      <c r="J116" s="13">
        <v>175</v>
      </c>
      <c r="K116" s="13">
        <v>172</v>
      </c>
      <c r="L116" s="13">
        <v>165</v>
      </c>
      <c r="M116" s="9"/>
    </row>
    <row r="117" spans="1:21">
      <c r="A117" s="5" t="s">
        <v>579</v>
      </c>
      <c r="C117" s="13">
        <v>89.6</v>
      </c>
      <c r="D117" s="13">
        <v>82</v>
      </c>
      <c r="E117" s="13">
        <v>108.1</v>
      </c>
      <c r="F117" s="13">
        <v>94.2</v>
      </c>
      <c r="G117" s="13">
        <v>78.3</v>
      </c>
      <c r="H117" s="13">
        <v>120.4</v>
      </c>
      <c r="I117" s="13">
        <v>146</v>
      </c>
      <c r="J117" s="13">
        <v>155</v>
      </c>
      <c r="K117" s="13">
        <v>136</v>
      </c>
      <c r="L117" s="13">
        <v>146</v>
      </c>
      <c r="M117" s="9"/>
    </row>
    <row r="118" spans="1:21">
      <c r="A118" s="5" t="s">
        <v>580</v>
      </c>
      <c r="C118" s="20">
        <v>0.11</v>
      </c>
      <c r="D118" s="20">
        <v>0.1</v>
      </c>
      <c r="E118" s="20">
        <v>0.14000000000000001</v>
      </c>
      <c r="F118" s="20">
        <v>0.12</v>
      </c>
      <c r="G118" s="20">
        <v>0.1</v>
      </c>
      <c r="H118" s="20">
        <v>0.16</v>
      </c>
      <c r="I118" s="20">
        <v>0.2</v>
      </c>
      <c r="J118" s="20">
        <v>0.21</v>
      </c>
      <c r="K118" s="20">
        <v>0.19</v>
      </c>
      <c r="L118" s="20">
        <v>0.21</v>
      </c>
      <c r="M118" s="9"/>
    </row>
    <row r="119" spans="1:21">
      <c r="A119" s="17" t="s">
        <v>581</v>
      </c>
      <c r="C119" s="23">
        <f>C116-'Cash Flow'!C18</f>
        <v>0</v>
      </c>
      <c r="D119" s="23">
        <f>D116-'Cash Flow'!D18</f>
        <v>0</v>
      </c>
      <c r="E119" s="23">
        <f>E116-'Cash Flow'!E18</f>
        <v>0</v>
      </c>
      <c r="F119" s="23">
        <f>F116-'Cash Flow'!F18</f>
        <v>0</v>
      </c>
      <c r="G119" s="23">
        <f>G116-'Cash Flow'!G18</f>
        <v>0</v>
      </c>
      <c r="H119" s="23">
        <f>H116-'Cash Flow'!H18</f>
        <v>0</v>
      </c>
      <c r="I119" s="23">
        <f>I116-'Cash Flow'!I18</f>
        <v>0</v>
      </c>
      <c r="J119" s="23">
        <f>J116-'Cash Flow'!J18</f>
        <v>0</v>
      </c>
      <c r="K119" s="23">
        <f>K116-'Cash Flow'!K18</f>
        <v>0</v>
      </c>
      <c r="L119" s="23">
        <f>L116-'Cash Flow'!L18</f>
        <v>0</v>
      </c>
      <c r="M119" s="9"/>
    </row>
    <row r="120" spans="1:21" ht="8" customHeight="1">
      <c r="M120" s="9"/>
    </row>
    <row r="121" spans="1:21" ht="20" customHeight="1">
      <c r="A121" s="12" t="s">
        <v>582</v>
      </c>
      <c r="B121" s="1"/>
      <c r="C121" s="1"/>
      <c r="D121" s="1"/>
      <c r="E121" s="1"/>
      <c r="F121" s="1"/>
      <c r="G121" s="1"/>
      <c r="H121" s="1"/>
      <c r="I121" s="1"/>
      <c r="J121" s="1"/>
      <c r="K121" s="1"/>
      <c r="L121" s="1"/>
      <c r="M121" s="9"/>
      <c r="N121" s="1"/>
      <c r="O121" s="1"/>
      <c r="P121" s="1"/>
      <c r="Q121" s="1"/>
      <c r="R121" s="1"/>
      <c r="S121" s="1"/>
      <c r="T121" s="1"/>
      <c r="U121" s="1"/>
    </row>
    <row r="122" spans="1:21">
      <c r="A122" s="5" t="s">
        <v>583</v>
      </c>
      <c r="B122" s="14" t="s">
        <v>584</v>
      </c>
      <c r="C122" s="29">
        <v>0.85</v>
      </c>
      <c r="E122" s="29">
        <v>0.93</v>
      </c>
      <c r="J122" s="29">
        <v>0.95</v>
      </c>
      <c r="K122" s="29">
        <v>0.95</v>
      </c>
      <c r="L122" s="29">
        <v>0.95</v>
      </c>
      <c r="M122" s="9"/>
    </row>
    <row r="123" spans="1:21">
      <c r="A123" s="5" t="s">
        <v>585</v>
      </c>
      <c r="F123" s="29">
        <v>0.95</v>
      </c>
      <c r="G123" s="29">
        <v>0.95</v>
      </c>
      <c r="H123" s="29">
        <v>0.95</v>
      </c>
      <c r="I123" s="29">
        <v>0.95</v>
      </c>
      <c r="J123" s="29">
        <v>0.95</v>
      </c>
      <c r="K123" s="29">
        <v>0.95</v>
      </c>
      <c r="L123" s="29">
        <v>0.95</v>
      </c>
      <c r="M123" s="9"/>
    </row>
    <row r="124" spans="1:21">
      <c r="A124" s="5" t="s">
        <v>586</v>
      </c>
      <c r="F124" s="29">
        <v>0.84</v>
      </c>
      <c r="G124" s="29">
        <v>0.84</v>
      </c>
      <c r="H124" s="29">
        <v>0.84</v>
      </c>
      <c r="I124" s="29">
        <v>0.89</v>
      </c>
      <c r="J124" s="29">
        <v>0.89</v>
      </c>
      <c r="K124" s="29">
        <v>0.89</v>
      </c>
      <c r="L124" s="29">
        <v>0.89</v>
      </c>
      <c r="M124" s="9"/>
    </row>
    <row r="125" spans="1:21">
      <c r="A125" s="5" t="s">
        <v>587</v>
      </c>
      <c r="F125" s="29">
        <v>0.98</v>
      </c>
      <c r="G125" s="29">
        <v>0.98</v>
      </c>
      <c r="H125" s="29">
        <v>0.98</v>
      </c>
      <c r="I125" s="29">
        <v>0.98</v>
      </c>
      <c r="J125" s="29">
        <v>0.98</v>
      </c>
      <c r="K125" s="29">
        <v>0.99</v>
      </c>
      <c r="L125" s="29">
        <v>0.99</v>
      </c>
      <c r="M125" s="9"/>
    </row>
    <row r="126" spans="1:21">
      <c r="A126" s="5" t="s">
        <v>588</v>
      </c>
      <c r="H126" s="29">
        <v>0.65</v>
      </c>
      <c r="I126" s="29">
        <v>0.6</v>
      </c>
      <c r="J126" s="29">
        <v>0.65</v>
      </c>
      <c r="K126" s="29">
        <v>0.66</v>
      </c>
      <c r="L126" s="29">
        <v>0.68</v>
      </c>
      <c r="M126" s="9"/>
    </row>
    <row r="127" spans="1:21">
      <c r="A127" s="5" t="s">
        <v>589</v>
      </c>
      <c r="H127" s="13">
        <v>200000</v>
      </c>
      <c r="I127" s="13">
        <v>150000</v>
      </c>
      <c r="J127" s="13">
        <v>150000</v>
      </c>
      <c r="K127" s="13">
        <v>150000</v>
      </c>
      <c r="L127" s="13">
        <v>150000</v>
      </c>
      <c r="M127" s="9"/>
    </row>
    <row r="128" spans="1:21">
      <c r="A128" s="5" t="s">
        <v>590</v>
      </c>
      <c r="K128" s="13">
        <v>38000</v>
      </c>
      <c r="L128" s="13">
        <v>41000</v>
      </c>
      <c r="M128" s="9"/>
    </row>
    <row r="129" spans="1:13">
      <c r="A129" s="5" t="s">
        <v>591</v>
      </c>
      <c r="K129" s="13">
        <v>28000</v>
      </c>
      <c r="L129" s="13">
        <v>29000</v>
      </c>
      <c r="M129" s="9"/>
    </row>
    <row r="130" spans="1:13">
      <c r="M130" s="9"/>
    </row>
  </sheetData>
  <phoneticPr fontId="3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FD2FB-FA88-1148-A6AC-41152067625E}">
  <sheetPr>
    <tabColor rgb="FF7030A0"/>
  </sheetPr>
  <dimension ref="A1:U90"/>
  <sheetViews>
    <sheetView showGridLines="0" workbookViewId="0">
      <pane xSplit="2" ySplit="5" topLeftCell="C6" activePane="bottomRight" state="frozen"/>
      <selection pane="topRight"/>
      <selection pane="bottomLeft"/>
      <selection pane="bottomRight" activeCell="C6" sqref="C6"/>
    </sheetView>
  </sheetViews>
  <sheetFormatPr baseColWidth="10" defaultColWidth="8.83203125" defaultRowHeight="14"/>
  <cols>
    <col min="1" max="1" width="46" customWidth="1"/>
    <col min="2" max="2" width="34" hidden="1" customWidth="1"/>
    <col min="3" max="12" width="12" customWidth="1"/>
    <col min="13" max="13" width="9" customWidth="1"/>
    <col min="14" max="21" width="12" customWidth="1"/>
  </cols>
  <sheetData>
    <row r="1" spans="1:21" ht="28" customHeight="1">
      <c r="A1" s="2" t="s">
        <v>592</v>
      </c>
      <c r="B1" s="1"/>
      <c r="C1" s="1"/>
      <c r="D1" s="1"/>
      <c r="E1" s="1"/>
      <c r="F1" s="1"/>
      <c r="G1" s="1"/>
      <c r="H1" s="1"/>
      <c r="I1" s="1"/>
      <c r="J1" s="1"/>
      <c r="K1" s="1"/>
      <c r="L1" s="1"/>
      <c r="M1" s="1"/>
      <c r="N1" s="1"/>
      <c r="O1" s="1"/>
      <c r="P1" s="1"/>
      <c r="Q1" s="1"/>
      <c r="R1" s="1"/>
      <c r="S1" s="1"/>
      <c r="T1" s="1"/>
      <c r="U1" s="1"/>
    </row>
    <row r="2" spans="1:21" ht="16" customHeight="1">
      <c r="A2" s="3" t="s">
        <v>1</v>
      </c>
    </row>
    <row r="3" spans="1:21">
      <c r="C3" s="6" t="s">
        <v>73</v>
      </c>
      <c r="D3" s="6" t="s">
        <v>74</v>
      </c>
      <c r="E3" s="6" t="s">
        <v>75</v>
      </c>
      <c r="F3" s="6" t="s">
        <v>76</v>
      </c>
      <c r="G3" s="6" t="s">
        <v>77</v>
      </c>
      <c r="H3" s="6" t="s">
        <v>78</v>
      </c>
      <c r="I3" s="6" t="s">
        <v>79</v>
      </c>
      <c r="J3" s="6" t="s">
        <v>80</v>
      </c>
      <c r="K3" s="6" t="s">
        <v>81</v>
      </c>
      <c r="L3" s="6" t="s">
        <v>82</v>
      </c>
      <c r="M3" s="7" t="s">
        <v>83</v>
      </c>
      <c r="N3" s="6" t="s">
        <v>84</v>
      </c>
      <c r="O3" s="6" t="s">
        <v>85</v>
      </c>
      <c r="P3" s="6" t="s">
        <v>86</v>
      </c>
      <c r="Q3" s="6" t="s">
        <v>87</v>
      </c>
      <c r="R3" s="6" t="s">
        <v>88</v>
      </c>
      <c r="S3" s="6" t="s">
        <v>89</v>
      </c>
      <c r="T3" s="6" t="s">
        <v>90</v>
      </c>
      <c r="U3" s="6" t="s">
        <v>91</v>
      </c>
    </row>
    <row r="4" spans="1:21">
      <c r="C4" s="8" t="s">
        <v>92</v>
      </c>
      <c r="D4" s="8" t="s">
        <v>93</v>
      </c>
      <c r="E4" s="8" t="s">
        <v>94</v>
      </c>
      <c r="F4" s="8" t="s">
        <v>95</v>
      </c>
      <c r="G4" s="8" t="s">
        <v>96</v>
      </c>
      <c r="H4" s="8" t="s">
        <v>97</v>
      </c>
      <c r="I4" s="8" t="s">
        <v>98</v>
      </c>
      <c r="J4" s="8" t="s">
        <v>99</v>
      </c>
      <c r="K4" s="8" t="s">
        <v>100</v>
      </c>
      <c r="L4" s="8" t="s">
        <v>101</v>
      </c>
      <c r="M4" s="9"/>
      <c r="N4" s="8" t="s">
        <v>102</v>
      </c>
      <c r="O4" s="8" t="s">
        <v>100</v>
      </c>
      <c r="P4" s="8" t="s">
        <v>103</v>
      </c>
      <c r="Q4" s="8" t="s">
        <v>104</v>
      </c>
      <c r="R4" s="8" t="s">
        <v>105</v>
      </c>
      <c r="S4" s="8" t="s">
        <v>101</v>
      </c>
      <c r="T4" s="8" t="s">
        <v>106</v>
      </c>
      <c r="U4" s="8" t="s">
        <v>107</v>
      </c>
    </row>
    <row r="5" spans="1:21">
      <c r="M5" s="9"/>
    </row>
    <row r="6" spans="1:21">
      <c r="A6" s="10" t="s">
        <v>108</v>
      </c>
      <c r="M6" s="9"/>
    </row>
    <row r="7" spans="1:21">
      <c r="A7" s="11" t="str">
        <f>HYPERLINK("#'Derived Metrics'!A16","1. PROFITABILITY")</f>
        <v>1. PROFITABILITY</v>
      </c>
      <c r="M7" s="9"/>
    </row>
    <row r="8" spans="1:21">
      <c r="A8" s="11" t="str">
        <f>HYPERLINK("#'Derived Metrics'!A29","2. RETURNS AND EFFICIENCY (ANNUAL; AVERAGE BALANCES)")</f>
        <v>2. RETURNS AND EFFICIENCY (ANNUAL; AVERAGE BALANCES)</v>
      </c>
      <c r="M8" s="9"/>
    </row>
    <row r="9" spans="1:21">
      <c r="A9" s="11" t="str">
        <f>HYPERLINK("#'Derived Metrics'!A37","3. LEVERAGE AND COVERAGE (ANNUAL)")</f>
        <v>3. LEVERAGE AND COVERAGE (ANNUAL)</v>
      </c>
      <c r="M9" s="9"/>
    </row>
    <row r="10" spans="1:21">
      <c r="A10" s="11" t="str">
        <f>HYPERLINK("#'Derived Metrics'!A45","4. LIQUIDITY (PERIOD-END)")</f>
        <v>4. LIQUIDITY (PERIOD-END)</v>
      </c>
      <c r="M10" s="9"/>
    </row>
    <row r="11" spans="1:21">
      <c r="A11" s="11" t="str">
        <f>HYPERLINK("#'Derived Metrics'!A50","5. CASH CONVERSION AND CAPITAL ALLOCATION")</f>
        <v>5. CASH CONVERSION AND CAPITAL ALLOCATION</v>
      </c>
      <c r="M11" s="9"/>
    </row>
    <row r="12" spans="1:21">
      <c r="A12" s="11" t="str">
        <f>HYPERLINK("#'Derived Metrics'!A62","6. SYSTEMWIDE AND FRANCHISE ECONOMICS")</f>
        <v>6. SYSTEMWIDE AND FRANCHISE ECONOMICS</v>
      </c>
      <c r="M12" s="9"/>
    </row>
    <row r="13" spans="1:21">
      <c r="A13" s="11" t="str">
        <f>HYPERLINK("#'Derived Metrics'!A73","7. EARNINGS QUALITY")</f>
        <v>7. EARNINGS QUALITY</v>
      </c>
      <c r="M13" s="9"/>
    </row>
    <row r="14" spans="1:21">
      <c r="A14" s="11" t="str">
        <f>HYPERLINK("#'Derived Metrics'!A77","8. GROWTH")</f>
        <v>8. GROWTH</v>
      </c>
      <c r="M14" s="9"/>
    </row>
    <row r="15" spans="1:21" ht="8" customHeight="1">
      <c r="M15" s="9"/>
    </row>
    <row r="16" spans="1:21" ht="20" customHeight="1">
      <c r="A16" s="12" t="s">
        <v>593</v>
      </c>
      <c r="B16" s="1"/>
      <c r="C16" s="1"/>
      <c r="D16" s="1"/>
      <c r="E16" s="1"/>
      <c r="F16" s="1"/>
      <c r="G16" s="1"/>
      <c r="H16" s="1"/>
      <c r="I16" s="1"/>
      <c r="J16" s="1"/>
      <c r="K16" s="1"/>
      <c r="L16" s="1"/>
      <c r="M16" s="9"/>
      <c r="N16" s="1"/>
      <c r="O16" s="1"/>
      <c r="P16" s="1"/>
      <c r="Q16" s="1"/>
      <c r="R16" s="1"/>
      <c r="S16" s="1"/>
      <c r="T16" s="1"/>
      <c r="U16" s="1"/>
    </row>
    <row r="17" spans="1:21">
      <c r="A17" s="17" t="s">
        <v>594</v>
      </c>
      <c r="C17" s="24">
        <f>'Income Statement'!C12-'Income Statement'!C20</f>
        <v>7608.5</v>
      </c>
      <c r="D17" s="24">
        <f>'Income Statement'!D12-'Income Statement'!D20</f>
        <v>8311.5</v>
      </c>
      <c r="E17" s="24">
        <f>'Income Statement'!E12-'Income Statement'!E20</f>
        <v>9039.2000000000007</v>
      </c>
      <c r="F17" s="24">
        <f>'Income Statement'!F12-'Income Statement'!F20</f>
        <v>9455.1</v>
      </c>
      <c r="G17" s="24">
        <f>'Income Statement'!G12-'Income Statement'!G20</f>
        <v>8518.6</v>
      </c>
      <c r="H17" s="24">
        <f>'Income Statement'!H12-'Income Statement'!H20</f>
        <v>10750.4</v>
      </c>
      <c r="I17" s="24">
        <f>'Income Statement'!I12-'Income Statement'!I20</f>
        <v>11756</v>
      </c>
      <c r="J17" s="24">
        <f>'Income Statement'!J12-'Income Statement'!J20</f>
        <v>12962</v>
      </c>
      <c r="K17" s="24">
        <f>'Income Statement'!K12-'Income Statement'!K20</f>
        <v>13179</v>
      </c>
      <c r="L17" s="24">
        <f>'Income Statement'!L12-'Income Statement'!L20</f>
        <v>13930</v>
      </c>
      <c r="M17" s="9"/>
      <c r="N17" s="24">
        <f>'Income Statement'!N12-'Income Statement'!N20</f>
        <v>3448</v>
      </c>
      <c r="O17" s="24">
        <f>'Income Statement'!O12-'Income Statement'!O20</f>
        <v>3325</v>
      </c>
      <c r="P17" s="24">
        <f>'Income Statement'!P12-'Income Statement'!P20</f>
        <v>3041</v>
      </c>
      <c r="Q17" s="24">
        <f>'Income Statement'!Q12-'Income Statement'!Q20</f>
        <v>3559</v>
      </c>
      <c r="R17" s="24">
        <f>'Income Statement'!R12-'Income Statement'!R20</f>
        <v>3697</v>
      </c>
      <c r="S17" s="24">
        <f>'Income Statement'!S12-'Income Statement'!S20</f>
        <v>3632</v>
      </c>
      <c r="T17" s="24">
        <f>'Income Statement'!T12-'Income Statement'!T20</f>
        <v>3331</v>
      </c>
      <c r="U17" s="24">
        <f>'Income Statement'!U12-'Income Statement'!U20</f>
        <v>3713</v>
      </c>
    </row>
    <row r="18" spans="1:21">
      <c r="A18" s="17" t="s">
        <v>595</v>
      </c>
      <c r="C18" s="18">
        <f>('Income Statement'!C12-'Income Statement'!C20)/'Income Statement'!C12</f>
        <v>0.81575871940301714</v>
      </c>
      <c r="D18" s="18">
        <f>('Income Statement'!D12-'Income Statement'!D20)/'Income Statement'!D12</f>
        <v>0.82279859426817803</v>
      </c>
      <c r="E18" s="18">
        <f>('Income Statement'!E12-'Income Statement'!E20)/'Income Statement'!E12</f>
        <v>0.82081271282633372</v>
      </c>
      <c r="F18" s="18">
        <f>('Income Statement'!F12-'Income Statement'!F20)/'Income Statement'!F12</f>
        <v>0.81119967054745745</v>
      </c>
      <c r="G18" s="18">
        <f>('Income Statement'!G12-'Income Statement'!G20)/'Income Statement'!G12</f>
        <v>0.79419360252095361</v>
      </c>
      <c r="H18" s="18">
        <f>('Income Statement'!H12-'Income Statement'!H20)/'Income Statement'!H12</f>
        <v>0.82155684961865894</v>
      </c>
      <c r="I18" s="18">
        <f>('Income Statement'!I12-'Income Statement'!I20)/'Income Statement'!I12</f>
        <v>0.83340422515241741</v>
      </c>
      <c r="J18" s="18">
        <f>('Income Statement'!J12-'Income Statement'!J20)/'Income Statement'!J12</f>
        <v>0.83967092051564418</v>
      </c>
      <c r="K18" s="18">
        <f>('Income Statement'!K12-'Income Statement'!K20)/'Income Statement'!K12</f>
        <v>0.83862551702195354</v>
      </c>
      <c r="L18" s="18">
        <f>('Income Statement'!L12-'Income Statement'!L20)/'Income Statement'!L12</f>
        <v>0.84179357021996615</v>
      </c>
      <c r="M18" s="9"/>
      <c r="N18" s="18">
        <f>('Income Statement'!N12-'Income Statement'!N20)/'Income Statement'!N12</f>
        <v>0.84220810942843183</v>
      </c>
      <c r="O18" s="18">
        <f>('Income Statement'!O12-'Income Statement'!O20)/'Income Statement'!O12</f>
        <v>0.83985855013892396</v>
      </c>
      <c r="P18" s="18">
        <f>('Income Statement'!P12-'Income Statement'!P20)/'Income Statement'!P12</f>
        <v>0.8306473641081672</v>
      </c>
      <c r="Q18" s="18">
        <f>('Income Statement'!Q12-'Income Statement'!Q20)/'Income Statement'!Q12</f>
        <v>0.84476619985758372</v>
      </c>
      <c r="R18" s="18">
        <f>('Income Statement'!R12-'Income Statement'!R20)/'Income Statement'!R12</f>
        <v>0.84735273894109553</v>
      </c>
      <c r="S18" s="18">
        <f>('Income Statement'!S12-'Income Statement'!S20)/'Income Statement'!S12</f>
        <v>0.84269141531322511</v>
      </c>
      <c r="T18" s="18">
        <f>('Income Statement'!T12-'Income Statement'!T20)/'Income Statement'!T12</f>
        <v>0.83129523334165212</v>
      </c>
      <c r="U18" s="18">
        <f>('Income Statement'!U12-'Income Statement'!U20)/'Income Statement'!U12</f>
        <v>0.84520828590940134</v>
      </c>
    </row>
    <row r="19" spans="1:21">
      <c r="A19" s="17" t="s">
        <v>596</v>
      </c>
      <c r="C19" s="24">
        <f>'Income Statement'!C14-'Income Statement'!C25</f>
        <v>2596.2000000000007</v>
      </c>
      <c r="D19" s="24">
        <f>'Income Statement'!D14-'Income Statement'!D25</f>
        <v>2309.2999999999993</v>
      </c>
      <c r="E19" s="24">
        <f>'Income Statement'!E14-'Income Statement'!E25</f>
        <v>1746.7999999999993</v>
      </c>
      <c r="F19" s="24">
        <f>'Income Statement'!F14-'Income Statement'!F25</f>
        <v>1660.1999999999989</v>
      </c>
      <c r="G19" s="24">
        <f>'Income Statement'!G14-'Income Statement'!G25</f>
        <v>1157.9999999999991</v>
      </c>
      <c r="H19" s="24">
        <f>'Income Statement'!H14-'Income Statement'!H25</f>
        <v>1740.0999999999995</v>
      </c>
      <c r="I19" s="24">
        <f>'Income Statement'!I14-'Income Statement'!I25</f>
        <v>1368</v>
      </c>
      <c r="J19" s="24">
        <f>'Income Statement'!J14-'Income Statement'!J25</f>
        <v>1518</v>
      </c>
      <c r="K19" s="24">
        <f>'Income Statement'!K14-'Income Statement'!K25</f>
        <v>1447</v>
      </c>
      <c r="L19" s="24">
        <f>'Income Statement'!L14-'Income Statement'!L25</f>
        <v>1421</v>
      </c>
      <c r="M19" s="9"/>
      <c r="N19" s="24">
        <f>'Income Statement'!N14-'Income Statement'!N25</f>
        <v>408</v>
      </c>
      <c r="O19" s="24">
        <f>'Income Statement'!O14-'Income Statement'!O25</f>
        <v>333</v>
      </c>
      <c r="P19" s="24">
        <f>'Income Statement'!P14-'Income Statement'!P25</f>
        <v>273</v>
      </c>
      <c r="Q19" s="24">
        <f>'Income Statement'!Q14-'Income Statement'!Q25</f>
        <v>380</v>
      </c>
      <c r="R19" s="24">
        <f>'Income Statement'!R14-'Income Statement'!R25</f>
        <v>391</v>
      </c>
      <c r="S19" s="24">
        <f>'Income Statement'!S14-'Income Statement'!S25</f>
        <v>376</v>
      </c>
      <c r="T19" s="24">
        <f>'Income Statement'!T14-'Income Statement'!T25</f>
        <v>285</v>
      </c>
      <c r="U19" s="24">
        <f>'Income Statement'!U14-'Income Statement'!U25</f>
        <v>387</v>
      </c>
    </row>
    <row r="20" spans="1:21">
      <c r="A20" s="17" t="s">
        <v>597</v>
      </c>
      <c r="C20" s="18">
        <f>('Income Statement'!C14-'Income Statement'!C25)/'Income Statement'!C14</f>
        <v>0.16974174566851918</v>
      </c>
      <c r="D20" s="18">
        <f>('Income Statement'!D14-'Income Statement'!D25)/'Income Statement'!D14</f>
        <v>0.18156444346602296</v>
      </c>
      <c r="E20" s="18">
        <f>('Income Statement'!E14-'Income Statement'!E25)/'Income Statement'!E14</f>
        <v>0.17445843778401421</v>
      </c>
      <c r="F20" s="18">
        <f>('Income Statement'!F14-'Income Statement'!F25)/'Income Statement'!F14</f>
        <v>0.17622707201086946</v>
      </c>
      <c r="G20" s="18">
        <f>('Income Statement'!G14-'Income Statement'!G25)/'Income Statement'!G14</f>
        <v>0.14227442500491438</v>
      </c>
      <c r="H20" s="18">
        <f>('Income Statement'!H14-'Income Statement'!H25)/'Income Statement'!H14</f>
        <v>0.17778981139015465</v>
      </c>
      <c r="I20" s="18">
        <f>('Income Statement'!I14-'Income Statement'!I25)/'Income Statement'!I14</f>
        <v>0.15637860082304528</v>
      </c>
      <c r="J20" s="18">
        <f>('Income Statement'!J14-'Income Statement'!J25)/'Income Statement'!J14</f>
        <v>0.15582016013138986</v>
      </c>
      <c r="K20" s="18">
        <f>('Income Statement'!K14-'Income Statement'!K25)/'Income Statement'!K14</f>
        <v>0.14792475976282968</v>
      </c>
      <c r="L20" s="18">
        <f>('Income Statement'!L14-'Income Statement'!L25)/'Income Statement'!L14</f>
        <v>0.14664602683178535</v>
      </c>
      <c r="M20" s="9"/>
      <c r="N20" s="18">
        <f>('Income Statement'!N14-'Income Statement'!N25)/'Income Statement'!N14</f>
        <v>0.1536144578313253</v>
      </c>
      <c r="O20" s="18">
        <f>('Income Statement'!O14-'Income Statement'!O25)/'Income Statement'!O14</f>
        <v>0.14415584415584415</v>
      </c>
      <c r="P20" s="18">
        <f>('Income Statement'!P14-'Income Statement'!P25)/'Income Statement'!P14</f>
        <v>0.12804878048780488</v>
      </c>
      <c r="Q20" s="18">
        <f>('Income Statement'!Q14-'Income Statement'!Q25)/'Income Statement'!Q14</f>
        <v>0.15459723352318958</v>
      </c>
      <c r="R20" s="18">
        <f>('Income Statement'!R14-'Income Statement'!R25)/'Income Statement'!R14</f>
        <v>0.15255559890753023</v>
      </c>
      <c r="S20" s="18">
        <f>('Income Statement'!S14-'Income Statement'!S25)/'Income Statement'!S14</f>
        <v>0.14826498422712933</v>
      </c>
      <c r="T20" s="18">
        <f>('Income Statement'!T14-'Income Statement'!T25)/'Income Statement'!T14</f>
        <v>0.12300388433318947</v>
      </c>
      <c r="U20" s="18">
        <f>('Income Statement'!U14-'Income Statement'!U25)/'Income Statement'!U14</f>
        <v>0.15326732673267326</v>
      </c>
    </row>
    <row r="21" spans="1:21">
      <c r="A21" s="17" t="s">
        <v>598</v>
      </c>
      <c r="C21" s="18">
        <f>'Income Statement'!C30/'Income Statement'!C17</f>
        <v>9.6844678924047287E-2</v>
      </c>
      <c r="D21" s="18">
        <f>'Income Statement'!D30/'Income Statement'!D17</f>
        <v>9.7776550805419721E-2</v>
      </c>
      <c r="E21" s="18">
        <f>'Income Statement'!E30/'Income Statement'!E17</f>
        <v>0.10350034575381388</v>
      </c>
      <c r="F21" s="18">
        <f>'Income Statement'!F30/'Income Statement'!F17</f>
        <v>0.10435116361798132</v>
      </c>
      <c r="G21" s="18">
        <f>'Income Statement'!G30/'Income Statement'!G17</f>
        <v>0.13252949322670998</v>
      </c>
      <c r="H21" s="18">
        <f>'Income Statement'!H30/'Income Statement'!H17</f>
        <v>0.11658750629766308</v>
      </c>
      <c r="I21" s="18">
        <f>'Income Statement'!I30/'Income Statement'!I17</f>
        <v>0.12345252987102619</v>
      </c>
      <c r="J21" s="18">
        <f>'Income Statement'!J30/'Income Statement'!J17</f>
        <v>0.11049658743233702</v>
      </c>
      <c r="K21" s="18">
        <f>'Income Statement'!K30/'Income Statement'!K17</f>
        <v>0.11030092592592593</v>
      </c>
      <c r="L21" s="18">
        <f>'Income Statement'!L30/'Income Statement'!L17</f>
        <v>0.11307420494699646</v>
      </c>
      <c r="M21" s="9"/>
      <c r="N21" s="18">
        <f>'Income Statement'!N30/'Income Statement'!N17</f>
        <v>9.4136476065764585E-2</v>
      </c>
      <c r="O21" s="18">
        <f>'Income Statement'!O30/'Income Statement'!O17</f>
        <v>0.12523481527864747</v>
      </c>
      <c r="P21" s="18">
        <f>'Income Statement'!P30/'Income Statement'!P17</f>
        <v>0.1145063801208865</v>
      </c>
      <c r="Q21" s="18">
        <f>'Income Statement'!Q30/'Income Statement'!Q17</f>
        <v>0.10244045009498758</v>
      </c>
      <c r="R21" s="18">
        <f>'Income Statement'!R30/'Income Statement'!R17</f>
        <v>0.11090703588584346</v>
      </c>
      <c r="S21" s="18">
        <f>'Income Statement'!S30/'Income Statement'!S17</f>
        <v>0.12455414467113711</v>
      </c>
      <c r="T21" s="18">
        <f>'Income Statement'!T30/'Income Statement'!T17</f>
        <v>0.11646463096516803</v>
      </c>
      <c r="U21" s="18">
        <f>'Income Statement'!U30/'Income Statement'!U17</f>
        <v>0.11508663191998873</v>
      </c>
    </row>
    <row r="22" spans="1:21">
      <c r="A22" s="17" t="s">
        <v>599</v>
      </c>
      <c r="C22" s="18">
        <f>'Income Statement'!C33/'Income Statement'!C17</f>
        <v>0.3145370584723356</v>
      </c>
      <c r="D22" s="18">
        <f>'Income Statement'!D33/'Income Statement'!D17</f>
        <v>0.41860353017475593</v>
      </c>
      <c r="E22" s="18">
        <f>'Income Statement'!E33/'Income Statement'!E17</f>
        <v>0.41502688412307892</v>
      </c>
      <c r="F22" s="18">
        <f>'Income Statement'!F33/'Income Statement'!F17</f>
        <v>0.42452865514594368</v>
      </c>
      <c r="G22" s="18">
        <f>'Income Statement'!G33/'Income Statement'!G17</f>
        <v>0.3813034288153771</v>
      </c>
      <c r="H22" s="18">
        <f>'Income Statement'!H33/'Income Statement'!H17</f>
        <v>0.44593913766153231</v>
      </c>
      <c r="I22" s="18">
        <f>'Income Statement'!I33/'Income Statement'!I17</f>
        <v>0.40421860846309798</v>
      </c>
      <c r="J22" s="18">
        <f>'Income Statement'!J33/'Income Statement'!J17</f>
        <v>0.45685259276692552</v>
      </c>
      <c r="K22" s="18">
        <f>'Income Statement'!K33/'Income Statement'!K17</f>
        <v>0.45185185185185184</v>
      </c>
      <c r="L22" s="18">
        <f>'Income Statement'!L33/'Income Statement'!L17</f>
        <v>0.4609633624697787</v>
      </c>
      <c r="M22" s="9"/>
      <c r="N22" s="18">
        <f>'Income Statement'!N33/'Income Statement'!N17</f>
        <v>0.4638440273534119</v>
      </c>
      <c r="O22" s="18">
        <f>'Income Statement'!O33/'Income Statement'!O17</f>
        <v>0.44896681277395117</v>
      </c>
      <c r="P22" s="18">
        <f>'Income Statement'!P33/'Income Statement'!P17</f>
        <v>0.44459368703828073</v>
      </c>
      <c r="Q22" s="18">
        <f>'Income Statement'!Q33/'Income Statement'!Q17</f>
        <v>0.47230746748502117</v>
      </c>
      <c r="R22" s="18">
        <f>'Income Statement'!R33/'Income Statement'!R17</f>
        <v>0.47428652161627577</v>
      </c>
      <c r="S22" s="18">
        <f>'Income Statement'!S33/'Income Statement'!S17</f>
        <v>0.45027821372521043</v>
      </c>
      <c r="T22" s="18">
        <f>'Income Statement'!T33/'Income Statement'!T17</f>
        <v>0.45312260242442842</v>
      </c>
      <c r="U22" s="18">
        <f>'Income Statement'!U33/'Income Statement'!U17</f>
        <v>0.47020707141850965</v>
      </c>
    </row>
    <row r="23" spans="1:21">
      <c r="A23" s="17" t="s">
        <v>600</v>
      </c>
      <c r="C23" s="24">
        <f>'Income Statement'!C33+'Cash Flow'!C16</f>
        <v>9261</v>
      </c>
      <c r="D23" s="24">
        <f>'Income Statement'!D33+'Cash Flow'!D16</f>
        <v>10916.1</v>
      </c>
      <c r="E23" s="24">
        <f>'Income Statement'!E33+'Cash Flow'!E16</f>
        <v>10304.6</v>
      </c>
      <c r="F23" s="24">
        <f>'Income Statement'!F33+'Cash Flow'!F16</f>
        <v>10687.699999999999</v>
      </c>
      <c r="G23" s="24">
        <f>'Income Statement'!G33+'Cash Flow'!G16</f>
        <v>9075.4</v>
      </c>
      <c r="H23" s="24">
        <f>'Income Statement'!H33+'Cash Flow'!H16</f>
        <v>12224.1</v>
      </c>
      <c r="I23" s="24">
        <f>'Income Statement'!I33+'Cash Flow'!I16</f>
        <v>11242</v>
      </c>
      <c r="J23" s="24">
        <f>'Income Statement'!J33+'Cash Flow'!J16</f>
        <v>13625</v>
      </c>
      <c r="K23" s="24">
        <f>'Income Statement'!K33+'Cash Flow'!K16</f>
        <v>13809</v>
      </c>
      <c r="L23" s="24">
        <f>'Income Statement'!L33+'Cash Flow'!L16</f>
        <v>14592</v>
      </c>
      <c r="M23" s="9"/>
      <c r="N23" s="24">
        <f>'Income Statement'!N33+'Cash Flow'!N16</f>
        <v>3720</v>
      </c>
      <c r="O23" s="24">
        <f>'Income Statement'!O33+'Cash Flow'!O16</f>
        <v>3421</v>
      </c>
      <c r="P23" s="24">
        <f>'Income Statement'!P33+'Cash Flow'!P16</f>
        <v>3168</v>
      </c>
      <c r="Q23" s="24">
        <f>'Income Statement'!Q33+'Cash Flow'!Q16</f>
        <v>3776</v>
      </c>
      <c r="R23" s="24">
        <f>'Income Statement'!R33+'Cash Flow'!R16</f>
        <v>3916</v>
      </c>
      <c r="S23" s="24">
        <f>'Income Statement'!S33+'Cash Flow'!S16</f>
        <v>3732</v>
      </c>
      <c r="T23" s="24">
        <f>'Income Statement'!T33+'Cash Flow'!T16</f>
        <v>3519</v>
      </c>
      <c r="U23" s="24">
        <f>'Income Statement'!U33+'Cash Flow'!U16</f>
        <v>3903</v>
      </c>
    </row>
    <row r="24" spans="1:21">
      <c r="A24" s="17" t="s">
        <v>601</v>
      </c>
      <c r="C24" s="18">
        <f>C23/'Income Statement'!C17</f>
        <v>0.37612856846953319</v>
      </c>
      <c r="D24" s="18">
        <f>D23/'Income Statement'!D17</f>
        <v>0.47834831992427829</v>
      </c>
      <c r="E24" s="18">
        <f>E23/'Income Statement'!E17</f>
        <v>0.48474214292098466</v>
      </c>
      <c r="F24" s="18">
        <f>F23/'Income Statement'!F17</f>
        <v>0.50025743760648544</v>
      </c>
      <c r="G24" s="18">
        <f>G23/'Income Statement'!G17</f>
        <v>0.47248513624673311</v>
      </c>
      <c r="H24" s="18">
        <f>H23/'Income Statement'!H17</f>
        <v>0.52638128743610835</v>
      </c>
      <c r="I24" s="18">
        <f>I23/'Income Statement'!I17</f>
        <v>0.4849242979769659</v>
      </c>
      <c r="J24" s="18">
        <f>J23/'Income Statement'!J17</f>
        <v>0.53443947595512664</v>
      </c>
      <c r="K24" s="18">
        <f>K23/'Income Statement'!K17</f>
        <v>0.53275462962962961</v>
      </c>
      <c r="L24" s="18">
        <f>L23/'Income Statement'!L17</f>
        <v>0.54275618374558299</v>
      </c>
      <c r="M24" s="9"/>
      <c r="N24" s="18">
        <f>N23/'Income Statement'!N17</f>
        <v>0.54124836316019209</v>
      </c>
      <c r="O24" s="18">
        <f>O23/'Income Statement'!O17</f>
        <v>0.53553537883531621</v>
      </c>
      <c r="P24" s="18">
        <f>P23/'Income Statement'!P17</f>
        <v>0.53190060443250509</v>
      </c>
      <c r="Q24" s="18">
        <f>Q23/'Income Statement'!Q17</f>
        <v>0.55180476399240097</v>
      </c>
      <c r="R24" s="18">
        <f>R23/'Income Statement'!R17</f>
        <v>0.55326363379485732</v>
      </c>
      <c r="S24" s="18">
        <f>S23/'Income Statement'!S17</f>
        <v>0.53245826794121842</v>
      </c>
      <c r="T24" s="18">
        <f>T23/'Income Statement'!T17</f>
        <v>0.53997237992941538</v>
      </c>
      <c r="U24" s="18">
        <f>U23/'Income Statement'!U17</f>
        <v>0.54979574587970137</v>
      </c>
    </row>
    <row r="25" spans="1:21">
      <c r="A25" s="17" t="s">
        <v>602</v>
      </c>
      <c r="C25" s="18">
        <f>'Income Statement'!C41/'Income Statement'!C17</f>
        <v>0.19033868223004721</v>
      </c>
      <c r="D25" s="18">
        <f>'Income Statement'!D41/'Income Statement'!D17</f>
        <v>0.22752887767085589</v>
      </c>
      <c r="E25" s="18">
        <f>'Income Statement'!E41/'Income Statement'!E17</f>
        <v>0.27868698225130423</v>
      </c>
      <c r="F25" s="18">
        <f>'Income Statement'!F41/'Income Statement'!F17</f>
        <v>0.28202991893055734</v>
      </c>
      <c r="G25" s="18">
        <f>'Income Statement'!G41/'Income Statement'!G17</f>
        <v>0.24628015701954414</v>
      </c>
      <c r="H25" s="18">
        <f>'Income Statement'!H41/'Income Statement'!H17</f>
        <v>0.32490343583273407</v>
      </c>
      <c r="I25" s="18">
        <f>'Income Statement'!I41/'Income Statement'!I17</f>
        <v>0.26644524004658587</v>
      </c>
      <c r="J25" s="18">
        <f>'Income Statement'!J41/'Income Statement'!J17</f>
        <v>0.33219581077900684</v>
      </c>
      <c r="K25" s="18">
        <f>'Income Statement'!K41/'Income Statement'!K17</f>
        <v>0.31724537037037037</v>
      </c>
      <c r="L25" s="18">
        <f>'Income Statement'!L41/'Income Statement'!L17</f>
        <v>0.31850474242142457</v>
      </c>
      <c r="M25" s="9"/>
      <c r="N25" s="18">
        <f>'Income Statement'!N41/'Income Statement'!N17</f>
        <v>0.32809544594791212</v>
      </c>
      <c r="O25" s="18">
        <f>'Income Statement'!O41/'Income Statement'!O17</f>
        <v>0.31559173450219163</v>
      </c>
      <c r="P25" s="18">
        <f>'Income Statement'!P41/'Income Statement'!P17</f>
        <v>0.31363331094694424</v>
      </c>
      <c r="Q25" s="18">
        <f>'Income Statement'!Q41/'Income Statement'!Q17</f>
        <v>0.32924156071898292</v>
      </c>
      <c r="R25" s="18">
        <f>'Income Statement'!R41/'Income Statement'!R17</f>
        <v>0.32184232834133936</v>
      </c>
      <c r="S25" s="18">
        <f>'Income Statement'!S41/'Income Statement'!S17</f>
        <v>0.30874589813097447</v>
      </c>
      <c r="T25" s="18">
        <f>'Income Statement'!T41/'Income Statement'!T17</f>
        <v>0.30428111094061683</v>
      </c>
      <c r="U25" s="18">
        <f>'Income Statement'!U41/'Income Statement'!U17</f>
        <v>0.33272291872094661</v>
      </c>
    </row>
    <row r="26" spans="1:21">
      <c r="A26" s="17" t="s">
        <v>603</v>
      </c>
      <c r="C26" s="18">
        <f>'Income Statement'!C40/'Income Statement'!C39</f>
        <v>0.31743373143023595</v>
      </c>
      <c r="D26" s="18">
        <f>'Income Statement'!D40/'Income Statement'!D39</f>
        <v>0.39437802531054994</v>
      </c>
      <c r="E26" s="18">
        <f>'Income Statement'!E40/'Income Statement'!E39</f>
        <v>0.24203886848940007</v>
      </c>
      <c r="F26" s="18">
        <f>'Income Statement'!F40/'Income Statement'!F39</f>
        <v>0.2485252117085095</v>
      </c>
      <c r="G26" s="18">
        <f>'Income Statement'!G40/'Income Statement'!G39</f>
        <v>0.22964808572312603</v>
      </c>
      <c r="H26" s="18">
        <f>'Income Statement'!H40/'Income Statement'!H39</f>
        <v>0.17339147010813002</v>
      </c>
      <c r="I26" s="18">
        <f>'Income Statement'!I40/'Income Statement'!I39</f>
        <v>0.21060702875399362</v>
      </c>
      <c r="J26" s="18">
        <f>'Income Statement'!J40/'Income Statement'!J39</f>
        <v>0.19511499714883102</v>
      </c>
      <c r="K26" s="18">
        <f>'Income Statement'!K40/'Income Statement'!K39</f>
        <v>0.20502658289028516</v>
      </c>
      <c r="L26" s="18">
        <f>'Income Statement'!L40/'Income Statement'!L39</f>
        <v>0.21418739102505277</v>
      </c>
      <c r="M26" s="9"/>
      <c r="N26" s="18">
        <f>'Income Statement'!N40/'Income Statement'!N39</f>
        <v>0.20682377769961308</v>
      </c>
      <c r="O26" s="18">
        <f>'Income Statement'!O40/'Income Statement'!O39</f>
        <v>0.20527974783293931</v>
      </c>
      <c r="P26" s="18">
        <f>'Income Statement'!P40/'Income Statement'!P39</f>
        <v>0.19785407725321888</v>
      </c>
      <c r="Q26" s="18">
        <f>'Income Statement'!Q40/'Income Statement'!Q39</f>
        <v>0.21251310730513806</v>
      </c>
      <c r="R26" s="18">
        <f>'Income Statement'!R40/'Income Statement'!R39</f>
        <v>0.22753475754493049</v>
      </c>
      <c r="S26" s="18">
        <f>'Income Statement'!S40/'Income Statement'!S39</f>
        <v>0.21545157780195864</v>
      </c>
      <c r="T26" s="18">
        <f>'Income Statement'!T40/'Income Statement'!T39</f>
        <v>0.21990558615263572</v>
      </c>
      <c r="U26" s="18">
        <f>'Income Statement'!U40/'Income Statement'!U39</f>
        <v>0.19550408719346049</v>
      </c>
    </row>
    <row r="27" spans="1:21">
      <c r="A27" s="17" t="s">
        <v>604</v>
      </c>
      <c r="C27" s="18">
        <f>'Cash Flow'!C16/'Income Statement'!C17</f>
        <v>6.1591509997197612E-2</v>
      </c>
      <c r="D27" s="18">
        <f>'Cash Flow'!D16/'Income Statement'!D17</f>
        <v>5.974478974952236E-2</v>
      </c>
      <c r="E27" s="18">
        <f>'Cash Flow'!E16/'Income Statement'!E17</f>
        <v>6.9715258797905716E-2</v>
      </c>
      <c r="F27" s="18">
        <f>'Cash Flow'!F16/'Income Statement'!F17</f>
        <v>7.5728782460541835E-2</v>
      </c>
      <c r="G27" s="18">
        <f>'Cash Flow'!G16/'Income Statement'!G17</f>
        <v>9.1181707431356021E-2</v>
      </c>
      <c r="H27" s="18">
        <f>'Cash Flow'!H16/'Income Statement'!H17</f>
        <v>8.044214977457595E-2</v>
      </c>
      <c r="I27" s="18">
        <f>'Cash Flow'!I16/'Income Statement'!I17</f>
        <v>8.0705689513867918E-2</v>
      </c>
      <c r="J27" s="18">
        <f>'Cash Flow'!J16/'Income Statement'!J17</f>
        <v>7.7586883188201144E-2</v>
      </c>
      <c r="K27" s="18">
        <f>'Cash Flow'!K16/'Income Statement'!K17</f>
        <v>8.0902777777777782E-2</v>
      </c>
      <c r="L27" s="18">
        <f>'Cash Flow'!L16/'Income Statement'!L17</f>
        <v>8.1792821275804353E-2</v>
      </c>
      <c r="M27" s="9"/>
      <c r="N27" s="18">
        <f>'Cash Flow'!N16/'Income Statement'!N17</f>
        <v>7.7404335806780147E-2</v>
      </c>
      <c r="O27" s="18">
        <f>'Cash Flow'!O16/'Income Statement'!O17</f>
        <v>8.6568566061365065E-2</v>
      </c>
      <c r="P27" s="18">
        <f>'Cash Flow'!P16/'Income Statement'!P17</f>
        <v>8.7306917394224318E-2</v>
      </c>
      <c r="Q27" s="18">
        <f>'Cash Flow'!Q16/'Income Statement'!Q17</f>
        <v>7.94972965073798E-2</v>
      </c>
      <c r="R27" s="18">
        <f>'Cash Flow'!R16/'Income Statement'!R17</f>
        <v>7.8977112178581527E-2</v>
      </c>
      <c r="S27" s="18">
        <f>'Cash Flow'!S16/'Income Statement'!S17</f>
        <v>8.2180054216007992E-2</v>
      </c>
      <c r="T27" s="18">
        <f>'Cash Flow'!T16/'Income Statement'!T17</f>
        <v>8.6849777504986958E-2</v>
      </c>
      <c r="U27" s="18">
        <f>'Cash Flow'!U16/'Income Statement'!U17</f>
        <v>7.9588674461191722E-2</v>
      </c>
    </row>
    <row r="28" spans="1:21" ht="8" customHeight="1">
      <c r="M28" s="9"/>
    </row>
    <row r="29" spans="1:21" ht="20" customHeight="1">
      <c r="A29" s="12" t="s">
        <v>605</v>
      </c>
      <c r="B29" s="1"/>
      <c r="C29" s="1"/>
      <c r="D29" s="1"/>
      <c r="E29" s="1"/>
      <c r="F29" s="1"/>
      <c r="G29" s="1"/>
      <c r="H29" s="1"/>
      <c r="I29" s="1"/>
      <c r="J29" s="1"/>
      <c r="K29" s="1"/>
      <c r="L29" s="1"/>
      <c r="M29" s="9"/>
      <c r="N29" s="1"/>
      <c r="O29" s="1"/>
      <c r="P29" s="1"/>
      <c r="Q29" s="1"/>
      <c r="R29" s="1"/>
      <c r="S29" s="1"/>
      <c r="T29" s="1"/>
      <c r="U29" s="1"/>
    </row>
    <row r="30" spans="1:21">
      <c r="A30" s="17" t="s">
        <v>606</v>
      </c>
      <c r="D30" s="24">
        <f>('Balance Sheet'!D29+'Balance Sheet'!C29)/2</f>
        <v>32413.8</v>
      </c>
      <c r="E30" s="24">
        <f>('Balance Sheet'!E29+'Balance Sheet'!D29)/2</f>
        <v>33307.449999999997</v>
      </c>
      <c r="F30" s="24">
        <f>('Balance Sheet'!F29+'Balance Sheet'!E29)/2</f>
        <v>40161</v>
      </c>
      <c r="G30" s="24">
        <f>('Balance Sheet'!G29+'Balance Sheet'!F29)/2</f>
        <v>50068.800000000003</v>
      </c>
      <c r="H30" s="24">
        <f>('Balance Sheet'!H29+'Balance Sheet'!G29)/2</f>
        <v>53240.55</v>
      </c>
      <c r="I30" s="24">
        <f>('Balance Sheet'!I29+'Balance Sheet'!H29)/2</f>
        <v>52144.95</v>
      </c>
      <c r="J30" s="24">
        <f>('Balance Sheet'!J29+'Balance Sheet'!I29)/2</f>
        <v>53291.3</v>
      </c>
      <c r="K30" s="24">
        <f>('Balance Sheet'!K29+'Balance Sheet'!J29)/2</f>
        <v>55664.5</v>
      </c>
      <c r="L30" s="24">
        <f>('Balance Sheet'!L29+'Balance Sheet'!K29)/2</f>
        <v>57348.5</v>
      </c>
      <c r="M30" s="9"/>
    </row>
    <row r="31" spans="1:21">
      <c r="A31" s="17" t="s">
        <v>607</v>
      </c>
      <c r="D31" s="18">
        <f>'Income Statement'!D41/D30</f>
        <v>0.16018794464086286</v>
      </c>
      <c r="E31" s="18">
        <f>'Income Statement'!E41/E30</f>
        <v>0.17786711381387649</v>
      </c>
      <c r="F31" s="18">
        <f>'Income Statement'!F41/F30</f>
        <v>0.15003112472298996</v>
      </c>
      <c r="G31" s="18">
        <f>'Income Statement'!G41/G30</f>
        <v>9.4479995526156005E-2</v>
      </c>
      <c r="H31" s="18">
        <f>'Income Statement'!H41/H30</f>
        <v>0.14171904685432438</v>
      </c>
      <c r="I31" s="18">
        <f>'Income Statement'!I41/I30</f>
        <v>0.11845825914110571</v>
      </c>
      <c r="J31" s="18">
        <f>'Income Statement'!J41/J30</f>
        <v>0.15891899803532658</v>
      </c>
      <c r="K31" s="18">
        <f>'Income Statement'!K41/K30</f>
        <v>0.14772431262294641</v>
      </c>
      <c r="L31" s="18">
        <f>'Income Statement'!L41/L30</f>
        <v>0.14931515209639309</v>
      </c>
      <c r="M31" s="9"/>
    </row>
    <row r="32" spans="1:21">
      <c r="A32" s="17" t="s">
        <v>608</v>
      </c>
      <c r="D32" s="32">
        <f>'Income Statement'!D17/D30</f>
        <v>0.70403346722692195</v>
      </c>
      <c r="E32" s="32">
        <f>'Income Statement'!E17/E30</f>
        <v>0.63823258760427481</v>
      </c>
      <c r="F32" s="32">
        <f>'Income Statement'!F17/F30</f>
        <v>0.53196882547745328</v>
      </c>
      <c r="G32" s="32">
        <f>'Income Statement'!G17/G30</f>
        <v>0.38362812769628984</v>
      </c>
      <c r="H32" s="32">
        <f>'Income Statement'!H17/H30</f>
        <v>0.43618820616992121</v>
      </c>
      <c r="I32" s="32">
        <f>'Income Statement'!I17/I30</f>
        <v>0.44458763504423732</v>
      </c>
      <c r="J32" s="32">
        <f>'Income Statement'!J17/J30</f>
        <v>0.47838953074892149</v>
      </c>
      <c r="K32" s="32">
        <f>'Income Statement'!K17/K30</f>
        <v>0.46564686649480369</v>
      </c>
      <c r="L32" s="32">
        <f>'Income Statement'!L17/L30</f>
        <v>0.46880040454414673</v>
      </c>
      <c r="M32" s="9"/>
    </row>
    <row r="33" spans="1:21" ht="36">
      <c r="A33" s="17" t="s">
        <v>609</v>
      </c>
      <c r="B33" s="14" t="s">
        <v>610</v>
      </c>
      <c r="C33" s="24">
        <f>'Balance Sheet'!C69+'Balance Sheet'!C70+'Balance Sheet'!C56</f>
        <v>23751.4</v>
      </c>
      <c r="D33" s="24">
        <f>'Balance Sheet'!D69+'Balance Sheet'!D70+'Balance Sheet'!D56</f>
        <v>26268.400000000001</v>
      </c>
      <c r="E33" s="24">
        <f>'Balance Sheet'!E69+'Balance Sheet'!E70+'Balance Sheet'!E56</f>
        <v>24816.9</v>
      </c>
      <c r="F33" s="24">
        <f>'Balance Sheet'!F69+'Balance Sheet'!F70+'Balance Sheet'!F56</f>
        <v>39345.699999999997</v>
      </c>
      <c r="G33" s="24">
        <f>'Balance Sheet'!G69+'Balance Sheet'!G70+'Balance Sheet'!G56</f>
        <v>43638.299999999996</v>
      </c>
      <c r="H33" s="24">
        <f>'Balance Sheet'!H69+'Balance Sheet'!H70+'Balance Sheet'!H56</f>
        <v>44748.1</v>
      </c>
      <c r="I33" s="24">
        <f>'Balance Sheet'!I69+'Balance Sheet'!I70+'Balance Sheet'!I56</f>
        <v>42695.6</v>
      </c>
      <c r="J33" s="24">
        <f>'Balance Sheet'!J69+'Balance Sheet'!J70+'Balance Sheet'!J56</f>
        <v>48384</v>
      </c>
      <c r="K33" s="24">
        <f>'Balance Sheet'!K69+'Balance Sheet'!K70+'Balance Sheet'!K56</f>
        <v>48151</v>
      </c>
      <c r="L33" s="24">
        <f>'Balance Sheet'!L69+'Balance Sheet'!L70+'Balance Sheet'!L56</f>
        <v>53023</v>
      </c>
      <c r="M33" s="9"/>
    </row>
    <row r="34" spans="1:21">
      <c r="A34" s="17" t="s">
        <v>611</v>
      </c>
      <c r="C34" s="24">
        <f>'Income Statement'!C33*(1-C26)</f>
        <v>5286.1344669385371</v>
      </c>
      <c r="D34" s="24">
        <f>'Income Statement'!D33*(1-D26)</f>
        <v>5785.3250376159094</v>
      </c>
      <c r="E34" s="24">
        <f>'Income Statement'!E33*(1-E26)</f>
        <v>6687.1878788654194</v>
      </c>
      <c r="F34" s="24">
        <f>'Income Statement'!F33*(1-F26)</f>
        <v>6815.7260348461596</v>
      </c>
      <c r="G34" s="24">
        <f>'Income Statement'!G33*(1-G26)</f>
        <v>5642.0574201638256</v>
      </c>
      <c r="H34" s="24">
        <f>'Income Statement'!H33*(1-H26)</f>
        <v>8560.3579355602051</v>
      </c>
      <c r="I34" s="24">
        <f>'Income Statement'!I33*(1-I26)</f>
        <v>7397.4015335463255</v>
      </c>
      <c r="J34" s="24">
        <f>'Income Statement'!J33*(1-J26)</f>
        <v>9374.4956282075636</v>
      </c>
      <c r="K34" s="24">
        <f>'Income Statement'!K33*(1-K26)</f>
        <v>9310.7286611889795</v>
      </c>
      <c r="L34" s="24">
        <f>'Income Statement'!L33*(1-L26)</f>
        <v>9738.5756630265205</v>
      </c>
      <c r="M34" s="9"/>
    </row>
    <row r="35" spans="1:21">
      <c r="A35" s="17" t="s">
        <v>612</v>
      </c>
      <c r="D35" s="18">
        <f t="shared" ref="D35:L35" si="0">D34/((D33+C33)/2)</f>
        <v>0.23132139823093692</v>
      </c>
      <c r="E35" s="18">
        <f t="shared" si="0"/>
        <v>0.2618047805871912</v>
      </c>
      <c r="F35" s="18">
        <f t="shared" si="0"/>
        <v>0.21245167854314381</v>
      </c>
      <c r="G35" s="18">
        <f t="shared" si="0"/>
        <v>0.13597940374442846</v>
      </c>
      <c r="H35" s="18">
        <f t="shared" si="0"/>
        <v>0.1937030569309352</v>
      </c>
      <c r="I35" s="18">
        <f t="shared" si="0"/>
        <v>0.16919232680104629</v>
      </c>
      <c r="J35" s="18">
        <f t="shared" si="0"/>
        <v>0.20585280629707559</v>
      </c>
      <c r="K35" s="18">
        <f t="shared" si="0"/>
        <v>0.19289850647307152</v>
      </c>
      <c r="L35" s="18">
        <f t="shared" si="0"/>
        <v>0.19251142908309488</v>
      </c>
      <c r="M35" s="9"/>
    </row>
    <row r="36" spans="1:21" ht="8" customHeight="1">
      <c r="M36" s="9"/>
    </row>
    <row r="37" spans="1:21" ht="20" customHeight="1">
      <c r="A37" s="12" t="s">
        <v>613</v>
      </c>
      <c r="B37" s="1"/>
      <c r="C37" s="1"/>
      <c r="D37" s="1"/>
      <c r="E37" s="1"/>
      <c r="F37" s="1"/>
      <c r="G37" s="1"/>
      <c r="H37" s="1"/>
      <c r="I37" s="1"/>
      <c r="J37" s="1"/>
      <c r="K37" s="1"/>
      <c r="L37" s="1"/>
      <c r="M37" s="9"/>
      <c r="N37" s="1"/>
      <c r="O37" s="1"/>
      <c r="P37" s="1"/>
      <c r="Q37" s="1"/>
      <c r="R37" s="1"/>
      <c r="S37" s="1"/>
      <c r="T37" s="1"/>
      <c r="U37" s="1"/>
    </row>
    <row r="38" spans="1:21">
      <c r="A38" s="17" t="s">
        <v>614</v>
      </c>
      <c r="C38" s="32">
        <f>'Balance Sheet'!C71/C23</f>
        <v>2.670586329770003</v>
      </c>
      <c r="D38" s="32">
        <f>'Balance Sheet'!D71/D23</f>
        <v>2.4800615604474125</v>
      </c>
      <c r="E38" s="32">
        <f>'Balance Sheet'!E71/E23</f>
        <v>2.9316324748170719</v>
      </c>
      <c r="F38" s="32">
        <f>'Balance Sheet'!F71/F23</f>
        <v>3.1137382224426209</v>
      </c>
      <c r="G38" s="32">
        <f>'Balance Sheet'!G71/G23</f>
        <v>3.7454327082001901</v>
      </c>
      <c r="H38" s="32">
        <f>'Balance Sheet'!H71/H23</f>
        <v>2.5288978329692982</v>
      </c>
      <c r="I38" s="32">
        <f>'Balance Sheet'!I71/I23</f>
        <v>2.96385874399573</v>
      </c>
      <c r="J38" s="32">
        <f>'Balance Sheet'!J71/J23</f>
        <v>2.5516330275229357</v>
      </c>
      <c r="K38" s="32">
        <f>'Balance Sheet'!K71/K23</f>
        <v>2.7039611847345935</v>
      </c>
      <c r="L38" s="32">
        <f>'Balance Sheet'!L71/L23</f>
        <v>2.6863349780701755</v>
      </c>
      <c r="M38" s="9"/>
    </row>
    <row r="39" spans="1:21" ht="24">
      <c r="A39" s="17" t="s">
        <v>615</v>
      </c>
      <c r="B39" s="14" t="s">
        <v>616</v>
      </c>
      <c r="C39" s="32">
        <f>'Balance Sheet'!C72/C23</f>
        <v>2.670586329770003</v>
      </c>
      <c r="D39" s="32">
        <f>'Balance Sheet'!D72/D23</f>
        <v>2.4800615604474125</v>
      </c>
      <c r="E39" s="32">
        <f>'Balance Sheet'!E72/E23</f>
        <v>2.9316324748170719</v>
      </c>
      <c r="F39" s="32">
        <f>'Balance Sheet'!F72/F23</f>
        <v>4.3655323409152578</v>
      </c>
      <c r="G39" s="32">
        <f>'Balance Sheet'!G72/G23</f>
        <v>5.2905767238909585</v>
      </c>
      <c r="H39" s="32">
        <f>'Balance Sheet'!H72/H23</f>
        <v>3.6517944061321481</v>
      </c>
      <c r="I39" s="32">
        <f>'Balance Sheet'!I72/I23</f>
        <v>4.102045899306173</v>
      </c>
      <c r="J39" s="32">
        <f>'Balance Sheet'!J72/J23</f>
        <v>3.5605137614678899</v>
      </c>
      <c r="K39" s="32">
        <f>'Balance Sheet'!K72/K23</f>
        <v>3.6833224708523429</v>
      </c>
      <c r="L39" s="32">
        <f>'Balance Sheet'!L72/L23</f>
        <v>3.7033991228070176</v>
      </c>
      <c r="M39" s="9"/>
    </row>
    <row r="40" spans="1:21">
      <c r="A40" s="17" t="s">
        <v>617</v>
      </c>
      <c r="C40" s="18">
        <f>'Balance Sheet'!C69/'Balance Sheet'!C29</f>
        <v>0.83663562608182718</v>
      </c>
      <c r="D40" s="18">
        <f>'Balance Sheet'!D69/'Balance Sheet'!D29</f>
        <v>0.87376233962554406</v>
      </c>
      <c r="E40" s="18">
        <f>'Balance Sheet'!E69/'Balance Sheet'!E29</f>
        <v>0.94709428487833425</v>
      </c>
      <c r="F40" s="18">
        <f>'Balance Sheet'!F69/'Balance Sheet'!F29</f>
        <v>0.71935644106182162</v>
      </c>
      <c r="G40" s="18">
        <f>'Balance Sheet'!G69/'Balance Sheet'!G29</f>
        <v>0.71143219804358238</v>
      </c>
      <c r="H40" s="18">
        <f>'Balance Sheet'!H69/'Balance Sheet'!H29</f>
        <v>0.66146435846348384</v>
      </c>
      <c r="I40" s="18">
        <f>'Balance Sheet'!I69/'Balance Sheet'!I29</f>
        <v>0.71186820420496633</v>
      </c>
      <c r="J40" s="18">
        <f>'Balance Sheet'!J69/'Balance Sheet'!J29</f>
        <v>0.70074981744349651</v>
      </c>
      <c r="K40" s="18">
        <f>'Balance Sheet'!K69/'Balance Sheet'!K29</f>
        <v>0.6963140154398173</v>
      </c>
      <c r="L40" s="18">
        <f>'Balance Sheet'!L69/'Balance Sheet'!L29</f>
        <v>0.67164580357892967</v>
      </c>
      <c r="M40" s="9"/>
    </row>
    <row r="41" spans="1:21">
      <c r="A41" s="17" t="s">
        <v>618</v>
      </c>
      <c r="C41" s="32">
        <f>'Income Statement'!C33/'Income Statement'!C37</f>
        <v>8.7528254972875228</v>
      </c>
      <c r="D41" s="32">
        <f>'Income Statement'!D33/'Income Statement'!D37</f>
        <v>10.368718115706068</v>
      </c>
      <c r="E41" s="32">
        <f>'Income Statement'!E33/'Income Statement'!E37</f>
        <v>8.9916428862617206</v>
      </c>
      <c r="F41" s="32">
        <f>'Income Statement'!F33/'Income Statement'!F37</f>
        <v>8.0843212407522937</v>
      </c>
      <c r="G41" s="32">
        <f>'Income Statement'!G33/'Income Statement'!G37</f>
        <v>6.0126426401773259</v>
      </c>
      <c r="H41" s="32">
        <f>'Income Statement'!H33/'Income Statement'!H37</f>
        <v>8.7333445775004215</v>
      </c>
      <c r="I41" s="32">
        <f>'Income Statement'!I33/'Income Statement'!I37</f>
        <v>7.7638773819386913</v>
      </c>
      <c r="J41" s="32">
        <f>'Income Statement'!J33/'Income Statement'!J37</f>
        <v>8.5576781778104341</v>
      </c>
      <c r="K41" s="32">
        <f>'Income Statement'!K33/'Income Statement'!K37</f>
        <v>7.7768924302788847</v>
      </c>
      <c r="L41" s="32">
        <f>'Income Statement'!L33/'Income Statement'!L37</f>
        <v>7.8337547408343866</v>
      </c>
      <c r="M41" s="9"/>
    </row>
    <row r="42" spans="1:21">
      <c r="A42" s="17" t="s">
        <v>619</v>
      </c>
      <c r="C42" s="32">
        <f>C23/'Income Statement'!C37</f>
        <v>10.466772151898734</v>
      </c>
      <c r="D42" s="32">
        <f>D23/'Income Statement'!D37</f>
        <v>11.84858352328232</v>
      </c>
      <c r="E42" s="32">
        <f>E23/'Income Statement'!E37</f>
        <v>10.502038320423971</v>
      </c>
      <c r="F42" s="32">
        <f>F23/'Income Statement'!F37</f>
        <v>9.5264283804260614</v>
      </c>
      <c r="G42" s="32">
        <f>G23/'Income Statement'!G37</f>
        <v>7.4504556276167806</v>
      </c>
      <c r="H42" s="32">
        <f>H23/'Income Statement'!H37</f>
        <v>10.308736717827628</v>
      </c>
      <c r="I42" s="32">
        <f>I23/'Income Statement'!I37</f>
        <v>9.3140016570008282</v>
      </c>
      <c r="J42" s="32">
        <f>J23/'Income Statement'!J37</f>
        <v>10.011021307861867</v>
      </c>
      <c r="K42" s="32">
        <f>K23/'Income Statement'!K37</f>
        <v>9.169322709163346</v>
      </c>
      <c r="L42" s="32">
        <f>L23/'Income Statement'!L37</f>
        <v>9.2237673830594193</v>
      </c>
      <c r="M42" s="9"/>
    </row>
    <row r="43" spans="1:21">
      <c r="A43" s="17" t="s">
        <v>620</v>
      </c>
      <c r="C43" s="18">
        <f>'Cash Flow'!C28/'Balance Sheet'!C69</f>
        <v>0.23345931722126548</v>
      </c>
      <c r="D43" s="18">
        <f>'Cash Flow'!D28/'Balance Sheet'!D69</f>
        <v>0.18794436695061009</v>
      </c>
      <c r="E43" s="18">
        <f>'Cash Flow'!E28/'Balance Sheet'!E69</f>
        <v>0.22418769891199763</v>
      </c>
      <c r="F43" s="18">
        <f>'Cash Flow'!F28/'Balance Sheet'!F69</f>
        <v>0.23764673525040089</v>
      </c>
      <c r="G43" s="18">
        <f>'Cash Flow'!G28/'Balance Sheet'!G69</f>
        <v>0.16733795579107061</v>
      </c>
      <c r="H43" s="18">
        <f>'Cash Flow'!H28/'Balance Sheet'!H69</f>
        <v>0.25662007652423879</v>
      </c>
      <c r="I43" s="18">
        <f>'Cash Flow'!I28/'Balance Sheet'!I69</f>
        <v>0.2057459579149665</v>
      </c>
      <c r="J43" s="18">
        <f>'Cash Flow'!J28/'Balance Sheet'!J69</f>
        <v>0.24430041936713687</v>
      </c>
      <c r="K43" s="18">
        <f>'Cash Flow'!K28/'Balance Sheet'!K69</f>
        <v>0.24586196127420362</v>
      </c>
      <c r="L43" s="18">
        <f>'Cash Flow'!L28/'Balance Sheet'!L69</f>
        <v>0.26395316838866234</v>
      </c>
      <c r="M43" s="9"/>
    </row>
    <row r="44" spans="1:21" ht="8" customHeight="1">
      <c r="M44" s="9"/>
    </row>
    <row r="45" spans="1:21" ht="20" customHeight="1">
      <c r="A45" s="12" t="s">
        <v>621</v>
      </c>
      <c r="B45" s="1"/>
      <c r="C45" s="1"/>
      <c r="D45" s="1"/>
      <c r="E45" s="1"/>
      <c r="F45" s="1"/>
      <c r="G45" s="1"/>
      <c r="H45" s="1"/>
      <c r="I45" s="1"/>
      <c r="J45" s="1"/>
      <c r="K45" s="1"/>
      <c r="L45" s="1"/>
      <c r="M45" s="9"/>
      <c r="N45" s="1"/>
      <c r="O45" s="1"/>
      <c r="P45" s="1"/>
      <c r="Q45" s="1"/>
      <c r="R45" s="1"/>
      <c r="S45" s="1"/>
      <c r="T45" s="1"/>
      <c r="U45" s="1"/>
    </row>
    <row r="46" spans="1:21">
      <c r="A46" s="17" t="s">
        <v>622</v>
      </c>
      <c r="C46" s="32">
        <f>'Balance Sheet'!C19/'Balance Sheet'!C41</f>
        <v>1.3979759536372287</v>
      </c>
      <c r="D46" s="32">
        <f>'Balance Sheet'!D19/'Balance Sheet'!D41</f>
        <v>1.8429391821767107</v>
      </c>
      <c r="E46" s="32">
        <f>'Balance Sheet'!E19/'Balance Sheet'!E41</f>
        <v>1.3631074491340172</v>
      </c>
      <c r="F46" s="32">
        <f>'Balance Sheet'!F19/'Balance Sheet'!F41</f>
        <v>0.98257387462027068</v>
      </c>
      <c r="G46" s="32">
        <f>'Balance Sheet'!G19/'Balance Sheet'!G41</f>
        <v>1.0100304148061865</v>
      </c>
      <c r="H46" s="32">
        <f>'Balance Sheet'!H19/'Balance Sheet'!H41</f>
        <v>1.7782338308457712</v>
      </c>
      <c r="I46" s="32">
        <f>'Balance Sheet'!I19/'Balance Sheet'!I41</f>
        <v>1.4266326503774229</v>
      </c>
      <c r="J46" s="32">
        <f>'Balance Sheet'!J19/'Balance Sheet'!J41</f>
        <v>1.1643096661320893</v>
      </c>
      <c r="K46" s="32">
        <f>'Balance Sheet'!K19/'Balance Sheet'!K41</f>
        <v>1.1911421911421911</v>
      </c>
      <c r="L46" s="32">
        <f>'Balance Sheet'!L19/'Balance Sheet'!L41</f>
        <v>0.95459756936482454</v>
      </c>
      <c r="M46" s="9"/>
      <c r="N46" s="32">
        <f>'Balance Sheet'!N19/'Balance Sheet'!N41</f>
        <v>0.77869372225745082</v>
      </c>
      <c r="O46" s="32">
        <f>'Balance Sheet'!O19/'Balance Sheet'!O41</f>
        <v>1.1911421911421911</v>
      </c>
      <c r="P46" s="32">
        <f>'Balance Sheet'!P19/'Balance Sheet'!P41</f>
        <v>1.1813872255489022</v>
      </c>
      <c r="Q46" s="32">
        <f>'Balance Sheet'!Q19/'Balance Sheet'!Q41</f>
        <v>1.30316426244765</v>
      </c>
      <c r="R46" s="32">
        <f>'Balance Sheet'!R19/'Balance Sheet'!R41</f>
        <v>1</v>
      </c>
      <c r="S46" s="32">
        <f>'Balance Sheet'!S19/'Balance Sheet'!S41</f>
        <v>0.95459756936482454</v>
      </c>
      <c r="T46" s="32">
        <f>'Balance Sheet'!T19/'Balance Sheet'!T41</f>
        <v>1.1357935359382538</v>
      </c>
      <c r="U46" s="32">
        <f>'Balance Sheet'!U19/'Balance Sheet'!U41</f>
        <v>1.0813837730214038</v>
      </c>
    </row>
    <row r="47" spans="1:21">
      <c r="A47" s="17" t="s">
        <v>623</v>
      </c>
      <c r="C47" s="32">
        <f>('Balance Sheet'!C14+'Balance Sheet'!C15)/'Balance Sheet'!C41</f>
        <v>0.77775855606493094</v>
      </c>
      <c r="D47" s="32">
        <f>('Balance Sheet'!D14+'Balance Sheet'!D15)/'Balance Sheet'!D41</f>
        <v>1.5360132844392169</v>
      </c>
      <c r="E47" s="32">
        <f>('Balance Sheet'!E14+'Balance Sheet'!E15)/'Balance Sheet'!E41</f>
        <v>1.1123255422902303</v>
      </c>
      <c r="F47" s="32">
        <f>('Balance Sheet'!F14+'Balance Sheet'!F15)/'Balance Sheet'!F41</f>
        <v>0.8623860811930405</v>
      </c>
      <c r="G47" s="32">
        <f>('Balance Sheet'!G14+'Balance Sheet'!G15)/'Balance Sheet'!G41</f>
        <v>0.89940464634698758</v>
      </c>
      <c r="H47" s="32">
        <f>('Balance Sheet'!H14+'Balance Sheet'!H15)/'Balance Sheet'!H41</f>
        <v>1.6372139303482589</v>
      </c>
      <c r="I47" s="32">
        <f>('Balance Sheet'!I14+'Balance Sheet'!I15)/'Balance Sheet'!I41</f>
        <v>1.2358433497277821</v>
      </c>
      <c r="J47" s="32">
        <f>('Balance Sheet'!J14+'Balance Sheet'!J15)/'Balance Sheet'!J41</f>
        <v>1.0303251202799242</v>
      </c>
      <c r="K47" s="32">
        <f>('Balance Sheet'!K14+'Balance Sheet'!K15)/'Balance Sheet'!K41</f>
        <v>0.89821289821289818</v>
      </c>
      <c r="L47" s="32">
        <f>('Balance Sheet'!L14+'Balance Sheet'!L15)/'Balance Sheet'!L41</f>
        <v>0.74294886493923407</v>
      </c>
      <c r="M47" s="9"/>
      <c r="N47" s="32">
        <f>('Balance Sheet'!N14+'Balance Sheet'!N15)/'Balance Sheet'!N41</f>
        <v>0.58354470513633483</v>
      </c>
      <c r="O47" s="32">
        <f>('Balance Sheet'!O14+'Balance Sheet'!O15)/'Balance Sheet'!O41</f>
        <v>0.89821289821289818</v>
      </c>
      <c r="P47" s="32">
        <f>('Balance Sheet'!P14+'Balance Sheet'!P15)/'Balance Sheet'!P41</f>
        <v>0.904441117764471</v>
      </c>
      <c r="Q47" s="32">
        <f>('Balance Sheet'!Q14+'Balance Sheet'!Q15)/'Balance Sheet'!Q41</f>
        <v>1.0297812936249418</v>
      </c>
      <c r="R47" s="32">
        <f>('Balance Sheet'!R14+'Balance Sheet'!R15)/'Balance Sheet'!R41</f>
        <v>0.8211876953446291</v>
      </c>
      <c r="S47" s="32">
        <f>('Balance Sheet'!S14+'Balance Sheet'!S15)/'Balance Sheet'!S41</f>
        <v>0.74294886493923407</v>
      </c>
      <c r="T47" s="32">
        <f>('Balance Sheet'!T14+'Balance Sheet'!T15)/'Balance Sheet'!T41</f>
        <v>0.86878919440424507</v>
      </c>
      <c r="U47" s="32">
        <f>('Balance Sheet'!U14+'Balance Sheet'!U15)/'Balance Sheet'!U41</f>
        <v>0.82304629168740662</v>
      </c>
    </row>
    <row r="48" spans="1:21">
      <c r="A48" s="17" t="s">
        <v>624</v>
      </c>
      <c r="C48" s="32">
        <f>'Balance Sheet'!C14/'Balance Sheet'!C41</f>
        <v>0.35273765245221</v>
      </c>
      <c r="D48" s="32">
        <f>'Balance Sheet'!D14/'Balance Sheet'!D41</f>
        <v>0.85234899328859071</v>
      </c>
      <c r="E48" s="32">
        <f>'Balance Sheet'!E14/'Balance Sheet'!E41</f>
        <v>0.29123928030939972</v>
      </c>
      <c r="F48" s="32">
        <f>'Balance Sheet'!F14/'Balance Sheet'!F41</f>
        <v>0.24813587406793702</v>
      </c>
      <c r="G48" s="32">
        <f>'Balance Sheet'!G14/'Balance Sheet'!G41</f>
        <v>0.55799844690351386</v>
      </c>
      <c r="H48" s="32">
        <f>'Balance Sheet'!H14/'Balance Sheet'!H41</f>
        <v>1.1714427860696517</v>
      </c>
      <c r="I48" s="32">
        <f>'Balance Sheet'!I14/'Balance Sheet'!I41</f>
        <v>0.67957181557560298</v>
      </c>
      <c r="J48" s="32">
        <f>'Balance Sheet'!J14/'Balance Sheet'!J41</f>
        <v>0.66759002770083098</v>
      </c>
      <c r="K48" s="32">
        <f>'Balance Sheet'!K14/'Balance Sheet'!K41</f>
        <v>0.281015281015281</v>
      </c>
      <c r="L48" s="32">
        <f>'Balance Sheet'!L14/'Balance Sheet'!L41</f>
        <v>0.17748222884659481</v>
      </c>
      <c r="M48" s="9"/>
      <c r="N48" s="32">
        <f>'Balance Sheet'!N14/'Balance Sheet'!N41</f>
        <v>0.19356372859860493</v>
      </c>
      <c r="O48" s="32">
        <f>'Balance Sheet'!O14/'Balance Sheet'!O41</f>
        <v>0.281015281015281</v>
      </c>
      <c r="P48" s="32">
        <f>'Balance Sheet'!P14/'Balance Sheet'!P41</f>
        <v>0.30888223552894212</v>
      </c>
      <c r="Q48" s="32">
        <f>'Balance Sheet'!Q14/'Balance Sheet'!Q41</f>
        <v>0.43648208469055377</v>
      </c>
      <c r="R48" s="32">
        <f>'Balance Sheet'!R14/'Balance Sheet'!R41</f>
        <v>0.39694028623128802</v>
      </c>
      <c r="S48" s="32">
        <f>'Balance Sheet'!S14/'Balance Sheet'!S41</f>
        <v>0.17748222884659481</v>
      </c>
      <c r="T48" s="32">
        <f>'Balance Sheet'!T14/'Balance Sheet'!T41</f>
        <v>0.28219971056439941</v>
      </c>
      <c r="U48" s="32">
        <f>'Balance Sheet'!U14/'Balance Sheet'!U41</f>
        <v>0.20457939273270284</v>
      </c>
    </row>
    <row r="49" spans="1:21" ht="8" customHeight="1">
      <c r="M49" s="9"/>
    </row>
    <row r="50" spans="1:21" ht="20" customHeight="1">
      <c r="A50" s="12" t="s">
        <v>625</v>
      </c>
      <c r="B50" s="1"/>
      <c r="C50" s="1"/>
      <c r="D50" s="1"/>
      <c r="E50" s="1"/>
      <c r="F50" s="1"/>
      <c r="G50" s="1"/>
      <c r="H50" s="1"/>
      <c r="I50" s="1"/>
      <c r="J50" s="1"/>
      <c r="K50" s="1"/>
      <c r="L50" s="1"/>
      <c r="M50" s="9"/>
      <c r="N50" s="1"/>
      <c r="O50" s="1"/>
      <c r="P50" s="1"/>
      <c r="Q50" s="1"/>
      <c r="R50" s="1"/>
      <c r="S50" s="1"/>
      <c r="T50" s="1"/>
      <c r="U50" s="1"/>
    </row>
    <row r="51" spans="1:21">
      <c r="A51" s="17" t="s">
        <v>626</v>
      </c>
      <c r="C51" s="18">
        <f>'Cash Flow'!C28/'Income Statement'!C17</f>
        <v>0.24610610878932981</v>
      </c>
      <c r="D51" s="18">
        <f>'Cash Flow'!D28/'Income Statement'!D17</f>
        <v>0.24325603407477517</v>
      </c>
      <c r="E51" s="18">
        <f>'Cash Flow'!E28/'Income Statement'!E17</f>
        <v>0.32772287008594447</v>
      </c>
      <c r="F51" s="18">
        <f>'Cash Flow'!F28/'Income Statement'!F17</f>
        <v>0.38016981520660537</v>
      </c>
      <c r="G51" s="18">
        <f>'Cash Flow'!G28/'Income Statement'!G17</f>
        <v>0.32617998937931464</v>
      </c>
      <c r="H51" s="18">
        <f>'Cash Flow'!H28/'Income Statement'!H17</f>
        <v>0.39364162098618172</v>
      </c>
      <c r="I51" s="18">
        <f>'Cash Flow'!I28/'Income Statement'!I17</f>
        <v>0.31863865763706162</v>
      </c>
      <c r="J51" s="18">
        <f>'Cash Flow'!J28/'Income Statement'!J17</f>
        <v>0.37702988938573784</v>
      </c>
      <c r="K51" s="18">
        <f>'Cash Flow'!K28/'Income Statement'!K17</f>
        <v>0.36446759259259259</v>
      </c>
      <c r="L51" s="18">
        <f>'Cash Flow'!L28/'Income Statement'!L17</f>
        <v>0.39244932118281567</v>
      </c>
      <c r="M51" s="9"/>
      <c r="N51" s="18">
        <f>'Cash Flow'!N28/'Income Statement'!N17</f>
        <v>0.39807944129201223</v>
      </c>
      <c r="O51" s="18">
        <f>'Cash Flow'!O28/'Income Statement'!O17</f>
        <v>0.41186599874765184</v>
      </c>
      <c r="P51" s="18">
        <f>'Cash Flow'!P28/'Income Statement'!P17</f>
        <v>0.40765614506380121</v>
      </c>
      <c r="Q51" s="18">
        <f>'Cash Flow'!Q28/'Income Statement'!Q17</f>
        <v>0.2919772029811486</v>
      </c>
      <c r="R51" s="18">
        <f>'Cash Flow'!R28/'Income Statement'!R17</f>
        <v>0.48431760384289346</v>
      </c>
      <c r="S51" s="18">
        <f>'Cash Flow'!S28/'Income Statement'!S17</f>
        <v>0.38479098302182907</v>
      </c>
      <c r="T51" s="18">
        <f>'Cash Flow'!T28/'Income Statement'!T17</f>
        <v>0.37010894583397269</v>
      </c>
      <c r="U51" s="18">
        <f>'Cash Flow'!U28/'Income Statement'!U17</f>
        <v>0.39540780391604452</v>
      </c>
    </row>
    <row r="52" spans="1:21">
      <c r="A52" s="17" t="s">
        <v>627</v>
      </c>
      <c r="C52" s="32">
        <f>'Cash Flow'!C28/C23</f>
        <v>0.65431378900766657</v>
      </c>
      <c r="D52" s="32">
        <f>'Cash Flow'!D28/D23</f>
        <v>0.50853326737571103</v>
      </c>
      <c r="E52" s="32">
        <f>'Cash Flow'!E28/E23</f>
        <v>0.67607670360809735</v>
      </c>
      <c r="F52" s="32">
        <f>'Cash Flow'!F28/F23</f>
        <v>0.75994835184370835</v>
      </c>
      <c r="G52" s="32">
        <f>'Cash Flow'!G28/G23</f>
        <v>0.69034973665072619</v>
      </c>
      <c r="H52" s="32">
        <f>'Cash Flow'!H28/H23</f>
        <v>0.74782601582120567</v>
      </c>
      <c r="I52" s="32">
        <f>'Cash Flow'!I28/I23</f>
        <v>0.65708948585660909</v>
      </c>
      <c r="J52" s="32">
        <f>'Cash Flow'!J28/J23</f>
        <v>0.70546788990825693</v>
      </c>
      <c r="K52" s="32">
        <f>'Cash Flow'!K28/K23</f>
        <v>0.68411905279165763</v>
      </c>
      <c r="L52" s="32">
        <f>'Cash Flow'!L28/L23</f>
        <v>0.72306743421052633</v>
      </c>
      <c r="M52" s="9"/>
      <c r="N52" s="32">
        <f>'Cash Flow'!N28/N23</f>
        <v>0.73548387096774193</v>
      </c>
      <c r="O52" s="32">
        <f>'Cash Flow'!O28/O23</f>
        <v>0.76907337035954404</v>
      </c>
      <c r="P52" s="32">
        <f>'Cash Flow'!P28/P23</f>
        <v>0.76641414141414144</v>
      </c>
      <c r="Q52" s="32">
        <f>'Cash Flow'!Q28/Q23</f>
        <v>0.5291313559322034</v>
      </c>
      <c r="R52" s="32">
        <f>'Cash Flow'!R28/R23</f>
        <v>0.87538304392236976</v>
      </c>
      <c r="S52" s="32">
        <f>'Cash Flow'!S28/S23</f>
        <v>0.72266881028938912</v>
      </c>
      <c r="T52" s="32">
        <f>'Cash Flow'!T28/T23</f>
        <v>0.68542199488491051</v>
      </c>
      <c r="U52" s="32">
        <f>'Cash Flow'!U28/U23</f>
        <v>0.71919036638483214</v>
      </c>
    </row>
    <row r="53" spans="1:21">
      <c r="A53" s="17" t="s">
        <v>628</v>
      </c>
      <c r="C53" s="18">
        <f>0-'Cash Flow'!C31/'Income Statement'!C17</f>
        <v>7.3962610521527569E-2</v>
      </c>
      <c r="D53" s="18">
        <f>0-'Cash Flow'!D31/'Income Statement'!D17</f>
        <v>8.122995214807803E-2</v>
      </c>
      <c r="E53" s="18">
        <f>0-'Cash Flow'!E31/'Income Statement'!E17</f>
        <v>0.12897322877612558</v>
      </c>
      <c r="F53" s="18">
        <f>0-'Cash Flow'!F31/'Income Statement'!F17</f>
        <v>0.11204152702626798</v>
      </c>
      <c r="G53" s="18">
        <f>0-'Cash Flow'!G31/'Income Statement'!G17</f>
        <v>8.542362998365248E-2</v>
      </c>
      <c r="H53" s="18">
        <f>0-'Cash Flow'!H31/'Income Statement'!H17</f>
        <v>8.7844326074693502E-2</v>
      </c>
      <c r="I53" s="18">
        <f>0-'Cash Flow'!I31/'Income Statement'!I17</f>
        <v>8.1913471077945041E-2</v>
      </c>
      <c r="J53" s="18">
        <f>0-'Cash Flow'!J31/'Income Statement'!J17</f>
        <v>9.2453126225778615E-2</v>
      </c>
      <c r="K53" s="18">
        <f>0-'Cash Flow'!K31/'Income Statement'!K17</f>
        <v>0.10706018518518519</v>
      </c>
      <c r="L53" s="18">
        <f>0-'Cash Flow'!L31/'Income Statement'!L17</f>
        <v>0.12516273014692209</v>
      </c>
      <c r="M53" s="9"/>
      <c r="N53" s="18">
        <f>0-'Cash Flow'!N31/'Income Statement'!N17</f>
        <v>0.11552451622290121</v>
      </c>
      <c r="O53" s="18">
        <f>0-'Cash Flow'!O31/'Income Statement'!O17</f>
        <v>0.12633061991233563</v>
      </c>
      <c r="P53" s="18">
        <f>0-'Cash Flow'!P31/'Income Statement'!P17</f>
        <v>9.2511752854264606E-2</v>
      </c>
      <c r="Q53" s="18">
        <f>0-'Cash Flow'!Q31/'Income Statement'!Q17</f>
        <v>0.10872424375274002</v>
      </c>
      <c r="R53" s="18">
        <f>0-'Cash Flow'!R31/'Income Statement'!R17</f>
        <v>0.14283695959310538</v>
      </c>
      <c r="S53" s="18">
        <f>0-'Cash Flow'!S31/'Income Statement'!S17</f>
        <v>0.15109145384505634</v>
      </c>
      <c r="T53" s="18">
        <f>0-'Cash Flow'!T31/'Income Statement'!T17</f>
        <v>0.10464937854841184</v>
      </c>
      <c r="U53" s="18">
        <f>0-'Cash Flow'!U31/'Income Statement'!U17</f>
        <v>0.11705874066769968</v>
      </c>
    </row>
    <row r="54" spans="1:21">
      <c r="A54" s="17" t="s">
        <v>629</v>
      </c>
      <c r="C54" s="32">
        <f>0-'Cash Flow'!C31/'Cash Flow'!C16</f>
        <v>1.2008572370590174</v>
      </c>
      <c r="D54" s="32">
        <f>0-'Cash Flow'!D31/'Cash Flow'!D16</f>
        <v>1.3596156667155639</v>
      </c>
      <c r="E54" s="32">
        <f>0-'Cash Flow'!E31/'Cash Flow'!E16</f>
        <v>1.8499999999999999</v>
      </c>
      <c r="F54" s="32">
        <f>0-'Cash Flow'!F31/'Cash Flow'!F16</f>
        <v>1.4795104765436675</v>
      </c>
      <c r="G54" s="32">
        <f>0-'Cash Flow'!G31/'Cash Flow'!G16</f>
        <v>0.93685051958433241</v>
      </c>
      <c r="H54" s="32">
        <f>0-'Cash Flow'!H31/'Cash Flow'!H16</f>
        <v>1.0920186285530753</v>
      </c>
      <c r="I54" s="32">
        <f>0-'Cash Flow'!I31/'Cash Flow'!I16</f>
        <v>1.0149652592196687</v>
      </c>
      <c r="J54" s="32">
        <f>0-'Cash Flow'!J31/'Cash Flow'!J16</f>
        <v>1.191607684529828</v>
      </c>
      <c r="K54" s="32">
        <f>0-'Cash Flow'!K31/'Cash Flow'!K16</f>
        <v>1.3233190271816881</v>
      </c>
      <c r="L54" s="32">
        <f>0-'Cash Flow'!L31/'Cash Flow'!L16</f>
        <v>1.5302410186448385</v>
      </c>
      <c r="M54" s="9"/>
      <c r="N54" s="32">
        <f>0-'Cash Flow'!N31/'Cash Flow'!N16</f>
        <v>1.4924812030075187</v>
      </c>
      <c r="O54" s="32">
        <f>0-'Cash Flow'!O31/'Cash Flow'!O16</f>
        <v>1.4593128390596746</v>
      </c>
      <c r="P54" s="32">
        <f>0-'Cash Flow'!P31/'Cash Flow'!P16</f>
        <v>1.0596153846153846</v>
      </c>
      <c r="Q54" s="32">
        <f>0-'Cash Flow'!Q31/'Cash Flow'!Q16</f>
        <v>1.3676470588235294</v>
      </c>
      <c r="R54" s="32">
        <f>0-'Cash Flow'!R31/'Cash Flow'!R16</f>
        <v>1.8085867620751341</v>
      </c>
      <c r="S54" s="32">
        <f>0-'Cash Flow'!S31/'Cash Flow'!S16</f>
        <v>1.8385416666666667</v>
      </c>
      <c r="T54" s="32">
        <f>0-'Cash Flow'!T31/'Cash Flow'!T16</f>
        <v>1.204946996466431</v>
      </c>
      <c r="U54" s="32">
        <f>0-'Cash Flow'!U31/'Cash Flow'!U16</f>
        <v>1.4707964601769912</v>
      </c>
    </row>
    <row r="55" spans="1:21">
      <c r="A55" s="17" t="s">
        <v>630</v>
      </c>
      <c r="C55" s="18">
        <f>'Cash Flow'!C71/'Income Statement'!C17</f>
        <v>0.17214349826780223</v>
      </c>
      <c r="D55" s="18">
        <f>'Cash Flow'!D71/'Income Statement'!D17</f>
        <v>0.16202608192669715</v>
      </c>
      <c r="E55" s="18">
        <f>'Cash Flow'!E71/'Income Statement'!E17</f>
        <v>0.19874964130981893</v>
      </c>
      <c r="F55" s="18">
        <f>'Cash Flow'!F71/'Income Statement'!F17</f>
        <v>0.2681282881803374</v>
      </c>
      <c r="G55" s="18">
        <f>'Cash Flow'!G71/'Income Statement'!G17</f>
        <v>0.24075635939566217</v>
      </c>
      <c r="H55" s="18">
        <f>'Cash Flow'!H71/'Income Statement'!H17</f>
        <v>0.30579729491148822</v>
      </c>
      <c r="I55" s="18">
        <f>'Cash Flow'!I71/'Income Statement'!I17</f>
        <v>0.23672518655911659</v>
      </c>
      <c r="J55" s="18">
        <f>'Cash Flow'!J71/'Income Statement'!J17</f>
        <v>0.28457676315995922</v>
      </c>
      <c r="K55" s="18">
        <f>'Cash Flow'!K71/'Income Statement'!K17</f>
        <v>0.25740740740740742</v>
      </c>
      <c r="L55" s="18">
        <f>'Cash Flow'!L71/'Income Statement'!L17</f>
        <v>0.26728659103589364</v>
      </c>
      <c r="M55" s="9"/>
      <c r="N55" s="18">
        <f>'Cash Flow'!N71/'Income Statement'!N17</f>
        <v>0.28255492506911101</v>
      </c>
      <c r="O55" s="18">
        <f>'Cash Flow'!O71/'Income Statement'!O17</f>
        <v>0.28553537883531621</v>
      </c>
      <c r="P55" s="18">
        <f>'Cash Flow'!P71/'Income Statement'!P17</f>
        <v>0.31514439220953661</v>
      </c>
      <c r="Q55" s="18">
        <f>'Cash Flow'!Q71/'Income Statement'!Q17</f>
        <v>0.18325295922840859</v>
      </c>
      <c r="R55" s="18">
        <f>'Cash Flow'!R71/'Income Statement'!R17</f>
        <v>0.34148064424978808</v>
      </c>
      <c r="S55" s="18">
        <f>'Cash Flow'!S71/'Income Statement'!S17</f>
        <v>0.23369952917677272</v>
      </c>
      <c r="T55" s="18">
        <f>'Cash Flow'!T71/'Income Statement'!T17</f>
        <v>0.26545956728556086</v>
      </c>
      <c r="U55" s="18">
        <f>'Cash Flow'!U71/'Income Statement'!U17</f>
        <v>0.27834906324834485</v>
      </c>
    </row>
    <row r="56" spans="1:21">
      <c r="A56" s="17" t="s">
        <v>631</v>
      </c>
      <c r="C56" s="32">
        <f>'Cash Flow'!C71/'Income Statement'!C41</f>
        <v>0.90440627333831214</v>
      </c>
      <c r="D56" s="32">
        <f>'Cash Flow'!D71/'Income Statement'!D41</f>
        <v>0.71211216609209793</v>
      </c>
      <c r="E56" s="32">
        <f>'Cash Flow'!E71/'Income Statement'!E41</f>
        <v>0.71316442448896911</v>
      </c>
      <c r="F56" s="32">
        <f>'Cash Flow'!F71/'Income Statement'!F41</f>
        <v>0.95070866664453824</v>
      </c>
      <c r="G56" s="32">
        <f>'Cash Flow'!G71/'Income Statement'!G41</f>
        <v>0.97757108128104842</v>
      </c>
      <c r="H56" s="32">
        <f>'Cash Flow'!H71/'Income Statement'!H41</f>
        <v>0.94119440173885383</v>
      </c>
      <c r="I56" s="32">
        <f>'Cash Flow'!I71/'Income Statement'!I41</f>
        <v>0.88845717986077388</v>
      </c>
      <c r="J56" s="32">
        <f>'Cash Flow'!J71/'Income Statement'!J41</f>
        <v>0.8566536781202031</v>
      </c>
      <c r="K56" s="32">
        <f>'Cash Flow'!K71/'Income Statement'!K41</f>
        <v>0.81138270704122584</v>
      </c>
      <c r="L56" s="32">
        <f>'Cash Flow'!L71/'Income Statement'!L41</f>
        <v>0.83919187200747403</v>
      </c>
      <c r="M56" s="9"/>
      <c r="N56" s="32">
        <f>'Cash Flow'!N71/'Income Statement'!N41</f>
        <v>0.86119733924611974</v>
      </c>
      <c r="O56" s="32">
        <f>'Cash Flow'!O71/'Income Statement'!O41</f>
        <v>0.90476190476190477</v>
      </c>
      <c r="P56" s="32">
        <f>'Cash Flow'!P71/'Income Statement'!P41</f>
        <v>1.0048179871520342</v>
      </c>
      <c r="Q56" s="32">
        <f>'Cash Flow'!Q71/'Income Statement'!Q41</f>
        <v>0.55659121171770976</v>
      </c>
      <c r="R56" s="32">
        <f>'Cash Flow'!R71/'Income Statement'!R41</f>
        <v>1.0610184372256366</v>
      </c>
      <c r="S56" s="32">
        <f>'Cash Flow'!S71/'Income Statement'!S41</f>
        <v>0.75693160813308691</v>
      </c>
      <c r="T56" s="32">
        <f>'Cash Flow'!T71/'Income Statement'!T41</f>
        <v>0.87241553202218858</v>
      </c>
      <c r="U56" s="32">
        <f>'Cash Flow'!U71/'Income Statement'!U41</f>
        <v>0.83657917019475025</v>
      </c>
    </row>
    <row r="57" spans="1:21">
      <c r="A57" s="17" t="s">
        <v>632</v>
      </c>
      <c r="C57" s="18">
        <f>(0-'Cash Flow'!C45)/'Income Statement'!C41</f>
        <v>0.65255521177851272</v>
      </c>
      <c r="D57" s="18">
        <f>(0-'Cash Flow'!D45)/'Income Statement'!D41</f>
        <v>0.59495791845617541</v>
      </c>
      <c r="E57" s="18">
        <f>(0-'Cash Flow'!E45)/'Income Statement'!E41</f>
        <v>0.54958391708725085</v>
      </c>
      <c r="F57" s="18">
        <f>(0-'Cash Flow'!F45)/'Income Statement'!F41</f>
        <v>0.59446675739370003</v>
      </c>
      <c r="G57" s="18">
        <f>(0-'Cash Flow'!G45)/'Income Statement'!G41</f>
        <v>0.79334108445196072</v>
      </c>
      <c r="H57" s="18">
        <f>(0-'Cash Flow'!H45)/'Income Statement'!H41</f>
        <v>0.51935005036314474</v>
      </c>
      <c r="I57" s="18">
        <f>(0-'Cash Flow'!I45)/'Income Statement'!I41</f>
        <v>0.67476121094382391</v>
      </c>
      <c r="J57" s="18">
        <f>(0-'Cash Flow'!J45)/'Income Statement'!J41</f>
        <v>0.53524619199433232</v>
      </c>
      <c r="K57" s="18">
        <f>(0-'Cash Flow'!K45)/'Income Statement'!K41</f>
        <v>0.59224127447403629</v>
      </c>
      <c r="L57" s="18">
        <f>(0-'Cash Flow'!L45)/'Income Statement'!L41</f>
        <v>0.59733738175872941</v>
      </c>
      <c r="M57" s="9"/>
      <c r="N57" s="18">
        <f>(0-'Cash Flow'!N45)/'Income Statement'!N41</f>
        <v>0.53082039911308199</v>
      </c>
      <c r="O57" s="18">
        <f>(0-'Cash Flow'!O45)/'Income Statement'!O41</f>
        <v>0.62896825396825395</v>
      </c>
      <c r="P57" s="18">
        <f>(0-'Cash Flow'!P45)/'Income Statement'!P41</f>
        <v>0.67773019271948609</v>
      </c>
      <c r="Q57" s="18">
        <f>(0-'Cash Flow'!Q45)/'Income Statement'!Q41</f>
        <v>0.56147359076786507</v>
      </c>
      <c r="R57" s="18">
        <f>(0-'Cash Flow'!R45)/'Income Statement'!R41</f>
        <v>0.55399473222124673</v>
      </c>
      <c r="S57" s="18">
        <f>(0-'Cash Flow'!S45)/'Income Statement'!S41</f>
        <v>0.6113678373382625</v>
      </c>
      <c r="T57" s="18">
        <f>(0-'Cash Flow'!T45)/'Income Statement'!T41</f>
        <v>0.66717095310136154</v>
      </c>
      <c r="U57" s="18">
        <f>(0-'Cash Flow'!U45)/'Income Statement'!U41</f>
        <v>0.55757832345469938</v>
      </c>
    </row>
    <row r="58" spans="1:21">
      <c r="A58" s="17" t="s">
        <v>633</v>
      </c>
      <c r="C58" s="18">
        <f>(0-'Cash Flow'!C45)/'Cash Flow'!C71</f>
        <v>0.72152884275097318</v>
      </c>
      <c r="D58" s="18">
        <f>(0-'Cash Flow'!D45)/'Cash Flow'!D71</f>
        <v>0.83548343475321163</v>
      </c>
      <c r="E58" s="18">
        <f>(0-'Cash Flow'!E45)/'Cash Flow'!E71</f>
        <v>0.77062721893491126</v>
      </c>
      <c r="F58" s="18">
        <f>(0-'Cash Flow'!F45)/'Cash Flow'!F71</f>
        <v>0.62528803854479431</v>
      </c>
      <c r="G58" s="18">
        <f>(0-'Cash Flow'!G45)/'Cash Flow'!G71</f>
        <v>0.81154311910734378</v>
      </c>
      <c r="H58" s="18">
        <f>(0-'Cash Flow'!H45)/'Cash Flow'!H71</f>
        <v>0.55179891572203055</v>
      </c>
      <c r="I58" s="18">
        <f>(0-'Cash Flow'!I45)/'Cash Flow'!I71</f>
        <v>0.75947521865889212</v>
      </c>
      <c r="J58" s="18">
        <f>(0-'Cash Flow'!J45)/'Cash Flow'!J71</f>
        <v>0.6248104755341144</v>
      </c>
      <c r="K58" s="18">
        <f>(0-'Cash Flow'!K45)/'Cash Flow'!K71</f>
        <v>0.72991606714628299</v>
      </c>
      <c r="L58" s="18">
        <f>(0-'Cash Flow'!L45)/'Cash Flow'!L71</f>
        <v>0.71180072362927915</v>
      </c>
      <c r="M58" s="9"/>
      <c r="N58" s="18">
        <f>(0-'Cash Flow'!N45)/'Cash Flow'!N71</f>
        <v>0.61637487126673529</v>
      </c>
      <c r="O58" s="18">
        <f>(0-'Cash Flow'!O45)/'Cash Flow'!O71</f>
        <v>0.69517543859649122</v>
      </c>
      <c r="P58" s="18">
        <f>(0-'Cash Flow'!P45)/'Cash Flow'!P71</f>
        <v>0.67448055407565266</v>
      </c>
      <c r="Q58" s="18">
        <f>(0-'Cash Flow'!Q45)/'Cash Flow'!Q71</f>
        <v>1.0087719298245614</v>
      </c>
      <c r="R58" s="18">
        <f>(0-'Cash Flow'!R45)/'Cash Flow'!R71</f>
        <v>0.52213487794786928</v>
      </c>
      <c r="S58" s="18">
        <f>(0-'Cash Flow'!S45)/'Cash Flow'!S71</f>
        <v>0.80769230769230771</v>
      </c>
      <c r="T58" s="18">
        <f>(0-'Cash Flow'!T45)/'Cash Flow'!T71</f>
        <v>0.76473988439306362</v>
      </c>
      <c r="U58" s="18">
        <f>(0-'Cash Flow'!U45)/'Cash Flow'!U71</f>
        <v>0.666497975708502</v>
      </c>
    </row>
    <row r="59" spans="1:21">
      <c r="A59" s="17" t="s">
        <v>634</v>
      </c>
      <c r="C59" s="18">
        <f>(0-'Cash Flow'!C44)/'Cash Flow'!C71</f>
        <v>2.6356022177657188</v>
      </c>
      <c r="D59" s="18">
        <f>(0-'Cash Flow'!D44)/'Cash Flow'!D71</f>
        <v>1.2672616632860041</v>
      </c>
      <c r="E59" s="18">
        <f>(0-'Cash Flow'!E44)/'Cash Flow'!E71</f>
        <v>1.2325917159763313</v>
      </c>
      <c r="F59" s="18">
        <f>(0-'Cash Flow'!F44)/'Cash Flow'!F71</f>
        <v>0.868689337336778</v>
      </c>
      <c r="G59" s="18">
        <f>(0-'Cash Flow'!G44)/'Cash Flow'!G71</f>
        <v>0.19630654787648127</v>
      </c>
      <c r="H59" s="18">
        <f>(0-'Cash Flow'!H44)/'Cash Flow'!H71</f>
        <v>0.11905935365767796</v>
      </c>
      <c r="I59" s="18">
        <f>(0-'Cash Flow'!I44)/'Cash Flow'!I71</f>
        <v>0.70991253644314867</v>
      </c>
      <c r="J59" s="18">
        <f>(0-'Cash Flow'!J44)/'Cash Flow'!J71</f>
        <v>0.42095106822880773</v>
      </c>
      <c r="K59" s="18">
        <f>(0-'Cash Flow'!K44)/'Cash Flow'!K71</f>
        <v>0.42326139088729015</v>
      </c>
      <c r="L59" s="18">
        <f>(0-'Cash Flow'!L44)/'Cash Flow'!L71</f>
        <v>0.28611188421931533</v>
      </c>
      <c r="M59" s="9"/>
      <c r="N59" s="18">
        <f>(0-'Cash Flow'!N44)/'Cash Flow'!N71</f>
        <v>0.24150360453141093</v>
      </c>
      <c r="O59" s="18">
        <f>(0-'Cash Flow'!O44)/'Cash Flow'!O71</f>
        <v>0.27576754385964913</v>
      </c>
      <c r="P59" s="18">
        <f>(0-'Cash Flow'!P44)/'Cash Flow'!P71</f>
        <v>0.25412892914224827</v>
      </c>
      <c r="Q59" s="18">
        <f>(0-'Cash Flow'!Q44)/'Cash Flow'!Q71</f>
        <v>0.40271132376395535</v>
      </c>
      <c r="R59" s="18">
        <f>(0-'Cash Flow'!R44)/'Cash Flow'!R71</f>
        <v>0.20728175424079437</v>
      </c>
      <c r="S59" s="18">
        <f>(0-'Cash Flow'!S44)/'Cash Flow'!S71</f>
        <v>0.3498168498168498</v>
      </c>
      <c r="T59" s="18">
        <f>(0-'Cash Flow'!T44)/'Cash Flow'!T71</f>
        <v>0.22890173410404624</v>
      </c>
      <c r="U59" s="18">
        <f>(0-'Cash Flow'!U44)/'Cash Flow'!U71</f>
        <v>0.4331983805668016</v>
      </c>
    </row>
    <row r="60" spans="1:21">
      <c r="A60" s="17" t="s">
        <v>635</v>
      </c>
      <c r="C60" s="18">
        <f>'Cash Flow'!C76/'Cash Flow'!C71</f>
        <v>3.3571310605166924</v>
      </c>
      <c r="D60" s="18">
        <f>'Cash Flow'!D76/'Cash Flow'!D71</f>
        <v>2.1027450980392155</v>
      </c>
      <c r="E60" s="18">
        <f>'Cash Flow'!E76/'Cash Flow'!E71</f>
        <v>2.0032189349112426</v>
      </c>
      <c r="F60" s="18">
        <f>'Cash Flow'!F76/'Cash Flow'!F71</f>
        <v>1.4939773758815724</v>
      </c>
      <c r="G60" s="18">
        <f>'Cash Flow'!G76/'Cash Flow'!G71</f>
        <v>1.0078496669838251</v>
      </c>
      <c r="H60" s="18">
        <f>'Cash Flow'!H76/'Cash Flow'!H71</f>
        <v>0.6708582693797086</v>
      </c>
      <c r="I60" s="18">
        <f>'Cash Flow'!I76/'Cash Flow'!I71</f>
        <v>1.4693877551020409</v>
      </c>
      <c r="J60" s="18">
        <f>'Cash Flow'!J76/'Cash Flow'!J71</f>
        <v>1.0457615437629222</v>
      </c>
      <c r="K60" s="18">
        <f>'Cash Flow'!K76/'Cash Flow'!K71</f>
        <v>1.1531774580335732</v>
      </c>
      <c r="L60" s="18">
        <f>'Cash Flow'!L76/'Cash Flow'!L71</f>
        <v>0.99791260784859448</v>
      </c>
      <c r="M60" s="9"/>
      <c r="N60" s="18">
        <f>'Cash Flow'!N76/'Cash Flow'!N71</f>
        <v>0.85787847579814624</v>
      </c>
      <c r="O60" s="18">
        <f>'Cash Flow'!O76/'Cash Flow'!O71</f>
        <v>0.9709429824561403</v>
      </c>
      <c r="P60" s="18">
        <f>'Cash Flow'!P76/'Cash Flow'!P71</f>
        <v>0.92860948321790093</v>
      </c>
      <c r="Q60" s="18">
        <f>'Cash Flow'!Q76/'Cash Flow'!Q71</f>
        <v>1.4114832535885167</v>
      </c>
      <c r="R60" s="18">
        <f>'Cash Flow'!R76/'Cash Flow'!R71</f>
        <v>0.72941663218866359</v>
      </c>
      <c r="S60" s="18">
        <f>'Cash Flow'!S76/'Cash Flow'!S71</f>
        <v>1.1575091575091576</v>
      </c>
      <c r="T60" s="18">
        <f>'Cash Flow'!T76/'Cash Flow'!T71</f>
        <v>0.99364161849710986</v>
      </c>
      <c r="U60" s="18">
        <f>'Cash Flow'!U76/'Cash Flow'!U71</f>
        <v>1.0996963562753037</v>
      </c>
    </row>
    <row r="61" spans="1:21" ht="8" customHeight="1">
      <c r="M61" s="9"/>
    </row>
    <row r="62" spans="1:21" ht="20" customHeight="1">
      <c r="A62" s="12" t="s">
        <v>636</v>
      </c>
      <c r="B62" s="1"/>
      <c r="C62" s="1"/>
      <c r="D62" s="1"/>
      <c r="E62" s="1"/>
      <c r="F62" s="1"/>
      <c r="G62" s="1"/>
      <c r="H62" s="1"/>
      <c r="I62" s="1"/>
      <c r="J62" s="1"/>
      <c r="K62" s="1"/>
      <c r="L62" s="1"/>
      <c r="M62" s="9"/>
      <c r="N62" s="1"/>
      <c r="O62" s="1"/>
      <c r="P62" s="1"/>
      <c r="Q62" s="1"/>
      <c r="R62" s="1"/>
      <c r="S62" s="1"/>
      <c r="T62" s="1"/>
      <c r="U62" s="1"/>
    </row>
    <row r="63" spans="1:21">
      <c r="A63" s="17" t="s">
        <v>637</v>
      </c>
      <c r="C63" s="24">
        <f>'Operating Metrics'!C49</f>
        <v>85002</v>
      </c>
      <c r="D63" s="24">
        <f>'Operating Metrics'!D49</f>
        <v>90909.9</v>
      </c>
      <c r="E63" s="24">
        <f>'Operating Metrics'!E49</f>
        <v>96146.7</v>
      </c>
      <c r="F63" s="24">
        <f>'Operating Metrics'!F49</f>
        <v>100177.8</v>
      </c>
      <c r="G63" s="24">
        <f>'Operating Metrics'!G49</f>
        <v>93317.2</v>
      </c>
      <c r="H63" s="24">
        <f>'Operating Metrics'!H49</f>
        <v>112462.39999999999</v>
      </c>
      <c r="I63" s="24">
        <f>'Operating Metrics'!I49</f>
        <v>118221</v>
      </c>
      <c r="J63" s="24">
        <f>'Operating Metrics'!J49</f>
        <v>129492</v>
      </c>
      <c r="K63" s="24">
        <f>'Operating Metrics'!K49</f>
        <v>130715</v>
      </c>
      <c r="L63" s="24">
        <f>'Operating Metrics'!L49</f>
        <v>139365</v>
      </c>
      <c r="M63" s="9"/>
    </row>
    <row r="64" spans="1:21">
      <c r="A64" s="17" t="s">
        <v>638</v>
      </c>
      <c r="D64" s="18">
        <f>'Operating Metrics'!D49/'Operating Metrics'!C49-1</f>
        <v>6.9503070515987808E-2</v>
      </c>
      <c r="E64" s="18">
        <f>'Operating Metrics'!E49/'Operating Metrics'!D49-1</f>
        <v>5.7604287321842973E-2</v>
      </c>
      <c r="F64" s="18">
        <f>'Operating Metrics'!F49/'Operating Metrics'!E49-1</f>
        <v>4.1926555981640634E-2</v>
      </c>
      <c r="G64" s="18">
        <f>'Operating Metrics'!G49/'Operating Metrics'!F49-1</f>
        <v>-6.8484235030116469E-2</v>
      </c>
      <c r="H64" s="18">
        <f>'Operating Metrics'!H49/'Operating Metrics'!G49-1</f>
        <v>0.20516260667915454</v>
      </c>
      <c r="I64" s="18">
        <f>'Operating Metrics'!I49/'Operating Metrics'!H49-1</f>
        <v>5.1204669293915206E-2</v>
      </c>
      <c r="J64" s="18">
        <f>'Operating Metrics'!J49/'Operating Metrics'!I49-1</f>
        <v>9.5338391656304644E-2</v>
      </c>
      <c r="K64" s="18">
        <f>'Operating Metrics'!K49/'Operating Metrics'!J49-1</f>
        <v>9.4445988941402881E-3</v>
      </c>
      <c r="L64" s="18">
        <f>'Operating Metrics'!L49/'Operating Metrics'!K49-1</f>
        <v>6.6174501778678785E-2</v>
      </c>
      <c r="M64" s="9"/>
    </row>
    <row r="65" spans="1:21">
      <c r="A65" s="17" t="s">
        <v>639</v>
      </c>
      <c r="C65" s="18">
        <f>'Income Statement'!C12/'Operating Metrics'!C43</f>
        <v>0.13380148335174372</v>
      </c>
      <c r="D65" s="18">
        <f>'Income Statement'!D12/'Operating Metrics'!D43</f>
        <v>0.12919006023711169</v>
      </c>
      <c r="E65" s="18">
        <f>'Income Statement'!E12/'Operating Metrics'!E43</f>
        <v>0.12785311259200779</v>
      </c>
      <c r="F65" s="18">
        <f>'Income Statement'!F12/'Operating Metrics'!F43</f>
        <v>0.12842755930672015</v>
      </c>
      <c r="G65" s="18">
        <f>'Income Statement'!G12/'Operating Metrics'!G43</f>
        <v>0.12592570851628354</v>
      </c>
      <c r="H65" s="18">
        <f>'Income Statement'!H12/'Operating Metrics'!H43</f>
        <v>0.12744485025566107</v>
      </c>
      <c r="I65" s="18">
        <f>'Income Statement'!I12/'Operating Metrics'!I43</f>
        <v>0.12885368995094681</v>
      </c>
      <c r="J65" s="18">
        <f>'Income Statement'!J12/'Operating Metrics'!J43</f>
        <v>0.12891022964509394</v>
      </c>
      <c r="K65" s="18">
        <f>'Income Statement'!K12/'Operating Metrics'!K43</f>
        <v>0.12994798772874236</v>
      </c>
      <c r="L65" s="18">
        <f>'Income Statement'!L12/'Operating Metrics'!L43</f>
        <v>0.12761133603238867</v>
      </c>
      <c r="M65" s="9"/>
    </row>
    <row r="66" spans="1:21">
      <c r="A66" s="17" t="s">
        <v>640</v>
      </c>
      <c r="C66" s="18">
        <f>('Income Statement'!C12-'Income Statement'!C20)/'Operating Metrics'!C43</f>
        <v>0.10914972671324258</v>
      </c>
      <c r="D66" s="18">
        <f>('Income Statement'!D12-'Income Statement'!D20)/'Operating Metrics'!D43</f>
        <v>0.10629739995651674</v>
      </c>
      <c r="E66" s="18">
        <f>('Income Statement'!E12-'Income Statement'!E20)/'Operating Metrics'!E43</f>
        <v>0.10494346018993662</v>
      </c>
      <c r="F66" s="18">
        <f>('Income Statement'!F12-'Income Statement'!F20)/'Operating Metrics'!F43</f>
        <v>0.10418039379882543</v>
      </c>
      <c r="G66" s="18">
        <f>('Income Statement'!G12-'Income Statement'!G20)/'Operating Metrics'!G43</f>
        <v>0.10000939209655076</v>
      </c>
      <c r="H66" s="18">
        <f>('Income Statement'!H12-'Income Statement'!H20)/'Operating Metrics'!H43</f>
        <v>0.10470318967616264</v>
      </c>
      <c r="I66" s="18">
        <f>('Income Statement'!I12-'Income Statement'!I20)/'Operating Metrics'!I43</f>
        <v>0.10738720963159866</v>
      </c>
      <c r="J66" s="18">
        <f>('Income Statement'!J12-'Income Statement'!J20)/'Operating Metrics'!J43</f>
        <v>0.10824217118997913</v>
      </c>
      <c r="K66" s="18">
        <f>('Income Statement'!K12-'Income Statement'!K20)/'Operating Metrics'!K43</f>
        <v>0.10897769839497903</v>
      </c>
      <c r="L66" s="18">
        <f>('Income Statement'!L12-'Income Statement'!L20)/'Operating Metrics'!L43</f>
        <v>0.10742240215924427</v>
      </c>
      <c r="M66" s="9"/>
    </row>
    <row r="67" spans="1:21">
      <c r="A67" s="17" t="s">
        <v>641</v>
      </c>
      <c r="C67" s="18">
        <f>'Income Statement'!C30/'Operating Metrics'!C49</f>
        <v>2.8052281122797111E-2</v>
      </c>
      <c r="D67" s="18">
        <f>'Income Statement'!D30/'Operating Metrics'!D49</f>
        <v>2.4544081557674142E-2</v>
      </c>
      <c r="E67" s="18">
        <f>'Income Statement'!E30/'Operating Metrics'!E49</f>
        <v>2.2883780722583305E-2</v>
      </c>
      <c r="F67" s="18">
        <f>'Income Statement'!F30/'Operating Metrics'!F49</f>
        <v>2.2254431620578611E-2</v>
      </c>
      <c r="G67" s="18">
        <f>'Income Statement'!G30/'Operating Metrics'!G49</f>
        <v>2.7279001084473172E-2</v>
      </c>
      <c r="H67" s="18">
        <f>'Income Statement'!H30/'Operating Metrics'!H49</f>
        <v>2.4074712970735108E-2</v>
      </c>
      <c r="I67" s="18">
        <f>'Income Statement'!I30/'Operating Metrics'!I49</f>
        <v>2.4208896896490473E-2</v>
      </c>
      <c r="J67" s="18">
        <f>'Income Statement'!J30/'Operating Metrics'!J49</f>
        <v>2.17542396441479E-2</v>
      </c>
      <c r="K67" s="18">
        <f>'Income Statement'!K30/'Operating Metrics'!K49</f>
        <v>2.1872011628351756E-2</v>
      </c>
      <c r="L67" s="18">
        <f>'Income Statement'!L30/'Operating Metrics'!L49</f>
        <v>2.1813224267211998E-2</v>
      </c>
      <c r="M67" s="9"/>
    </row>
    <row r="68" spans="1:21">
      <c r="A68" s="17" t="s">
        <v>642</v>
      </c>
      <c r="C68" s="18">
        <f>'Income Statement'!C33/'Operating Metrics'!C49</f>
        <v>9.1109620950095296E-2</v>
      </c>
      <c r="D68" s="18">
        <f>'Income Statement'!D33/'Operating Metrics'!D49</f>
        <v>0.10507876479899331</v>
      </c>
      <c r="E68" s="18">
        <f>'Income Statement'!E33/'Operating Metrics'!E49</f>
        <v>9.1761859741415985E-2</v>
      </c>
      <c r="F68" s="18">
        <f>'Income Statement'!F33/'Operating Metrics'!F49</f>
        <v>9.0537025169249066E-2</v>
      </c>
      <c r="G68" s="18">
        <f>'Income Statement'!G33/'Operating Metrics'!G49</f>
        <v>7.8484995263466972E-2</v>
      </c>
      <c r="H68" s="18">
        <f>'Income Statement'!H33/'Operating Metrics'!H49</f>
        <v>9.2084109889171858E-2</v>
      </c>
      <c r="I68" s="18">
        <f>'Income Statement'!I33/'Operating Metrics'!I49</f>
        <v>7.9266796931171279E-2</v>
      </c>
      <c r="J68" s="18">
        <f>'Income Statement'!J33/'Operating Metrics'!J49</f>
        <v>8.9943780310752786E-2</v>
      </c>
      <c r="K68" s="18">
        <f>'Income Statement'!K33/'Operating Metrics'!K49</f>
        <v>8.9599510385189152E-2</v>
      </c>
      <c r="L68" s="18">
        <f>'Income Statement'!L33/'Operating Metrics'!L49</f>
        <v>8.8924765902486283E-2</v>
      </c>
      <c r="M68" s="9"/>
    </row>
    <row r="69" spans="1:21">
      <c r="A69" s="17" t="s">
        <v>643</v>
      </c>
      <c r="D69" s="28">
        <f>'Income Statement'!D17/(('Operating Metrics'!D28+'Operating Metrics'!C28)/2)</f>
        <v>0.61560291340706774</v>
      </c>
      <c r="E69" s="28">
        <f>'Income Statement'!E17/(('Operating Metrics'!E28+'Operating Metrics'!D28)/2)</f>
        <v>0.56615265793118141</v>
      </c>
      <c r="F69" s="28">
        <f>'Income Statement'!F17/(('Operating Metrics'!F28+'Operating Metrics'!E28)/2)</f>
        <v>0.55818158066623125</v>
      </c>
      <c r="G69" s="28">
        <f>'Income Statement'!G17/(('Operating Metrics'!G28+'Operating Metrics'!F28)/2)</f>
        <v>0.49318423991886301</v>
      </c>
      <c r="H69" s="28">
        <f>'Income Statement'!H17/(('Operating Metrics'!H28+'Operating Metrics'!G28)/2)</f>
        <v>0.58622221661260399</v>
      </c>
      <c r="I69" s="28">
        <f>'Income Statement'!I17/(('Operating Metrics'!I28+'Operating Metrics'!H28)/2)</f>
        <v>0.57736657285881499</v>
      </c>
      <c r="J69" s="28">
        <f>'Income Statement'!J17/(('Operating Metrics'!J28+'Operating Metrics'!I28)/2)</f>
        <v>0.62107019744935865</v>
      </c>
      <c r="K69" s="28">
        <f>'Income Statement'!K17/(('Operating Metrics'!K28+'Operating Metrics'!J28)/2)</f>
        <v>0.607744522210108</v>
      </c>
      <c r="L69" s="28">
        <f>'Income Statement'!L17/(('Operating Metrics'!L28+'Operating Metrics'!K28)/2)</f>
        <v>0.60529307802280685</v>
      </c>
      <c r="M69" s="9"/>
    </row>
    <row r="70" spans="1:21">
      <c r="A70" s="17" t="s">
        <v>644</v>
      </c>
      <c r="D70" s="18">
        <f>'Income Statement'!D37/(('Balance Sheet'!D69+'Balance Sheet'!C69)/2)</f>
        <v>3.3204726438538092E-2</v>
      </c>
      <c r="E70" s="18">
        <f>'Income Statement'!E37/(('Balance Sheet'!E69+'Balance Sheet'!D69)/2)</f>
        <v>3.2376587358546288E-2</v>
      </c>
      <c r="F70" s="18">
        <f>'Income Statement'!F37/(('Balance Sheet'!F69+'Balance Sheet'!E69)/2)</f>
        <v>3.43864219761695E-2</v>
      </c>
      <c r="G70" s="18">
        <f>'Income Statement'!G37/(('Balance Sheet'!G69+'Balance Sheet'!F69)/2)</f>
        <v>3.4016777998704222E-2</v>
      </c>
      <c r="H70" s="18">
        <f>'Income Statement'!H37/(('Balance Sheet'!H69+'Balance Sheet'!G69)/2)</f>
        <v>3.245961367639752E-2</v>
      </c>
      <c r="I70" s="18">
        <f>'Income Statement'!I37/(('Balance Sheet'!I69+'Balance Sheet'!H69)/2)</f>
        <v>3.3749870676759004E-2</v>
      </c>
      <c r="J70" s="18">
        <f>'Income Statement'!J37/(('Balance Sheet'!J69+'Balance Sheet'!I69)/2)</f>
        <v>3.6173478541100486E-2</v>
      </c>
      <c r="K70" s="18">
        <f>'Income Statement'!K37/(('Balance Sheet'!K69+'Balance Sheet'!J69)/2)</f>
        <v>3.8730085252478494E-2</v>
      </c>
      <c r="L70" s="18">
        <f>'Income Statement'!L37/(('Balance Sheet'!L69+'Balance Sheet'!K69)/2)</f>
        <v>4.0358687194663061E-2</v>
      </c>
      <c r="M70" s="9"/>
    </row>
    <row r="71" spans="1:21">
      <c r="A71" s="17" t="s">
        <v>645</v>
      </c>
      <c r="E71" s="28">
        <f>(0-'Cash Flow'!E31)/'Operating Metrics'!E65</f>
        <v>4.4653094462540714</v>
      </c>
      <c r="F71" s="28">
        <f>(0-'Cash Flow'!F31)/'Operating Metrics'!F65</f>
        <v>2.8496428571428569</v>
      </c>
      <c r="G71" s="28">
        <f>(0-'Cash Flow'!G31)/'Operating Metrics'!G65</f>
        <v>3.2620278330019881</v>
      </c>
      <c r="H71" s="28">
        <f>(0-'Cash Flow'!H31)/'Operating Metrics'!H65</f>
        <v>2.4489795918367347</v>
      </c>
      <c r="I71" s="28">
        <f>(0-'Cash Flow'!I31)/'Operating Metrics'!I65</f>
        <v>7.7827868852459012</v>
      </c>
      <c r="J71" s="28">
        <f>(0-'Cash Flow'!J31)/'Operating Metrics'!J65</f>
        <v>1.5235940530058176</v>
      </c>
      <c r="K71" s="28">
        <f>(0-'Cash Flow'!K31)/'Operating Metrics'!K65</f>
        <v>1.6767371601208458</v>
      </c>
      <c r="L71" s="28">
        <f>(0-'Cash Flow'!L31)/'Operating Metrics'!L65</f>
        <v>1.7908461947844598</v>
      </c>
      <c r="M71" s="9"/>
    </row>
    <row r="72" spans="1:21" ht="8" customHeight="1">
      <c r="M72" s="9"/>
    </row>
    <row r="73" spans="1:21" ht="20" customHeight="1">
      <c r="A73" s="12" t="s">
        <v>646</v>
      </c>
      <c r="B73" s="1"/>
      <c r="C73" s="1"/>
      <c r="D73" s="1"/>
      <c r="E73" s="1"/>
      <c r="F73" s="1"/>
      <c r="G73" s="1"/>
      <c r="H73" s="1"/>
      <c r="I73" s="1"/>
      <c r="J73" s="1"/>
      <c r="K73" s="1"/>
      <c r="L73" s="1"/>
      <c r="M73" s="9"/>
      <c r="N73" s="1"/>
      <c r="O73" s="1"/>
      <c r="P73" s="1"/>
      <c r="Q73" s="1"/>
      <c r="R73" s="1"/>
      <c r="S73" s="1"/>
      <c r="T73" s="1"/>
      <c r="U73" s="1"/>
    </row>
    <row r="74" spans="1:21">
      <c r="A74" s="17" t="s">
        <v>647</v>
      </c>
      <c r="C74" s="32">
        <f>'Cash Flow'!C28/'Income Statement'!C41</f>
        <v>1.2929905046409902</v>
      </c>
      <c r="D74" s="32">
        <f>'Cash Flow'!D28/'Income Statement'!D41</f>
        <v>1.0691215838838279</v>
      </c>
      <c r="E74" s="32">
        <f>'Cash Flow'!E28/'Income Statement'!E41</f>
        <v>1.1759532771804264</v>
      </c>
      <c r="F74" s="32">
        <f>'Cash Flow'!F28/'Income Statement'!F41</f>
        <v>1.3479768977993163</v>
      </c>
      <c r="G74" s="32">
        <f>'Cash Flow'!G28/'Income Statement'!G41</f>
        <v>1.3244265933833632</v>
      </c>
      <c r="H74" s="32">
        <f>'Cash Flow'!H28/'Income Statement'!H41</f>
        <v>1.2115649684567673</v>
      </c>
      <c r="I74" s="32">
        <f>'Cash Flow'!I28/'Income Statement'!I41</f>
        <v>1.1958879715072042</v>
      </c>
      <c r="J74" s="32">
        <f>'Cash Flow'!J28/'Income Statement'!J41</f>
        <v>1.1349628055260361</v>
      </c>
      <c r="K74" s="32">
        <f>'Cash Flow'!K28/'Income Statement'!K41</f>
        <v>1.1488507843852609</v>
      </c>
      <c r="L74" s="32">
        <f>'Cash Flow'!L28/'Income Statement'!L41</f>
        <v>1.2321616255985053</v>
      </c>
      <c r="M74" s="9"/>
      <c r="N74" s="32">
        <f>'Cash Flow'!N28/'Income Statement'!N41</f>
        <v>1.2133037694013304</v>
      </c>
      <c r="O74" s="32">
        <f>'Cash Flow'!O28/'Income Statement'!O41</f>
        <v>1.3050595238095237</v>
      </c>
      <c r="P74" s="32">
        <f>'Cash Flow'!P28/'Income Statement'!P41</f>
        <v>1.2997858672376874</v>
      </c>
      <c r="Q74" s="32">
        <f>'Cash Flow'!Q28/'Income Statement'!Q41</f>
        <v>0.8868175765645806</v>
      </c>
      <c r="R74" s="32">
        <f>'Cash Flow'!R28/'Income Statement'!R41</f>
        <v>1.5048287971905181</v>
      </c>
      <c r="S74" s="32">
        <f>'Cash Flow'!S28/'Income Statement'!S41</f>
        <v>1.2463031423290203</v>
      </c>
      <c r="T74" s="32">
        <f>'Cash Flow'!T28/'Income Statement'!T41</f>
        <v>1.2163388804841149</v>
      </c>
      <c r="U74" s="32">
        <f>'Cash Flow'!U28/'Income Statement'!U41</f>
        <v>1.1883996613039798</v>
      </c>
    </row>
    <row r="75" spans="1:21">
      <c r="A75" s="17" t="s">
        <v>648</v>
      </c>
      <c r="D75" s="18">
        <f>('Income Statement'!D41-'Cash Flow'!D28)/D30</f>
        <v>-1.1072444452671382E-2</v>
      </c>
      <c r="E75" s="18">
        <f>('Income Statement'!E41-'Cash Flow'!E28)/E30</f>
        <v>-3.1296301578175444E-2</v>
      </c>
      <c r="F75" s="18">
        <f>('Income Statement'!F41-'Cash Flow'!F28)/F30</f>
        <v>-5.2207365354448365E-2</v>
      </c>
      <c r="G75" s="18">
        <f>('Income Statement'!G41-'Cash Flow'!G28)/G30</f>
        <v>-3.0651823091426191E-2</v>
      </c>
      <c r="H75" s="18">
        <f>('Income Statement'!H41-'Cash Flow'!H28)/H30</f>
        <v>-2.9982785677458254E-2</v>
      </c>
      <c r="I75" s="18">
        <f>('Income Statement'!I41-'Cash Flow'!I28)/I30</f>
        <v>-2.3204548091425921E-2</v>
      </c>
      <c r="J75" s="18">
        <f>('Income Statement'!J41-'Cash Flow'!J28)/J30</f>
        <v>-2.1448153826234301E-2</v>
      </c>
      <c r="K75" s="18">
        <f>('Income Statement'!K41-'Cash Flow'!K28)/K30</f>
        <v>-2.1988879806699065E-2</v>
      </c>
      <c r="L75" s="18">
        <f>('Income Statement'!L41-'Cash Flow'!L28)/L30</f>
        <v>-3.4665248437186671E-2</v>
      </c>
      <c r="M75" s="9"/>
    </row>
    <row r="76" spans="1:21" ht="8" customHeight="1">
      <c r="M76" s="9"/>
    </row>
    <row r="77" spans="1:21" ht="20" customHeight="1">
      <c r="A77" s="12" t="s">
        <v>649</v>
      </c>
      <c r="B77" s="1"/>
      <c r="C77" s="1"/>
      <c r="D77" s="1"/>
      <c r="E77" s="1"/>
      <c r="F77" s="1"/>
      <c r="G77" s="1"/>
      <c r="H77" s="1"/>
      <c r="I77" s="1"/>
      <c r="J77" s="1"/>
      <c r="K77" s="1"/>
      <c r="L77" s="1"/>
      <c r="M77" s="9"/>
      <c r="N77" s="1"/>
      <c r="O77" s="1"/>
      <c r="P77" s="1"/>
      <c r="Q77" s="1"/>
      <c r="R77" s="1"/>
      <c r="S77" s="1"/>
      <c r="T77" s="1"/>
      <c r="U77" s="1"/>
    </row>
    <row r="78" spans="1:21">
      <c r="A78" s="5" t="s">
        <v>116</v>
      </c>
      <c r="C78" s="33">
        <f>'Income Statement'!C17</f>
        <v>24621.9</v>
      </c>
      <c r="D78" s="33">
        <f>'Income Statement'!D17</f>
        <v>22820.400000000001</v>
      </c>
      <c r="E78" s="33">
        <f>'Income Statement'!E17</f>
        <v>21257.9</v>
      </c>
      <c r="F78" s="33">
        <f>'Income Statement'!F17</f>
        <v>21364.400000000001</v>
      </c>
      <c r="G78" s="33">
        <f>'Income Statement'!G17</f>
        <v>19207.8</v>
      </c>
      <c r="H78" s="33">
        <f>'Income Statement'!H17</f>
        <v>23222.9</v>
      </c>
      <c r="I78" s="33">
        <f>'Income Statement'!I17</f>
        <v>23183</v>
      </c>
      <c r="J78" s="33">
        <f>'Income Statement'!J17</f>
        <v>25494</v>
      </c>
      <c r="K78" s="33">
        <f>'Income Statement'!K17</f>
        <v>25920</v>
      </c>
      <c r="L78" s="33">
        <f>'Income Statement'!L17</f>
        <v>26885</v>
      </c>
      <c r="M78" s="9"/>
      <c r="N78" s="33">
        <f>'Income Statement'!N17</f>
        <v>6873</v>
      </c>
      <c r="O78" s="33">
        <f>'Income Statement'!O17</f>
        <v>6388</v>
      </c>
      <c r="P78" s="33">
        <f>'Income Statement'!P17</f>
        <v>5956</v>
      </c>
      <c r="Q78" s="33">
        <f>'Income Statement'!Q17</f>
        <v>6843</v>
      </c>
      <c r="R78" s="33">
        <f>'Income Statement'!R17</f>
        <v>7078</v>
      </c>
      <c r="S78" s="33">
        <f>'Income Statement'!S17</f>
        <v>7009</v>
      </c>
      <c r="T78" s="33">
        <f>'Income Statement'!T17</f>
        <v>6517</v>
      </c>
      <c r="U78" s="33">
        <f>'Income Statement'!U17</f>
        <v>7099</v>
      </c>
    </row>
    <row r="79" spans="1:21">
      <c r="A79" s="17" t="s">
        <v>111</v>
      </c>
      <c r="D79" s="18">
        <f t="shared" ref="D79:L79" si="1">IF(N(C78)=0,"",D78/C78-1)</f>
        <v>-7.3166571223179377E-2</v>
      </c>
      <c r="E79" s="18">
        <f t="shared" si="1"/>
        <v>-6.8469439624195938E-2</v>
      </c>
      <c r="F79" s="18">
        <f t="shared" si="1"/>
        <v>5.0099022010641203E-3</v>
      </c>
      <c r="G79" s="18">
        <f t="shared" si="1"/>
        <v>-0.10094362584486349</v>
      </c>
      <c r="H79" s="18">
        <f t="shared" si="1"/>
        <v>0.20903487125022147</v>
      </c>
      <c r="I79" s="18">
        <f t="shared" si="1"/>
        <v>-1.7181316717550521E-3</v>
      </c>
      <c r="J79" s="18">
        <f t="shared" si="1"/>
        <v>9.9685114092222804E-2</v>
      </c>
      <c r="K79" s="18">
        <f t="shared" si="1"/>
        <v>1.6709814073899709E-2</v>
      </c>
      <c r="L79" s="18">
        <f t="shared" si="1"/>
        <v>3.7229938271605034E-2</v>
      </c>
      <c r="M79" s="9"/>
      <c r="R79" s="18">
        <f>IF(N(N78)=0,"",R78/N78-1)</f>
        <v>2.982685872253743E-2</v>
      </c>
      <c r="S79" s="18">
        <f>IF(N(O78)=0,"",S78/O78-1)</f>
        <v>9.7213525360050124E-2</v>
      </c>
      <c r="T79" s="18">
        <f>IF(N(P78)=0,"",T78/P78-1)</f>
        <v>9.4190732034922675E-2</v>
      </c>
      <c r="U79" s="18">
        <f>IF(N(Q78)=0,"",U78/Q78-1)</f>
        <v>3.741049247406103E-2</v>
      </c>
    </row>
    <row r="80" spans="1:21">
      <c r="A80" s="5" t="s">
        <v>133</v>
      </c>
      <c r="C80" s="33">
        <f>'Income Statement'!C33</f>
        <v>7744.5</v>
      </c>
      <c r="D80" s="33">
        <f>'Income Statement'!D33</f>
        <v>9552.7000000000007</v>
      </c>
      <c r="E80" s="33">
        <f>'Income Statement'!E33</f>
        <v>8822.6</v>
      </c>
      <c r="F80" s="33">
        <f>'Income Statement'!F33</f>
        <v>9069.7999999999993</v>
      </c>
      <c r="G80" s="33">
        <f>'Income Statement'!G33</f>
        <v>7324</v>
      </c>
      <c r="H80" s="33">
        <f>'Income Statement'!H33</f>
        <v>10356</v>
      </c>
      <c r="I80" s="33">
        <f>'Income Statement'!I33</f>
        <v>9371</v>
      </c>
      <c r="J80" s="33">
        <f>'Income Statement'!J33</f>
        <v>11647</v>
      </c>
      <c r="K80" s="33">
        <f>'Income Statement'!K33</f>
        <v>11712</v>
      </c>
      <c r="L80" s="33">
        <f>'Income Statement'!L33</f>
        <v>12393</v>
      </c>
      <c r="M80" s="9"/>
      <c r="N80" s="33">
        <f>'Income Statement'!N33</f>
        <v>3188</v>
      </c>
      <c r="O80" s="33">
        <f>'Income Statement'!O33</f>
        <v>2868</v>
      </c>
      <c r="P80" s="33">
        <f>'Income Statement'!P33</f>
        <v>2648</v>
      </c>
      <c r="Q80" s="33">
        <f>'Income Statement'!Q33</f>
        <v>3232</v>
      </c>
      <c r="R80" s="33">
        <f>'Income Statement'!R33</f>
        <v>3357</v>
      </c>
      <c r="S80" s="33">
        <f>'Income Statement'!S33</f>
        <v>3156</v>
      </c>
      <c r="T80" s="33">
        <f>'Income Statement'!T33</f>
        <v>2953</v>
      </c>
      <c r="U80" s="33">
        <f>'Income Statement'!U33</f>
        <v>3338</v>
      </c>
    </row>
    <row r="81" spans="1:21">
      <c r="A81" s="17" t="s">
        <v>111</v>
      </c>
      <c r="D81" s="18">
        <f t="shared" ref="D81:L81" si="2">IF(N(C80)=0,"",D80/C80-1)</f>
        <v>0.23348182581186649</v>
      </c>
      <c r="E81" s="18">
        <f t="shared" si="2"/>
        <v>-7.6428653679064595E-2</v>
      </c>
      <c r="F81" s="18">
        <f t="shared" si="2"/>
        <v>2.801895132953991E-2</v>
      </c>
      <c r="G81" s="18">
        <f t="shared" si="2"/>
        <v>-0.19248495005402533</v>
      </c>
      <c r="H81" s="18">
        <f t="shared" si="2"/>
        <v>0.41398143091206996</v>
      </c>
      <c r="I81" s="18">
        <f t="shared" si="2"/>
        <v>-9.5113943607570528E-2</v>
      </c>
      <c r="J81" s="18">
        <f t="shared" si="2"/>
        <v>0.24287696083662369</v>
      </c>
      <c r="K81" s="18">
        <f t="shared" si="2"/>
        <v>5.580836266849909E-3</v>
      </c>
      <c r="L81" s="18">
        <f t="shared" si="2"/>
        <v>5.8145491803278659E-2</v>
      </c>
      <c r="M81" s="9"/>
      <c r="R81" s="18">
        <f>IF(N(N80)=0,"",R80/N80-1)</f>
        <v>5.3011292346298644E-2</v>
      </c>
      <c r="S81" s="18">
        <f>IF(N(O80)=0,"",S80/O80-1)</f>
        <v>0.10041841004184104</v>
      </c>
      <c r="T81" s="18">
        <f>IF(N(P80)=0,"",T80/P80-1)</f>
        <v>0.11518126888217517</v>
      </c>
      <c r="U81" s="18">
        <f>IF(N(Q80)=0,"",U80/Q80-1)</f>
        <v>3.2797029702970271E-2</v>
      </c>
    </row>
    <row r="82" spans="1:21">
      <c r="A82" s="5" t="s">
        <v>139</v>
      </c>
      <c r="C82" s="33">
        <f>'Income Statement'!C41</f>
        <v>4686.5</v>
      </c>
      <c r="D82" s="33">
        <f>'Income Statement'!D41</f>
        <v>5192.3</v>
      </c>
      <c r="E82" s="33">
        <f>'Income Statement'!E41</f>
        <v>5924.3</v>
      </c>
      <c r="F82" s="33">
        <f>'Income Statement'!F41</f>
        <v>6025.4</v>
      </c>
      <c r="G82" s="33">
        <f>'Income Statement'!G41</f>
        <v>4730.5</v>
      </c>
      <c r="H82" s="33">
        <f>'Income Statement'!H41</f>
        <v>7545.2</v>
      </c>
      <c r="I82" s="33">
        <f>'Income Statement'!I41</f>
        <v>6177</v>
      </c>
      <c r="J82" s="33">
        <f>'Income Statement'!J41</f>
        <v>8469</v>
      </c>
      <c r="K82" s="33">
        <f>'Income Statement'!K41</f>
        <v>8223</v>
      </c>
      <c r="L82" s="33">
        <f>'Income Statement'!L41</f>
        <v>8563</v>
      </c>
      <c r="M82" s="9"/>
      <c r="N82" s="33">
        <f>'Income Statement'!N41</f>
        <v>2255</v>
      </c>
      <c r="O82" s="33">
        <f>'Income Statement'!O41</f>
        <v>2016</v>
      </c>
      <c r="P82" s="33">
        <f>'Income Statement'!P41</f>
        <v>1868</v>
      </c>
      <c r="Q82" s="33">
        <f>'Income Statement'!Q41</f>
        <v>2253</v>
      </c>
      <c r="R82" s="33">
        <f>'Income Statement'!R41</f>
        <v>2278</v>
      </c>
      <c r="S82" s="33">
        <f>'Income Statement'!S41</f>
        <v>2164</v>
      </c>
      <c r="T82" s="33">
        <f>'Income Statement'!T41</f>
        <v>1983</v>
      </c>
      <c r="U82" s="33">
        <f>'Income Statement'!U41</f>
        <v>2362</v>
      </c>
    </row>
    <row r="83" spans="1:21">
      <c r="A83" s="17" t="s">
        <v>111</v>
      </c>
      <c r="D83" s="18">
        <f t="shared" ref="D83:L83" si="3">IF(N(C82)=0,"",D82/C82-1)</f>
        <v>0.10792702443187885</v>
      </c>
      <c r="E83" s="18">
        <f t="shared" si="3"/>
        <v>0.14097798663405436</v>
      </c>
      <c r="F83" s="18">
        <f t="shared" si="3"/>
        <v>1.7065307293688603E-2</v>
      </c>
      <c r="G83" s="18">
        <f t="shared" si="3"/>
        <v>-0.21490689414810626</v>
      </c>
      <c r="H83" s="18">
        <f t="shared" si="3"/>
        <v>0.59501109819258002</v>
      </c>
      <c r="I83" s="18">
        <f t="shared" si="3"/>
        <v>-0.18133382812914167</v>
      </c>
      <c r="J83" s="18">
        <f t="shared" si="3"/>
        <v>0.37105390966488594</v>
      </c>
      <c r="K83" s="18">
        <f t="shared" si="3"/>
        <v>-2.904711300035423E-2</v>
      </c>
      <c r="L83" s="18">
        <f t="shared" si="3"/>
        <v>4.1347440107016853E-2</v>
      </c>
      <c r="M83" s="9"/>
      <c r="R83" s="18">
        <f>IF(N(N82)=0,"",R82/N82-1)</f>
        <v>1.0199556541020005E-2</v>
      </c>
      <c r="S83" s="18">
        <f>IF(N(O82)=0,"",S82/O82-1)</f>
        <v>7.3412698412698374E-2</v>
      </c>
      <c r="T83" s="18">
        <f>IF(N(P82)=0,"",T82/P82-1)</f>
        <v>6.1563169164882137E-2</v>
      </c>
      <c r="U83" s="18">
        <f>IF(N(Q82)=0,"",U82/Q82-1)</f>
        <v>4.8379937860630218E-2</v>
      </c>
    </row>
    <row r="84" spans="1:21">
      <c r="A84" s="5" t="s">
        <v>650</v>
      </c>
      <c r="C84" s="34">
        <f>'Income Statement'!C47</f>
        <v>5.44</v>
      </c>
      <c r="D84" s="34">
        <f>'Income Statement'!D47</f>
        <v>6.37</v>
      </c>
      <c r="E84" s="34">
        <f>'Income Statement'!E47</f>
        <v>7.54</v>
      </c>
      <c r="F84" s="34">
        <f>'Income Statement'!F47</f>
        <v>7.88</v>
      </c>
      <c r="G84" s="34">
        <f>'Income Statement'!G47</f>
        <v>6.31</v>
      </c>
      <c r="H84" s="34">
        <f>'Income Statement'!H47</f>
        <v>10.039999999999999</v>
      </c>
      <c r="I84" s="34">
        <f>'Income Statement'!I47</f>
        <v>8.33</v>
      </c>
      <c r="J84" s="34">
        <f>'Income Statement'!J47</f>
        <v>11.56</v>
      </c>
      <c r="K84" s="34">
        <f>'Income Statement'!K47</f>
        <v>11.39</v>
      </c>
      <c r="L84" s="34">
        <f>'Income Statement'!L47</f>
        <v>11.95</v>
      </c>
      <c r="M84" s="9"/>
      <c r="N84" s="34">
        <f>'Income Statement'!N47</f>
        <v>3.13</v>
      </c>
      <c r="O84" s="34">
        <f>'Income Statement'!O47</f>
        <v>2.8</v>
      </c>
      <c r="P84" s="34">
        <f>'Income Statement'!P47</f>
        <v>2.6</v>
      </c>
      <c r="Q84" s="34">
        <f>'Income Statement'!Q47</f>
        <v>3.14</v>
      </c>
      <c r="R84" s="34">
        <f>'Income Statement'!R47</f>
        <v>3.18</v>
      </c>
      <c r="S84" s="34">
        <f>'Income Statement'!S47</f>
        <v>3.03</v>
      </c>
      <c r="T84" s="34">
        <f>'Income Statement'!T47</f>
        <v>2.78</v>
      </c>
      <c r="U84" s="34">
        <f>'Income Statement'!U47</f>
        <v>3.32</v>
      </c>
    </row>
    <row r="85" spans="1:21">
      <c r="A85" s="17" t="s">
        <v>111</v>
      </c>
      <c r="D85" s="18">
        <f t="shared" ref="D85:L85" si="4">IF(N(C84)=0,"",D84/C84-1)</f>
        <v>0.17095588235294112</v>
      </c>
      <c r="E85" s="18">
        <f t="shared" si="4"/>
        <v>0.18367346938775508</v>
      </c>
      <c r="F85" s="18">
        <f t="shared" si="4"/>
        <v>4.5092838196286511E-2</v>
      </c>
      <c r="G85" s="18">
        <f t="shared" si="4"/>
        <v>-0.19923857868020312</v>
      </c>
      <c r="H85" s="18">
        <f t="shared" si="4"/>
        <v>0.59112519809825659</v>
      </c>
      <c r="I85" s="18">
        <f t="shared" si="4"/>
        <v>-0.17031872509960155</v>
      </c>
      <c r="J85" s="18">
        <f t="shared" si="4"/>
        <v>0.38775510204081631</v>
      </c>
      <c r="K85" s="18">
        <f t="shared" si="4"/>
        <v>-1.4705882352941124E-2</v>
      </c>
      <c r="L85" s="18">
        <f t="shared" si="4"/>
        <v>4.9165935030728525E-2</v>
      </c>
      <c r="M85" s="9"/>
      <c r="R85" s="18">
        <f>IF(N(N84)=0,"",R84/N84-1)</f>
        <v>1.5974440894568787E-2</v>
      </c>
      <c r="S85" s="18">
        <f>IF(N(O84)=0,"",S84/O84-1)</f>
        <v>8.2142857142857073E-2</v>
      </c>
      <c r="T85" s="18">
        <f>IF(N(P84)=0,"",T84/P84-1)</f>
        <v>6.9230769230769207E-2</v>
      </c>
      <c r="U85" s="18">
        <f>IF(N(Q84)=0,"",U84/Q84-1)</f>
        <v>5.7324840764331197E-2</v>
      </c>
    </row>
    <row r="86" spans="1:21">
      <c r="A86" s="5" t="s">
        <v>231</v>
      </c>
      <c r="C86" s="33">
        <f>'Cash Flow'!C28</f>
        <v>6059.6</v>
      </c>
      <c r="D86" s="33">
        <f>'Cash Flow'!D28</f>
        <v>5551.2</v>
      </c>
      <c r="E86" s="33">
        <f>'Cash Flow'!E28</f>
        <v>6966.7</v>
      </c>
      <c r="F86" s="33">
        <f>'Cash Flow'!F28</f>
        <v>8122.1</v>
      </c>
      <c r="G86" s="33">
        <f>'Cash Flow'!G28</f>
        <v>6265.2</v>
      </c>
      <c r="H86" s="33">
        <f>'Cash Flow'!H28</f>
        <v>9141.5</v>
      </c>
      <c r="I86" s="33">
        <f>'Cash Flow'!I28</f>
        <v>7387</v>
      </c>
      <c r="J86" s="33">
        <f>'Cash Flow'!J28</f>
        <v>9612</v>
      </c>
      <c r="K86" s="33">
        <f>'Cash Flow'!K28</f>
        <v>9447</v>
      </c>
      <c r="L86" s="33">
        <f>'Cash Flow'!L28</f>
        <v>10551</v>
      </c>
      <c r="M86" s="9"/>
      <c r="N86" s="33">
        <f>'Cash Flow'!N28</f>
        <v>2736</v>
      </c>
      <c r="O86" s="33">
        <f>'Cash Flow'!O28</f>
        <v>2631</v>
      </c>
      <c r="P86" s="33">
        <f>'Cash Flow'!P28</f>
        <v>2428</v>
      </c>
      <c r="Q86" s="33">
        <f>'Cash Flow'!Q28</f>
        <v>1998</v>
      </c>
      <c r="R86" s="33">
        <f>'Cash Flow'!R28</f>
        <v>3428</v>
      </c>
      <c r="S86" s="33">
        <f>'Cash Flow'!S28</f>
        <v>2697</v>
      </c>
      <c r="T86" s="33">
        <f>'Cash Flow'!T28</f>
        <v>2412</v>
      </c>
      <c r="U86" s="33">
        <f>'Cash Flow'!U28</f>
        <v>2807</v>
      </c>
    </row>
    <row r="87" spans="1:21">
      <c r="A87" s="17" t="s">
        <v>111</v>
      </c>
      <c r="D87" s="18">
        <f t="shared" ref="D87:L87" si="5">IF(N(C86)=0,"",D86/C86-1)</f>
        <v>-8.3899927387946494E-2</v>
      </c>
      <c r="E87" s="18">
        <f t="shared" si="5"/>
        <v>0.25498991209107946</v>
      </c>
      <c r="F87" s="18">
        <f t="shared" si="5"/>
        <v>0.16584609643016068</v>
      </c>
      <c r="G87" s="18">
        <f t="shared" si="5"/>
        <v>-0.22862313933588607</v>
      </c>
      <c r="H87" s="18">
        <f t="shared" si="5"/>
        <v>0.45909148949754197</v>
      </c>
      <c r="I87" s="18">
        <f t="shared" si="5"/>
        <v>-0.19192692665317512</v>
      </c>
      <c r="J87" s="18">
        <f t="shared" si="5"/>
        <v>0.3012048192771084</v>
      </c>
      <c r="K87" s="18">
        <f t="shared" si="5"/>
        <v>-1.716604244694131E-2</v>
      </c>
      <c r="L87" s="18">
        <f t="shared" si="5"/>
        <v>0.11686249603048582</v>
      </c>
      <c r="M87" s="9"/>
      <c r="R87" s="18">
        <f>IF(N(N86)=0,"",R86/N86-1)</f>
        <v>0.25292397660818722</v>
      </c>
      <c r="S87" s="18">
        <f>IF(N(O86)=0,"",S86/O86-1)</f>
        <v>2.5085518814139007E-2</v>
      </c>
      <c r="T87" s="18">
        <f>IF(N(P86)=0,"",T86/P86-1)</f>
        <v>-6.5897858319604596E-3</v>
      </c>
      <c r="U87" s="18">
        <f>IF(N(Q86)=0,"",U86/Q86-1)</f>
        <v>0.40490490490490494</v>
      </c>
    </row>
    <row r="88" spans="1:21">
      <c r="A88" s="5" t="s">
        <v>651</v>
      </c>
      <c r="C88" s="33">
        <f>'Cash Flow'!C71</f>
        <v>4238.5</v>
      </c>
      <c r="D88" s="33">
        <f>'Cash Flow'!D71</f>
        <v>3697.5</v>
      </c>
      <c r="E88" s="33">
        <f>'Cash Flow'!E71</f>
        <v>4225</v>
      </c>
      <c r="F88" s="33">
        <f>'Cash Flow'!F71</f>
        <v>5728.4000000000005</v>
      </c>
      <c r="G88" s="33">
        <f>'Cash Flow'!G71</f>
        <v>4624.3999999999996</v>
      </c>
      <c r="H88" s="33">
        <f>'Cash Flow'!H71</f>
        <v>7101.5</v>
      </c>
      <c r="I88" s="33">
        <f>'Cash Flow'!I71</f>
        <v>5488</v>
      </c>
      <c r="J88" s="33">
        <f>'Cash Flow'!J71</f>
        <v>7255</v>
      </c>
      <c r="K88" s="33">
        <f>'Cash Flow'!K71</f>
        <v>6672</v>
      </c>
      <c r="L88" s="33">
        <f>'Cash Flow'!L71</f>
        <v>7186</v>
      </c>
      <c r="M88" s="9"/>
      <c r="N88" s="33">
        <f>'Cash Flow'!N71</f>
        <v>1942</v>
      </c>
      <c r="O88" s="33">
        <f>'Cash Flow'!O71</f>
        <v>1824</v>
      </c>
      <c r="P88" s="33">
        <f>'Cash Flow'!P71</f>
        <v>1877</v>
      </c>
      <c r="Q88" s="33">
        <f>'Cash Flow'!Q71</f>
        <v>1254</v>
      </c>
      <c r="R88" s="33">
        <f>'Cash Flow'!R71</f>
        <v>2417</v>
      </c>
      <c r="S88" s="33">
        <f>'Cash Flow'!S71</f>
        <v>1638</v>
      </c>
      <c r="T88" s="33">
        <f>'Cash Flow'!T71</f>
        <v>1730</v>
      </c>
      <c r="U88" s="33">
        <f>'Cash Flow'!U71</f>
        <v>1976</v>
      </c>
    </row>
    <row r="89" spans="1:21">
      <c r="A89" s="17" t="s">
        <v>111</v>
      </c>
      <c r="D89" s="18">
        <f t="shared" ref="D89:L89" si="6">IF(N(C88)=0,"",D88/C88-1)</f>
        <v>-0.12763949510440009</v>
      </c>
      <c r="E89" s="18">
        <f t="shared" si="6"/>
        <v>0.14266396213657884</v>
      </c>
      <c r="F89" s="18">
        <f t="shared" si="6"/>
        <v>0.35583431952662736</v>
      </c>
      <c r="G89" s="18">
        <f t="shared" si="6"/>
        <v>-0.19272397178967959</v>
      </c>
      <c r="H89" s="18">
        <f t="shared" si="6"/>
        <v>0.53565868004497896</v>
      </c>
      <c r="I89" s="18">
        <f t="shared" si="6"/>
        <v>-0.2272055199605717</v>
      </c>
      <c r="J89" s="18">
        <f t="shared" si="6"/>
        <v>0.32197521865889223</v>
      </c>
      <c r="K89" s="18">
        <f t="shared" si="6"/>
        <v>-8.03583735354928E-2</v>
      </c>
      <c r="L89" s="18">
        <f t="shared" si="6"/>
        <v>7.7038369304556431E-2</v>
      </c>
      <c r="M89" s="9"/>
      <c r="R89" s="18">
        <f>IF(N(N88)=0,"",R88/N88-1)</f>
        <v>0.24459320288362507</v>
      </c>
      <c r="S89" s="18">
        <f>IF(N(O88)=0,"",S88/O88-1)</f>
        <v>-0.10197368421052633</v>
      </c>
      <c r="T89" s="18">
        <f>IF(N(P88)=0,"",T88/P88-1)</f>
        <v>-7.8316462440063961E-2</v>
      </c>
      <c r="U89" s="18">
        <f>IF(N(Q88)=0,"",U88/Q88-1)</f>
        <v>0.57575757575757569</v>
      </c>
    </row>
    <row r="90" spans="1:21">
      <c r="M90" s="9"/>
    </row>
  </sheetData>
  <phoneticPr fontId="3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8C1F9-D1C7-1240-A2CA-EC6EFBCDE6DE}">
  <sheetPr>
    <tabColor rgb="FF548235"/>
  </sheetPr>
  <dimension ref="A1:H99"/>
  <sheetViews>
    <sheetView showGridLines="0" workbookViewId="0">
      <pane ySplit="3" topLeftCell="A4" activePane="bottomLeft" state="frozen"/>
      <selection pane="bottomLeft"/>
    </sheetView>
  </sheetViews>
  <sheetFormatPr baseColWidth="10" defaultColWidth="8.83203125" defaultRowHeight="14"/>
  <cols>
    <col min="1" max="1" width="64" customWidth="1"/>
    <col min="2" max="7" width="18" customWidth="1"/>
  </cols>
  <sheetData>
    <row r="1" spans="1:8" ht="28" customHeight="1">
      <c r="A1" s="2" t="s">
        <v>652</v>
      </c>
      <c r="B1" s="1"/>
      <c r="C1" s="1"/>
      <c r="D1" s="1"/>
      <c r="E1" s="1"/>
      <c r="F1" s="1"/>
      <c r="G1" s="1"/>
      <c r="H1" s="1"/>
    </row>
    <row r="2" spans="1:8" ht="16" customHeight="1">
      <c r="A2" s="3" t="s">
        <v>1</v>
      </c>
    </row>
    <row r="4" spans="1:8">
      <c r="A4" s="4" t="s">
        <v>653</v>
      </c>
    </row>
    <row r="6" spans="1:8">
      <c r="A6" s="4" t="s">
        <v>654</v>
      </c>
    </row>
    <row r="7" spans="1:8">
      <c r="A7" s="12" t="s">
        <v>655</v>
      </c>
      <c r="B7" s="12" t="s">
        <v>656</v>
      </c>
    </row>
    <row r="8" spans="1:8">
      <c r="A8" s="5" t="s">
        <v>657</v>
      </c>
      <c r="B8" s="5">
        <v>0</v>
      </c>
    </row>
    <row r="9" spans="1:8">
      <c r="A9" s="5" t="s">
        <v>658</v>
      </c>
      <c r="B9" s="5">
        <v>3201</v>
      </c>
    </row>
    <row r="10" spans="1:8">
      <c r="A10" s="5" t="s">
        <v>659</v>
      </c>
      <c r="B10" s="5">
        <v>5166</v>
      </c>
    </row>
    <row r="11" spans="1:8">
      <c r="A11" s="5" t="s">
        <v>660</v>
      </c>
      <c r="B11" s="5">
        <v>3637</v>
      </c>
    </row>
    <row r="12" spans="1:8">
      <c r="A12" s="5" t="s">
        <v>661</v>
      </c>
      <c r="B12" s="5">
        <v>3011</v>
      </c>
    </row>
    <row r="13" spans="1:8">
      <c r="A13" s="5" t="s">
        <v>662</v>
      </c>
      <c r="B13" s="5">
        <v>25130</v>
      </c>
    </row>
    <row r="15" spans="1:8">
      <c r="A15" s="4" t="s">
        <v>663</v>
      </c>
    </row>
    <row r="16" spans="1:8">
      <c r="A16" s="12" t="s">
        <v>655</v>
      </c>
      <c r="B16" s="12" t="s">
        <v>656</v>
      </c>
    </row>
    <row r="17" spans="1:4">
      <c r="A17" s="5" t="s">
        <v>664</v>
      </c>
      <c r="B17" s="5">
        <v>0</v>
      </c>
    </row>
    <row r="18" spans="1:4">
      <c r="A18" s="5" t="s">
        <v>657</v>
      </c>
      <c r="B18" s="5">
        <v>2392</v>
      </c>
    </row>
    <row r="19" spans="1:4">
      <c r="A19" s="5" t="s">
        <v>658</v>
      </c>
      <c r="B19" s="5">
        <v>3036</v>
      </c>
    </row>
    <row r="20" spans="1:4">
      <c r="A20" s="5" t="s">
        <v>659</v>
      </c>
      <c r="B20" s="5">
        <v>7221</v>
      </c>
    </row>
    <row r="21" spans="1:4">
      <c r="A21" s="5" t="s">
        <v>660</v>
      </c>
      <c r="B21" s="5">
        <v>3394</v>
      </c>
    </row>
    <row r="22" spans="1:4">
      <c r="A22" s="5" t="s">
        <v>662</v>
      </c>
      <c r="B22" s="5">
        <v>22573</v>
      </c>
    </row>
    <row r="24" spans="1:4">
      <c r="A24" s="4" t="s">
        <v>665</v>
      </c>
    </row>
    <row r="25" spans="1:4">
      <c r="A25" s="12" t="s">
        <v>655</v>
      </c>
      <c r="B25" s="12" t="s">
        <v>666</v>
      </c>
      <c r="C25" s="12" t="s">
        <v>667</v>
      </c>
      <c r="D25" s="12" t="s">
        <v>668</v>
      </c>
    </row>
    <row r="26" spans="1:4">
      <c r="A26" s="5">
        <v>2026</v>
      </c>
      <c r="B26" s="5">
        <v>1509</v>
      </c>
      <c r="C26" s="5">
        <v>1536</v>
      </c>
      <c r="D26" s="5">
        <v>3045</v>
      </c>
    </row>
    <row r="27" spans="1:4">
      <c r="A27" s="5">
        <v>2027</v>
      </c>
      <c r="B27" s="5">
        <v>1465</v>
      </c>
      <c r="C27" s="5">
        <v>1478</v>
      </c>
      <c r="D27" s="5">
        <v>2943</v>
      </c>
    </row>
    <row r="28" spans="1:4">
      <c r="A28" s="5">
        <v>2028</v>
      </c>
      <c r="B28" s="5">
        <v>1409</v>
      </c>
      <c r="C28" s="5">
        <v>1403</v>
      </c>
      <c r="D28" s="5">
        <v>2812</v>
      </c>
    </row>
    <row r="29" spans="1:4">
      <c r="A29" s="5">
        <v>2029</v>
      </c>
      <c r="B29" s="5">
        <v>1334</v>
      </c>
      <c r="C29" s="5">
        <v>1325</v>
      </c>
      <c r="D29" s="5">
        <v>2659</v>
      </c>
    </row>
    <row r="30" spans="1:4">
      <c r="A30" s="5">
        <v>2030</v>
      </c>
      <c r="B30" s="5">
        <v>1271</v>
      </c>
      <c r="C30" s="5">
        <v>1256</v>
      </c>
      <c r="D30" s="5">
        <v>2527</v>
      </c>
    </row>
    <row r="31" spans="1:4">
      <c r="A31" s="5" t="s">
        <v>662</v>
      </c>
      <c r="B31" s="5">
        <v>8855</v>
      </c>
      <c r="C31" s="5">
        <v>8610</v>
      </c>
      <c r="D31" s="5">
        <v>17465</v>
      </c>
    </row>
    <row r="32" spans="1:4">
      <c r="A32" s="5" t="s">
        <v>669</v>
      </c>
      <c r="B32" s="5">
        <v>15843</v>
      </c>
      <c r="C32" s="5">
        <v>15608</v>
      </c>
      <c r="D32" s="5">
        <v>31451</v>
      </c>
    </row>
    <row r="34" spans="1:4">
      <c r="A34" s="4" t="s">
        <v>670</v>
      </c>
    </row>
    <row r="35" spans="1:4">
      <c r="A35" s="12" t="s">
        <v>655</v>
      </c>
      <c r="B35" s="12" t="s">
        <v>666</v>
      </c>
      <c r="C35" s="12" t="s">
        <v>667</v>
      </c>
      <c r="D35" s="12" t="s">
        <v>668</v>
      </c>
    </row>
    <row r="36" spans="1:4">
      <c r="A36" s="5">
        <v>2025</v>
      </c>
      <c r="B36" s="5">
        <v>1455</v>
      </c>
      <c r="C36" s="5">
        <v>1425</v>
      </c>
      <c r="D36" s="5">
        <v>2880</v>
      </c>
    </row>
    <row r="37" spans="1:4">
      <c r="A37" s="5">
        <v>2026</v>
      </c>
      <c r="B37" s="5">
        <v>1401</v>
      </c>
      <c r="C37" s="5">
        <v>1361</v>
      </c>
      <c r="D37" s="5">
        <v>2762</v>
      </c>
    </row>
    <row r="38" spans="1:4">
      <c r="A38" s="5">
        <v>2027</v>
      </c>
      <c r="B38" s="5">
        <v>1353</v>
      </c>
      <c r="C38" s="5">
        <v>1301</v>
      </c>
      <c r="D38" s="5">
        <v>2654</v>
      </c>
    </row>
    <row r="39" spans="1:4">
      <c r="A39" s="5">
        <v>2028</v>
      </c>
      <c r="B39" s="5">
        <v>1298</v>
      </c>
      <c r="C39" s="5">
        <v>1236</v>
      </c>
      <c r="D39" s="5">
        <v>2534</v>
      </c>
    </row>
    <row r="40" spans="1:4">
      <c r="A40" s="5">
        <v>2029</v>
      </c>
      <c r="B40" s="5">
        <v>1227</v>
      </c>
      <c r="C40" s="5">
        <v>1166</v>
      </c>
      <c r="D40" s="5">
        <v>2393</v>
      </c>
    </row>
    <row r="41" spans="1:4">
      <c r="A41" s="5" t="s">
        <v>662</v>
      </c>
      <c r="B41" s="5">
        <v>8462</v>
      </c>
      <c r="C41" s="5">
        <v>7913</v>
      </c>
      <c r="D41" s="5">
        <v>16375</v>
      </c>
    </row>
    <row r="42" spans="1:4">
      <c r="A42" s="5" t="s">
        <v>669</v>
      </c>
      <c r="B42" s="5">
        <v>15196</v>
      </c>
      <c r="C42" s="5">
        <v>14402</v>
      </c>
      <c r="D42" s="5">
        <v>29598</v>
      </c>
    </row>
    <row r="44" spans="1:4">
      <c r="A44" s="4" t="s">
        <v>671</v>
      </c>
    </row>
    <row r="45" spans="1:4">
      <c r="A45" s="12" t="s">
        <v>655</v>
      </c>
      <c r="B45" s="12" t="s">
        <v>672</v>
      </c>
      <c r="C45" s="12" t="s">
        <v>673</v>
      </c>
      <c r="D45" s="12" t="s">
        <v>674</v>
      </c>
    </row>
    <row r="46" spans="1:4">
      <c r="A46" s="5">
        <v>2026</v>
      </c>
      <c r="B46" s="5">
        <v>1200</v>
      </c>
      <c r="C46" s="5">
        <v>120</v>
      </c>
      <c r="D46" s="5">
        <v>1321</v>
      </c>
    </row>
    <row r="47" spans="1:4">
      <c r="A47" s="5">
        <v>2027</v>
      </c>
      <c r="B47" s="5">
        <v>1166</v>
      </c>
      <c r="C47" s="5">
        <v>123</v>
      </c>
      <c r="D47" s="5">
        <v>1289</v>
      </c>
    </row>
    <row r="48" spans="1:4">
      <c r="A48" s="5">
        <v>2028</v>
      </c>
      <c r="B48" s="5">
        <v>1115</v>
      </c>
      <c r="C48" s="5">
        <v>124</v>
      </c>
      <c r="D48" s="5">
        <v>1239</v>
      </c>
    </row>
    <row r="49" spans="1:4">
      <c r="A49" s="5">
        <v>2029</v>
      </c>
      <c r="B49" s="5">
        <v>1076</v>
      </c>
      <c r="C49" s="5">
        <v>125</v>
      </c>
      <c r="D49" s="5">
        <v>1201</v>
      </c>
    </row>
    <row r="50" spans="1:4">
      <c r="A50" s="5">
        <v>2030</v>
      </c>
      <c r="B50" s="5">
        <v>1029</v>
      </c>
      <c r="C50" s="5">
        <v>127</v>
      </c>
      <c r="D50" s="5">
        <v>1156</v>
      </c>
    </row>
    <row r="51" spans="1:4">
      <c r="A51" s="5" t="s">
        <v>662</v>
      </c>
      <c r="B51" s="5">
        <v>10977</v>
      </c>
      <c r="C51" s="5">
        <v>3443</v>
      </c>
      <c r="D51" s="5">
        <v>14420</v>
      </c>
    </row>
    <row r="52" spans="1:4">
      <c r="A52" s="5" t="s">
        <v>675</v>
      </c>
      <c r="B52" s="5">
        <v>16564</v>
      </c>
      <c r="C52" s="5">
        <v>4062</v>
      </c>
      <c r="D52" s="5">
        <v>20626</v>
      </c>
    </row>
    <row r="53" spans="1:4">
      <c r="A53" s="5" t="s">
        <v>676</v>
      </c>
      <c r="B53" s="5">
        <v>4075</v>
      </c>
      <c r="C53" s="5">
        <v>1710</v>
      </c>
      <c r="D53" s="5">
        <v>5785</v>
      </c>
    </row>
    <row r="54" spans="1:4">
      <c r="A54" s="5" t="s">
        <v>677</v>
      </c>
      <c r="B54" s="5">
        <v>12488</v>
      </c>
      <c r="C54" s="5">
        <v>2352</v>
      </c>
      <c r="D54" s="5">
        <v>14840</v>
      </c>
    </row>
    <row r="56" spans="1:4">
      <c r="A56" s="4" t="s">
        <v>678</v>
      </c>
    </row>
    <row r="57" spans="1:4">
      <c r="A57" s="12" t="s">
        <v>655</v>
      </c>
      <c r="B57" s="12" t="s">
        <v>672</v>
      </c>
      <c r="C57" s="12" t="s">
        <v>673</v>
      </c>
      <c r="D57" s="12" t="s">
        <v>674</v>
      </c>
    </row>
    <row r="58" spans="1:4">
      <c r="A58" s="5">
        <v>2025</v>
      </c>
      <c r="B58" s="5">
        <v>1087</v>
      </c>
      <c r="C58" s="5">
        <v>91</v>
      </c>
      <c r="D58" s="5">
        <v>1178</v>
      </c>
    </row>
    <row r="59" spans="1:4">
      <c r="A59" s="5">
        <v>2026</v>
      </c>
      <c r="B59" s="5">
        <v>1042</v>
      </c>
      <c r="C59" s="5">
        <v>93</v>
      </c>
      <c r="D59" s="5">
        <v>1135</v>
      </c>
    </row>
    <row r="60" spans="1:4">
      <c r="A60" s="5">
        <v>2027</v>
      </c>
      <c r="B60" s="5">
        <v>1013</v>
      </c>
      <c r="C60" s="5">
        <v>94</v>
      </c>
      <c r="D60" s="5">
        <v>1107</v>
      </c>
    </row>
    <row r="61" spans="1:4">
      <c r="A61" s="5">
        <v>2028</v>
      </c>
      <c r="B61" s="5">
        <v>972</v>
      </c>
      <c r="C61" s="5">
        <v>95</v>
      </c>
      <c r="D61" s="5">
        <v>1067</v>
      </c>
    </row>
    <row r="62" spans="1:4">
      <c r="A62" s="5">
        <v>2029</v>
      </c>
      <c r="B62" s="5">
        <v>939</v>
      </c>
      <c r="C62" s="5">
        <v>96</v>
      </c>
      <c r="D62" s="5">
        <v>1035</v>
      </c>
    </row>
    <row r="63" spans="1:4">
      <c r="A63" s="5" t="s">
        <v>662</v>
      </c>
      <c r="B63" s="5">
        <v>10897</v>
      </c>
      <c r="C63" s="5">
        <v>2543</v>
      </c>
      <c r="D63" s="5">
        <v>13440</v>
      </c>
    </row>
    <row r="64" spans="1:4">
      <c r="A64" s="5" t="s">
        <v>675</v>
      </c>
      <c r="B64" s="5">
        <v>15950</v>
      </c>
      <c r="C64" s="5">
        <v>3012</v>
      </c>
      <c r="D64" s="5">
        <v>18962</v>
      </c>
    </row>
    <row r="65" spans="1:5">
      <c r="A65" s="5" t="s">
        <v>676</v>
      </c>
      <c r="B65" s="5">
        <v>4206</v>
      </c>
      <c r="C65" s="5">
        <v>1232</v>
      </c>
      <c r="D65" s="5">
        <v>5438</v>
      </c>
    </row>
    <row r="66" spans="1:5">
      <c r="A66" s="5" t="s">
        <v>677</v>
      </c>
      <c r="B66" s="5">
        <v>11744</v>
      </c>
      <c r="C66" s="5">
        <v>1780</v>
      </c>
      <c r="D66" s="5">
        <v>13524</v>
      </c>
    </row>
    <row r="68" spans="1:5">
      <c r="A68" s="4" t="s">
        <v>679</v>
      </c>
    </row>
    <row r="69" spans="1:5">
      <c r="A69" s="12" t="s">
        <v>680</v>
      </c>
      <c r="B69" s="12" t="s">
        <v>681</v>
      </c>
      <c r="C69" s="12" t="s">
        <v>682</v>
      </c>
      <c r="D69" s="12" t="s">
        <v>683</v>
      </c>
      <c r="E69" s="12" t="s">
        <v>668</v>
      </c>
    </row>
    <row r="70" spans="1:5">
      <c r="A70" s="5" t="s">
        <v>684</v>
      </c>
    </row>
    <row r="71" spans="1:5">
      <c r="A71" s="5" t="s">
        <v>685</v>
      </c>
      <c r="B71" s="5">
        <v>0</v>
      </c>
      <c r="C71" s="5">
        <v>0</v>
      </c>
      <c r="D71" s="5">
        <v>0</v>
      </c>
      <c r="E71" s="5">
        <v>0</v>
      </c>
    </row>
    <row r="72" spans="1:5">
      <c r="A72" s="5" t="s">
        <v>686</v>
      </c>
      <c r="B72" s="5">
        <v>96</v>
      </c>
      <c r="C72" s="5">
        <v>32</v>
      </c>
      <c r="D72" s="5">
        <v>122</v>
      </c>
      <c r="E72" s="5">
        <v>250</v>
      </c>
    </row>
    <row r="73" spans="1:5">
      <c r="A73" s="5" t="s">
        <v>687</v>
      </c>
      <c r="B73" s="5">
        <v>-52</v>
      </c>
      <c r="C73" s="5">
        <v>-21</v>
      </c>
      <c r="D73" s="5">
        <v>-99</v>
      </c>
      <c r="E73" s="5">
        <v>-172</v>
      </c>
    </row>
    <row r="74" spans="1:5">
      <c r="A74" s="5" t="s">
        <v>688</v>
      </c>
      <c r="B74" s="5">
        <v>-3</v>
      </c>
      <c r="C74" s="5">
        <v>0</v>
      </c>
      <c r="D74" s="5">
        <v>-16</v>
      </c>
      <c r="E74" s="5">
        <v>-19</v>
      </c>
    </row>
    <row r="75" spans="1:5">
      <c r="A75" s="5" t="s">
        <v>689</v>
      </c>
      <c r="B75" s="5">
        <v>41</v>
      </c>
      <c r="C75" s="5">
        <v>11</v>
      </c>
      <c r="D75" s="5">
        <v>7</v>
      </c>
      <c r="E75" s="5">
        <v>59</v>
      </c>
    </row>
    <row r="76" spans="1:5">
      <c r="A76" s="5" t="s">
        <v>690</v>
      </c>
    </row>
    <row r="77" spans="1:5">
      <c r="A77" s="5" t="s">
        <v>685</v>
      </c>
      <c r="B77" s="5">
        <v>41</v>
      </c>
      <c r="C77" s="5">
        <v>11</v>
      </c>
      <c r="D77" s="5">
        <v>7</v>
      </c>
      <c r="E77" s="5">
        <v>59</v>
      </c>
    </row>
    <row r="78" spans="1:5">
      <c r="A78" s="5" t="s">
        <v>686</v>
      </c>
      <c r="B78" s="5">
        <v>6</v>
      </c>
      <c r="C78" s="5">
        <v>1</v>
      </c>
      <c r="D78" s="5">
        <v>214</v>
      </c>
      <c r="E78" s="5">
        <v>221</v>
      </c>
    </row>
    <row r="79" spans="1:5">
      <c r="A79" s="5" t="s">
        <v>687</v>
      </c>
      <c r="B79" s="5">
        <v>-24</v>
      </c>
      <c r="C79" s="5">
        <v>-8</v>
      </c>
      <c r="D79" s="5">
        <v>-205</v>
      </c>
      <c r="E79" s="5">
        <v>-237</v>
      </c>
    </row>
    <row r="80" spans="1:5">
      <c r="A80" s="5" t="s">
        <v>688</v>
      </c>
      <c r="B80" s="5">
        <v>0</v>
      </c>
      <c r="C80" s="5">
        <v>0</v>
      </c>
      <c r="D80" s="5">
        <v>-1</v>
      </c>
      <c r="E80" s="5">
        <v>-1</v>
      </c>
    </row>
    <row r="81" spans="1:7">
      <c r="A81" s="5" t="s">
        <v>691</v>
      </c>
      <c r="B81" s="5">
        <v>23</v>
      </c>
      <c r="C81" s="5">
        <v>4</v>
      </c>
      <c r="D81" s="5">
        <v>15</v>
      </c>
      <c r="E81" s="5">
        <v>42</v>
      </c>
    </row>
    <row r="82" spans="1:7">
      <c r="A82" s="5" t="s">
        <v>664</v>
      </c>
    </row>
    <row r="83" spans="1:7">
      <c r="A83" s="5" t="s">
        <v>685</v>
      </c>
      <c r="B83" s="5">
        <v>23</v>
      </c>
      <c r="C83" s="5">
        <v>4</v>
      </c>
      <c r="D83" s="5">
        <v>15</v>
      </c>
      <c r="E83" s="5">
        <v>42</v>
      </c>
    </row>
    <row r="84" spans="1:7">
      <c r="A84" s="5" t="s">
        <v>686</v>
      </c>
      <c r="B84" s="5">
        <v>32</v>
      </c>
      <c r="C84" s="5">
        <v>1</v>
      </c>
      <c r="D84" s="5">
        <v>193</v>
      </c>
      <c r="E84" s="5">
        <v>226</v>
      </c>
    </row>
    <row r="85" spans="1:7">
      <c r="A85" s="5" t="s">
        <v>687</v>
      </c>
      <c r="B85" s="5">
        <v>-21</v>
      </c>
      <c r="C85" s="5">
        <v>-1</v>
      </c>
      <c r="D85" s="5">
        <v>-197</v>
      </c>
      <c r="E85" s="5">
        <v>-219</v>
      </c>
    </row>
    <row r="86" spans="1:7">
      <c r="A86" s="5" t="s">
        <v>688</v>
      </c>
      <c r="B86" s="5">
        <v>0</v>
      </c>
      <c r="C86" s="5">
        <v>0</v>
      </c>
      <c r="D86" s="5">
        <v>4</v>
      </c>
      <c r="E86" s="5">
        <v>4</v>
      </c>
    </row>
    <row r="87" spans="1:7">
      <c r="A87" s="5" t="s">
        <v>692</v>
      </c>
      <c r="B87" s="5">
        <v>34</v>
      </c>
      <c r="C87" s="5">
        <v>4</v>
      </c>
      <c r="D87" s="5">
        <v>15</v>
      </c>
      <c r="E87" s="5">
        <v>53</v>
      </c>
    </row>
    <row r="89" spans="1:7">
      <c r="A89" s="4" t="s">
        <v>693</v>
      </c>
    </row>
    <row r="90" spans="1:7">
      <c r="A90" s="12" t="s">
        <v>694</v>
      </c>
      <c r="B90" s="12" t="s">
        <v>695</v>
      </c>
      <c r="C90" s="12" t="s">
        <v>696</v>
      </c>
      <c r="D90" s="12" t="s">
        <v>697</v>
      </c>
      <c r="E90" s="12" t="s">
        <v>698</v>
      </c>
      <c r="F90" s="12" t="s">
        <v>699</v>
      </c>
      <c r="G90" s="12" t="s">
        <v>700</v>
      </c>
    </row>
    <row r="91" spans="1:7">
      <c r="A91" s="5" t="s">
        <v>701</v>
      </c>
      <c r="B91" s="5">
        <v>48</v>
      </c>
      <c r="C91" s="5" t="s">
        <v>702</v>
      </c>
      <c r="D91" s="5">
        <v>2048</v>
      </c>
      <c r="E91" s="5">
        <v>48</v>
      </c>
      <c r="F91" s="5" t="s">
        <v>702</v>
      </c>
      <c r="G91" s="5">
        <v>1973</v>
      </c>
    </row>
    <row r="92" spans="1:7">
      <c r="A92" s="5" t="s">
        <v>703</v>
      </c>
      <c r="B92" s="5">
        <v>35</v>
      </c>
      <c r="C92" s="5">
        <v>1915</v>
      </c>
      <c r="D92" s="5">
        <v>657</v>
      </c>
      <c r="E92" s="5">
        <v>35</v>
      </c>
      <c r="F92" s="5">
        <v>1849</v>
      </c>
      <c r="G92" s="5">
        <v>590</v>
      </c>
    </row>
    <row r="94" spans="1:7">
      <c r="A94" s="4" t="s">
        <v>704</v>
      </c>
    </row>
    <row r="95" spans="1:7">
      <c r="A95" s="12" t="s">
        <v>680</v>
      </c>
      <c r="B95" s="12" t="s">
        <v>664</v>
      </c>
      <c r="C95" s="12" t="s">
        <v>690</v>
      </c>
    </row>
    <row r="96" spans="1:7">
      <c r="A96" s="5" t="s">
        <v>705</v>
      </c>
      <c r="B96" s="5">
        <v>579</v>
      </c>
      <c r="C96" s="5">
        <v>538</v>
      </c>
    </row>
    <row r="97" spans="1:3">
      <c r="A97" s="5" t="s">
        <v>706</v>
      </c>
      <c r="B97" s="5">
        <v>146</v>
      </c>
      <c r="C97" s="5">
        <v>113</v>
      </c>
    </row>
    <row r="98" spans="1:3">
      <c r="A98" s="5" t="s">
        <v>707</v>
      </c>
      <c r="B98" s="5">
        <v>89</v>
      </c>
      <c r="C98" s="5">
        <v>157</v>
      </c>
    </row>
    <row r="99" spans="1:3">
      <c r="A99" s="5" t="s">
        <v>708</v>
      </c>
      <c r="B99" s="5">
        <v>15</v>
      </c>
      <c r="C99" s="5">
        <v>157</v>
      </c>
    </row>
  </sheetData>
  <phoneticPr fontId="33"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32C88-7C1A-F64F-A0BF-ADD45E882DE7}">
  <sheetPr>
    <tabColor rgb="FF548235"/>
  </sheetPr>
  <dimension ref="A1:H122"/>
  <sheetViews>
    <sheetView showGridLines="0" workbookViewId="0">
      <pane ySplit="3" topLeftCell="A4" activePane="bottomLeft" state="frozen"/>
      <selection pane="bottomLeft"/>
    </sheetView>
  </sheetViews>
  <sheetFormatPr baseColWidth="10" defaultColWidth="8.83203125" defaultRowHeight="14"/>
  <cols>
    <col min="1" max="2" width="16" customWidth="1"/>
    <col min="3" max="3" width="52" customWidth="1"/>
    <col min="4" max="4" width="150" customWidth="1"/>
    <col min="5" max="5" width="8" customWidth="1"/>
  </cols>
  <sheetData>
    <row r="1" spans="1:8" ht="28" customHeight="1">
      <c r="A1" s="2" t="s">
        <v>709</v>
      </c>
      <c r="B1" s="1"/>
      <c r="C1" s="1"/>
      <c r="D1" s="1"/>
      <c r="E1" s="1"/>
      <c r="F1" s="1"/>
      <c r="G1" s="1"/>
      <c r="H1" s="1"/>
    </row>
    <row r="2" spans="1:8" ht="16" customHeight="1">
      <c r="A2" s="3" t="s">
        <v>1</v>
      </c>
    </row>
    <row r="4" spans="1:8">
      <c r="A4" s="4" t="s">
        <v>710</v>
      </c>
    </row>
    <row r="5" spans="1:8">
      <c r="A5" s="4" t="s">
        <v>711</v>
      </c>
    </row>
    <row r="7" spans="1:8">
      <c r="A7" s="12" t="s">
        <v>712</v>
      </c>
      <c r="B7" s="12" t="s">
        <v>713</v>
      </c>
      <c r="C7" s="12" t="s">
        <v>714</v>
      </c>
      <c r="D7" s="12" t="s">
        <v>715</v>
      </c>
      <c r="E7" s="12" t="s">
        <v>680</v>
      </c>
    </row>
    <row r="8" spans="1:8">
      <c r="A8" s="5" t="s">
        <v>73</v>
      </c>
      <c r="B8" s="5">
        <v>2017</v>
      </c>
      <c r="C8" s="5" t="s">
        <v>716</v>
      </c>
      <c r="D8" s="5" t="s">
        <v>717</v>
      </c>
      <c r="E8" s="5">
        <v>836</v>
      </c>
    </row>
    <row r="9" spans="1:8">
      <c r="A9" s="5" t="s">
        <v>73</v>
      </c>
      <c r="B9" s="5">
        <v>2017</v>
      </c>
      <c r="C9" s="5" t="s">
        <v>718</v>
      </c>
      <c r="D9" s="5" t="s">
        <v>719</v>
      </c>
      <c r="E9" s="5">
        <v>845</v>
      </c>
    </row>
    <row r="10" spans="1:8">
      <c r="A10" s="5" t="s">
        <v>73</v>
      </c>
      <c r="B10" s="5">
        <v>2017</v>
      </c>
      <c r="C10" s="5" t="s">
        <v>720</v>
      </c>
      <c r="D10" s="5" t="s">
        <v>721</v>
      </c>
      <c r="E10" s="5">
        <v>848</v>
      </c>
    </row>
    <row r="11" spans="1:8">
      <c r="A11" s="5" t="s">
        <v>73</v>
      </c>
      <c r="B11" s="5">
        <v>2017</v>
      </c>
      <c r="C11" s="5" t="s">
        <v>603</v>
      </c>
      <c r="D11" s="5" t="s">
        <v>722</v>
      </c>
      <c r="E11" s="5">
        <v>854</v>
      </c>
    </row>
    <row r="12" spans="1:8">
      <c r="A12" s="5" t="s">
        <v>73</v>
      </c>
      <c r="B12" s="5">
        <v>2017</v>
      </c>
      <c r="C12" s="5" t="s">
        <v>723</v>
      </c>
      <c r="D12" s="5" t="s">
        <v>724</v>
      </c>
      <c r="E12" s="5">
        <v>857</v>
      </c>
    </row>
    <row r="13" spans="1:8">
      <c r="A13" s="5" t="s">
        <v>74</v>
      </c>
      <c r="B13" s="5">
        <v>2018</v>
      </c>
      <c r="C13" s="5" t="s">
        <v>716</v>
      </c>
      <c r="D13" s="5" t="s">
        <v>725</v>
      </c>
      <c r="E13" s="5">
        <v>842</v>
      </c>
    </row>
    <row r="14" spans="1:8">
      <c r="A14" s="5" t="s">
        <v>74</v>
      </c>
      <c r="B14" s="5">
        <v>2018</v>
      </c>
      <c r="C14" s="5" t="s">
        <v>718</v>
      </c>
      <c r="D14" s="5" t="s">
        <v>726</v>
      </c>
      <c r="E14" s="5">
        <v>854</v>
      </c>
    </row>
    <row r="15" spans="1:8">
      <c r="A15" s="5" t="s">
        <v>74</v>
      </c>
      <c r="B15" s="5">
        <v>2018</v>
      </c>
      <c r="C15" s="5" t="s">
        <v>720</v>
      </c>
      <c r="D15" s="5" t="s">
        <v>727</v>
      </c>
      <c r="E15" s="5">
        <v>857</v>
      </c>
    </row>
    <row r="16" spans="1:8">
      <c r="A16" s="5" t="s">
        <v>74</v>
      </c>
      <c r="B16" s="5">
        <v>2018</v>
      </c>
      <c r="C16" s="5" t="s">
        <v>603</v>
      </c>
      <c r="D16" s="5" t="s">
        <v>728</v>
      </c>
      <c r="E16" s="5">
        <v>863</v>
      </c>
    </row>
    <row r="17" spans="1:5">
      <c r="A17" s="5" t="s">
        <v>74</v>
      </c>
      <c r="B17" s="5">
        <v>2018</v>
      </c>
      <c r="C17" s="5" t="s">
        <v>723</v>
      </c>
      <c r="D17" s="5" t="s">
        <v>729</v>
      </c>
      <c r="E17" s="5">
        <v>866</v>
      </c>
    </row>
    <row r="18" spans="1:5">
      <c r="A18" s="5" t="s">
        <v>75</v>
      </c>
      <c r="B18" s="5">
        <v>2019</v>
      </c>
      <c r="C18" s="5" t="s">
        <v>716</v>
      </c>
      <c r="D18" s="5" t="s">
        <v>730</v>
      </c>
      <c r="E18" s="5">
        <v>796</v>
      </c>
    </row>
    <row r="19" spans="1:5">
      <c r="A19" s="5" t="s">
        <v>75</v>
      </c>
      <c r="B19" s="5">
        <v>2019</v>
      </c>
      <c r="C19" s="5" t="s">
        <v>718</v>
      </c>
      <c r="D19" s="5" t="s">
        <v>731</v>
      </c>
      <c r="E19" s="5">
        <v>805</v>
      </c>
    </row>
    <row r="20" spans="1:5">
      <c r="A20" s="5" t="s">
        <v>75</v>
      </c>
      <c r="B20" s="5">
        <v>2019</v>
      </c>
      <c r="C20" s="5" t="s">
        <v>720</v>
      </c>
      <c r="D20" s="5" t="s">
        <v>732</v>
      </c>
      <c r="E20" s="5">
        <v>810</v>
      </c>
    </row>
    <row r="21" spans="1:5">
      <c r="A21" s="5" t="s">
        <v>75</v>
      </c>
      <c r="B21" s="5">
        <v>2019</v>
      </c>
      <c r="C21" s="5" t="s">
        <v>603</v>
      </c>
      <c r="D21" s="5" t="s">
        <v>733</v>
      </c>
      <c r="E21" s="5">
        <v>816</v>
      </c>
    </row>
    <row r="22" spans="1:5">
      <c r="A22" s="5" t="s">
        <v>75</v>
      </c>
      <c r="B22" s="5">
        <v>2019</v>
      </c>
      <c r="C22" s="5" t="s">
        <v>723</v>
      </c>
      <c r="D22" s="5" t="s">
        <v>734</v>
      </c>
      <c r="E22" s="5">
        <v>819</v>
      </c>
    </row>
    <row r="23" spans="1:5">
      <c r="A23" s="5" t="s">
        <v>76</v>
      </c>
      <c r="B23" s="5">
        <v>2020</v>
      </c>
      <c r="C23" s="5" t="s">
        <v>716</v>
      </c>
      <c r="D23" s="5" t="s">
        <v>735</v>
      </c>
      <c r="E23" s="5">
        <v>359</v>
      </c>
    </row>
    <row r="24" spans="1:5">
      <c r="A24" s="5" t="s">
        <v>76</v>
      </c>
      <c r="B24" s="5">
        <v>2020</v>
      </c>
      <c r="C24" s="5" t="s">
        <v>718</v>
      </c>
      <c r="D24" s="5" t="s">
        <v>736</v>
      </c>
      <c r="E24" s="5">
        <v>362</v>
      </c>
    </row>
    <row r="25" spans="1:5">
      <c r="A25" s="5" t="s">
        <v>76</v>
      </c>
      <c r="B25" s="5">
        <v>2020</v>
      </c>
      <c r="C25" s="5" t="s">
        <v>720</v>
      </c>
      <c r="D25" s="5" t="s">
        <v>737</v>
      </c>
      <c r="E25" s="5">
        <v>365</v>
      </c>
    </row>
    <row r="26" spans="1:5">
      <c r="A26" s="5" t="s">
        <v>76</v>
      </c>
      <c r="B26" s="5">
        <v>2020</v>
      </c>
      <c r="C26" s="5" t="s">
        <v>603</v>
      </c>
      <c r="D26" s="5" t="s">
        <v>738</v>
      </c>
      <c r="E26" s="5">
        <v>371</v>
      </c>
    </row>
    <row r="27" spans="1:5">
      <c r="A27" s="5" t="s">
        <v>76</v>
      </c>
      <c r="B27" s="5">
        <v>2020</v>
      </c>
      <c r="C27" s="5" t="s">
        <v>723</v>
      </c>
      <c r="D27" s="5" t="s">
        <v>739</v>
      </c>
      <c r="E27" s="5">
        <v>374</v>
      </c>
    </row>
    <row r="28" spans="1:5">
      <c r="A28" s="5" t="s">
        <v>77</v>
      </c>
      <c r="B28" s="5">
        <v>2021</v>
      </c>
      <c r="C28" s="5" t="s">
        <v>716</v>
      </c>
      <c r="D28" s="5" t="s">
        <v>740</v>
      </c>
      <c r="E28" s="5">
        <v>378</v>
      </c>
    </row>
    <row r="29" spans="1:5">
      <c r="A29" s="5" t="s">
        <v>77</v>
      </c>
      <c r="B29" s="5">
        <v>2021</v>
      </c>
      <c r="C29" s="5" t="s">
        <v>599</v>
      </c>
      <c r="D29" s="5" t="s">
        <v>741</v>
      </c>
      <c r="E29" s="5">
        <v>380</v>
      </c>
    </row>
    <row r="30" spans="1:5">
      <c r="A30" s="5" t="s">
        <v>77</v>
      </c>
      <c r="B30" s="5">
        <v>2021</v>
      </c>
      <c r="C30" s="5" t="s">
        <v>718</v>
      </c>
      <c r="D30" s="5" t="s">
        <v>742</v>
      </c>
      <c r="E30" s="5">
        <v>382</v>
      </c>
    </row>
    <row r="31" spans="1:5">
      <c r="A31" s="5" t="s">
        <v>77</v>
      </c>
      <c r="B31" s="5">
        <v>2021</v>
      </c>
      <c r="C31" s="5" t="s">
        <v>720</v>
      </c>
      <c r="D31" s="5" t="s">
        <v>743</v>
      </c>
      <c r="E31" s="5">
        <v>384</v>
      </c>
    </row>
    <row r="32" spans="1:5">
      <c r="A32" s="5" t="s">
        <v>77</v>
      </c>
      <c r="B32" s="5">
        <v>2021</v>
      </c>
      <c r="C32" s="5" t="s">
        <v>603</v>
      </c>
      <c r="D32" s="5" t="s">
        <v>744</v>
      </c>
      <c r="E32" s="5">
        <v>386</v>
      </c>
    </row>
    <row r="33" spans="1:5">
      <c r="A33" s="5" t="s">
        <v>77</v>
      </c>
      <c r="B33" s="5">
        <v>2021</v>
      </c>
      <c r="C33" s="5" t="s">
        <v>723</v>
      </c>
      <c r="D33" s="5" t="s">
        <v>745</v>
      </c>
      <c r="E33" s="5">
        <v>388</v>
      </c>
    </row>
    <row r="34" spans="1:5">
      <c r="A34" s="5" t="s">
        <v>77</v>
      </c>
      <c r="B34" s="5">
        <v>2021</v>
      </c>
      <c r="C34" s="5" t="s">
        <v>746</v>
      </c>
      <c r="D34" s="5" t="s">
        <v>747</v>
      </c>
      <c r="E34" s="5">
        <v>392</v>
      </c>
    </row>
    <row r="35" spans="1:5">
      <c r="A35" s="5" t="s">
        <v>78</v>
      </c>
      <c r="B35" s="5">
        <v>2022</v>
      </c>
      <c r="C35" s="5" t="s">
        <v>716</v>
      </c>
      <c r="D35" s="5" t="s">
        <v>748</v>
      </c>
      <c r="E35" s="5">
        <v>379</v>
      </c>
    </row>
    <row r="36" spans="1:5">
      <c r="A36" s="5" t="s">
        <v>78</v>
      </c>
      <c r="B36" s="5">
        <v>2022</v>
      </c>
      <c r="C36" s="5" t="s">
        <v>718</v>
      </c>
      <c r="D36" s="5" t="s">
        <v>749</v>
      </c>
      <c r="E36" s="5">
        <v>381</v>
      </c>
    </row>
    <row r="37" spans="1:5">
      <c r="A37" s="5" t="s">
        <v>78</v>
      </c>
      <c r="B37" s="5">
        <v>2022</v>
      </c>
      <c r="C37" s="5" t="s">
        <v>599</v>
      </c>
      <c r="D37" s="5" t="s">
        <v>741</v>
      </c>
      <c r="E37" s="5">
        <v>383</v>
      </c>
    </row>
    <row r="38" spans="1:5">
      <c r="A38" s="5" t="s">
        <v>78</v>
      </c>
      <c r="B38" s="5">
        <v>2022</v>
      </c>
      <c r="C38" s="5" t="s">
        <v>720</v>
      </c>
      <c r="D38" s="5" t="s">
        <v>750</v>
      </c>
      <c r="E38" s="5">
        <v>385</v>
      </c>
    </row>
    <row r="39" spans="1:5">
      <c r="A39" s="5" t="s">
        <v>78</v>
      </c>
      <c r="B39" s="5">
        <v>2022</v>
      </c>
      <c r="C39" s="5" t="s">
        <v>603</v>
      </c>
      <c r="D39" s="5" t="s">
        <v>751</v>
      </c>
      <c r="E39" s="5">
        <v>387</v>
      </c>
    </row>
    <row r="40" spans="1:5">
      <c r="A40" s="5" t="s">
        <v>78</v>
      </c>
      <c r="B40" s="5">
        <v>2022</v>
      </c>
      <c r="C40" s="5" t="s">
        <v>723</v>
      </c>
      <c r="D40" s="5" t="s">
        <v>752</v>
      </c>
      <c r="E40" s="5">
        <v>389</v>
      </c>
    </row>
    <row r="41" spans="1:5">
      <c r="A41" s="5" t="s">
        <v>78</v>
      </c>
      <c r="B41" s="5">
        <v>2022</v>
      </c>
      <c r="C41" s="5" t="s">
        <v>746</v>
      </c>
      <c r="D41" s="5" t="s">
        <v>747</v>
      </c>
      <c r="E41" s="5">
        <v>391</v>
      </c>
    </row>
    <row r="42" spans="1:5">
      <c r="A42" s="5" t="s">
        <v>79</v>
      </c>
      <c r="B42" s="5">
        <v>2023</v>
      </c>
      <c r="C42" s="5" t="s">
        <v>716</v>
      </c>
      <c r="D42" s="5" t="s">
        <v>753</v>
      </c>
      <c r="E42" s="5">
        <v>383</v>
      </c>
    </row>
    <row r="43" spans="1:5">
      <c r="A43" s="5" t="s">
        <v>79</v>
      </c>
      <c r="B43" s="5">
        <v>2023</v>
      </c>
      <c r="C43" s="5" t="s">
        <v>718</v>
      </c>
      <c r="D43" s="5" t="s">
        <v>754</v>
      </c>
      <c r="E43" s="5">
        <v>385</v>
      </c>
    </row>
    <row r="44" spans="1:5">
      <c r="A44" s="5" t="s">
        <v>79</v>
      </c>
      <c r="B44" s="5">
        <v>2023</v>
      </c>
      <c r="C44" s="5" t="s">
        <v>599</v>
      </c>
      <c r="D44" s="5" t="s">
        <v>755</v>
      </c>
      <c r="E44" s="5">
        <v>387</v>
      </c>
    </row>
    <row r="45" spans="1:5">
      <c r="A45" s="5" t="s">
        <v>79</v>
      </c>
      <c r="B45" s="5">
        <v>2023</v>
      </c>
      <c r="C45" s="5" t="s">
        <v>720</v>
      </c>
      <c r="D45" s="5" t="s">
        <v>756</v>
      </c>
      <c r="E45" s="5">
        <v>389</v>
      </c>
    </row>
    <row r="46" spans="1:5">
      <c r="A46" s="5" t="s">
        <v>79</v>
      </c>
      <c r="B46" s="5">
        <v>2023</v>
      </c>
      <c r="C46" s="5" t="s">
        <v>603</v>
      </c>
      <c r="D46" s="5" t="s">
        <v>757</v>
      </c>
      <c r="E46" s="5">
        <v>391</v>
      </c>
    </row>
    <row r="47" spans="1:5">
      <c r="A47" s="5" t="s">
        <v>79</v>
      </c>
      <c r="B47" s="5">
        <v>2023</v>
      </c>
      <c r="C47" s="5" t="s">
        <v>723</v>
      </c>
      <c r="D47" s="5" t="s">
        <v>758</v>
      </c>
      <c r="E47" s="5">
        <v>393</v>
      </c>
    </row>
    <row r="48" spans="1:5">
      <c r="A48" s="5" t="s">
        <v>79</v>
      </c>
      <c r="B48" s="5">
        <v>2023</v>
      </c>
      <c r="C48" s="5" t="s">
        <v>746</v>
      </c>
      <c r="D48" s="5" t="s">
        <v>747</v>
      </c>
      <c r="E48" s="5">
        <v>395</v>
      </c>
    </row>
    <row r="49" spans="1:5">
      <c r="A49" s="5" t="s">
        <v>80</v>
      </c>
      <c r="B49" s="5">
        <v>2024</v>
      </c>
      <c r="C49" s="5" t="s">
        <v>716</v>
      </c>
      <c r="D49" s="5" t="s">
        <v>759</v>
      </c>
      <c r="E49" s="5">
        <v>399</v>
      </c>
    </row>
    <row r="50" spans="1:5">
      <c r="A50" s="5" t="s">
        <v>80</v>
      </c>
      <c r="B50" s="5">
        <v>2024</v>
      </c>
      <c r="C50" s="5" t="s">
        <v>718</v>
      </c>
      <c r="D50" s="5" t="s">
        <v>760</v>
      </c>
      <c r="E50" s="5">
        <v>401</v>
      </c>
    </row>
    <row r="51" spans="1:5">
      <c r="A51" s="5" t="s">
        <v>80</v>
      </c>
      <c r="B51" s="5">
        <v>2024</v>
      </c>
      <c r="C51" s="5" t="s">
        <v>599</v>
      </c>
      <c r="D51" s="5" t="s">
        <v>761</v>
      </c>
      <c r="E51" s="5">
        <v>403</v>
      </c>
    </row>
    <row r="52" spans="1:5">
      <c r="A52" s="5" t="s">
        <v>80</v>
      </c>
      <c r="B52" s="5">
        <v>2024</v>
      </c>
      <c r="C52" s="5" t="s">
        <v>720</v>
      </c>
      <c r="D52" s="5" t="s">
        <v>762</v>
      </c>
      <c r="E52" s="5">
        <v>405</v>
      </c>
    </row>
    <row r="53" spans="1:5">
      <c r="A53" s="5" t="s">
        <v>80</v>
      </c>
      <c r="B53" s="5">
        <v>2024</v>
      </c>
      <c r="C53" s="5" t="s">
        <v>603</v>
      </c>
      <c r="D53" s="5" t="s">
        <v>763</v>
      </c>
      <c r="E53" s="5">
        <v>407</v>
      </c>
    </row>
    <row r="54" spans="1:5">
      <c r="A54" s="5" t="s">
        <v>80</v>
      </c>
      <c r="B54" s="5">
        <v>2024</v>
      </c>
      <c r="C54" s="5" t="s">
        <v>723</v>
      </c>
      <c r="D54" s="5" t="s">
        <v>764</v>
      </c>
      <c r="E54" s="5">
        <v>409</v>
      </c>
    </row>
    <row r="55" spans="1:5">
      <c r="A55" s="5" t="s">
        <v>80</v>
      </c>
      <c r="B55" s="5">
        <v>2024</v>
      </c>
      <c r="C55" s="5" t="s">
        <v>746</v>
      </c>
      <c r="D55" s="5" t="s">
        <v>765</v>
      </c>
      <c r="E55" s="5">
        <v>411</v>
      </c>
    </row>
    <row r="56" spans="1:5">
      <c r="A56" s="5" t="s">
        <v>81</v>
      </c>
      <c r="B56" s="5">
        <v>2025</v>
      </c>
      <c r="C56" s="5" t="s">
        <v>716</v>
      </c>
      <c r="D56" s="5" t="s">
        <v>766</v>
      </c>
      <c r="E56" s="5">
        <v>374</v>
      </c>
    </row>
    <row r="57" spans="1:5">
      <c r="A57" s="5" t="s">
        <v>81</v>
      </c>
      <c r="B57" s="5">
        <v>2025</v>
      </c>
      <c r="C57" s="5" t="s">
        <v>718</v>
      </c>
      <c r="D57" s="5" t="s">
        <v>767</v>
      </c>
      <c r="E57" s="5">
        <v>376</v>
      </c>
    </row>
    <row r="58" spans="1:5">
      <c r="A58" s="5" t="s">
        <v>81</v>
      </c>
      <c r="B58" s="5">
        <v>2025</v>
      </c>
      <c r="C58" s="5" t="s">
        <v>599</v>
      </c>
      <c r="D58" s="5" t="s">
        <v>768</v>
      </c>
      <c r="E58" s="5">
        <v>378</v>
      </c>
    </row>
    <row r="59" spans="1:5">
      <c r="A59" s="5" t="s">
        <v>81</v>
      </c>
      <c r="B59" s="5">
        <v>2025</v>
      </c>
      <c r="C59" s="5" t="s">
        <v>720</v>
      </c>
      <c r="D59" s="5" t="s">
        <v>769</v>
      </c>
      <c r="E59" s="5">
        <v>380</v>
      </c>
    </row>
    <row r="60" spans="1:5">
      <c r="A60" s="5" t="s">
        <v>81</v>
      </c>
      <c r="B60" s="5">
        <v>2025</v>
      </c>
      <c r="C60" s="5" t="s">
        <v>603</v>
      </c>
      <c r="D60" s="5" t="s">
        <v>770</v>
      </c>
      <c r="E60" s="5">
        <v>382</v>
      </c>
    </row>
    <row r="61" spans="1:5">
      <c r="A61" s="5" t="s">
        <v>81</v>
      </c>
      <c r="B61" s="5">
        <v>2025</v>
      </c>
      <c r="C61" s="5" t="s">
        <v>723</v>
      </c>
      <c r="D61" s="5" t="s">
        <v>771</v>
      </c>
      <c r="E61" s="5">
        <v>384</v>
      </c>
    </row>
    <row r="62" spans="1:5">
      <c r="A62" s="5" t="s">
        <v>81</v>
      </c>
      <c r="B62" s="5">
        <v>2025</v>
      </c>
      <c r="C62" s="5" t="s">
        <v>746</v>
      </c>
      <c r="D62" s="5" t="s">
        <v>772</v>
      </c>
      <c r="E62" s="5">
        <v>386</v>
      </c>
    </row>
    <row r="63" spans="1:5">
      <c r="A63" s="5" t="s">
        <v>82</v>
      </c>
      <c r="B63" s="5">
        <v>2026</v>
      </c>
      <c r="C63" s="5" t="s">
        <v>716</v>
      </c>
      <c r="D63" s="5" t="s">
        <v>773</v>
      </c>
      <c r="E63" s="5">
        <v>366</v>
      </c>
    </row>
    <row r="64" spans="1:5">
      <c r="A64" s="5" t="s">
        <v>82</v>
      </c>
      <c r="B64" s="5">
        <v>2026</v>
      </c>
      <c r="C64" s="5" t="s">
        <v>718</v>
      </c>
      <c r="D64" s="5" t="s">
        <v>774</v>
      </c>
      <c r="E64" s="5">
        <v>368</v>
      </c>
    </row>
    <row r="65" spans="1:5">
      <c r="A65" s="5" t="s">
        <v>82</v>
      </c>
      <c r="B65" s="5">
        <v>2026</v>
      </c>
      <c r="C65" s="5" t="s">
        <v>599</v>
      </c>
      <c r="D65" s="5" t="s">
        <v>775</v>
      </c>
      <c r="E65" s="5">
        <v>370</v>
      </c>
    </row>
    <row r="66" spans="1:5">
      <c r="A66" s="5" t="s">
        <v>82</v>
      </c>
      <c r="B66" s="5">
        <v>2026</v>
      </c>
      <c r="C66" s="5" t="s">
        <v>720</v>
      </c>
      <c r="D66" s="5" t="s">
        <v>776</v>
      </c>
      <c r="E66" s="5">
        <v>372</v>
      </c>
    </row>
    <row r="67" spans="1:5">
      <c r="A67" s="5" t="s">
        <v>82</v>
      </c>
      <c r="B67" s="5">
        <v>2026</v>
      </c>
      <c r="C67" s="5" t="s">
        <v>603</v>
      </c>
      <c r="D67" s="5" t="s">
        <v>777</v>
      </c>
      <c r="E67" s="5">
        <v>374</v>
      </c>
    </row>
    <row r="68" spans="1:5">
      <c r="A68" s="5" t="s">
        <v>82</v>
      </c>
      <c r="B68" s="5">
        <v>2026</v>
      </c>
      <c r="C68" s="5" t="s">
        <v>723</v>
      </c>
      <c r="D68" s="5" t="s">
        <v>778</v>
      </c>
      <c r="E68" s="5">
        <v>376</v>
      </c>
    </row>
    <row r="69" spans="1:5">
      <c r="A69" s="5" t="s">
        <v>82</v>
      </c>
      <c r="B69" s="5">
        <v>2026</v>
      </c>
      <c r="C69" s="5" t="s">
        <v>746</v>
      </c>
      <c r="D69" s="5" t="s">
        <v>779</v>
      </c>
      <c r="E69" s="5">
        <v>378</v>
      </c>
    </row>
    <row r="71" spans="1:5">
      <c r="A71" s="4" t="s">
        <v>780</v>
      </c>
    </row>
    <row r="72" spans="1:5">
      <c r="A72" s="12" t="s">
        <v>712</v>
      </c>
      <c r="B72" s="12" t="s">
        <v>781</v>
      </c>
      <c r="C72" s="12"/>
      <c r="D72" s="12" t="s">
        <v>715</v>
      </c>
      <c r="E72" s="12" t="s">
        <v>680</v>
      </c>
    </row>
    <row r="73" spans="1:5">
      <c r="A73" s="5" t="s">
        <v>78</v>
      </c>
      <c r="B73" s="5" t="s">
        <v>782</v>
      </c>
      <c r="C73" s="5"/>
      <c r="D73" s="5" t="s">
        <v>783</v>
      </c>
      <c r="E73" s="5">
        <v>321</v>
      </c>
    </row>
    <row r="74" spans="1:5">
      <c r="A74" s="5" t="s">
        <v>78</v>
      </c>
      <c r="B74" s="5" t="s">
        <v>784</v>
      </c>
      <c r="C74" s="5"/>
      <c r="D74" s="5" t="s">
        <v>785</v>
      </c>
      <c r="E74" s="5">
        <v>343</v>
      </c>
    </row>
    <row r="75" spans="1:5">
      <c r="A75" s="5" t="s">
        <v>78</v>
      </c>
      <c r="B75" s="5" t="s">
        <v>784</v>
      </c>
      <c r="C75" s="5"/>
      <c r="D75" s="5" t="s">
        <v>786</v>
      </c>
      <c r="E75" s="5">
        <v>347</v>
      </c>
    </row>
    <row r="76" spans="1:5">
      <c r="A76" s="5" t="s">
        <v>78</v>
      </c>
      <c r="B76" s="5" t="s">
        <v>782</v>
      </c>
      <c r="C76" s="5"/>
      <c r="D76" s="5" t="s">
        <v>787</v>
      </c>
      <c r="E76" s="5">
        <v>365</v>
      </c>
    </row>
    <row r="77" spans="1:5">
      <c r="A77" s="5" t="s">
        <v>78</v>
      </c>
      <c r="B77" s="5" t="s">
        <v>782</v>
      </c>
      <c r="C77" s="5"/>
      <c r="D77" s="5" t="s">
        <v>788</v>
      </c>
      <c r="E77" s="5">
        <v>365</v>
      </c>
    </row>
    <row r="78" spans="1:5">
      <c r="A78" s="5" t="s">
        <v>78</v>
      </c>
      <c r="B78" s="5" t="s">
        <v>789</v>
      </c>
      <c r="C78" s="5"/>
      <c r="D78" s="5" t="s">
        <v>790</v>
      </c>
      <c r="E78" s="5">
        <v>367</v>
      </c>
    </row>
    <row r="79" spans="1:5">
      <c r="A79" s="5" t="s">
        <v>78</v>
      </c>
      <c r="B79" s="5" t="s">
        <v>791</v>
      </c>
      <c r="C79" s="5"/>
      <c r="D79" s="5" t="s">
        <v>792</v>
      </c>
      <c r="E79" s="5">
        <v>369</v>
      </c>
    </row>
    <row r="80" spans="1:5">
      <c r="A80" s="5" t="s">
        <v>78</v>
      </c>
      <c r="B80" s="5" t="s">
        <v>784</v>
      </c>
      <c r="C80" s="5"/>
      <c r="D80" s="5" t="s">
        <v>793</v>
      </c>
      <c r="E80" s="5">
        <v>389</v>
      </c>
    </row>
    <row r="81" spans="1:5">
      <c r="A81" s="5" t="s">
        <v>79</v>
      </c>
      <c r="B81" s="5" t="s">
        <v>784</v>
      </c>
      <c r="C81" s="5"/>
      <c r="D81" s="5" t="s">
        <v>794</v>
      </c>
      <c r="E81" s="5">
        <v>333</v>
      </c>
    </row>
    <row r="82" spans="1:5">
      <c r="A82" s="5" t="s">
        <v>79</v>
      </c>
      <c r="B82" s="5" t="s">
        <v>784</v>
      </c>
      <c r="C82" s="5"/>
      <c r="D82" s="5" t="s">
        <v>795</v>
      </c>
      <c r="E82" s="5">
        <v>337</v>
      </c>
    </row>
    <row r="83" spans="1:5">
      <c r="A83" s="5" t="s">
        <v>79</v>
      </c>
      <c r="B83" s="5" t="s">
        <v>782</v>
      </c>
      <c r="C83" s="5"/>
      <c r="D83" s="5" t="s">
        <v>796</v>
      </c>
      <c r="E83" s="5">
        <v>355</v>
      </c>
    </row>
    <row r="84" spans="1:5">
      <c r="A84" s="5" t="s">
        <v>79</v>
      </c>
      <c r="B84" s="5" t="s">
        <v>782</v>
      </c>
      <c r="C84" s="5"/>
      <c r="D84" s="5" t="s">
        <v>797</v>
      </c>
      <c r="E84" s="5">
        <v>355</v>
      </c>
    </row>
    <row r="85" spans="1:5">
      <c r="A85" s="5" t="s">
        <v>79</v>
      </c>
      <c r="B85" s="5" t="s">
        <v>791</v>
      </c>
      <c r="C85" s="5"/>
      <c r="D85" s="5" t="s">
        <v>798</v>
      </c>
      <c r="E85" s="5">
        <v>359</v>
      </c>
    </row>
    <row r="86" spans="1:5">
      <c r="A86" s="5" t="s">
        <v>79</v>
      </c>
      <c r="B86" s="5" t="s">
        <v>784</v>
      </c>
      <c r="C86" s="5"/>
      <c r="D86" s="5" t="s">
        <v>799</v>
      </c>
      <c r="E86" s="5">
        <v>393</v>
      </c>
    </row>
    <row r="87" spans="1:5">
      <c r="A87" s="5" t="s">
        <v>80</v>
      </c>
      <c r="B87" s="5" t="s">
        <v>782</v>
      </c>
      <c r="C87" s="5"/>
      <c r="D87" s="5" t="s">
        <v>800</v>
      </c>
      <c r="E87" s="5">
        <v>301</v>
      </c>
    </row>
    <row r="88" spans="1:5">
      <c r="A88" s="5" t="s">
        <v>80</v>
      </c>
      <c r="B88" s="5" t="s">
        <v>784</v>
      </c>
      <c r="C88" s="5"/>
      <c r="D88" s="5" t="s">
        <v>801</v>
      </c>
      <c r="E88" s="5">
        <v>339</v>
      </c>
    </row>
    <row r="89" spans="1:5">
      <c r="A89" s="5" t="s">
        <v>80</v>
      </c>
      <c r="B89" s="5" t="s">
        <v>784</v>
      </c>
      <c r="C89" s="5"/>
      <c r="D89" s="5" t="s">
        <v>802</v>
      </c>
      <c r="E89" s="5">
        <v>343</v>
      </c>
    </row>
    <row r="90" spans="1:5">
      <c r="A90" s="5" t="s">
        <v>80</v>
      </c>
      <c r="B90" s="5" t="s">
        <v>782</v>
      </c>
      <c r="C90" s="5"/>
      <c r="D90" s="5" t="s">
        <v>803</v>
      </c>
      <c r="E90" s="5">
        <v>361</v>
      </c>
    </row>
    <row r="91" spans="1:5">
      <c r="A91" s="5" t="s">
        <v>80</v>
      </c>
      <c r="B91" s="5" t="s">
        <v>782</v>
      </c>
      <c r="C91" s="5"/>
      <c r="D91" s="5" t="s">
        <v>804</v>
      </c>
      <c r="E91" s="5">
        <v>361</v>
      </c>
    </row>
    <row r="92" spans="1:5">
      <c r="A92" s="5" t="s">
        <v>80</v>
      </c>
      <c r="B92" s="5" t="s">
        <v>782</v>
      </c>
      <c r="C92" s="5"/>
      <c r="D92" s="5" t="s">
        <v>805</v>
      </c>
      <c r="E92" s="5">
        <v>361</v>
      </c>
    </row>
    <row r="93" spans="1:5">
      <c r="A93" s="5" t="s">
        <v>80</v>
      </c>
      <c r="B93" s="5" t="s">
        <v>791</v>
      </c>
      <c r="C93" s="5"/>
      <c r="D93" s="5" t="s">
        <v>806</v>
      </c>
      <c r="E93" s="5">
        <v>369</v>
      </c>
    </row>
    <row r="94" spans="1:5">
      <c r="A94" s="5" t="s">
        <v>80</v>
      </c>
      <c r="B94" s="5" t="s">
        <v>784</v>
      </c>
      <c r="C94" s="5"/>
      <c r="D94" s="5" t="s">
        <v>807</v>
      </c>
      <c r="E94" s="5">
        <v>371</v>
      </c>
    </row>
    <row r="95" spans="1:5">
      <c r="A95" s="5" t="s">
        <v>80</v>
      </c>
      <c r="B95" s="5" t="s">
        <v>784</v>
      </c>
      <c r="C95" s="5"/>
      <c r="D95" s="5" t="s">
        <v>808</v>
      </c>
      <c r="E95" s="5">
        <v>371</v>
      </c>
    </row>
    <row r="96" spans="1:5">
      <c r="A96" s="5" t="s">
        <v>80</v>
      </c>
      <c r="B96" s="5" t="s">
        <v>784</v>
      </c>
      <c r="C96" s="5"/>
      <c r="D96" s="5" t="s">
        <v>809</v>
      </c>
      <c r="E96" s="5">
        <v>409</v>
      </c>
    </row>
    <row r="97" spans="1:5">
      <c r="A97" s="5" t="s">
        <v>80</v>
      </c>
      <c r="B97" s="5" t="s">
        <v>784</v>
      </c>
      <c r="C97" s="5"/>
      <c r="D97" s="5" t="s">
        <v>810</v>
      </c>
      <c r="E97" s="5">
        <v>423</v>
      </c>
    </row>
    <row r="98" spans="1:5">
      <c r="A98" s="5" t="s">
        <v>81</v>
      </c>
      <c r="B98" s="5" t="s">
        <v>782</v>
      </c>
      <c r="C98" s="5"/>
      <c r="D98" s="5" t="s">
        <v>811</v>
      </c>
      <c r="E98" s="5">
        <v>280</v>
      </c>
    </row>
    <row r="99" spans="1:5">
      <c r="A99" s="5" t="s">
        <v>81</v>
      </c>
      <c r="B99" s="5" t="s">
        <v>784</v>
      </c>
      <c r="C99" s="5"/>
      <c r="D99" s="5" t="s">
        <v>812</v>
      </c>
      <c r="E99" s="5">
        <v>316</v>
      </c>
    </row>
    <row r="100" spans="1:5">
      <c r="A100" s="5" t="s">
        <v>81</v>
      </c>
      <c r="B100" s="5" t="s">
        <v>784</v>
      </c>
      <c r="C100" s="5"/>
      <c r="D100" s="5" t="s">
        <v>813</v>
      </c>
      <c r="E100" s="5">
        <v>320</v>
      </c>
    </row>
    <row r="101" spans="1:5">
      <c r="A101" s="5" t="s">
        <v>81</v>
      </c>
      <c r="B101" s="5" t="s">
        <v>782</v>
      </c>
      <c r="C101" s="5"/>
      <c r="D101" s="5" t="s">
        <v>814</v>
      </c>
      <c r="E101" s="5">
        <v>340</v>
      </c>
    </row>
    <row r="102" spans="1:5">
      <c r="A102" s="5" t="s">
        <v>81</v>
      </c>
      <c r="B102" s="5" t="s">
        <v>782</v>
      </c>
      <c r="C102" s="5"/>
      <c r="D102" s="5" t="s">
        <v>815</v>
      </c>
      <c r="E102" s="5">
        <v>340</v>
      </c>
    </row>
    <row r="103" spans="1:5">
      <c r="A103" s="5" t="s">
        <v>81</v>
      </c>
      <c r="B103" s="5" t="s">
        <v>782</v>
      </c>
      <c r="C103" s="5"/>
      <c r="D103" s="5" t="s">
        <v>816</v>
      </c>
      <c r="E103" s="5">
        <v>340</v>
      </c>
    </row>
    <row r="104" spans="1:5">
      <c r="A104" s="5" t="s">
        <v>81</v>
      </c>
      <c r="B104" s="5" t="s">
        <v>789</v>
      </c>
      <c r="C104" s="5"/>
      <c r="D104" s="5" t="s">
        <v>817</v>
      </c>
      <c r="E104" s="5">
        <v>342</v>
      </c>
    </row>
    <row r="105" spans="1:5">
      <c r="A105" s="5" t="s">
        <v>81</v>
      </c>
      <c r="B105" s="5" t="s">
        <v>789</v>
      </c>
      <c r="C105" s="5"/>
      <c r="D105" s="5" t="s">
        <v>818</v>
      </c>
      <c r="E105" s="5">
        <v>342</v>
      </c>
    </row>
    <row r="106" spans="1:5">
      <c r="A106" s="5" t="s">
        <v>81</v>
      </c>
      <c r="B106" s="5" t="s">
        <v>791</v>
      </c>
      <c r="C106" s="5"/>
      <c r="D106" s="5" t="s">
        <v>819</v>
      </c>
      <c r="E106" s="5">
        <v>344</v>
      </c>
    </row>
    <row r="107" spans="1:5">
      <c r="A107" s="5" t="s">
        <v>81</v>
      </c>
      <c r="B107" s="5" t="s">
        <v>784</v>
      </c>
      <c r="C107" s="5"/>
      <c r="D107" s="5" t="s">
        <v>820</v>
      </c>
      <c r="E107" s="5">
        <v>346</v>
      </c>
    </row>
    <row r="108" spans="1:5">
      <c r="A108" s="5" t="s">
        <v>81</v>
      </c>
      <c r="B108" s="5" t="s">
        <v>784</v>
      </c>
      <c r="C108" s="5"/>
      <c r="D108" s="5" t="s">
        <v>821</v>
      </c>
      <c r="E108" s="5">
        <v>346</v>
      </c>
    </row>
    <row r="109" spans="1:5">
      <c r="A109" s="5" t="s">
        <v>81</v>
      </c>
      <c r="B109" s="5" t="s">
        <v>784</v>
      </c>
      <c r="C109" s="5"/>
      <c r="D109" s="5" t="s">
        <v>822</v>
      </c>
      <c r="E109" s="5">
        <v>384</v>
      </c>
    </row>
    <row r="110" spans="1:5">
      <c r="A110" s="5" t="s">
        <v>81</v>
      </c>
      <c r="B110" s="5" t="s">
        <v>784</v>
      </c>
      <c r="C110" s="5"/>
      <c r="D110" s="5" t="s">
        <v>810</v>
      </c>
      <c r="E110" s="5">
        <v>398</v>
      </c>
    </row>
    <row r="111" spans="1:5">
      <c r="A111" s="5" t="s">
        <v>82</v>
      </c>
      <c r="B111" s="5" t="s">
        <v>782</v>
      </c>
      <c r="C111" s="5"/>
      <c r="D111" s="5" t="s">
        <v>823</v>
      </c>
      <c r="E111" s="5">
        <v>274</v>
      </c>
    </row>
    <row r="112" spans="1:5">
      <c r="A112" s="5" t="s">
        <v>82</v>
      </c>
      <c r="B112" s="5" t="s">
        <v>784</v>
      </c>
      <c r="C112" s="5"/>
      <c r="D112" s="5" t="s">
        <v>824</v>
      </c>
      <c r="E112" s="5">
        <v>310</v>
      </c>
    </row>
    <row r="113" spans="1:5">
      <c r="A113" s="5" t="s">
        <v>82</v>
      </c>
      <c r="B113" s="5" t="s">
        <v>784</v>
      </c>
      <c r="C113" s="5"/>
      <c r="D113" s="5" t="s">
        <v>825</v>
      </c>
      <c r="E113" s="5">
        <v>314</v>
      </c>
    </row>
    <row r="114" spans="1:5">
      <c r="A114" s="5" t="s">
        <v>82</v>
      </c>
      <c r="B114" s="5" t="s">
        <v>782</v>
      </c>
      <c r="C114" s="5"/>
      <c r="D114" s="5" t="s">
        <v>826</v>
      </c>
      <c r="E114" s="5">
        <v>334</v>
      </c>
    </row>
    <row r="115" spans="1:5">
      <c r="A115" s="5" t="s">
        <v>82</v>
      </c>
      <c r="B115" s="5" t="s">
        <v>782</v>
      </c>
      <c r="C115" s="5"/>
      <c r="D115" s="5" t="s">
        <v>827</v>
      </c>
      <c r="E115" s="5">
        <v>334</v>
      </c>
    </row>
    <row r="116" spans="1:5">
      <c r="A116" s="5" t="s">
        <v>82</v>
      </c>
      <c r="B116" s="5" t="s">
        <v>782</v>
      </c>
      <c r="C116" s="5"/>
      <c r="D116" s="5" t="s">
        <v>816</v>
      </c>
      <c r="E116" s="5">
        <v>334</v>
      </c>
    </row>
    <row r="117" spans="1:5">
      <c r="A117" s="5" t="s">
        <v>82</v>
      </c>
      <c r="B117" s="5" t="s">
        <v>789</v>
      </c>
      <c r="C117" s="5"/>
      <c r="D117" s="5" t="s">
        <v>828</v>
      </c>
      <c r="E117" s="5">
        <v>336</v>
      </c>
    </row>
    <row r="118" spans="1:5">
      <c r="A118" s="5" t="s">
        <v>82</v>
      </c>
      <c r="B118" s="5" t="s">
        <v>789</v>
      </c>
      <c r="C118" s="5"/>
      <c r="D118" s="5" t="s">
        <v>818</v>
      </c>
      <c r="E118" s="5">
        <v>336</v>
      </c>
    </row>
    <row r="119" spans="1:5">
      <c r="A119" s="5" t="s">
        <v>82</v>
      </c>
      <c r="B119" s="5" t="s">
        <v>791</v>
      </c>
      <c r="C119" s="5"/>
      <c r="D119" s="5" t="s">
        <v>829</v>
      </c>
      <c r="E119" s="5">
        <v>338</v>
      </c>
    </row>
    <row r="120" spans="1:5">
      <c r="A120" s="5" t="s">
        <v>82</v>
      </c>
      <c r="B120" s="5" t="s">
        <v>784</v>
      </c>
      <c r="C120" s="5"/>
      <c r="D120" s="5" t="s">
        <v>830</v>
      </c>
      <c r="E120" s="5">
        <v>340</v>
      </c>
    </row>
    <row r="121" spans="1:5">
      <c r="A121" s="5" t="s">
        <v>82</v>
      </c>
      <c r="B121" s="5" t="s">
        <v>784</v>
      </c>
      <c r="C121" s="5"/>
      <c r="D121" s="5" t="s">
        <v>821</v>
      </c>
      <c r="E121" s="5">
        <v>340</v>
      </c>
    </row>
    <row r="122" spans="1:5">
      <c r="A122" s="5" t="s">
        <v>82</v>
      </c>
      <c r="B122" s="5" t="s">
        <v>784</v>
      </c>
      <c r="C122" s="5"/>
      <c r="D122" s="5" t="s">
        <v>831</v>
      </c>
      <c r="E122" s="5">
        <v>376</v>
      </c>
    </row>
  </sheetData>
  <phoneticPr fontId="33"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9" tint="0.39997558519241921"/>
  </sheetPr>
  <dimension ref="A1:T470"/>
  <sheetViews>
    <sheetView showGridLines="0" topLeftCell="A2" zoomScale="140" zoomScaleNormal="140" workbookViewId="0">
      <pane xSplit="1" topLeftCell="B1" activePane="topRight" state="frozen"/>
      <selection pane="topRight" activeCell="E7" sqref="E7"/>
    </sheetView>
  </sheetViews>
  <sheetFormatPr baseColWidth="10" defaultColWidth="8.83203125" defaultRowHeight="14"/>
  <cols>
    <col min="1" max="1" width="44" customWidth="1"/>
    <col min="2" max="2" width="10" customWidth="1"/>
    <col min="3" max="8" width="13" customWidth="1"/>
    <col min="9" max="9" width="38" customWidth="1"/>
    <col min="10" max="10" width="10" customWidth="1"/>
    <col min="11" max="20" width="13" customWidth="1"/>
  </cols>
  <sheetData>
    <row r="1" spans="1:20" ht="24" customHeight="1">
      <c r="A1" s="131" t="s">
        <v>1336</v>
      </c>
      <c r="B1" s="131"/>
      <c r="C1" s="131"/>
      <c r="D1" s="131"/>
      <c r="E1" s="131"/>
      <c r="F1" s="131"/>
      <c r="G1" s="131"/>
      <c r="H1" s="131"/>
      <c r="I1" s="131"/>
      <c r="J1" s="131"/>
      <c r="K1" s="131"/>
      <c r="L1" s="131"/>
    </row>
    <row r="2" spans="1:20" ht="18" customHeight="1">
      <c r="A2" s="3" t="s">
        <v>1337</v>
      </c>
      <c r="B2" s="130"/>
      <c r="C2" s="127"/>
      <c r="D2" s="127"/>
      <c r="E2" s="127"/>
      <c r="F2" s="127"/>
      <c r="G2" s="127"/>
      <c r="H2" s="127"/>
      <c r="I2" s="127"/>
      <c r="J2" s="127"/>
      <c r="K2" s="127"/>
      <c r="L2" s="127"/>
    </row>
    <row r="3" spans="1:20" ht="18" customHeight="1">
      <c r="A3" s="130" t="s">
        <v>1338</v>
      </c>
      <c r="B3" s="130"/>
      <c r="C3" s="127"/>
      <c r="D3" s="127"/>
      <c r="E3" s="127"/>
      <c r="F3" s="127"/>
      <c r="G3" s="127"/>
      <c r="H3" s="127"/>
      <c r="I3" s="127"/>
      <c r="J3" s="127"/>
      <c r="K3" s="127"/>
      <c r="L3" s="127"/>
    </row>
    <row r="4" spans="1:20" ht="8" customHeight="1">
      <c r="A4" s="73"/>
      <c r="B4" s="73"/>
      <c r="C4" s="74"/>
      <c r="D4" s="74"/>
      <c r="E4" s="74"/>
      <c r="F4" s="74"/>
      <c r="G4" s="74"/>
      <c r="H4" s="74"/>
      <c r="I4" s="74"/>
      <c r="J4" s="74"/>
      <c r="K4" s="74"/>
      <c r="L4" s="74"/>
    </row>
    <row r="5" spans="1:20" ht="24" customHeight="1">
      <c r="A5" s="129" t="s">
        <v>1339</v>
      </c>
      <c r="B5" s="129"/>
      <c r="C5" s="125"/>
      <c r="D5" s="125"/>
      <c r="E5" s="125"/>
      <c r="F5" s="125"/>
      <c r="G5" s="95"/>
      <c r="H5" s="95"/>
      <c r="I5" s="124" t="s">
        <v>1407</v>
      </c>
      <c r="J5" s="125"/>
      <c r="K5" s="125"/>
      <c r="L5" s="125"/>
      <c r="M5" s="123"/>
      <c r="N5" s="123"/>
      <c r="O5" s="123"/>
      <c r="P5" s="123"/>
      <c r="Q5" s="123"/>
      <c r="R5" s="123"/>
      <c r="S5" s="123"/>
      <c r="T5" s="123"/>
    </row>
    <row r="6" spans="1:20" ht="22" customHeight="1">
      <c r="A6" s="92" t="s">
        <v>1038</v>
      </c>
      <c r="B6" s="92" t="s">
        <v>972</v>
      </c>
      <c r="C6" s="98" t="s">
        <v>1225</v>
      </c>
      <c r="D6" s="98" t="s">
        <v>1226</v>
      </c>
      <c r="E6" s="93" t="s">
        <v>1227</v>
      </c>
      <c r="F6" s="93" t="s">
        <v>1228</v>
      </c>
      <c r="G6" s="93"/>
      <c r="H6" s="93"/>
      <c r="I6" s="98" t="s">
        <v>1038</v>
      </c>
      <c r="J6" s="98" t="s">
        <v>972</v>
      </c>
      <c r="K6" s="98" t="s">
        <v>1408</v>
      </c>
      <c r="L6" s="98" t="s">
        <v>1409</v>
      </c>
      <c r="M6" s="98" t="s">
        <v>1410</v>
      </c>
      <c r="N6" s="98" t="s">
        <v>1411</v>
      </c>
      <c r="O6" s="98" t="s">
        <v>1412</v>
      </c>
      <c r="P6" s="98" t="s">
        <v>1413</v>
      </c>
      <c r="Q6" s="98" t="s">
        <v>1414</v>
      </c>
      <c r="R6" s="98" t="s">
        <v>1415</v>
      </c>
      <c r="S6" s="98" t="s">
        <v>1416</v>
      </c>
      <c r="T6" s="98" t="s">
        <v>1295</v>
      </c>
    </row>
    <row r="7" spans="1:20" ht="18" customHeight="1">
      <c r="A7" s="73" t="s">
        <v>1310</v>
      </c>
      <c r="B7" s="73" t="s">
        <v>973</v>
      </c>
      <c r="C7" s="102">
        <f>IF(Segments!P83=0,"n.a.",Segments!T83/Segments!P83-1)</f>
        <v>4.2287075640262017E-2</v>
      </c>
      <c r="D7" s="102">
        <f>IF(Segments!Q83=0,"n.a.",Segments!U83/Segments!Q83-1)</f>
        <v>2.1567596002104228E-2</v>
      </c>
      <c r="E7" s="76">
        <v>3.0000000000000001E-3</v>
      </c>
      <c r="F7" s="76">
        <v>1.2999999999999999E-2</v>
      </c>
      <c r="G7" s="77"/>
      <c r="H7" s="97" t="s">
        <v>1417</v>
      </c>
      <c r="I7" s="97" t="s">
        <v>1418</v>
      </c>
      <c r="J7" s="97" t="s">
        <v>973</v>
      </c>
      <c r="K7" s="104" t="s">
        <v>1419</v>
      </c>
      <c r="L7" s="104" t="s">
        <v>1419</v>
      </c>
      <c r="M7" s="101">
        <f>IF(Segments!D83=0,"n.a.",Segments!E83/Segments!D83-1)</f>
        <v>5.3729456384323582E-2</v>
      </c>
      <c r="N7" s="101">
        <f>IF(Segments!E83=0,"n.a.",Segments!F83/Segments!E83-1)</f>
        <v>7.0385922815436874E-2</v>
      </c>
      <c r="O7" s="101">
        <f>IF(Segments!F83=0,"n.a.",Segments!G83/Segments!F83-1)</f>
        <v>-1.7186624322809596E-2</v>
      </c>
      <c r="P7" s="101">
        <f>IF(Segments!G83=0,"n.a.",Segments!H83/Segments!G83-1)</f>
        <v>0.1583349173160995</v>
      </c>
      <c r="Q7" s="101">
        <f>IF(Segments!H83=0,"n.a.",Segments!I83/Segments!H83-1)</f>
        <v>8.0571053495241296E-2</v>
      </c>
      <c r="R7" s="101">
        <f>IF(Segments!I83=0,"n.a.",Segments!J83/Segments!I83-1)</f>
        <v>8.7775246772968885E-2</v>
      </c>
      <c r="S7" s="101">
        <f>IF(Segments!J83=0,"n.a.",Segments!K83/Segments!J83-1)</f>
        <v>6.7011028898507075E-3</v>
      </c>
      <c r="T7" s="101">
        <f>IF(Segments!K83=0,"n.a.",Segments!L83/Segments!K83-1)</f>
        <v>2.2188323394813469E-2</v>
      </c>
    </row>
    <row r="8" spans="1:20" ht="18" customHeight="1">
      <c r="A8" s="73" t="s">
        <v>1311</v>
      </c>
      <c r="B8" s="73" t="s">
        <v>973</v>
      </c>
      <c r="C8" s="102">
        <f>IF(Segments!P84=0,"n.a.",Segments!T84/Segments!P84-1)</f>
        <v>0.14671814671814665</v>
      </c>
      <c r="D8" s="102">
        <f>IF(Segments!Q84=0,"n.a.",Segments!U84/Segments!Q84-1)</f>
        <v>5.2746057640021826E-2</v>
      </c>
      <c r="E8" s="76">
        <v>0.04</v>
      </c>
      <c r="F8" s="76">
        <v>0.04</v>
      </c>
      <c r="G8" s="77"/>
      <c r="H8" s="97" t="s">
        <v>1417</v>
      </c>
      <c r="I8" s="97" t="s">
        <v>1420</v>
      </c>
      <c r="J8" s="97" t="s">
        <v>973</v>
      </c>
      <c r="K8" s="104" t="s">
        <v>1419</v>
      </c>
      <c r="L8" s="104" t="s">
        <v>1419</v>
      </c>
      <c r="M8" s="101">
        <f>IF(Segments!D84=0,"n.a.",Segments!E84/Segments!D84-1)</f>
        <v>0.13298993210021082</v>
      </c>
      <c r="N8" s="101">
        <f>IF(Segments!E84=0,"n.a.",Segments!F84/Segments!E84-1)</f>
        <v>4.6497210167389946E-2</v>
      </c>
      <c r="O8" s="101">
        <f>IF(Segments!F84=0,"n.a.",Segments!G84/Segments!F84-1)</f>
        <v>-0.14139020537124802</v>
      </c>
      <c r="P8" s="101">
        <f>IF(Segments!G84=0,"n.a.",Segments!H84/Segments!G84-1)</f>
        <v>0.29668813247470105</v>
      </c>
      <c r="Q8" s="101">
        <f>IF(Segments!H84=0,"n.a.",Segments!I84/Segments!H84-1)</f>
        <v>6.154664774742824E-2</v>
      </c>
      <c r="R8" s="101">
        <f>IF(Segments!I84=0,"n.a.",Segments!J84/Segments!I84-1)</f>
        <v>9.4235588972431117E-2</v>
      </c>
      <c r="S8" s="101">
        <f>IF(Segments!J84=0,"n.a.",Segments!K84/Segments!J84-1)</f>
        <v>3.0080928386013062E-2</v>
      </c>
      <c r="T8" s="101">
        <f>IF(Segments!K84=0,"n.a.",Segments!L84/Segments!K84-1)</f>
        <v>7.9009783575452186E-2</v>
      </c>
    </row>
    <row r="9" spans="1:20" ht="18" customHeight="1">
      <c r="A9" s="73" t="s">
        <v>1312</v>
      </c>
      <c r="B9" s="73" t="s">
        <v>973</v>
      </c>
      <c r="C9" s="102">
        <f>IF(Segments!P85=0,"n.a.",Segments!T85/Segments!P85-1)</f>
        <v>0.10955710955710951</v>
      </c>
      <c r="D9" s="102">
        <f>IF(Segments!Q85=0,"n.a.",Segments!U85/Segments!Q85-1)</f>
        <v>8.8794926004228225E-2</v>
      </c>
      <c r="E9" s="76">
        <v>7.4999999999999997E-2</v>
      </c>
      <c r="F9" s="76">
        <v>7.0000000000000007E-2</v>
      </c>
      <c r="G9" s="77"/>
      <c r="H9" s="97" t="s">
        <v>1417</v>
      </c>
      <c r="I9" s="97" t="s">
        <v>1421</v>
      </c>
      <c r="J9" s="97" t="s">
        <v>973</v>
      </c>
      <c r="K9" s="104" t="s">
        <v>1419</v>
      </c>
      <c r="L9" s="104" t="s">
        <v>1419</v>
      </c>
      <c r="M9" s="101">
        <f>IF(Segments!D85=0,"n.a.",Segments!E85/Segments!D85-1)</f>
        <v>8.1180811808118092E-2</v>
      </c>
      <c r="N9" s="101">
        <f>IF(Segments!E85=0,"n.a.",Segments!F85/Segments!E85-1)</f>
        <v>5.7167235494880453E-2</v>
      </c>
      <c r="O9" s="101">
        <f>IF(Segments!F85=0,"n.a.",Segments!G85/Segments!F85-1)</f>
        <v>-9.8466505246166292E-2</v>
      </c>
      <c r="P9" s="101">
        <f>IF(Segments!G85=0,"n.a.",Segments!H85/Segments!G85-1)</f>
        <v>0.21128021486123538</v>
      </c>
      <c r="Q9" s="101">
        <f>IF(Segments!H85=0,"n.a.",Segments!I85/Segments!H85-1)</f>
        <v>0.1352549889135255</v>
      </c>
      <c r="R9" s="101">
        <f>IF(Segments!I85=0,"n.a.",Segments!J85/Segments!I85-1)</f>
        <v>0.12239583333333326</v>
      </c>
      <c r="S9" s="101">
        <f>IF(Segments!J85=0,"n.a.",Segments!K85/Segments!J85-1)</f>
        <v>1.9721577726218076E-2</v>
      </c>
      <c r="T9" s="101">
        <f>IF(Segments!K85=0,"n.a.",Segments!L85/Segments!K85-1)</f>
        <v>7.9635949943117179E-2</v>
      </c>
    </row>
    <row r="10" spans="1:20" ht="18" customHeight="1">
      <c r="A10" s="73" t="s">
        <v>1313</v>
      </c>
      <c r="B10" s="73" t="s">
        <v>973</v>
      </c>
      <c r="C10" s="103">
        <f t="shared" ref="C10:D12" si="0">IF(E435=0,"n.a.",I435/E435-1)</f>
        <v>1.2539184952978122E-2</v>
      </c>
      <c r="D10" s="103">
        <f t="shared" si="0"/>
        <v>-1.538461538461533E-2</v>
      </c>
      <c r="E10" s="76">
        <v>0.01</v>
      </c>
      <c r="F10" s="76">
        <v>0.01</v>
      </c>
      <c r="G10" s="77"/>
      <c r="H10" s="77"/>
      <c r="I10" s="97" t="s">
        <v>1422</v>
      </c>
      <c r="J10" s="97" t="s">
        <v>973</v>
      </c>
      <c r="K10" s="104" t="s">
        <v>1419</v>
      </c>
      <c r="L10" s="104" t="s">
        <v>1419</v>
      </c>
      <c r="M10" s="101">
        <f>IF((Segments!D83-Segments!D98)=0,"n.a.",(Segments!E83-Segments!E98)/(Segments!D83-Segments!D98)-1)</f>
        <v>0.11764705882352944</v>
      </c>
      <c r="N10" s="101">
        <f>IF((Segments!E83-Segments!E98)=0,"n.a.",(Segments!F83-Segments!F98)/(Segments!E83-Segments!E98)-1)</f>
        <v>0.20945220193340486</v>
      </c>
      <c r="O10" s="101">
        <f>IF((Segments!F83-Segments!F98)=0,"n.a.",(Segments!G83-Segments!G98)/(Segments!F83-Segments!F98)-1)</f>
        <v>3.3747779751332141E-2</v>
      </c>
      <c r="P10" s="101">
        <f>IF((Segments!G83-Segments!G98)=0,"n.a.",(Segments!H83-Segments!H98)/(Segments!G83-Segments!G98)-1)</f>
        <v>2.0618556701030855E-2</v>
      </c>
      <c r="Q10" s="101">
        <f>IF((Segments!H83-Segments!H98)=0,"n.a.",Segments!I62/(Segments!H83-Segments!H98)-1)</f>
        <v>4.7138047138047146E-2</v>
      </c>
      <c r="R10" s="101">
        <f>IF(Segments!I62=0,"n.a.",Segments!J62/Segments!I62-1)</f>
        <v>3.3762057877813501E-2</v>
      </c>
      <c r="S10" s="101">
        <f>IF(Segments!J62=0,"n.a.",Segments!K62/Segments!J62-1)</f>
        <v>6.2208398133747345E-3</v>
      </c>
      <c r="T10" s="101">
        <f>IF(Segments!K62=0,"n.a.",Segments!L62/Segments!K62-1)</f>
        <v>-7.7279752704795257E-4</v>
      </c>
    </row>
    <row r="11" spans="1:20" ht="18" customHeight="1">
      <c r="A11" s="73" t="s">
        <v>1314</v>
      </c>
      <c r="B11" s="73" t="s">
        <v>973</v>
      </c>
      <c r="C11" s="103">
        <f t="shared" si="0"/>
        <v>0.1727574750830565</v>
      </c>
      <c r="D11" s="103">
        <f t="shared" si="0"/>
        <v>9.4512195121951192E-2</v>
      </c>
      <c r="E11" s="76">
        <v>7.0000000000000007E-2</v>
      </c>
      <c r="F11" s="76">
        <v>0.05</v>
      </c>
      <c r="G11" s="77"/>
      <c r="H11" s="77"/>
      <c r="I11" s="97" t="s">
        <v>1423</v>
      </c>
      <c r="J11" s="97" t="s">
        <v>973</v>
      </c>
      <c r="K11" s="104" t="s">
        <v>1419</v>
      </c>
      <c r="L11" s="104" t="s">
        <v>1419</v>
      </c>
      <c r="M11" s="101">
        <f>IF((Segments!D84-Segments!D100)=0,"n.a.",(Segments!E84-Segments!E100)/(Segments!D84-Segments!D100)-1)</f>
        <v>0.11479028697571736</v>
      </c>
      <c r="N11" s="101">
        <f>IF((Segments!E84-Segments!E100)=0,"n.a.",(Segments!F84-Segments!F100)/(Segments!E84-Segments!E100)-1)</f>
        <v>3.5643564356435675E-2</v>
      </c>
      <c r="O11" s="101">
        <f>IF((Segments!F84-Segments!F100)=0,"n.a.",(Segments!G84-Segments!G100)/(Segments!F84-Segments!F100)-1)</f>
        <v>-2.5812619502868062E-2</v>
      </c>
      <c r="P11" s="101">
        <f>IF((Segments!G84-Segments!G100)=0,"n.a.",(Segments!H84-Segments!H100)/(Segments!G84-Segments!G100)-1)</f>
        <v>0.10107948969578007</v>
      </c>
      <c r="Q11" s="101">
        <f>IF((Segments!H84-Segments!H100)=0,"n.a.",Segments!I63/(Segments!H84-Segments!H100)-1)</f>
        <v>-3.208556149732622E-2</v>
      </c>
      <c r="R11" s="101">
        <f>IF(Segments!I63=0,"n.a.",Segments!J63/Segments!I63-1)</f>
        <v>7.7348066298342566E-2</v>
      </c>
      <c r="S11" s="101">
        <f>IF(Segments!J63=0,"n.a.",Segments!K63/Segments!J63-1)</f>
        <v>5.2136752136752174E-2</v>
      </c>
      <c r="T11" s="101">
        <f>IF(Segments!K63=0,"n.a.",Segments!L63/Segments!K63-1)</f>
        <v>7.5548334687246088E-2</v>
      </c>
    </row>
    <row r="12" spans="1:20" ht="18" customHeight="1">
      <c r="A12" s="73" t="s">
        <v>1315</v>
      </c>
      <c r="B12" s="73" t="s">
        <v>973</v>
      </c>
      <c r="C12" s="103" t="str">
        <f t="shared" si="0"/>
        <v>n.a.</v>
      </c>
      <c r="D12" s="103" t="str">
        <f t="shared" si="0"/>
        <v>n.a.</v>
      </c>
      <c r="E12" s="76">
        <v>0</v>
      </c>
      <c r="F12" s="76">
        <v>0</v>
      </c>
      <c r="G12" s="77"/>
      <c r="H12" s="77"/>
      <c r="I12" s="97" t="s">
        <v>1424</v>
      </c>
      <c r="J12" s="97" t="s">
        <v>1012</v>
      </c>
      <c r="K12" s="108" t="s">
        <v>1419</v>
      </c>
      <c r="L12" s="106">
        <f>(Segments!D85-Segments!D102)</f>
        <v>50</v>
      </c>
      <c r="M12" s="106">
        <f>(Segments!E85-Segments!E102)</f>
        <v>32</v>
      </c>
      <c r="N12" s="106">
        <f>(Segments!F85-Segments!F102)</f>
        <v>29</v>
      </c>
      <c r="O12" s="106">
        <f>(Segments!G85-Segments!G102)</f>
        <v>24</v>
      </c>
      <c r="P12" s="106">
        <f>(Segments!H85-Segments!H102)</f>
        <v>25</v>
      </c>
      <c r="Q12" s="106">
        <f>Segments!I64</f>
        <v>20</v>
      </c>
      <c r="R12" s="106">
        <f>Segments!J64</f>
        <v>19</v>
      </c>
      <c r="S12" s="106">
        <f>Segments!K64</f>
        <v>11</v>
      </c>
      <c r="T12" s="106">
        <f>Segments!L64</f>
        <v>1</v>
      </c>
    </row>
    <row r="13" spans="1:20" ht="18" customHeight="1">
      <c r="A13" s="73" t="s">
        <v>1316</v>
      </c>
      <c r="B13" s="73" t="s">
        <v>973</v>
      </c>
      <c r="C13" s="102">
        <f>IF('Income Statement'!P14=0,"n.a.",'Income Statement'!T14/'Income Statement'!P14-1)</f>
        <v>8.6772983114446589E-2</v>
      </c>
      <c r="D13" s="102">
        <f>IF('Income Statement'!Q14=0,"n.a.",'Income Statement'!U14/'Income Statement'!Q14-1)</f>
        <v>2.7257933279088764E-2</v>
      </c>
      <c r="E13" s="76">
        <v>2.5000000000000001E-2</v>
      </c>
      <c r="F13" s="76">
        <v>2.5000000000000001E-2</v>
      </c>
      <c r="G13" s="77"/>
      <c r="H13" s="77"/>
      <c r="I13" s="97" t="s">
        <v>1425</v>
      </c>
      <c r="J13" s="97" t="s">
        <v>973</v>
      </c>
      <c r="K13" s="104" t="s">
        <v>1419</v>
      </c>
      <c r="L13" s="101">
        <f>IF('Income Statement'!C14=0,"n.a.",'Income Statement'!D14/'Income Statement'!C14-1)</f>
        <v>-0.16842759071592028</v>
      </c>
      <c r="M13" s="101">
        <f>IF('Income Statement'!D14=0,"n.a.",'Income Statement'!E14/'Income Statement'!D14-1)</f>
        <v>-0.21276997224602745</v>
      </c>
      <c r="N13" s="101">
        <f>IF('Income Statement'!E14=0,"n.a.",'Income Statement'!F14/'Income Statement'!E14-1)</f>
        <v>-5.9114924046461126E-2</v>
      </c>
      <c r="O13" s="101">
        <f>IF('Income Statement'!F14=0,"n.a.",'Income Statement'!G14/'Income Statement'!F14-1)</f>
        <v>-0.13603940217391297</v>
      </c>
      <c r="P13" s="101">
        <f>IF('Income Statement'!G14=0,"n.a.",'Income Statement'!H14/'Income Statement'!G14-1)</f>
        <v>0.20250147434637311</v>
      </c>
      <c r="Q13" s="101">
        <f>IF('Income Statement'!H14=0,"n.a.",'Income Statement'!I14/'Income Statement'!H14-1)</f>
        <v>-0.10619776447268936</v>
      </c>
      <c r="R13" s="101">
        <f>IF('Income Statement'!I14=0,"n.a.",'Income Statement'!J14/'Income Statement'!I14-1)</f>
        <v>0.1136259716506629</v>
      </c>
      <c r="S13" s="101">
        <f>IF('Income Statement'!J14=0,"n.a.",'Income Statement'!K14/'Income Statement'!J14-1)</f>
        <v>4.1059330732908794E-3</v>
      </c>
      <c r="T13" s="101">
        <f>IF('Income Statement'!K14=0,"n.a.",'Income Statement'!L14/'Income Statement'!K14-1)</f>
        <v>-9.405029646289087E-3</v>
      </c>
    </row>
    <row r="14" spans="1:20" ht="18" customHeight="1">
      <c r="A14" s="73" t="s">
        <v>1317</v>
      </c>
      <c r="B14" s="73" t="s">
        <v>973</v>
      </c>
      <c r="C14" s="102">
        <f>Segments!T121</f>
        <v>0.12300388433318947</v>
      </c>
      <c r="D14" s="102">
        <f>Segments!U121</f>
        <v>0.15326732673267326</v>
      </c>
      <c r="E14" s="76">
        <v>0.14699999999999999</v>
      </c>
      <c r="F14" s="76">
        <v>0.14699999999999999</v>
      </c>
      <c r="G14" s="77"/>
      <c r="H14" s="77"/>
      <c r="I14" s="97" t="s">
        <v>1426</v>
      </c>
      <c r="J14" s="97" t="s">
        <v>973</v>
      </c>
      <c r="K14" s="101">
        <f>('Income Statement'!C14-'Income Statement'!C25)/'Income Statement'!C14</f>
        <v>0.16974174566851918</v>
      </c>
      <c r="L14" s="101">
        <f>Segments!D121</f>
        <v>0.18153942920040883</v>
      </c>
      <c r="M14" s="101">
        <f>Segments!E121</f>
        <v>0.17447318485968241</v>
      </c>
      <c r="N14" s="101">
        <f>Segments!F121</f>
        <v>0.17620210168771894</v>
      </c>
      <c r="O14" s="101">
        <f>Segments!G121</f>
        <v>0.14227792112053078</v>
      </c>
      <c r="P14" s="101">
        <f>Segments!H121</f>
        <v>0.17776869636289333</v>
      </c>
      <c r="Q14" s="101">
        <f>Segments!I121</f>
        <v>0.15637860082304528</v>
      </c>
      <c r="R14" s="101">
        <f>Segments!J121</f>
        <v>0.15571751180455759</v>
      </c>
      <c r="S14" s="101">
        <f>Segments!K121</f>
        <v>0.14792475976282968</v>
      </c>
      <c r="T14" s="101">
        <f>Segments!L121</f>
        <v>0.14676437196821138</v>
      </c>
    </row>
    <row r="15" spans="1:20" ht="18" customHeight="1">
      <c r="A15" s="73" t="s">
        <v>1178</v>
      </c>
      <c r="B15" s="73" t="s">
        <v>973</v>
      </c>
      <c r="C15" s="102">
        <f>'Income Statement'!T30/'Operating Metrics'!T49</f>
        <v>2.2170941169597475E-2</v>
      </c>
      <c r="D15" s="102">
        <f>'Income Statement'!U30/'Operating Metrics'!U49</f>
        <v>2.2095413241021204E-2</v>
      </c>
      <c r="E15" s="76">
        <v>2.1999999999999999E-2</v>
      </c>
      <c r="F15" s="76">
        <v>2.1999999999999999E-2</v>
      </c>
      <c r="G15" s="77"/>
      <c r="H15" s="77"/>
      <c r="I15" s="97" t="s">
        <v>1178</v>
      </c>
      <c r="J15" s="97" t="s">
        <v>973</v>
      </c>
      <c r="K15" s="109">
        <f>'Income Statement'!C30/'Operating Metrics'!C49</f>
        <v>2.8052281122797111E-2</v>
      </c>
      <c r="L15" s="109">
        <f>'Income Statement'!D30/'Operating Metrics'!D49</f>
        <v>2.4544081557674142E-2</v>
      </c>
      <c r="M15" s="109">
        <f>'Income Statement'!E30/'Operating Metrics'!E49</f>
        <v>2.2883780722583305E-2</v>
      </c>
      <c r="N15" s="109">
        <f>'Income Statement'!F30/'Operating Metrics'!F49</f>
        <v>2.2254431620578611E-2</v>
      </c>
      <c r="O15" s="109">
        <f>'Income Statement'!G30/'Operating Metrics'!G49</f>
        <v>2.7279001084473172E-2</v>
      </c>
      <c r="P15" s="109">
        <f>'Income Statement'!H30/'Operating Metrics'!H49</f>
        <v>2.4074712970735108E-2</v>
      </c>
      <c r="Q15" s="109">
        <f>'Income Statement'!I30/'Operating Metrics'!I49</f>
        <v>2.4208896896490473E-2</v>
      </c>
      <c r="R15" s="109">
        <f>'Income Statement'!J30/'Operating Metrics'!J49</f>
        <v>2.17542396441479E-2</v>
      </c>
      <c r="S15" s="109">
        <f>'Income Statement'!K30/'Operating Metrics'!K49</f>
        <v>2.1872011628351756E-2</v>
      </c>
      <c r="T15" s="109">
        <f>'Income Statement'!L30/'Operating Metrics'!L49</f>
        <v>2.1813224267211998E-2</v>
      </c>
    </row>
    <row r="16" spans="1:20" ht="18" customHeight="1">
      <c r="A16" s="97" t="s">
        <v>1427</v>
      </c>
      <c r="B16" s="73" t="s">
        <v>973</v>
      </c>
      <c r="C16" s="102">
        <f>IF('Income Statement'!P37=0,"n.a.",'Income Statement'!T37/'Income Statement'!P37-1)</f>
        <v>6.3829787234042534E-2</v>
      </c>
      <c r="D16" s="102">
        <f>IF('Income Statement'!Q37=0,"n.a.",'Income Statement'!U37/'Income Statement'!Q37-1)</f>
        <v>4.8717948717948767E-2</v>
      </c>
      <c r="E16" s="77"/>
      <c r="F16" s="77"/>
      <c r="G16" s="76">
        <v>0.05</v>
      </c>
      <c r="H16" s="77" t="s">
        <v>1340</v>
      </c>
      <c r="I16" s="97" t="s">
        <v>1179</v>
      </c>
      <c r="J16" s="97" t="s">
        <v>973</v>
      </c>
      <c r="K16" s="104" t="s">
        <v>1419</v>
      </c>
      <c r="L16" s="101">
        <f>IF('Income Statement'!C37=0,"n.a.",'Income Statement'!D37/'Income Statement'!C37-1)</f>
        <v>4.1252260397830032E-2</v>
      </c>
      <c r="M16" s="101">
        <f>IF('Income Statement'!D37=0,"n.a.",'Income Statement'!E37/'Income Statement'!D37-1)</f>
        <v>6.5016824052968714E-2</v>
      </c>
      <c r="N16" s="101">
        <f>IF('Income Statement'!E37=0,"n.a.",'Income Statement'!F37/'Income Statement'!E37-1)</f>
        <v>0.14339584182633525</v>
      </c>
      <c r="O16" s="101">
        <f>IF('Income Statement'!F37=0,"n.a.",'Income Statement'!G37/'Income Statement'!F37-1)</f>
        <v>8.5747392815758827E-2</v>
      </c>
      <c r="P16" s="101">
        <f>IF('Income Statement'!G37=0,"n.a.",'Income Statement'!H37/'Income Statement'!G37-1)</f>
        <v>-2.6516706345948604E-2</v>
      </c>
      <c r="Q16" s="101">
        <f>IF('Income Statement'!H37=0,"n.a.",'Income Statement'!I37/'Income Statement'!H37-1)</f>
        <v>1.7878225670433512E-2</v>
      </c>
      <c r="R16" s="101">
        <f>IF('Income Statement'!I37=0,"n.a.",'Income Statement'!J37/'Income Statement'!I37-1)</f>
        <v>0.12758906379453183</v>
      </c>
      <c r="S16" s="101">
        <f>IF('Income Statement'!J37=0,"n.a.",'Income Statement'!K37/'Income Statement'!J37-1)</f>
        <v>0.10653930933137401</v>
      </c>
      <c r="T16" s="101">
        <f>IF('Income Statement'!K37=0,"n.a.",'Income Statement'!L37/'Income Statement'!K37-1)</f>
        <v>5.0464807436918946E-2</v>
      </c>
    </row>
    <row r="17" spans="1:20" ht="18" customHeight="1">
      <c r="A17" s="73" t="s">
        <v>1319</v>
      </c>
      <c r="B17" s="73" t="s">
        <v>973</v>
      </c>
      <c r="C17" s="103">
        <f>I438</f>
        <v>0.22</v>
      </c>
      <c r="D17" s="103">
        <f>J438</f>
        <v>0.19500000000000001</v>
      </c>
      <c r="E17" s="76">
        <v>0.22</v>
      </c>
      <c r="F17" s="76">
        <v>0.22</v>
      </c>
      <c r="G17" s="77"/>
      <c r="H17" s="77"/>
      <c r="I17" s="97" t="s">
        <v>1059</v>
      </c>
      <c r="J17" s="97" t="s">
        <v>973</v>
      </c>
      <c r="K17" s="101">
        <f>'Income Statement'!C40/'Income Statement'!C39</f>
        <v>0.31743373143023595</v>
      </c>
      <c r="L17" s="101">
        <f>'Income Statement'!D40/'Income Statement'!D39</f>
        <v>0.39437802531054994</v>
      </c>
      <c r="M17" s="101">
        <f>'Income Statement'!E40/'Income Statement'!E39</f>
        <v>0.24203886848940007</v>
      </c>
      <c r="N17" s="101">
        <f>'Income Statement'!F40/'Income Statement'!F39</f>
        <v>0.2485252117085095</v>
      </c>
      <c r="O17" s="101">
        <f>'Income Statement'!G40/'Income Statement'!G39</f>
        <v>0.22964808572312603</v>
      </c>
      <c r="P17" s="101">
        <f>'Income Statement'!H40/'Income Statement'!H39</f>
        <v>0.17339147010813002</v>
      </c>
      <c r="Q17" s="101">
        <f>'Income Statement'!I40/'Income Statement'!I39</f>
        <v>0.21060702875399362</v>
      </c>
      <c r="R17" s="101">
        <f>'Income Statement'!J40/'Income Statement'!J39</f>
        <v>0.19511499714883102</v>
      </c>
      <c r="S17" s="101">
        <f>'Income Statement'!K40/'Income Statement'!K39</f>
        <v>0.20502658289028516</v>
      </c>
      <c r="T17" s="101">
        <f>'Income Statement'!L40/'Income Statement'!L39</f>
        <v>0.21418739102505277</v>
      </c>
    </row>
    <row r="18" spans="1:20" ht="18" customHeight="1">
      <c r="A18" s="73" t="s">
        <v>1181</v>
      </c>
      <c r="B18" s="73" t="s">
        <v>973</v>
      </c>
      <c r="C18" s="102">
        <f>IF('Note Schedules'!P49=0,"n.a.",'Note Schedules'!T49/'Note Schedules'!P49-1)</f>
        <v>0</v>
      </c>
      <c r="D18" s="102">
        <f>IF('Note Schedules'!Q49=0,"n.a.",'Note Schedules'!U49/'Note Schedules'!Q49-1)</f>
        <v>0.11111111111111116</v>
      </c>
      <c r="E18" s="76">
        <v>0.05</v>
      </c>
      <c r="F18" s="76">
        <v>0.05</v>
      </c>
      <c r="G18" s="77"/>
      <c r="H18" s="77"/>
      <c r="I18" s="97" t="s">
        <v>1181</v>
      </c>
      <c r="J18" s="97" t="s">
        <v>973</v>
      </c>
      <c r="K18" s="104" t="s">
        <v>1419</v>
      </c>
      <c r="L18" s="101">
        <f>IF('Note Schedules'!C49=0,"n.a.",'Note Schedules'!D49/'Note Schedules'!C49-1)</f>
        <v>2.3521897810218979</v>
      </c>
      <c r="M18" s="101">
        <f>IF('Note Schedules'!D49=0,"n.a.",'Note Schedules'!E49/'Note Schedules'!D49-1)</f>
        <v>-0.17528579205225903</v>
      </c>
      <c r="N18" s="101">
        <f>IF('Note Schedules'!E49=0,"n.a.",'Note Schedules'!F49/'Note Schedules'!E49-1)</f>
        <v>1.5181518151815343E-2</v>
      </c>
      <c r="O18" s="101">
        <f>IF('Note Schedules'!F49=0,"n.a.",'Note Schedules'!G49/'Note Schedules'!F49-1)</f>
        <v>-0.23667100130039009</v>
      </c>
      <c r="P18" s="101">
        <f>IF('Note Schedules'!G49=0,"n.a.",'Note Schedules'!H49/'Note Schedules'!G49-1)</f>
        <v>0.50511073253833039</v>
      </c>
      <c r="Q18" s="101">
        <f>IF('Note Schedules'!H49=0,"n.a.",'Note Schedules'!I49/'Note Schedules'!H49-1)</f>
        <v>-0.36049801924165248</v>
      </c>
      <c r="R18" s="101">
        <f>IF('Note Schedules'!I49=0,"n.a.",'Note Schedules'!J49/'Note Schedules'!I49-1)</f>
        <v>0.35398230088495586</v>
      </c>
      <c r="S18" s="101">
        <f>IF('Note Schedules'!J49=0,"n.a.",'Note Schedules'!K49/'Note Schedules'!J49-1)</f>
        <v>2.614379084967311E-2</v>
      </c>
      <c r="T18" s="101">
        <f>IF('Note Schedules'!K49=0,"n.a.",'Note Schedules'!L49/'Note Schedules'!K49-1)</f>
        <v>0.21019108280254772</v>
      </c>
    </row>
    <row r="19" spans="1:20" ht="18" customHeight="1">
      <c r="A19" s="96" t="s">
        <v>1405</v>
      </c>
      <c r="B19" s="73" t="s">
        <v>973</v>
      </c>
      <c r="C19" s="102">
        <f>IF(('Income Statement'!P16-'Income Statement'!P26)=0,"n.a.",('Income Statement'!T16-'Income Statement'!T26)/('Income Statement'!P16-'Income Statement'!P26)-1)</f>
        <v>0.22727272727272729</v>
      </c>
      <c r="D19" s="102">
        <f>IF(('Income Statement'!Q16-'Income Statement'!Q26)=0,"n.a.",('Income Statement'!U16-'Income Statement'!U26)/('Income Statement'!Q16-'Income Statement'!Q26)-1)</f>
        <v>-0.17391304347826086</v>
      </c>
      <c r="E19" s="76">
        <v>0</v>
      </c>
      <c r="F19" s="76">
        <v>0</v>
      </c>
      <c r="G19" s="77"/>
      <c r="H19" s="77"/>
      <c r="I19" s="97" t="s">
        <v>1320</v>
      </c>
      <c r="J19" s="97" t="s">
        <v>973</v>
      </c>
      <c r="K19" s="104" t="s">
        <v>1419</v>
      </c>
      <c r="L19" s="104" t="s">
        <v>1419</v>
      </c>
      <c r="M19" s="104" t="s">
        <v>1419</v>
      </c>
      <c r="N19" s="101">
        <f>IF(('Income Statement'!E16-'Income Statement'!E26)=0,"n.a.",('Income Statement'!F16-'Income Statement'!F26)/('Income Statement'!E16-'Income Statement'!E26)-1)</f>
        <v>0.37553648068669476</v>
      </c>
      <c r="O19" s="101">
        <f>IF(('Income Statement'!F16-'Income Statement'!F26)=0,"n.a.",('Income Statement'!G16-'Income Statement'!G26)/('Income Statement'!F16-'Income Statement'!F26)-1)</f>
        <v>0.1778471138845561</v>
      </c>
      <c r="P19" s="101">
        <f>IF(('Income Statement'!G16-'Income Statement'!G26)=0,"n.a.",('Income Statement'!H16-'Income Statement'!H26)/('Income Statement'!G16-'Income Statement'!G26)-1)</f>
        <v>0.1880794701986761</v>
      </c>
      <c r="Q19" s="101">
        <f>IF(('Income Statement'!H16-'Income Statement'!H26)=0,"n.a.",('Income Statement'!I16-'Income Statement'!I26)/('Income Statement'!H16-'Income Statement'!H26)-1)</f>
        <v>-7.4693422519509944E-2</v>
      </c>
      <c r="R19" s="101">
        <f>IF(('Income Statement'!I16-'Income Statement'!I26)=0,"n.a.",('Income Statement'!J16-'Income Statement'!J26)/('Income Statement'!I16-'Income Statement'!I26)-1)</f>
        <v>1.2048192771084265E-2</v>
      </c>
      <c r="S19" s="101">
        <f>IF(('Income Statement'!J16-'Income Statement'!J26)=0,"n.a.",('Income Statement'!K16-'Income Statement'!K26)/('Income Statement'!J16-'Income Statement'!J26)-1)</f>
        <v>0</v>
      </c>
      <c r="T19" s="101">
        <f>IF(('Income Statement'!K16-'Income Statement'!K26)=0,"n.a.",('Income Statement'!L16-'Income Statement'!L26)/('Income Statement'!K16-'Income Statement'!K26)-1)</f>
        <v>-1.1904761904761862E-2</v>
      </c>
    </row>
    <row r="20" spans="1:20" ht="18" customHeight="1">
      <c r="A20" s="96" t="s">
        <v>1406</v>
      </c>
      <c r="B20" s="73" t="s">
        <v>973</v>
      </c>
      <c r="C20" s="105" t="s">
        <v>1419</v>
      </c>
      <c r="D20" s="105" t="s">
        <v>1419</v>
      </c>
      <c r="E20" s="76">
        <v>0</v>
      </c>
      <c r="F20" s="76">
        <v>0</v>
      </c>
      <c r="G20" s="77"/>
      <c r="H20" s="97" t="s">
        <v>1428</v>
      </c>
      <c r="I20" s="97" t="s">
        <v>1429</v>
      </c>
      <c r="J20" s="97" t="s">
        <v>1012</v>
      </c>
      <c r="K20" s="106">
        <f>'Note Schedules'!C50</f>
        <v>72.3</v>
      </c>
      <c r="L20" s="106">
        <f>'Note Schedules'!D50</f>
        <v>18.7</v>
      </c>
      <c r="M20" s="106">
        <f>'Note Schedules'!E50</f>
        <v>33.700000000000003</v>
      </c>
      <c r="N20" s="106">
        <f>'Note Schedules'!F50</f>
        <v>87.2</v>
      </c>
      <c r="O20" s="106">
        <f>'Note Schedules'!G50</f>
        <v>290.7</v>
      </c>
      <c r="P20" s="106">
        <f>'Note Schedules'!H50</f>
        <v>75.400000000000006</v>
      </c>
      <c r="Q20" s="106">
        <f>'Note Schedules'!I50</f>
        <v>137</v>
      </c>
      <c r="R20" s="106">
        <f>'Note Schedules'!J50</f>
        <v>-7</v>
      </c>
      <c r="S20" s="106">
        <f>'Note Schedules'!K50</f>
        <v>100</v>
      </c>
      <c r="T20" s="106">
        <f>'Note Schedules'!L50</f>
        <v>97</v>
      </c>
    </row>
    <row r="21" spans="1:20" ht="18" customHeight="1">
      <c r="A21" s="73" t="s">
        <v>1321</v>
      </c>
      <c r="B21" s="73" t="s">
        <v>973</v>
      </c>
      <c r="C21" s="102">
        <f>IF(-'Note Schedules'!P48=0,"n.a.",-'Note Schedules'!T48/-'Note Schedules'!P48-1)</f>
        <v>2.75</v>
      </c>
      <c r="D21" s="102">
        <f>IF(-'Note Schedules'!Q48=0,"n.a.",-'Note Schedules'!U48/-'Note Schedules'!Q48-1)</f>
        <v>4.7142857142857144</v>
      </c>
      <c r="E21" s="76">
        <v>0</v>
      </c>
      <c r="F21" s="76">
        <v>0</v>
      </c>
      <c r="G21" s="77"/>
      <c r="H21" s="77"/>
      <c r="I21" s="97" t="s">
        <v>1185</v>
      </c>
      <c r="J21" s="97" t="s">
        <v>1012</v>
      </c>
      <c r="K21" s="106">
        <f>-'Note Schedules'!C48</f>
        <v>283.39999999999998</v>
      </c>
      <c r="L21" s="106">
        <f>-'Note Schedules'!D48</f>
        <v>295.39999999999998</v>
      </c>
      <c r="M21" s="106">
        <f>-'Note Schedules'!E48</f>
        <v>304.10000000000002</v>
      </c>
      <c r="N21" s="106">
        <f>-'Note Schedules'!F48</f>
        <v>127.5</v>
      </c>
      <c r="O21" s="106">
        <f>-'Note Schedules'!G48</f>
        <v>23.3</v>
      </c>
      <c r="P21" s="106">
        <f>-'Note Schedules'!H48</f>
        <v>96.6</v>
      </c>
      <c r="Q21" s="106">
        <f>-'Note Schedules'!I48</f>
        <v>60</v>
      </c>
      <c r="R21" s="106">
        <f>-'Note Schedules'!J48</f>
        <v>103</v>
      </c>
      <c r="S21" s="106">
        <f>-'Note Schedules'!K48</f>
        <v>94</v>
      </c>
      <c r="T21" s="106">
        <f>-'Note Schedules'!L48</f>
        <v>133</v>
      </c>
    </row>
    <row r="22" spans="1:20" ht="18" customHeight="1">
      <c r="A22" s="73" t="s">
        <v>1322</v>
      </c>
      <c r="B22" s="73" t="s">
        <v>973</v>
      </c>
      <c r="C22" s="102">
        <f>IF('Note Schedules'!P51=0,"n.a.",'Note Schedules'!T51/'Note Schedules'!P51-1)</f>
        <v>-0.28787878787878785</v>
      </c>
      <c r="D22" s="102">
        <f>IF('Note Schedules'!Q51=0,"n.a.",'Note Schedules'!U51/'Note Schedules'!Q51-1)</f>
        <v>0.20930232558139528</v>
      </c>
      <c r="E22" s="76">
        <v>0.26669999999999999</v>
      </c>
      <c r="F22" s="76">
        <v>0.26669999999999999</v>
      </c>
      <c r="G22" s="77"/>
      <c r="H22" s="77"/>
      <c r="I22" s="97" t="s">
        <v>1430</v>
      </c>
      <c r="J22" s="97" t="s">
        <v>1012</v>
      </c>
      <c r="K22" s="106">
        <f>'Note Schedules'!C51</f>
        <v>341.6</v>
      </c>
      <c r="L22" s="106">
        <f>'Note Schedules'!D51</f>
        <v>-702.8</v>
      </c>
      <c r="M22" s="106">
        <f>'Note Schedules'!E51</f>
        <v>231.7</v>
      </c>
      <c r="N22" s="106">
        <f>'Note Schedules'!F51</f>
        <v>74.3</v>
      </c>
      <c r="O22" s="106">
        <f>'Note Schedules'!G51</f>
        <v>-267.5</v>
      </c>
      <c r="P22" s="106">
        <f>'Note Schedules'!H51</f>
        <v>-285.39999999999998</v>
      </c>
      <c r="Q22" s="106">
        <f>'Note Schedules'!I51</f>
        <v>1010</v>
      </c>
      <c r="R22" s="106">
        <f>'Note Schedules'!J51</f>
        <v>362</v>
      </c>
      <c r="S22" s="106">
        <f>'Note Schedules'!K51</f>
        <v>291</v>
      </c>
      <c r="T22" s="106">
        <f>'Note Schedules'!L51</f>
        <v>229</v>
      </c>
    </row>
    <row r="23" spans="1:20" ht="18" customHeight="1">
      <c r="A23" s="73" t="s">
        <v>1186</v>
      </c>
      <c r="B23" s="73" t="s">
        <v>1012</v>
      </c>
      <c r="C23" s="107">
        <f>-'Income Statement'!T38</f>
        <v>-11</v>
      </c>
      <c r="D23" s="107">
        <f>-'Income Statement'!U38</f>
        <v>6</v>
      </c>
      <c r="E23" s="75">
        <v>0</v>
      </c>
      <c r="F23" s="75">
        <v>0</v>
      </c>
      <c r="G23" s="74"/>
      <c r="H23" s="74"/>
      <c r="I23" s="97" t="s">
        <v>1186</v>
      </c>
      <c r="J23" s="97" t="s">
        <v>1012</v>
      </c>
      <c r="K23" s="106">
        <f>-'Income Statement'!C38</f>
        <v>6.3</v>
      </c>
      <c r="L23" s="106">
        <f>-'Income Statement'!D38</f>
        <v>-57.9</v>
      </c>
      <c r="M23" s="106">
        <f>-'Income Statement'!E38</f>
        <v>-25.3</v>
      </c>
      <c r="N23" s="106">
        <f>-'Income Statement'!F38</f>
        <v>70.2</v>
      </c>
      <c r="O23" s="106">
        <f>-'Income Statement'!G38</f>
        <v>34.799999999999997</v>
      </c>
      <c r="P23" s="106">
        <f>-'Income Statement'!H38</f>
        <v>-42.3</v>
      </c>
      <c r="Q23" s="106">
        <f>-'Income Statement'!I38</f>
        <v>-339</v>
      </c>
      <c r="R23" s="106">
        <f>-'Income Statement'!J38</f>
        <v>236</v>
      </c>
      <c r="S23" s="106">
        <f>-'Income Statement'!K38</f>
        <v>139</v>
      </c>
      <c r="T23" s="106">
        <f>-'Income Statement'!L38</f>
        <v>87</v>
      </c>
    </row>
    <row r="24" spans="1:20" ht="8" customHeight="1">
      <c r="A24" s="73"/>
      <c r="B24" s="73"/>
      <c r="C24" s="74"/>
      <c r="D24" s="74"/>
      <c r="E24" s="74"/>
      <c r="F24" s="74"/>
      <c r="G24" s="74"/>
      <c r="H24" s="74"/>
      <c r="I24" s="74"/>
      <c r="J24" s="74"/>
      <c r="K24" s="74"/>
      <c r="L24" s="74"/>
    </row>
    <row r="25" spans="1:20" ht="22" customHeight="1">
      <c r="A25" s="92" t="s">
        <v>1038</v>
      </c>
      <c r="B25" s="92" t="s">
        <v>972</v>
      </c>
      <c r="C25" s="93" t="s">
        <v>1308</v>
      </c>
      <c r="D25" s="93" t="s">
        <v>1309</v>
      </c>
      <c r="E25" s="93" t="s">
        <v>1227</v>
      </c>
      <c r="F25" s="93" t="s">
        <v>1228</v>
      </c>
      <c r="G25" s="93"/>
      <c r="H25" s="93"/>
      <c r="I25" s="124" t="s">
        <v>1431</v>
      </c>
      <c r="J25" s="126"/>
      <c r="K25" s="126"/>
      <c r="L25" s="126"/>
      <c r="M25" s="123"/>
      <c r="N25" s="123"/>
      <c r="O25" s="123"/>
      <c r="P25" s="123"/>
      <c r="Q25" s="123"/>
      <c r="R25" s="123"/>
      <c r="S25" s="123"/>
      <c r="T25" s="123"/>
    </row>
    <row r="26" spans="1:20" ht="18" customHeight="1">
      <c r="A26" s="73" t="s">
        <v>1097</v>
      </c>
      <c r="B26" s="73" t="s">
        <v>1012</v>
      </c>
      <c r="C26" s="78">
        <f t="shared" ref="C26:D28" si="1">G305</f>
        <v>1906</v>
      </c>
      <c r="D26" s="78">
        <f t="shared" si="1"/>
        <v>1886</v>
      </c>
      <c r="E26" s="78">
        <f t="shared" ref="E26:F31" si="2">C26*(1+E7)</f>
        <v>1911.7179999999998</v>
      </c>
      <c r="F26" s="78">
        <f t="shared" si="2"/>
        <v>1910.5179999999998</v>
      </c>
      <c r="G26" s="74"/>
      <c r="H26" s="74"/>
      <c r="I26" s="98" t="s">
        <v>1038</v>
      </c>
      <c r="J26" s="98" t="s">
        <v>972</v>
      </c>
      <c r="K26" s="98" t="s">
        <v>1432</v>
      </c>
      <c r="L26" s="98" t="s">
        <v>1433</v>
      </c>
      <c r="M26" s="98" t="s">
        <v>1434</v>
      </c>
      <c r="N26" s="98" t="s">
        <v>1435</v>
      </c>
      <c r="O26" s="98" t="s">
        <v>1436</v>
      </c>
      <c r="P26" s="98" t="s">
        <v>1437</v>
      </c>
      <c r="Q26" s="98" t="s">
        <v>1438</v>
      </c>
      <c r="R26" s="98" t="s">
        <v>1439</v>
      </c>
    </row>
    <row r="27" spans="1:20" ht="18" customHeight="1">
      <c r="A27" s="73" t="s">
        <v>1098</v>
      </c>
      <c r="B27" s="73" t="s">
        <v>1012</v>
      </c>
      <c r="C27" s="78">
        <f t="shared" si="1"/>
        <v>1962</v>
      </c>
      <c r="D27" s="78">
        <f t="shared" si="1"/>
        <v>1925</v>
      </c>
      <c r="E27" s="78">
        <f t="shared" si="2"/>
        <v>2040.48</v>
      </c>
      <c r="F27" s="78">
        <f t="shared" si="2"/>
        <v>2002</v>
      </c>
      <c r="G27" s="74"/>
      <c r="H27" s="74"/>
      <c r="I27" s="97" t="s">
        <v>1418</v>
      </c>
      <c r="J27" s="97" t="s">
        <v>973</v>
      </c>
      <c r="K27" s="101">
        <f>IF(C446=0,"n.a.",Segments!N83/C446-1)</f>
        <v>5.9782608695653217E-3</v>
      </c>
      <c r="L27" s="101">
        <f>IF(D446=0,"n.a.",Segments!O83/D446-1)</f>
        <v>-1.1025358324145529E-2</v>
      </c>
      <c r="M27" s="101">
        <f>IF(E446=0,"n.a.",Segments!P83/E446-1)</f>
        <v>-2.835648148148151E-2</v>
      </c>
      <c r="N27" s="101">
        <f>IF(F446=0,"n.a.",Segments!Q83/F446-1)</f>
        <v>3.483941208492114E-2</v>
      </c>
      <c r="O27" s="101">
        <f>IF(Segments!N83=0,"n.a.",Segments!R83/Segments!N83-1)</f>
        <v>2.9713668287412176E-2</v>
      </c>
      <c r="P27" s="101">
        <f>IF(Segments!O83=0,"n.a.",Segments!S83/Segments!O83-1)</f>
        <v>5.1282051282051322E-2</v>
      </c>
      <c r="Q27" s="101">
        <f>IF(Segments!P83=0,"n.a.",Segments!T83/Segments!P83-1)</f>
        <v>4.2287075640262017E-2</v>
      </c>
      <c r="R27" s="101">
        <f>IF(Segments!Q83=0,"n.a.",Segments!U83/Segments!Q83-1)</f>
        <v>2.1567596002104228E-2</v>
      </c>
    </row>
    <row r="28" spans="1:20" ht="18" customHeight="1">
      <c r="A28" s="73" t="s">
        <v>1099</v>
      </c>
      <c r="B28" s="73" t="s">
        <v>1012</v>
      </c>
      <c r="C28" s="78">
        <f t="shared" si="1"/>
        <v>496</v>
      </c>
      <c r="D28" s="78">
        <f t="shared" si="1"/>
        <v>500</v>
      </c>
      <c r="E28" s="78">
        <f t="shared" si="2"/>
        <v>533.19999999999993</v>
      </c>
      <c r="F28" s="78">
        <f t="shared" si="2"/>
        <v>535</v>
      </c>
      <c r="G28" s="74"/>
      <c r="H28" s="74"/>
      <c r="I28" s="97" t="s">
        <v>1420</v>
      </c>
      <c r="J28" s="97" t="s">
        <v>973</v>
      </c>
      <c r="K28" s="101">
        <f>IF(C447=0,"n.a.",Segments!N84/C447-1)</f>
        <v>2.4741081703107071E-2</v>
      </c>
      <c r="L28" s="101">
        <f>IF(D447=0,"n.a.",Segments!O84/D447-1)</f>
        <v>2.8313253012048234E-2</v>
      </c>
      <c r="M28" s="101">
        <f>IF(E447=0,"n.a.",Segments!P84/E447-1)</f>
        <v>-1.9558359621451138E-2</v>
      </c>
      <c r="N28" s="101">
        <f>IF(F447=0,"n.a.",Segments!Q84/F447-1)</f>
        <v>9.9222952779438156E-2</v>
      </c>
      <c r="O28" s="101">
        <f>IF(Segments!N84=0,"n.a.",Segments!R84/Segments!N84-1)</f>
        <v>0.10162829870859058</v>
      </c>
      <c r="P28" s="101">
        <f>IF(Segments!O84=0,"n.a.",Segments!S84/Segments!O84-1)</f>
        <v>0.12770943175161098</v>
      </c>
      <c r="Q28" s="101">
        <f>IF(Segments!P84=0,"n.a.",Segments!T84/Segments!P84-1)</f>
        <v>0.14671814671814665</v>
      </c>
      <c r="R28" s="101">
        <f>IF(Segments!Q84=0,"n.a.",Segments!U84/Segments!Q84-1)</f>
        <v>5.2746057640021826E-2</v>
      </c>
    </row>
    <row r="29" spans="1:20" ht="18" customHeight="1">
      <c r="A29" s="73" t="s">
        <v>1101</v>
      </c>
      <c r="B29" s="73" t="s">
        <v>1012</v>
      </c>
      <c r="C29" s="78">
        <f t="shared" ref="C29:D31" si="3">G305-G313</f>
        <v>325</v>
      </c>
      <c r="D29" s="78">
        <f t="shared" si="3"/>
        <v>325</v>
      </c>
      <c r="E29" s="78">
        <f t="shared" si="2"/>
        <v>328.25</v>
      </c>
      <c r="F29" s="78">
        <f t="shared" si="2"/>
        <v>328.25</v>
      </c>
      <c r="G29" s="74"/>
      <c r="H29" s="74"/>
      <c r="I29" s="97" t="s">
        <v>1421</v>
      </c>
      <c r="J29" s="97" t="s">
        <v>973</v>
      </c>
      <c r="K29" s="101">
        <f>IF(C448=0,"n.a.",Segments!N85/C448-1)</f>
        <v>-1.4957264957264904E-2</v>
      </c>
      <c r="L29" s="101">
        <f>IF(D448=0,"n.a.",Segments!O85/D448-1)</f>
        <v>0.15949367088607591</v>
      </c>
      <c r="M29" s="101">
        <f>IF(E448=0,"n.a.",Segments!P85/E448-1)</f>
        <v>4.8899755501222497E-2</v>
      </c>
      <c r="N29" s="101">
        <f>IF(F448=0,"n.a.",Segments!Q85/F448-1)</f>
        <v>0.10000000000000009</v>
      </c>
      <c r="O29" s="101">
        <f>IF(Segments!N85=0,"n.a.",Segments!R85/Segments!N85-1)</f>
        <v>7.5921908893709311E-2</v>
      </c>
      <c r="P29" s="101">
        <f>IF(Segments!O85=0,"n.a.",Segments!S85/Segments!O85-1)</f>
        <v>9.1703056768559055E-2</v>
      </c>
      <c r="Q29" s="101">
        <f>IF(Segments!P85=0,"n.a.",Segments!T85/Segments!P85-1)</f>
        <v>0.10955710955710951</v>
      </c>
      <c r="R29" s="101">
        <f>IF(Segments!Q85=0,"n.a.",Segments!U85/Segments!Q85-1)</f>
        <v>8.8794926004228225E-2</v>
      </c>
    </row>
    <row r="30" spans="1:20" ht="18" customHeight="1">
      <c r="A30" s="73" t="s">
        <v>1102</v>
      </c>
      <c r="B30" s="73" t="s">
        <v>1012</v>
      </c>
      <c r="C30" s="78">
        <f>G436</f>
        <v>341</v>
      </c>
      <c r="D30" s="78">
        <f>H436</f>
        <v>353</v>
      </c>
      <c r="E30" s="78">
        <f t="shared" si="2"/>
        <v>364.87</v>
      </c>
      <c r="F30" s="78">
        <f t="shared" si="2"/>
        <v>370.65000000000003</v>
      </c>
      <c r="G30" s="74"/>
      <c r="H30" s="74"/>
      <c r="I30" s="97" t="s">
        <v>1422</v>
      </c>
      <c r="J30" s="97" t="s">
        <v>973</v>
      </c>
      <c r="K30" s="100">
        <f t="shared" ref="K30:N31" si="4">IF(C449=0,"n.a.",C435/C449-1)</f>
        <v>1.2422360248447228E-2</v>
      </c>
      <c r="L30" s="100">
        <f t="shared" si="4"/>
        <v>-1.2269938650306789E-2</v>
      </c>
      <c r="M30" s="100">
        <f t="shared" si="4"/>
        <v>-1.5432098765432056E-2</v>
      </c>
      <c r="N30" s="100">
        <f t="shared" si="4"/>
        <v>9.3167701863354768E-3</v>
      </c>
      <c r="O30" s="100">
        <f t="shared" ref="O30:R31" si="5">IF(C435=0,"n.a.",G435/C435-1)</f>
        <v>-3.0674846625766694E-3</v>
      </c>
      <c r="P30" s="100">
        <f t="shared" si="5"/>
        <v>9.3167701863354768E-3</v>
      </c>
      <c r="Q30" s="100">
        <f t="shared" si="5"/>
        <v>1.2539184952978122E-2</v>
      </c>
      <c r="R30" s="100">
        <f t="shared" si="5"/>
        <v>-1.538461538461533E-2</v>
      </c>
    </row>
    <row r="31" spans="1:20" ht="18" customHeight="1">
      <c r="A31" s="73" t="s">
        <v>1103</v>
      </c>
      <c r="B31" s="73" t="s">
        <v>1012</v>
      </c>
      <c r="C31" s="78">
        <f t="shared" si="3"/>
        <v>0</v>
      </c>
      <c r="D31" s="78">
        <f t="shared" si="3"/>
        <v>0</v>
      </c>
      <c r="E31" s="78">
        <f t="shared" si="2"/>
        <v>0</v>
      </c>
      <c r="F31" s="78">
        <f t="shared" si="2"/>
        <v>0</v>
      </c>
      <c r="G31" s="74"/>
      <c r="H31" s="74"/>
      <c r="I31" s="97" t="s">
        <v>1423</v>
      </c>
      <c r="J31" s="97" t="s">
        <v>973</v>
      </c>
      <c r="K31" s="100">
        <f t="shared" si="4"/>
        <v>6.7114093959731447E-2</v>
      </c>
      <c r="L31" s="100">
        <f t="shared" si="4"/>
        <v>3.3112582781456901E-2</v>
      </c>
      <c r="M31" s="100">
        <f t="shared" si="4"/>
        <v>1.0067114093959662E-2</v>
      </c>
      <c r="N31" s="100">
        <f t="shared" si="4"/>
        <v>8.2508250825082508E-2</v>
      </c>
      <c r="O31" s="100">
        <f t="shared" si="5"/>
        <v>7.2327044025157328E-2</v>
      </c>
      <c r="P31" s="100">
        <f t="shared" si="5"/>
        <v>0.13141025641025639</v>
      </c>
      <c r="Q31" s="100">
        <f t="shared" si="5"/>
        <v>0.1727574750830565</v>
      </c>
      <c r="R31" s="100">
        <f t="shared" si="5"/>
        <v>9.4512195121951192E-2</v>
      </c>
    </row>
    <row r="32" spans="1:20" ht="18" customHeight="1">
      <c r="A32" s="73" t="s">
        <v>1104</v>
      </c>
      <c r="B32" s="73" t="s">
        <v>1012</v>
      </c>
      <c r="C32" s="78">
        <f t="shared" ref="C32:D34" si="6">G320</f>
        <v>13376</v>
      </c>
      <c r="D32" s="78">
        <f t="shared" si="6"/>
        <v>13568</v>
      </c>
      <c r="E32" s="78">
        <f t="shared" ref="E32:F34" si="7">C32*(1+E7)</f>
        <v>13416.127999999999</v>
      </c>
      <c r="F32" s="78">
        <f t="shared" si="7"/>
        <v>13744.383999999998</v>
      </c>
      <c r="G32" s="74"/>
      <c r="H32" s="74"/>
      <c r="I32" s="97" t="s">
        <v>1424</v>
      </c>
      <c r="J32" s="97" t="s">
        <v>1012</v>
      </c>
      <c r="K32" s="99">
        <f t="shared" ref="K32:R32" si="8">C437</f>
        <v>2</v>
      </c>
      <c r="L32" s="99">
        <f t="shared" si="8"/>
        <v>0</v>
      </c>
      <c r="M32" s="99">
        <f t="shared" si="8"/>
        <v>0</v>
      </c>
      <c r="N32" s="99">
        <f t="shared" si="8"/>
        <v>0</v>
      </c>
      <c r="O32" s="99">
        <f t="shared" si="8"/>
        <v>0</v>
      </c>
      <c r="P32" s="99">
        <f t="shared" si="8"/>
        <v>0</v>
      </c>
      <c r="Q32" s="99">
        <f t="shared" si="8"/>
        <v>0</v>
      </c>
      <c r="R32" s="99">
        <f t="shared" si="8"/>
        <v>0</v>
      </c>
    </row>
    <row r="33" spans="1:20" ht="18" customHeight="1">
      <c r="A33" s="73" t="s">
        <v>1105</v>
      </c>
      <c r="B33" s="73" t="s">
        <v>1012</v>
      </c>
      <c r="C33" s="78">
        <f t="shared" si="6"/>
        <v>11439</v>
      </c>
      <c r="D33" s="78">
        <f t="shared" si="6"/>
        <v>11305</v>
      </c>
      <c r="E33" s="78">
        <f t="shared" si="7"/>
        <v>11896.560000000001</v>
      </c>
      <c r="F33" s="78">
        <f t="shared" si="7"/>
        <v>11757.2</v>
      </c>
      <c r="G33" s="74"/>
      <c r="H33" s="74"/>
      <c r="I33" s="97" t="s">
        <v>1425</v>
      </c>
      <c r="J33" s="97" t="s">
        <v>973</v>
      </c>
      <c r="K33" s="101">
        <f>IF(C451=0,"n.a.",'Income Statement'!N14/C451-1)</f>
        <v>3.9123630672926346E-2</v>
      </c>
      <c r="L33" s="101">
        <f>IF(D451=0,"n.a.",'Income Statement'!O14/D451-1)</f>
        <v>-6.6289409862570703E-2</v>
      </c>
      <c r="M33" s="101">
        <f>IF(E451=0,"n.a.",'Income Statement'!P14/E451-1)</f>
        <v>-9.4692144373673015E-2</v>
      </c>
      <c r="N33" s="101">
        <f>IF(F451=0,"n.a.",'Income Statement'!Q14/F451-1)</f>
        <v>-1.2190166598943231E-3</v>
      </c>
      <c r="O33" s="101">
        <f>IF('Income Statement'!N14=0,"n.a.",'Income Statement'!R14/'Income Statement'!N14-1)</f>
        <v>-3.5015060240963902E-2</v>
      </c>
      <c r="P33" s="101">
        <f>IF('Income Statement'!O14=0,"n.a.",'Income Statement'!S14/'Income Statement'!O14-1)</f>
        <v>9.7835497835497831E-2</v>
      </c>
      <c r="Q33" s="101">
        <f>IF('Income Statement'!P14=0,"n.a.",'Income Statement'!T14/'Income Statement'!P14-1)</f>
        <v>8.6772983114446589E-2</v>
      </c>
      <c r="R33" s="101">
        <f>IF('Income Statement'!Q14=0,"n.a.",'Income Statement'!U14/'Income Statement'!Q14-1)</f>
        <v>2.7257933279088764E-2</v>
      </c>
    </row>
    <row r="34" spans="1:20" ht="18" customHeight="1">
      <c r="A34" s="73" t="s">
        <v>1106</v>
      </c>
      <c r="B34" s="73" t="s">
        <v>1012</v>
      </c>
      <c r="C34" s="78">
        <f t="shared" si="6"/>
        <v>9279</v>
      </c>
      <c r="D34" s="78">
        <f t="shared" si="6"/>
        <v>9146</v>
      </c>
      <c r="E34" s="78">
        <f t="shared" si="7"/>
        <v>9974.9249999999993</v>
      </c>
      <c r="F34" s="78">
        <f t="shared" si="7"/>
        <v>9786.2200000000012</v>
      </c>
      <c r="G34" s="74"/>
      <c r="H34" s="74"/>
      <c r="I34" s="97" t="s">
        <v>1426</v>
      </c>
      <c r="J34" s="97" t="s">
        <v>973</v>
      </c>
      <c r="K34" s="101">
        <f>Segments!N121</f>
        <v>0.15323795180722891</v>
      </c>
      <c r="L34" s="101">
        <f>Segments!O121</f>
        <v>0.14415584415584415</v>
      </c>
      <c r="M34" s="101">
        <f>Segments!P121</f>
        <v>0.12804878048780488</v>
      </c>
      <c r="N34" s="101">
        <f>Segments!Q121</f>
        <v>0.15459723352318958</v>
      </c>
      <c r="O34" s="101">
        <f>Segments!R121</f>
        <v>0.15255559890753023</v>
      </c>
      <c r="P34" s="101">
        <f>Segments!S121</f>
        <v>0.14911242603550295</v>
      </c>
      <c r="Q34" s="101">
        <f>Segments!T121</f>
        <v>0.12300388433318947</v>
      </c>
      <c r="R34" s="101">
        <f>Segments!U121</f>
        <v>0.15326732673267326</v>
      </c>
    </row>
    <row r="35" spans="1:20" ht="18" customHeight="1">
      <c r="A35" s="73" t="s">
        <v>1324</v>
      </c>
      <c r="B35" s="73" t="s">
        <v>1012</v>
      </c>
      <c r="C35" s="79">
        <f>'Income Statement'!R14</f>
        <v>2563</v>
      </c>
      <c r="D35" s="79">
        <f>'Income Statement'!S14</f>
        <v>2536</v>
      </c>
      <c r="E35" s="78">
        <f>C35*(1+E13)</f>
        <v>2627.0749999999998</v>
      </c>
      <c r="F35" s="78">
        <f>D35*(1+F13)</f>
        <v>2599.3999999999996</v>
      </c>
      <c r="G35" s="74"/>
      <c r="H35" s="74"/>
      <c r="I35" s="97" t="s">
        <v>1178</v>
      </c>
      <c r="J35" s="97" t="s">
        <v>973</v>
      </c>
      <c r="K35" s="109">
        <f>'Income Statement'!N30/'Operating Metrics'!N49</f>
        <v>1.9035570331577864E-2</v>
      </c>
      <c r="L35" s="109">
        <f>'Income Statement'!O30/'Operating Metrics'!O49</f>
        <v>2.4306505028408226E-2</v>
      </c>
      <c r="M35" s="109">
        <f>'Income Statement'!P30/'Operating Metrics'!P49</f>
        <v>2.2045513317817428E-2</v>
      </c>
      <c r="N35" s="109">
        <f>'Income Statement'!Q30/'Operating Metrics'!Q49</f>
        <v>1.990459424158101E-2</v>
      </c>
      <c r="O35" s="109">
        <f>'Income Statement'!R30/'Operating Metrics'!R49</f>
        <v>2.1415320820602358E-2</v>
      </c>
      <c r="P35" s="109">
        <f>'Income Statement'!S30/'Operating Metrics'!S49</f>
        <v>2.3881821912187115E-2</v>
      </c>
      <c r="Q35" s="109">
        <f>'Income Statement'!T30/'Operating Metrics'!T49</f>
        <v>2.2170941169597475E-2</v>
      </c>
      <c r="R35" s="109">
        <f>'Income Statement'!U30/'Operating Metrics'!U49</f>
        <v>2.2095413241021204E-2</v>
      </c>
    </row>
    <row r="36" spans="1:20" ht="18" customHeight="1">
      <c r="A36" s="73" t="s">
        <v>1056</v>
      </c>
      <c r="B36" s="73" t="s">
        <v>1012</v>
      </c>
      <c r="C36" s="78">
        <f>G319</f>
        <v>391</v>
      </c>
      <c r="D36" s="78">
        <f>H319</f>
        <v>378</v>
      </c>
      <c r="E36" s="78">
        <f>E35*E14</f>
        <v>386.18002499999994</v>
      </c>
      <c r="F36" s="78">
        <f>F35*F14</f>
        <v>382.1117999999999</v>
      </c>
      <c r="G36" s="74"/>
      <c r="H36" s="74"/>
      <c r="I36" s="97" t="s">
        <v>1179</v>
      </c>
      <c r="J36" s="97" t="s">
        <v>973</v>
      </c>
      <c r="K36" s="101">
        <f>IF(C452=0,"n.a.",'Income Statement'!N37/C452-1)</f>
        <v>0.11730205278592365</v>
      </c>
      <c r="L36" s="101">
        <f>IF(D452=0,"n.a.",'Income Statement'!O37/D452-1)</f>
        <v>5.555555555555558E-2</v>
      </c>
      <c r="M36" s="101">
        <f>IF(E452=0,"n.a.",'Income Statement'!P37/E452-1)</f>
        <v>1.0752688172043001E-2</v>
      </c>
      <c r="N36" s="101">
        <f>IF(F452=0,"n.a.",'Income Statement'!Q37/F452-1)</f>
        <v>4.5576407506702443E-2</v>
      </c>
      <c r="O36" s="101">
        <f>IF('Income Statement'!N37=0,"n.a.",'Income Statement'!R37/'Income Statement'!N37-1)</f>
        <v>6.5616797900262425E-2</v>
      </c>
      <c r="P36" s="101">
        <f>IF('Income Statement'!O37=0,"n.a.",'Income Statement'!S37/'Income Statement'!O37-1)</f>
        <v>7.8947368421052655E-2</v>
      </c>
      <c r="Q36" s="101">
        <f>IF('Income Statement'!P37=0,"n.a.",'Income Statement'!T37/'Income Statement'!P37-1)</f>
        <v>6.3829787234042534E-2</v>
      </c>
      <c r="R36" s="101">
        <f>IF('Income Statement'!Q37=0,"n.a.",'Income Statement'!U37/'Income Statement'!Q37-1)</f>
        <v>4.8717948717948767E-2</v>
      </c>
    </row>
    <row r="37" spans="1:20" ht="18" customHeight="1">
      <c r="A37" s="73" t="s">
        <v>1323</v>
      </c>
      <c r="B37" s="73" t="s">
        <v>1012</v>
      </c>
      <c r="C37" s="78">
        <f>G316</f>
        <v>3697</v>
      </c>
      <c r="D37" s="78">
        <f>H316</f>
        <v>3632</v>
      </c>
      <c r="E37" s="78">
        <f>SUM(E26:E28)-SUM(E29:E31)</f>
        <v>3792.2780000000002</v>
      </c>
      <c r="F37" s="78">
        <f>SUM(F26:F28)-SUM(F29:F31)</f>
        <v>3748.6179999999999</v>
      </c>
      <c r="G37" s="74"/>
      <c r="H37" s="74"/>
      <c r="I37" s="97" t="s">
        <v>1059</v>
      </c>
      <c r="J37" s="97" t="s">
        <v>973</v>
      </c>
      <c r="K37" s="100">
        <f t="shared" ref="K37:R37" si="9">C438</f>
        <v>0.20699999999999999</v>
      </c>
      <c r="L37" s="100">
        <f t="shared" si="9"/>
        <v>0.20499999999999999</v>
      </c>
      <c r="M37" s="100">
        <f t="shared" si="9"/>
        <v>0.19800000000000001</v>
      </c>
      <c r="N37" s="100">
        <f t="shared" si="9"/>
        <v>0.21299999999999999</v>
      </c>
      <c r="O37" s="100">
        <f t="shared" si="9"/>
        <v>0.22800000000000001</v>
      </c>
      <c r="P37" s="100">
        <f t="shared" si="9"/>
        <v>0.215</v>
      </c>
      <c r="Q37" s="100">
        <f t="shared" si="9"/>
        <v>0.22</v>
      </c>
      <c r="R37" s="100">
        <f t="shared" si="9"/>
        <v>0.19500000000000001</v>
      </c>
    </row>
    <row r="38" spans="1:20" ht="18" customHeight="1">
      <c r="A38" s="73" t="s">
        <v>1192</v>
      </c>
      <c r="B38" s="73" t="s">
        <v>1012</v>
      </c>
      <c r="C38" s="78">
        <f>G323+C35</f>
        <v>36656</v>
      </c>
      <c r="D38" s="78">
        <f>H323+D35</f>
        <v>36555</v>
      </c>
      <c r="E38" s="78">
        <f>SUM(E32:E34)+E35</f>
        <v>37914.687999999995</v>
      </c>
      <c r="F38" s="78">
        <f>SUM(F32:F34)+F35</f>
        <v>37887.204000000005</v>
      </c>
      <c r="G38" s="74"/>
      <c r="H38" s="74"/>
      <c r="I38" s="97" t="s">
        <v>1181</v>
      </c>
      <c r="J38" s="97" t="s">
        <v>973</v>
      </c>
      <c r="K38" s="101">
        <f>IF(C453=0,"n.a.",-'Note Schedules'!N49/C453-1)</f>
        <v>4.0000000000000036E-2</v>
      </c>
      <c r="L38" s="101">
        <f>IF(D453=0,"n.a.",-'Note Schedules'!O49/D453-1)</f>
        <v>-0.54838709677419351</v>
      </c>
      <c r="M38" s="101">
        <f>IF(E453=0,"n.a.",-'Note Schedules'!P49/E453-1)</f>
        <v>0.37777777777777777</v>
      </c>
      <c r="N38" s="101">
        <f>IF(F453=0,"n.a.",-'Note Schedules'!Q49/F453-1)</f>
        <v>0.19999999999999996</v>
      </c>
      <c r="O38" s="101">
        <f>IF('Note Schedules'!N49=0,"n.a.",'Note Schedules'!R49/'Note Schedules'!N49-1)</f>
        <v>0.21153846153846145</v>
      </c>
      <c r="P38" s="101">
        <f>IF('Note Schedules'!O49=0,"n.a.",'Note Schedules'!S49/'Note Schedules'!O49-1)</f>
        <v>-0.2857142857142857</v>
      </c>
      <c r="Q38" s="101">
        <f>IF('Note Schedules'!P49=0,"n.a.",'Note Schedules'!T49/'Note Schedules'!P49-1)</f>
        <v>0</v>
      </c>
      <c r="R38" s="101">
        <f>IF('Note Schedules'!Q49=0,"n.a.",'Note Schedules'!U49/'Note Schedules'!Q49-1)</f>
        <v>0.11111111111111116</v>
      </c>
    </row>
    <row r="39" spans="1:20" ht="18" customHeight="1">
      <c r="A39" s="73" t="s">
        <v>718</v>
      </c>
      <c r="B39" s="73" t="s">
        <v>1012</v>
      </c>
      <c r="C39" s="79">
        <f>'Income Statement'!R30</f>
        <v>785</v>
      </c>
      <c r="D39" s="79">
        <f>'Income Statement'!S30</f>
        <v>873</v>
      </c>
      <c r="E39" s="78">
        <f>E38*E15</f>
        <v>834.12313599999982</v>
      </c>
      <c r="F39" s="78">
        <f>F38*F15</f>
        <v>833.51848800000005</v>
      </c>
      <c r="G39" s="74"/>
      <c r="H39" s="74"/>
      <c r="I39" s="97" t="s">
        <v>1320</v>
      </c>
      <c r="J39" s="97" t="s">
        <v>973</v>
      </c>
      <c r="K39" s="101">
        <f>IF(C454=0,"n.a.",('Income Statement'!N16-'Income Statement'!N26)/C454-1)</f>
        <v>-4.7619047619047672E-2</v>
      </c>
      <c r="L39" s="101">
        <f>IF(D454=0,"n.a.",('Income Statement'!O16-'Income Statement'!O26)/D454-1)</f>
        <v>5.0000000000000044E-2</v>
      </c>
      <c r="M39" s="101">
        <f>IF(E454=0,"n.a.",('Income Statement'!P16-'Income Statement'!P26)/E454-1)</f>
        <v>-4.3478260869565188E-2</v>
      </c>
      <c r="N39" s="101">
        <f>IF(F454=0,"n.a.",('Income Statement'!Q16-'Income Statement'!Q26)/F454-1)</f>
        <v>0.14999999999999991</v>
      </c>
      <c r="O39" s="101">
        <f>IF(('Income Statement'!N16-'Income Statement'!N26)=0,"n.a.",('Income Statement'!R16-'Income Statement'!R26)/('Income Statement'!N16-'Income Statement'!N26)-1)</f>
        <v>-0.19999999999999996</v>
      </c>
      <c r="P39" s="101">
        <f>IF(('Income Statement'!O16-'Income Statement'!O26)=0,"n.a.",('Income Statement'!S16-'Income Statement'!S26)/('Income Statement'!O16-'Income Statement'!O26)-1)</f>
        <v>4.7619047619047672E-2</v>
      </c>
      <c r="Q39" s="101">
        <f>IF(('Income Statement'!P16-'Income Statement'!P26)=0,"n.a.",('Income Statement'!T16-'Income Statement'!T26)/('Income Statement'!P16-'Income Statement'!P26)-1)</f>
        <v>0.22727272727272729</v>
      </c>
      <c r="R39" s="101">
        <f>IF(('Income Statement'!Q16-'Income Statement'!Q26)=0,"n.a.",('Income Statement'!U16-'Income Statement'!U26)/('Income Statement'!Q16-'Income Statement'!Q26)-1)</f>
        <v>-0.17391304347826086</v>
      </c>
    </row>
    <row r="40" spans="1:20" ht="18" customHeight="1">
      <c r="A40" s="73" t="s">
        <v>1326</v>
      </c>
      <c r="B40" s="73" t="s">
        <v>1012</v>
      </c>
      <c r="C40" s="79">
        <f>'Income Statement'!R16-'Income Statement'!R26</f>
        <v>16</v>
      </c>
      <c r="D40" s="79">
        <f>'Income Statement'!S16-'Income Statement'!S26</f>
        <v>22</v>
      </c>
      <c r="E40" s="78">
        <f>C40*(1+E19)</f>
        <v>16</v>
      </c>
      <c r="F40" s="78">
        <f>D40*(1+F19)</f>
        <v>22</v>
      </c>
      <c r="G40" s="74"/>
      <c r="H40" s="74"/>
      <c r="I40" s="97" t="s">
        <v>1429</v>
      </c>
      <c r="J40" s="97" t="s">
        <v>1012</v>
      </c>
      <c r="K40" s="106">
        <f>'Note Schedules'!N50</f>
        <v>2</v>
      </c>
      <c r="L40" s="106">
        <f>'Note Schedules'!O50</f>
        <v>93</v>
      </c>
      <c r="M40" s="106">
        <f>'Note Schedules'!P50</f>
        <v>11</v>
      </c>
      <c r="N40" s="106">
        <f>'Note Schedules'!Q50</f>
        <v>48</v>
      </c>
      <c r="O40" s="106">
        <f>'Note Schedules'!R50</f>
        <v>21</v>
      </c>
      <c r="P40" s="106">
        <f>'Note Schedules'!S50</f>
        <v>16</v>
      </c>
      <c r="Q40" s="106">
        <f>'Note Schedules'!T50</f>
        <v>-24</v>
      </c>
      <c r="R40" s="106">
        <f>'Note Schedules'!U50</f>
        <v>10</v>
      </c>
    </row>
    <row r="41" spans="1:20" ht="18" customHeight="1">
      <c r="A41" s="73" t="s">
        <v>1327</v>
      </c>
      <c r="B41" s="73" t="s">
        <v>1012</v>
      </c>
      <c r="C41" s="78">
        <f>-G325</f>
        <v>63</v>
      </c>
      <c r="D41" s="78">
        <f>-H325</f>
        <v>10</v>
      </c>
      <c r="E41" s="78">
        <f>C41*(1+E18)</f>
        <v>66.150000000000006</v>
      </c>
      <c r="F41" s="78">
        <f>D41*(1+F18)</f>
        <v>10.5</v>
      </c>
      <c r="G41" s="74"/>
      <c r="H41" s="74"/>
      <c r="I41" s="97" t="s">
        <v>1185</v>
      </c>
      <c r="J41" s="97" t="s">
        <v>1012</v>
      </c>
      <c r="K41" s="106">
        <f>-'Note Schedules'!N48</f>
        <v>9</v>
      </c>
      <c r="L41" s="106">
        <f>-'Note Schedules'!O48</f>
        <v>72</v>
      </c>
      <c r="M41" s="106">
        <f>-'Note Schedules'!P48</f>
        <v>8</v>
      </c>
      <c r="N41" s="106">
        <f>-'Note Schedules'!Q48</f>
        <v>7</v>
      </c>
      <c r="O41" s="106">
        <f>-'Note Schedules'!R48</f>
        <v>35</v>
      </c>
      <c r="P41" s="106">
        <f>-'Note Schedules'!S48</f>
        <v>83</v>
      </c>
      <c r="Q41" s="106">
        <f>-'Note Schedules'!T48</f>
        <v>30</v>
      </c>
      <c r="R41" s="106">
        <f>-'Note Schedules'!U48</f>
        <v>40</v>
      </c>
    </row>
    <row r="42" spans="1:20" ht="18" customHeight="1">
      <c r="A42" s="73" t="s">
        <v>1189</v>
      </c>
      <c r="B42" s="73" t="s">
        <v>1012</v>
      </c>
      <c r="C42" s="78">
        <f>-G324</f>
        <v>35</v>
      </c>
      <c r="D42" s="78">
        <f>-H324</f>
        <v>83</v>
      </c>
      <c r="E42" s="78">
        <f>C42*(1+E21)</f>
        <v>35</v>
      </c>
      <c r="F42" s="78">
        <f>D42*(1+F21)</f>
        <v>83</v>
      </c>
      <c r="G42" s="74"/>
      <c r="H42" s="74"/>
      <c r="I42" s="97" t="s">
        <v>1430</v>
      </c>
      <c r="J42" s="97" t="s">
        <v>1012</v>
      </c>
      <c r="K42" s="106">
        <f>'Note Schedules'!N51</f>
        <v>98</v>
      </c>
      <c r="L42" s="106">
        <f>'Note Schedules'!O51</f>
        <v>4</v>
      </c>
      <c r="M42" s="106">
        <f>'Note Schedules'!P51</f>
        <v>66</v>
      </c>
      <c r="N42" s="106">
        <f>'Note Schedules'!Q51</f>
        <v>43</v>
      </c>
      <c r="O42" s="106">
        <f>'Note Schedules'!R51</f>
        <v>39</v>
      </c>
      <c r="P42" s="106">
        <f>'Note Schedules'!S51</f>
        <v>81</v>
      </c>
      <c r="Q42" s="106">
        <f>'Note Schedules'!T51</f>
        <v>47</v>
      </c>
      <c r="R42" s="106">
        <f>'Note Schedules'!U51</f>
        <v>52</v>
      </c>
    </row>
    <row r="43" spans="1:20" ht="18" customHeight="1">
      <c r="A43" s="73" t="s">
        <v>1190</v>
      </c>
      <c r="B43" s="73" t="s">
        <v>1012</v>
      </c>
      <c r="C43" s="78">
        <f>G326</f>
        <v>21</v>
      </c>
      <c r="D43" s="78">
        <f>H326</f>
        <v>16</v>
      </c>
      <c r="E43" s="78">
        <f>C43*(1+E20)</f>
        <v>21</v>
      </c>
      <c r="F43" s="78">
        <f>D43*(1+F20)</f>
        <v>16</v>
      </c>
      <c r="G43" s="74"/>
      <c r="H43" s="74"/>
      <c r="I43" s="97" t="s">
        <v>1186</v>
      </c>
      <c r="J43" s="97" t="s">
        <v>1012</v>
      </c>
      <c r="K43" s="106">
        <f>-'Income Statement'!N38</f>
        <v>36</v>
      </c>
      <c r="L43" s="106">
        <f>-'Income Statement'!O38</f>
        <v>49</v>
      </c>
      <c r="M43" s="106">
        <f>-'Income Statement'!P38</f>
        <v>57</v>
      </c>
      <c r="N43" s="106">
        <f>-'Income Statement'!Q38</f>
        <v>18</v>
      </c>
      <c r="O43" s="106">
        <f>-'Income Statement'!R38</f>
        <v>-1</v>
      </c>
      <c r="P43" s="106">
        <f>-'Income Statement'!S38</f>
        <v>12</v>
      </c>
      <c r="Q43" s="106">
        <f>-'Income Statement'!T38</f>
        <v>-11</v>
      </c>
      <c r="R43" s="106">
        <f>-'Income Statement'!U38</f>
        <v>6</v>
      </c>
    </row>
    <row r="44" spans="1:20" ht="18" customHeight="1">
      <c r="A44" s="73" t="s">
        <v>1184</v>
      </c>
      <c r="B44" s="73" t="s">
        <v>1012</v>
      </c>
      <c r="C44" s="78">
        <f>G327</f>
        <v>39</v>
      </c>
      <c r="D44" s="78">
        <f>H327</f>
        <v>81</v>
      </c>
      <c r="E44" s="78">
        <f>C44*(1+E22)</f>
        <v>49.401299999999999</v>
      </c>
      <c r="F44" s="78">
        <f>D44*(1+F22)</f>
        <v>102.6027</v>
      </c>
      <c r="G44" s="74"/>
      <c r="H44" s="74"/>
      <c r="I44" s="74"/>
      <c r="J44" s="74"/>
      <c r="K44" s="74"/>
      <c r="L44" s="74"/>
    </row>
    <row r="45" spans="1:20" ht="18" customHeight="1">
      <c r="A45" s="73" t="s">
        <v>1193</v>
      </c>
      <c r="B45" s="73" t="s">
        <v>1012</v>
      </c>
      <c r="C45" s="78">
        <f>C40+C41+C42-C43-C44</f>
        <v>54</v>
      </c>
      <c r="D45" s="78">
        <f>D40+D41+D42-D43-D44</f>
        <v>18</v>
      </c>
      <c r="E45" s="78">
        <f>E40+E41+E42-E43-E44</f>
        <v>46.748700000000007</v>
      </c>
      <c r="F45" s="78">
        <f>F40+F41+F42-F43-F44</f>
        <v>-3.1026999999999987</v>
      </c>
      <c r="G45" s="74"/>
      <c r="H45" s="74"/>
      <c r="I45" s="124" t="s">
        <v>1440</v>
      </c>
      <c r="J45" s="127"/>
      <c r="K45" s="127"/>
      <c r="L45" s="127"/>
      <c r="M45" s="123"/>
      <c r="N45" s="123"/>
      <c r="O45" s="123"/>
      <c r="P45" s="123"/>
      <c r="Q45" s="123"/>
      <c r="R45" s="123"/>
      <c r="S45" s="123"/>
      <c r="T45" s="123"/>
    </row>
    <row r="46" spans="1:20" ht="18" customHeight="1">
      <c r="A46" s="80" t="s">
        <v>1057</v>
      </c>
      <c r="B46" s="80" t="s">
        <v>1012</v>
      </c>
      <c r="C46" s="81">
        <f>'Income Statement'!R33</f>
        <v>3357</v>
      </c>
      <c r="D46" s="81">
        <f>'Income Statement'!S33</f>
        <v>3156</v>
      </c>
      <c r="E46" s="82">
        <f>E37+E36-E39+E45</f>
        <v>3391.0835890000003</v>
      </c>
      <c r="F46" s="82">
        <f>F37+F36-F39+F45</f>
        <v>3294.108612</v>
      </c>
      <c r="G46" s="83"/>
      <c r="H46" s="83"/>
      <c r="I46" s="98" t="s">
        <v>1038</v>
      </c>
      <c r="J46" s="98" t="s">
        <v>972</v>
      </c>
      <c r="K46" s="98" t="s">
        <v>1432</v>
      </c>
      <c r="L46" s="98" t="s">
        <v>1433</v>
      </c>
      <c r="M46" s="98" t="s">
        <v>1434</v>
      </c>
      <c r="N46" s="98" t="s">
        <v>1435</v>
      </c>
      <c r="O46" s="98" t="s">
        <v>1436</v>
      </c>
      <c r="P46" s="98" t="s">
        <v>1437</v>
      </c>
      <c r="Q46" s="98" t="s">
        <v>1438</v>
      </c>
      <c r="R46" s="98" t="s">
        <v>1439</v>
      </c>
    </row>
    <row r="47" spans="1:20" ht="18" customHeight="1">
      <c r="A47" s="73" t="s">
        <v>1058</v>
      </c>
      <c r="B47" s="73" t="s">
        <v>1012</v>
      </c>
      <c r="C47" s="79">
        <f>'Income Statement'!R37</f>
        <v>406</v>
      </c>
      <c r="D47" s="79">
        <f>'Income Statement'!S37</f>
        <v>410</v>
      </c>
      <c r="E47" s="79">
        <f>('Income Statement'!L37*(1+$G$16)-SUM('Income Statement'!T37:U37))*C47/SUM($C$47:$D$47)</f>
        <v>423.96151960784317</v>
      </c>
      <c r="F47" s="79">
        <f>('Income Statement'!L37*(1+$G$16)-SUM('Income Statement'!T37:U37))*D47/SUM($C$47:$D$47)</f>
        <v>428.13848039215691</v>
      </c>
      <c r="G47" s="74"/>
      <c r="H47" s="74"/>
      <c r="I47" s="97" t="s">
        <v>1188</v>
      </c>
      <c r="J47" s="97" t="s">
        <v>1012</v>
      </c>
      <c r="K47" s="106">
        <f>-'Note Schedules'!N49</f>
        <v>52</v>
      </c>
      <c r="L47" s="106">
        <f>-'Note Schedules'!O49</f>
        <v>14</v>
      </c>
      <c r="M47" s="106">
        <f>-'Note Schedules'!P49</f>
        <v>62</v>
      </c>
      <c r="N47" s="106">
        <f>-'Note Schedules'!Q49</f>
        <v>54</v>
      </c>
      <c r="O47" s="106">
        <f>-'Note Schedules'!R49</f>
        <v>63</v>
      </c>
      <c r="P47" s="106">
        <f>-'Note Schedules'!S49</f>
        <v>10</v>
      </c>
      <c r="Q47" s="106">
        <f>-'Note Schedules'!T49</f>
        <v>62</v>
      </c>
      <c r="R47" s="106">
        <f>-'Note Schedules'!U49</f>
        <v>60</v>
      </c>
    </row>
    <row r="48" spans="1:20" ht="18" customHeight="1">
      <c r="A48" s="73" t="s">
        <v>1186</v>
      </c>
      <c r="B48" s="73" t="s">
        <v>1012</v>
      </c>
      <c r="C48" s="79">
        <f>-'Income Statement'!R38</f>
        <v>-1</v>
      </c>
      <c r="D48" s="79">
        <f>-'Income Statement'!S38</f>
        <v>12</v>
      </c>
      <c r="E48" s="78">
        <f>E23</f>
        <v>0</v>
      </c>
      <c r="F48" s="78">
        <f>F23</f>
        <v>0</v>
      </c>
      <c r="G48" s="74"/>
      <c r="H48" s="74"/>
      <c r="I48" s="97" t="s">
        <v>1441</v>
      </c>
      <c r="J48" s="97" t="s">
        <v>1012</v>
      </c>
      <c r="K48" s="106">
        <f>('Income Statement'!N16-'Income Statement'!N26)</f>
        <v>20</v>
      </c>
      <c r="L48" s="106">
        <f>('Income Statement'!O16-'Income Statement'!O26)</f>
        <v>21</v>
      </c>
      <c r="M48" s="106">
        <f>('Income Statement'!P16-'Income Statement'!P26)</f>
        <v>22</v>
      </c>
      <c r="N48" s="106">
        <f>('Income Statement'!Q16-'Income Statement'!Q26)</f>
        <v>23</v>
      </c>
      <c r="O48" s="106">
        <f>('Income Statement'!R16-'Income Statement'!R26)</f>
        <v>16</v>
      </c>
      <c r="P48" s="106">
        <f>('Income Statement'!S16-'Income Statement'!S26)</f>
        <v>22</v>
      </c>
      <c r="Q48" s="106">
        <f>('Income Statement'!T16-'Income Statement'!T26)</f>
        <v>27</v>
      </c>
      <c r="R48" s="106">
        <f>('Income Statement'!U16-'Income Statement'!U26)</f>
        <v>19</v>
      </c>
    </row>
    <row r="49" spans="1:20" ht="18" customHeight="1">
      <c r="A49" s="73" t="s">
        <v>1194</v>
      </c>
      <c r="B49" s="73" t="s">
        <v>1012</v>
      </c>
      <c r="C49" s="79">
        <f>'Income Statement'!R39</f>
        <v>2949</v>
      </c>
      <c r="D49" s="79">
        <f>'Income Statement'!S39</f>
        <v>2757</v>
      </c>
      <c r="E49" s="78">
        <f>E46-E47+E48</f>
        <v>2967.1220693921573</v>
      </c>
      <c r="F49" s="78">
        <f>F46-F47+F48</f>
        <v>2865.9701316078431</v>
      </c>
      <c r="G49" s="74"/>
      <c r="H49" s="74"/>
      <c r="I49" s="97" t="s">
        <v>1442</v>
      </c>
      <c r="J49" s="97" t="s">
        <v>973</v>
      </c>
      <c r="K49" s="100">
        <f t="shared" ref="K49:R52" si="10">C439</f>
        <v>0.01</v>
      </c>
      <c r="L49" s="100">
        <f t="shared" si="10"/>
        <v>-0.01</v>
      </c>
      <c r="M49" s="100">
        <f t="shared" si="10"/>
        <v>-0.03</v>
      </c>
      <c r="N49" s="100">
        <f t="shared" si="10"/>
        <v>0.03</v>
      </c>
      <c r="O49" s="100">
        <f t="shared" si="10"/>
        <v>0.03</v>
      </c>
      <c r="P49" s="100">
        <f t="shared" si="10"/>
        <v>0.05</v>
      </c>
      <c r="Q49" s="100">
        <f t="shared" si="10"/>
        <v>0.04</v>
      </c>
      <c r="R49" s="100">
        <f t="shared" si="10"/>
        <v>0.02</v>
      </c>
    </row>
    <row r="50" spans="1:20" ht="18" customHeight="1">
      <c r="A50" s="73" t="s">
        <v>1325</v>
      </c>
      <c r="B50" s="73" t="s">
        <v>1012</v>
      </c>
      <c r="C50" s="79">
        <f>'Income Statement'!R40</f>
        <v>671</v>
      </c>
      <c r="D50" s="79">
        <f>'Income Statement'!S40</f>
        <v>594</v>
      </c>
      <c r="E50" s="78">
        <f>E49*E17</f>
        <v>652.76685526627466</v>
      </c>
      <c r="F50" s="78">
        <f>F49*F17</f>
        <v>630.51342895372545</v>
      </c>
      <c r="G50" s="74"/>
      <c r="H50" s="74"/>
      <c r="I50" s="97" t="s">
        <v>1443</v>
      </c>
      <c r="J50" s="97" t="s">
        <v>973</v>
      </c>
      <c r="K50" s="100">
        <f t="shared" si="10"/>
        <v>0.01</v>
      </c>
      <c r="L50" s="100">
        <f t="shared" si="10"/>
        <v>0.03</v>
      </c>
      <c r="M50" s="100">
        <f t="shared" si="10"/>
        <v>0.01</v>
      </c>
      <c r="N50" s="100">
        <f t="shared" si="10"/>
        <v>0.06</v>
      </c>
      <c r="O50" s="100">
        <f t="shared" si="10"/>
        <v>0.06</v>
      </c>
      <c r="P50" s="100">
        <f t="shared" si="10"/>
        <v>0.06</v>
      </c>
      <c r="Q50" s="100">
        <f t="shared" si="10"/>
        <v>0.04</v>
      </c>
      <c r="R50" s="100">
        <f t="shared" si="10"/>
        <v>0.03</v>
      </c>
    </row>
    <row r="51" spans="1:20" ht="18" customHeight="1">
      <c r="A51" s="80" t="s">
        <v>1011</v>
      </c>
      <c r="B51" s="80" t="s">
        <v>1012</v>
      </c>
      <c r="C51" s="81">
        <f>'Income Statement'!R41</f>
        <v>2278</v>
      </c>
      <c r="D51" s="81">
        <f>'Income Statement'!S41</f>
        <v>2164</v>
      </c>
      <c r="E51" s="82">
        <f>E49-E50</f>
        <v>2314.3552141258824</v>
      </c>
      <c r="F51" s="82">
        <f>F49-F50</f>
        <v>2235.4567026541176</v>
      </c>
      <c r="G51" s="81"/>
      <c r="H51" s="83"/>
      <c r="I51" s="97" t="s">
        <v>1444</v>
      </c>
      <c r="J51" s="97" t="s">
        <v>973</v>
      </c>
      <c r="K51" s="100">
        <f t="shared" si="10"/>
        <v>0.01</v>
      </c>
      <c r="L51" s="100">
        <f t="shared" si="10"/>
        <v>0.2</v>
      </c>
      <c r="M51" s="100">
        <f t="shared" si="10"/>
        <v>0.09</v>
      </c>
      <c r="N51" s="100">
        <f t="shared" si="10"/>
        <v>0.09</v>
      </c>
      <c r="O51" s="100">
        <f t="shared" si="10"/>
        <v>0.06</v>
      </c>
      <c r="P51" s="100">
        <f t="shared" si="10"/>
        <v>0.06</v>
      </c>
      <c r="Q51" s="100">
        <f t="shared" si="10"/>
        <v>0.06</v>
      </c>
      <c r="R51" s="100">
        <f t="shared" si="10"/>
        <v>7.0000000000000007E-2</v>
      </c>
    </row>
    <row r="52" spans="1:20" ht="18" customHeight="1">
      <c r="A52" s="73" t="s">
        <v>1053</v>
      </c>
      <c r="B52" s="73" t="s">
        <v>973</v>
      </c>
      <c r="C52" s="77"/>
      <c r="D52" s="77"/>
      <c r="E52" s="84">
        <f>E51/C51-1</f>
        <v>1.5959268711976504E-2</v>
      </c>
      <c r="F52" s="84">
        <f>F51/D51-1</f>
        <v>3.3020657418723509E-2</v>
      </c>
      <c r="G52" s="85"/>
      <c r="H52" s="77"/>
      <c r="I52" s="97" t="s">
        <v>1445</v>
      </c>
      <c r="J52" s="97" t="s">
        <v>973</v>
      </c>
      <c r="K52" s="100">
        <f t="shared" si="10"/>
        <v>0.04</v>
      </c>
      <c r="L52" s="100">
        <f t="shared" si="10"/>
        <v>-0.06</v>
      </c>
      <c r="M52" s="100">
        <f t="shared" si="10"/>
        <v>-7.0000000000000007E-2</v>
      </c>
      <c r="N52" s="100">
        <f t="shared" si="10"/>
        <v>-0.02</v>
      </c>
      <c r="O52" s="100">
        <f t="shared" si="10"/>
        <v>-0.06</v>
      </c>
      <c r="P52" s="100">
        <f t="shared" si="10"/>
        <v>0.06</v>
      </c>
      <c r="Q52" s="100">
        <f t="shared" si="10"/>
        <v>0.03</v>
      </c>
      <c r="R52" s="100">
        <f t="shared" si="10"/>
        <v>0</v>
      </c>
    </row>
    <row r="53" spans="1:20" ht="8" customHeight="1">
      <c r="A53" s="73"/>
      <c r="B53" s="73"/>
      <c r="C53" s="74"/>
      <c r="D53" s="74"/>
      <c r="E53" s="74"/>
      <c r="F53" s="74"/>
      <c r="G53" s="74"/>
      <c r="H53" s="74"/>
      <c r="I53" s="74"/>
      <c r="J53" s="74"/>
      <c r="K53" s="74"/>
      <c r="L53" s="74"/>
    </row>
    <row r="54" spans="1:20" ht="24" customHeight="1">
      <c r="A54" s="129" t="s">
        <v>1341</v>
      </c>
      <c r="B54" s="129"/>
      <c r="C54" s="125"/>
      <c r="D54" s="125"/>
      <c r="E54" s="125"/>
      <c r="F54" s="125"/>
      <c r="G54" s="125"/>
      <c r="H54" s="125"/>
      <c r="I54" s="125"/>
      <c r="J54" s="125"/>
      <c r="K54" s="125"/>
      <c r="L54" s="125"/>
    </row>
    <row r="55" spans="1:20" ht="22" customHeight="1">
      <c r="A55" s="92" t="s">
        <v>1038</v>
      </c>
      <c r="B55" s="92" t="s">
        <v>972</v>
      </c>
      <c r="C55" s="93" t="s">
        <v>1295</v>
      </c>
      <c r="D55" s="93" t="s">
        <v>1296</v>
      </c>
      <c r="E55" s="93" t="s">
        <v>1297</v>
      </c>
      <c r="F55" s="93" t="s">
        <v>1010</v>
      </c>
      <c r="G55" s="93"/>
      <c r="H55" s="93"/>
      <c r="I55" s="93"/>
      <c r="J55" s="93"/>
      <c r="K55" s="93"/>
      <c r="L55" s="93"/>
    </row>
    <row r="56" spans="1:20" ht="18" customHeight="1">
      <c r="A56" s="73" t="s">
        <v>1097</v>
      </c>
      <c r="B56" s="73" t="s">
        <v>1012</v>
      </c>
      <c r="C56" s="79">
        <f>Segments!L83</f>
        <v>7371</v>
      </c>
      <c r="D56" s="78">
        <f>F331</f>
        <v>3691</v>
      </c>
      <c r="E56" s="78">
        <f>SUM(E26:F26)</f>
        <v>3822.2359999999999</v>
      </c>
      <c r="F56" s="78">
        <f>D56+E56</f>
        <v>7513.2359999999999</v>
      </c>
      <c r="G56" s="74"/>
      <c r="H56" s="74"/>
      <c r="I56" s="74"/>
      <c r="J56" s="74"/>
      <c r="K56" s="74"/>
      <c r="L56" s="74"/>
    </row>
    <row r="57" spans="1:20" ht="18" customHeight="1">
      <c r="A57" s="73" t="s">
        <v>1098</v>
      </c>
      <c r="B57" s="73" t="s">
        <v>1012</v>
      </c>
      <c r="C57" s="79">
        <f>Segments!L84</f>
        <v>7279</v>
      </c>
      <c r="D57" s="78">
        <f>F332</f>
        <v>3717</v>
      </c>
      <c r="E57" s="78">
        <f>SUM(E27:F27)</f>
        <v>4042.48</v>
      </c>
      <c r="F57" s="78">
        <f>D57+E57</f>
        <v>7759.48</v>
      </c>
      <c r="G57" s="74"/>
      <c r="H57" s="74"/>
      <c r="I57" s="74"/>
      <c r="J57" s="74"/>
      <c r="K57" s="74"/>
      <c r="L57" s="74"/>
    </row>
    <row r="58" spans="1:20" ht="18" customHeight="1">
      <c r="A58" s="73" t="s">
        <v>1099</v>
      </c>
      <c r="B58" s="73" t="s">
        <v>1012</v>
      </c>
      <c r="C58" s="79">
        <f>Segments!L85</f>
        <v>1898</v>
      </c>
      <c r="D58" s="78">
        <f>F333</f>
        <v>990</v>
      </c>
      <c r="E58" s="78">
        <f>SUM(E28:F28)</f>
        <v>1068.1999999999998</v>
      </c>
      <c r="F58" s="78">
        <f>D58+E58</f>
        <v>2058.1999999999998</v>
      </c>
      <c r="G58" s="74"/>
      <c r="H58" s="74"/>
      <c r="I58" s="74"/>
      <c r="J58" s="74"/>
      <c r="K58" s="74"/>
      <c r="L58" s="74"/>
    </row>
    <row r="59" spans="1:20" ht="18" customHeight="1">
      <c r="A59" s="73" t="s">
        <v>1100</v>
      </c>
      <c r="B59" s="73" t="s">
        <v>1012</v>
      </c>
      <c r="C59" s="78">
        <f>SUM(C56,C57,C58)</f>
        <v>16548</v>
      </c>
      <c r="D59" s="78">
        <f>SUM(D56,D57,D58)</f>
        <v>8398</v>
      </c>
      <c r="E59" s="78">
        <f>SUM(E56,E57,E58)</f>
        <v>8932.9160000000011</v>
      </c>
      <c r="F59" s="78">
        <f>SUM(F56,F57,F58)</f>
        <v>17330.916000000001</v>
      </c>
      <c r="G59" s="74"/>
      <c r="H59" s="74"/>
      <c r="I59" s="124" t="s">
        <v>1446</v>
      </c>
      <c r="J59" s="127"/>
      <c r="K59" s="127"/>
      <c r="L59" s="127"/>
      <c r="M59" s="123"/>
      <c r="N59" s="123"/>
      <c r="O59" s="123"/>
      <c r="P59" s="123"/>
      <c r="Q59" s="123"/>
      <c r="R59" s="123"/>
      <c r="S59" s="123"/>
      <c r="T59" s="123"/>
    </row>
    <row r="60" spans="1:20" ht="18" customHeight="1">
      <c r="A60" s="73" t="s">
        <v>1069</v>
      </c>
      <c r="B60" s="73" t="s">
        <v>1012</v>
      </c>
      <c r="C60" s="79">
        <f>Segments!L98</f>
        <v>6078</v>
      </c>
      <c r="D60" s="78">
        <f>F339</f>
        <v>3048</v>
      </c>
      <c r="E60" s="78">
        <f>E26-E29+F26-F29</f>
        <v>3165.7359999999999</v>
      </c>
      <c r="F60" s="78">
        <f>D60+E60</f>
        <v>6213.7359999999999</v>
      </c>
      <c r="G60" s="74"/>
      <c r="H60" s="74"/>
      <c r="I60" s="98" t="s">
        <v>1038</v>
      </c>
      <c r="J60" s="98" t="s">
        <v>972</v>
      </c>
      <c r="K60" s="98" t="s">
        <v>1408</v>
      </c>
      <c r="L60" s="98" t="s">
        <v>1409</v>
      </c>
      <c r="M60" s="98" t="s">
        <v>1410</v>
      </c>
      <c r="N60" s="98" t="s">
        <v>1411</v>
      </c>
      <c r="O60" s="98" t="s">
        <v>1412</v>
      </c>
      <c r="P60" s="98" t="s">
        <v>1413</v>
      </c>
      <c r="Q60" s="98" t="s">
        <v>1414</v>
      </c>
      <c r="R60" s="98" t="s">
        <v>1415</v>
      </c>
      <c r="S60" s="98" t="s">
        <v>1416</v>
      </c>
      <c r="T60" s="98" t="s">
        <v>1295</v>
      </c>
    </row>
    <row r="61" spans="1:20" ht="18" customHeight="1">
      <c r="A61" s="73" t="s">
        <v>1071</v>
      </c>
      <c r="B61" s="73" t="s">
        <v>1012</v>
      </c>
      <c r="C61" s="79">
        <f>Segments!L100</f>
        <v>5954</v>
      </c>
      <c r="D61" s="78">
        <f>F340</f>
        <v>3005</v>
      </c>
      <c r="E61" s="78">
        <f>E27-E30+F27-F30</f>
        <v>3306.96</v>
      </c>
      <c r="F61" s="78">
        <f>D61+E61</f>
        <v>6311.96</v>
      </c>
      <c r="G61" s="74"/>
      <c r="H61" s="74"/>
      <c r="I61" s="97" t="s">
        <v>1188</v>
      </c>
      <c r="J61" s="97" t="s">
        <v>1012</v>
      </c>
      <c r="K61" s="106">
        <f>-'Note Schedules'!C49</f>
        <v>54.8</v>
      </c>
      <c r="L61" s="106">
        <f>-'Note Schedules'!D49</f>
        <v>183.7</v>
      </c>
      <c r="M61" s="106">
        <f>-'Note Schedules'!E49</f>
        <v>151.5</v>
      </c>
      <c r="N61" s="106">
        <f>-'Note Schedules'!F49</f>
        <v>153.80000000000001</v>
      </c>
      <c r="O61" s="106">
        <f>-'Note Schedules'!G49</f>
        <v>117.4</v>
      </c>
      <c r="P61" s="106">
        <f>-'Note Schedules'!H49</f>
        <v>176.7</v>
      </c>
      <c r="Q61" s="106">
        <f>-'Note Schedules'!I49</f>
        <v>113</v>
      </c>
      <c r="R61" s="106">
        <f>-'Note Schedules'!J49</f>
        <v>153</v>
      </c>
      <c r="S61" s="106">
        <f>-'Note Schedules'!K49</f>
        <v>157</v>
      </c>
      <c r="T61" s="106">
        <f>-'Note Schedules'!L49</f>
        <v>190</v>
      </c>
    </row>
    <row r="62" spans="1:20" ht="18" customHeight="1">
      <c r="A62" s="73" t="s">
        <v>1073</v>
      </c>
      <c r="B62" s="73" t="s">
        <v>1012</v>
      </c>
      <c r="C62" s="79">
        <f>Segments!L102</f>
        <v>1897</v>
      </c>
      <c r="D62" s="78">
        <f>F341</f>
        <v>990</v>
      </c>
      <c r="E62" s="78">
        <f>E28-E31+F28-F31</f>
        <v>1068.1999999999998</v>
      </c>
      <c r="F62" s="78">
        <f>D62+E62</f>
        <v>2058.1999999999998</v>
      </c>
      <c r="G62" s="74"/>
      <c r="H62" s="74"/>
      <c r="I62" s="97" t="s">
        <v>1441</v>
      </c>
      <c r="J62" s="97" t="s">
        <v>1012</v>
      </c>
      <c r="K62" s="108" t="s">
        <v>1419</v>
      </c>
      <c r="L62" s="108" t="s">
        <v>1419</v>
      </c>
      <c r="M62" s="106">
        <f>'Income Statement'!E16-'Income Statement'!E26</f>
        <v>46.599999999999994</v>
      </c>
      <c r="N62" s="106">
        <f>'Income Statement'!F16-'Income Statement'!F26</f>
        <v>64.099999999999966</v>
      </c>
      <c r="O62" s="106">
        <f>'Income Statement'!G16-'Income Statement'!G26</f>
        <v>75.5</v>
      </c>
      <c r="P62" s="106">
        <f>'Income Statement'!H16-'Income Statement'!H26</f>
        <v>89.700000000000045</v>
      </c>
      <c r="Q62" s="106">
        <f>'Income Statement'!I16-'Income Statement'!I26</f>
        <v>83</v>
      </c>
      <c r="R62" s="106">
        <f>'Income Statement'!J16-'Income Statement'!J26</f>
        <v>84</v>
      </c>
      <c r="S62" s="106">
        <f>'Income Statement'!K16-'Income Statement'!K26</f>
        <v>84</v>
      </c>
      <c r="T62" s="106">
        <f>'Income Statement'!L16-'Income Statement'!L26</f>
        <v>83</v>
      </c>
    </row>
    <row r="63" spans="1:20" ht="18" customHeight="1">
      <c r="A63" s="73" t="s">
        <v>1089</v>
      </c>
      <c r="B63" s="73" t="s">
        <v>1012</v>
      </c>
      <c r="C63" s="78">
        <f>SUM(C60,C61,C62)</f>
        <v>13929</v>
      </c>
      <c r="D63" s="78">
        <f>SUM(D60,D61,D62)</f>
        <v>7043</v>
      </c>
      <c r="E63" s="78">
        <f>SUM(E60,E61,E62)</f>
        <v>7540.8959999999997</v>
      </c>
      <c r="F63" s="78">
        <f>SUM(F60,F61,F62)</f>
        <v>14583.896000000001</v>
      </c>
      <c r="G63" s="74"/>
      <c r="H63" s="74"/>
      <c r="I63" s="74"/>
      <c r="J63" s="74"/>
      <c r="K63" s="74"/>
      <c r="L63" s="74"/>
    </row>
    <row r="64" spans="1:20" ht="18" customHeight="1">
      <c r="A64" s="73" t="s">
        <v>1101</v>
      </c>
      <c r="B64" s="73" t="s">
        <v>1012</v>
      </c>
      <c r="C64" s="78">
        <f t="shared" ref="C64:F66" si="11">C56-C60</f>
        <v>1293</v>
      </c>
      <c r="D64" s="78">
        <f t="shared" si="11"/>
        <v>643</v>
      </c>
      <c r="E64" s="78">
        <f t="shared" si="11"/>
        <v>656.5</v>
      </c>
      <c r="F64" s="78">
        <f t="shared" si="11"/>
        <v>1299.5</v>
      </c>
      <c r="G64" s="74"/>
      <c r="H64" s="74"/>
      <c r="I64" s="74"/>
      <c r="J64" s="74"/>
      <c r="K64" s="74"/>
      <c r="L64" s="74"/>
    </row>
    <row r="65" spans="1:12" ht="18" customHeight="1">
      <c r="A65" s="73" t="s">
        <v>1102</v>
      </c>
      <c r="B65" s="73" t="s">
        <v>1012</v>
      </c>
      <c r="C65" s="78">
        <f t="shared" si="11"/>
        <v>1325</v>
      </c>
      <c r="D65" s="78">
        <f t="shared" si="11"/>
        <v>712</v>
      </c>
      <c r="E65" s="78">
        <f t="shared" si="11"/>
        <v>735.52</v>
      </c>
      <c r="F65" s="78">
        <f t="shared" si="11"/>
        <v>1447.5199999999995</v>
      </c>
      <c r="G65" s="74"/>
      <c r="H65" s="74"/>
      <c r="I65" s="74"/>
      <c r="J65" s="74"/>
      <c r="K65" s="74"/>
      <c r="L65" s="74"/>
    </row>
    <row r="66" spans="1:12" ht="18" customHeight="1">
      <c r="A66" s="73" t="s">
        <v>1103</v>
      </c>
      <c r="B66" s="73" t="s">
        <v>1012</v>
      </c>
      <c r="C66" s="78">
        <f t="shared" si="11"/>
        <v>1</v>
      </c>
      <c r="D66" s="78">
        <f t="shared" si="11"/>
        <v>0</v>
      </c>
      <c r="E66" s="78">
        <f t="shared" si="11"/>
        <v>0</v>
      </c>
      <c r="F66" s="78">
        <f t="shared" si="11"/>
        <v>0</v>
      </c>
      <c r="G66" s="74"/>
      <c r="H66" s="74"/>
      <c r="I66" s="74"/>
      <c r="J66" s="74"/>
      <c r="K66" s="74"/>
      <c r="L66" s="74"/>
    </row>
    <row r="67" spans="1:12" ht="18" customHeight="1">
      <c r="A67" s="73" t="s">
        <v>1104</v>
      </c>
      <c r="B67" s="73" t="s">
        <v>1012</v>
      </c>
      <c r="C67" s="79">
        <f>'Operating Metrics'!L40</f>
        <v>51946</v>
      </c>
      <c r="D67" s="78">
        <f>F346</f>
        <v>25911</v>
      </c>
      <c r="E67" s="78">
        <f>SUM(E32:F32)</f>
        <v>27160.511999999995</v>
      </c>
      <c r="F67" s="78">
        <f t="shared" ref="F67:F72" si="12">D67+E67</f>
        <v>53071.511999999995</v>
      </c>
      <c r="G67" s="74"/>
      <c r="H67" s="74"/>
      <c r="I67" s="74"/>
      <c r="J67" s="74"/>
      <c r="K67" s="74"/>
      <c r="L67" s="74"/>
    </row>
    <row r="68" spans="1:12" ht="18" customHeight="1">
      <c r="A68" s="73" t="s">
        <v>1105</v>
      </c>
      <c r="B68" s="73" t="s">
        <v>1012</v>
      </c>
      <c r="C68" s="79">
        <f>'Operating Metrics'!L41</f>
        <v>42440</v>
      </c>
      <c r="D68" s="78">
        <f>F347</f>
        <v>21954</v>
      </c>
      <c r="E68" s="78">
        <f>SUM(E33:F33)</f>
        <v>23653.760000000002</v>
      </c>
      <c r="F68" s="78">
        <f t="shared" si="12"/>
        <v>45607.76</v>
      </c>
      <c r="G68" s="74"/>
      <c r="H68" s="74"/>
      <c r="I68" s="74"/>
      <c r="J68" s="74"/>
      <c r="K68" s="74"/>
      <c r="L68" s="74"/>
    </row>
    <row r="69" spans="1:12" ht="18" customHeight="1">
      <c r="A69" s="73" t="s">
        <v>1106</v>
      </c>
      <c r="B69" s="73" t="s">
        <v>1012</v>
      </c>
      <c r="C69" s="79">
        <f>'Operating Metrics'!L42</f>
        <v>35289</v>
      </c>
      <c r="D69" s="78">
        <f>F348</f>
        <v>18503</v>
      </c>
      <c r="E69" s="78">
        <f>SUM(E34:F34)</f>
        <v>19761.145</v>
      </c>
      <c r="F69" s="78">
        <f t="shared" si="12"/>
        <v>38264.145000000004</v>
      </c>
      <c r="G69" s="74"/>
      <c r="H69" s="74"/>
      <c r="I69" s="74"/>
      <c r="J69" s="74"/>
      <c r="K69" s="74"/>
      <c r="L69" s="74"/>
    </row>
    <row r="70" spans="1:12" ht="18" customHeight="1">
      <c r="A70" s="73" t="s">
        <v>1107</v>
      </c>
      <c r="B70" s="73" t="s">
        <v>1012</v>
      </c>
      <c r="C70" s="79">
        <f>Segments!L87</f>
        <v>3115</v>
      </c>
      <c r="D70" s="78">
        <f>F335</f>
        <v>1513</v>
      </c>
      <c r="E70" s="79">
        <f>Segments!R87*(1+E13)+Segments!S87*(1+F13)</f>
        <v>1638.9749999999999</v>
      </c>
      <c r="F70" s="78">
        <f t="shared" si="12"/>
        <v>3151.9749999999999</v>
      </c>
      <c r="G70" s="74"/>
      <c r="H70" s="74"/>
      <c r="I70" s="74"/>
      <c r="J70" s="74"/>
      <c r="K70" s="74"/>
      <c r="L70" s="74"/>
    </row>
    <row r="71" spans="1:12" ht="18" customHeight="1">
      <c r="A71" s="73" t="s">
        <v>1108</v>
      </c>
      <c r="B71" s="73" t="s">
        <v>1012</v>
      </c>
      <c r="C71" s="79">
        <f>Segments!L88</f>
        <v>6131</v>
      </c>
      <c r="D71" s="78">
        <f>F336</f>
        <v>3084</v>
      </c>
      <c r="E71" s="79">
        <f>Segments!R88*(1+E13)+Segments!S88*(1+F13)</f>
        <v>3339.45</v>
      </c>
      <c r="F71" s="78">
        <f t="shared" si="12"/>
        <v>6423.45</v>
      </c>
      <c r="G71" s="74"/>
      <c r="H71" s="74"/>
      <c r="I71" s="74"/>
      <c r="J71" s="74"/>
      <c r="K71" s="74"/>
      <c r="L71" s="74"/>
    </row>
    <row r="72" spans="1:12" ht="18" customHeight="1">
      <c r="A72" s="73" t="s">
        <v>1109</v>
      </c>
      <c r="B72" s="73" t="s">
        <v>1012</v>
      </c>
      <c r="C72" s="79">
        <f>Segments!L89</f>
        <v>443</v>
      </c>
      <c r="D72" s="78">
        <f>F337</f>
        <v>244</v>
      </c>
      <c r="E72" s="79">
        <f>Segments!R89*(1+E13)+Segments!S89*(1+F13)</f>
        <v>247.02499999999998</v>
      </c>
      <c r="F72" s="78">
        <f t="shared" si="12"/>
        <v>491.02499999999998</v>
      </c>
      <c r="G72" s="74"/>
      <c r="H72" s="74"/>
      <c r="I72" s="74"/>
      <c r="J72" s="74"/>
      <c r="K72" s="74"/>
      <c r="L72" s="74"/>
    </row>
    <row r="73" spans="1:12" ht="18" customHeight="1">
      <c r="A73" s="73" t="s">
        <v>1110</v>
      </c>
      <c r="B73" s="73" t="s">
        <v>1012</v>
      </c>
      <c r="C73" s="78">
        <f t="shared" ref="C73:F75" si="13">SUM(C67,C70)</f>
        <v>55061</v>
      </c>
      <c r="D73" s="78">
        <f t="shared" si="13"/>
        <v>27424</v>
      </c>
      <c r="E73" s="78">
        <f t="shared" si="13"/>
        <v>28799.486999999994</v>
      </c>
      <c r="F73" s="78">
        <f t="shared" si="13"/>
        <v>56223.486999999994</v>
      </c>
      <c r="G73" s="74"/>
      <c r="H73" s="74"/>
      <c r="I73" s="74"/>
      <c r="J73" s="74"/>
      <c r="K73" s="74"/>
      <c r="L73" s="74"/>
    </row>
    <row r="74" spans="1:12" ht="18" customHeight="1">
      <c r="A74" s="73" t="s">
        <v>1111</v>
      </c>
      <c r="B74" s="73" t="s">
        <v>1012</v>
      </c>
      <c r="C74" s="78">
        <f t="shared" si="13"/>
        <v>48571</v>
      </c>
      <c r="D74" s="78">
        <f t="shared" si="13"/>
        <v>25038</v>
      </c>
      <c r="E74" s="78">
        <f t="shared" si="13"/>
        <v>26993.210000000003</v>
      </c>
      <c r="F74" s="78">
        <f t="shared" si="13"/>
        <v>52031.21</v>
      </c>
      <c r="G74" s="74"/>
      <c r="H74" s="74"/>
      <c r="I74" s="74"/>
      <c r="J74" s="74"/>
      <c r="K74" s="74"/>
      <c r="L74" s="74"/>
    </row>
    <row r="75" spans="1:12" ht="18" customHeight="1">
      <c r="A75" s="73" t="s">
        <v>1112</v>
      </c>
      <c r="B75" s="73" t="s">
        <v>1012</v>
      </c>
      <c r="C75" s="78">
        <f t="shared" si="13"/>
        <v>35732</v>
      </c>
      <c r="D75" s="78">
        <f t="shared" si="13"/>
        <v>18747</v>
      </c>
      <c r="E75" s="78">
        <f t="shared" si="13"/>
        <v>20008.170000000002</v>
      </c>
      <c r="F75" s="78">
        <f t="shared" si="13"/>
        <v>38755.170000000006</v>
      </c>
      <c r="G75" s="74"/>
      <c r="H75" s="74"/>
      <c r="I75" s="74"/>
      <c r="J75" s="74"/>
      <c r="K75" s="74"/>
      <c r="L75" s="74"/>
    </row>
    <row r="76" spans="1:12" ht="18" customHeight="1">
      <c r="A76" s="80" t="s">
        <v>1113</v>
      </c>
      <c r="B76" s="80" t="s">
        <v>1012</v>
      </c>
      <c r="C76" s="82">
        <f>SUM(C73,C74,C75)</f>
        <v>139364</v>
      </c>
      <c r="D76" s="82">
        <f>SUM(D73,D74,D75)</f>
        <v>71209</v>
      </c>
      <c r="E76" s="82">
        <f>SUM(E73,E74,E75)</f>
        <v>75800.866999999998</v>
      </c>
      <c r="F76" s="82">
        <f>SUM(F73,F74,F75)</f>
        <v>147009.867</v>
      </c>
      <c r="G76" s="83"/>
      <c r="H76" s="83"/>
      <c r="I76" s="74"/>
      <c r="J76" s="74"/>
      <c r="K76" s="74"/>
      <c r="L76" s="74"/>
    </row>
    <row r="77" spans="1:12" ht="8" customHeight="1">
      <c r="A77" s="73"/>
      <c r="B77" s="73"/>
      <c r="C77" s="74"/>
      <c r="D77" s="74"/>
      <c r="E77" s="74"/>
      <c r="F77" s="74"/>
      <c r="G77" s="74"/>
      <c r="H77" s="74"/>
      <c r="I77" s="74"/>
      <c r="J77" s="74"/>
      <c r="K77" s="74"/>
      <c r="L77" s="74"/>
    </row>
    <row r="78" spans="1:12" ht="22" customHeight="1">
      <c r="A78" s="92" t="s">
        <v>1038</v>
      </c>
      <c r="B78" s="92" t="s">
        <v>972</v>
      </c>
      <c r="C78" s="93" t="s">
        <v>1225</v>
      </c>
      <c r="D78" s="93" t="s">
        <v>1226</v>
      </c>
      <c r="E78" s="93" t="s">
        <v>1227</v>
      </c>
      <c r="F78" s="93" t="s">
        <v>1228</v>
      </c>
      <c r="G78" s="93" t="s">
        <v>1010</v>
      </c>
      <c r="H78" s="93"/>
      <c r="I78" s="93"/>
      <c r="J78" s="93"/>
      <c r="K78" s="93"/>
      <c r="L78" s="93"/>
    </row>
    <row r="79" spans="1:12" ht="18" customHeight="1">
      <c r="A79" s="73" t="s">
        <v>1229</v>
      </c>
      <c r="B79" s="73" t="s">
        <v>973</v>
      </c>
      <c r="C79" s="77"/>
      <c r="D79" s="77"/>
      <c r="E79" s="84">
        <f>C216/4</f>
        <v>1.25E-3</v>
      </c>
      <c r="F79" s="84">
        <f>C216/4</f>
        <v>1.25E-3</v>
      </c>
      <c r="G79" s="77"/>
      <c r="H79" s="77"/>
      <c r="I79" s="77"/>
      <c r="J79" s="77"/>
      <c r="K79" s="77"/>
      <c r="L79" s="77"/>
    </row>
    <row r="80" spans="1:12" ht="18" customHeight="1">
      <c r="A80" s="73" t="s">
        <v>1230</v>
      </c>
      <c r="B80" s="73" t="s">
        <v>1012</v>
      </c>
      <c r="C80" s="79">
        <f>'Income Statement'!T41</f>
        <v>1983</v>
      </c>
      <c r="D80" s="79">
        <f>'Income Statement'!U41</f>
        <v>2362</v>
      </c>
      <c r="E80" s="78">
        <f>E51</f>
        <v>2314.3552141258824</v>
      </c>
      <c r="F80" s="78">
        <f>F51</f>
        <v>2235.4567026541176</v>
      </c>
      <c r="G80" s="78">
        <f>SUM(C80:F80)</f>
        <v>8894.8119167799996</v>
      </c>
      <c r="H80" s="74"/>
      <c r="I80" s="74"/>
      <c r="J80" s="74"/>
      <c r="K80" s="74"/>
      <c r="L80" s="74"/>
    </row>
    <row r="81" spans="1:12" ht="18" customHeight="1">
      <c r="A81" s="73" t="s">
        <v>1231</v>
      </c>
      <c r="B81" s="73" t="s">
        <v>1015</v>
      </c>
      <c r="C81" s="79">
        <f>'Income Statement'!T51</f>
        <v>713.5</v>
      </c>
      <c r="D81" s="79">
        <f>'Income Statement'!U51</f>
        <v>711.1</v>
      </c>
      <c r="E81" s="78">
        <f>D81*(1-E79)</f>
        <v>710.21112500000004</v>
      </c>
      <c r="F81" s="78">
        <f>E81*(1-F79)</f>
        <v>709.32336109375001</v>
      </c>
      <c r="G81" s="78">
        <f>SUMPRODUCT(C81:F81,C82:F82)/G82</f>
        <v>711.01992526198637</v>
      </c>
      <c r="H81" s="74"/>
      <c r="I81" s="74"/>
      <c r="J81" s="74"/>
      <c r="K81" s="74"/>
      <c r="L81" s="74"/>
    </row>
    <row r="82" spans="1:12" ht="18" customHeight="1">
      <c r="A82" s="73" t="s">
        <v>1232</v>
      </c>
      <c r="B82" s="73" t="s">
        <v>1233</v>
      </c>
      <c r="C82" s="74">
        <v>90</v>
      </c>
      <c r="D82" s="74">
        <v>91</v>
      </c>
      <c r="E82" s="74">
        <v>92</v>
      </c>
      <c r="F82" s="74">
        <v>92</v>
      </c>
      <c r="G82" s="78">
        <f>SUM(C82:F82)</f>
        <v>365</v>
      </c>
      <c r="H82" s="74"/>
      <c r="I82" s="74"/>
      <c r="J82" s="74"/>
      <c r="K82" s="74"/>
      <c r="L82" s="74"/>
    </row>
    <row r="83" spans="1:12" ht="18" customHeight="1">
      <c r="A83" s="73" t="s">
        <v>1234</v>
      </c>
      <c r="B83" s="73" t="s">
        <v>1017</v>
      </c>
      <c r="C83" s="74"/>
      <c r="D83" s="74"/>
      <c r="E83" s="74"/>
      <c r="F83" s="74"/>
      <c r="G83" s="78">
        <f>G80/G81</f>
        <v>12.509933407987923</v>
      </c>
      <c r="H83" s="74"/>
      <c r="I83" s="74"/>
      <c r="J83" s="74"/>
      <c r="K83" s="74"/>
      <c r="L83" s="74"/>
    </row>
    <row r="84" spans="1:12" ht="8" customHeight="1">
      <c r="A84" s="73"/>
      <c r="B84" s="73"/>
      <c r="C84" s="74"/>
      <c r="D84" s="74"/>
      <c r="E84" s="74"/>
      <c r="F84" s="74"/>
      <c r="G84" s="74"/>
      <c r="H84" s="74"/>
      <c r="I84" s="74"/>
      <c r="J84" s="74"/>
      <c r="K84" s="74"/>
      <c r="L84" s="74"/>
    </row>
    <row r="85" spans="1:12" ht="24" customHeight="1">
      <c r="A85" s="129" t="s">
        <v>1342</v>
      </c>
      <c r="B85" s="129"/>
      <c r="C85" s="125"/>
      <c r="D85" s="125"/>
      <c r="E85" s="125"/>
      <c r="F85" s="125"/>
      <c r="G85" s="125"/>
      <c r="H85" s="125"/>
      <c r="I85" s="125"/>
      <c r="J85" s="125"/>
      <c r="K85" s="125"/>
      <c r="L85" s="125"/>
    </row>
    <row r="86" spans="1:12" ht="22" customHeight="1">
      <c r="A86" s="92" t="s">
        <v>1038</v>
      </c>
      <c r="B86" s="92" t="s">
        <v>972</v>
      </c>
      <c r="C86" s="93" t="s">
        <v>1010</v>
      </c>
      <c r="D86" s="93" t="s">
        <v>1022</v>
      </c>
      <c r="E86" s="93" t="s">
        <v>1023</v>
      </c>
      <c r="F86" s="93" t="s">
        <v>1024</v>
      </c>
      <c r="G86" s="93" t="s">
        <v>1025</v>
      </c>
      <c r="H86" s="93" t="s">
        <v>1026</v>
      </c>
      <c r="I86" s="93"/>
      <c r="J86" s="93"/>
      <c r="K86" s="93"/>
      <c r="L86" s="93"/>
    </row>
    <row r="87" spans="1:12" ht="18" customHeight="1">
      <c r="A87" s="73" t="s">
        <v>1114</v>
      </c>
      <c r="B87" s="73" t="s">
        <v>973</v>
      </c>
      <c r="C87" s="77"/>
      <c r="D87" s="76">
        <v>0.02</v>
      </c>
      <c r="E87" s="76">
        <v>0.02</v>
      </c>
      <c r="F87" s="76">
        <v>0.03</v>
      </c>
      <c r="G87" s="76">
        <v>0.03</v>
      </c>
      <c r="H87" s="76">
        <v>0.03</v>
      </c>
      <c r="I87" s="77"/>
      <c r="J87" s="77"/>
      <c r="K87" s="77"/>
      <c r="L87" s="77"/>
    </row>
    <row r="88" spans="1:12" ht="18" customHeight="1">
      <c r="A88" s="73" t="s">
        <v>1115</v>
      </c>
      <c r="B88" s="73" t="s">
        <v>973</v>
      </c>
      <c r="C88" s="77"/>
      <c r="D88" s="76">
        <v>8.0000000000000002E-3</v>
      </c>
      <c r="E88" s="76">
        <v>8.0000000000000002E-3</v>
      </c>
      <c r="F88" s="76">
        <v>8.0000000000000002E-3</v>
      </c>
      <c r="G88" s="76">
        <v>8.0000000000000002E-3</v>
      </c>
      <c r="H88" s="76">
        <v>8.0000000000000002E-3</v>
      </c>
      <c r="I88" s="77"/>
      <c r="J88" s="77"/>
      <c r="K88" s="77"/>
      <c r="L88" s="77"/>
    </row>
    <row r="89" spans="1:12" ht="18" customHeight="1">
      <c r="A89" s="73" t="s">
        <v>1116</v>
      </c>
      <c r="B89" s="73" t="s">
        <v>973</v>
      </c>
      <c r="C89" s="77"/>
      <c r="D89" s="76">
        <v>2.5000000000000001E-2</v>
      </c>
      <c r="E89" s="76">
        <v>2.5000000000000001E-2</v>
      </c>
      <c r="F89" s="76">
        <v>3.5000000000000003E-2</v>
      </c>
      <c r="G89" s="76">
        <v>3.5000000000000003E-2</v>
      </c>
      <c r="H89" s="76">
        <v>3.5000000000000003E-2</v>
      </c>
      <c r="I89" s="77"/>
      <c r="J89" s="77"/>
      <c r="K89" s="77"/>
      <c r="L89" s="77"/>
    </row>
    <row r="90" spans="1:12" ht="18" customHeight="1">
      <c r="A90" s="73" t="s">
        <v>1117</v>
      </c>
      <c r="B90" s="73" t="s">
        <v>973</v>
      </c>
      <c r="C90" s="77"/>
      <c r="D90" s="76">
        <v>0.02</v>
      </c>
      <c r="E90" s="76">
        <v>0.02</v>
      </c>
      <c r="F90" s="76">
        <v>1.7999999999999999E-2</v>
      </c>
      <c r="G90" s="76">
        <v>1.7999999999999999E-2</v>
      </c>
      <c r="H90" s="76">
        <v>1.7999999999999999E-2</v>
      </c>
      <c r="I90" s="77"/>
      <c r="J90" s="77"/>
      <c r="K90" s="77"/>
      <c r="L90" s="77"/>
    </row>
    <row r="91" spans="1:12" ht="18" customHeight="1">
      <c r="A91" s="73" t="s">
        <v>1118</v>
      </c>
      <c r="B91" s="73" t="s">
        <v>973</v>
      </c>
      <c r="C91" s="77"/>
      <c r="D91" s="76">
        <v>2.5000000000000001E-2</v>
      </c>
      <c r="E91" s="76">
        <v>2.5000000000000001E-2</v>
      </c>
      <c r="F91" s="76">
        <v>3.5000000000000003E-2</v>
      </c>
      <c r="G91" s="76">
        <v>3.5000000000000003E-2</v>
      </c>
      <c r="H91" s="76">
        <v>3.5000000000000003E-2</v>
      </c>
      <c r="I91" s="77"/>
      <c r="J91" s="77"/>
      <c r="K91" s="77"/>
      <c r="L91" s="77"/>
    </row>
    <row r="92" spans="1:12" ht="18" customHeight="1">
      <c r="A92" s="73" t="s">
        <v>1119</v>
      </c>
      <c r="B92" s="73" t="s">
        <v>973</v>
      </c>
      <c r="C92" s="77"/>
      <c r="D92" s="76">
        <v>0.06</v>
      </c>
      <c r="E92" s="76">
        <v>0.05</v>
      </c>
      <c r="F92" s="76">
        <v>4.4999999999999998E-2</v>
      </c>
      <c r="G92" s="76">
        <v>0.04</v>
      </c>
      <c r="H92" s="76">
        <v>0.04</v>
      </c>
      <c r="I92" s="77"/>
      <c r="J92" s="77"/>
      <c r="K92" s="77"/>
      <c r="L92" s="77"/>
    </row>
    <row r="93" spans="1:12" ht="18" customHeight="1">
      <c r="A93" s="73" t="s">
        <v>1120</v>
      </c>
      <c r="B93" s="73" t="s">
        <v>973</v>
      </c>
      <c r="C93" s="77"/>
      <c r="D93" s="76">
        <v>0.03</v>
      </c>
      <c r="E93" s="76">
        <v>0.03</v>
      </c>
      <c r="F93" s="76">
        <v>2.5000000000000001E-2</v>
      </c>
      <c r="G93" s="76">
        <v>2.5000000000000001E-2</v>
      </c>
      <c r="H93" s="76">
        <v>2.5000000000000001E-2</v>
      </c>
      <c r="I93" s="77"/>
      <c r="J93" s="77"/>
      <c r="K93" s="77"/>
      <c r="L93" s="77"/>
    </row>
    <row r="94" spans="1:12" ht="18" customHeight="1">
      <c r="A94" s="73" t="s">
        <v>1121</v>
      </c>
      <c r="B94" s="73" t="s">
        <v>973</v>
      </c>
      <c r="C94" s="77"/>
      <c r="D94" s="76">
        <v>0.05</v>
      </c>
      <c r="E94" s="76">
        <v>0.04</v>
      </c>
      <c r="F94" s="76">
        <v>3.5000000000000003E-2</v>
      </c>
      <c r="G94" s="76">
        <v>0.03</v>
      </c>
      <c r="H94" s="76">
        <v>0.03</v>
      </c>
      <c r="I94" s="77"/>
      <c r="J94" s="77"/>
      <c r="K94" s="77"/>
      <c r="L94" s="77"/>
    </row>
    <row r="95" spans="1:12" ht="18" customHeight="1">
      <c r="A95" s="73" t="s">
        <v>1122</v>
      </c>
      <c r="B95" s="73" t="s">
        <v>973</v>
      </c>
      <c r="C95" s="77"/>
      <c r="D95" s="76">
        <v>0</v>
      </c>
      <c r="E95" s="76">
        <v>0</v>
      </c>
      <c r="F95" s="76">
        <v>0</v>
      </c>
      <c r="G95" s="76">
        <v>0</v>
      </c>
      <c r="H95" s="76">
        <v>0</v>
      </c>
      <c r="I95" s="77"/>
      <c r="J95" s="77"/>
      <c r="K95" s="77"/>
      <c r="L95" s="77"/>
    </row>
    <row r="96" spans="1:12" ht="18" customHeight="1">
      <c r="A96" s="73" t="s">
        <v>1123</v>
      </c>
      <c r="B96" s="73" t="s">
        <v>973</v>
      </c>
      <c r="C96" s="77"/>
      <c r="D96" s="76">
        <v>0</v>
      </c>
      <c r="E96" s="76">
        <v>0</v>
      </c>
      <c r="F96" s="76">
        <v>0</v>
      </c>
      <c r="G96" s="76">
        <v>0</v>
      </c>
      <c r="H96" s="76">
        <v>0</v>
      </c>
      <c r="I96" s="77"/>
      <c r="J96" s="77"/>
      <c r="K96" s="77"/>
      <c r="L96" s="77"/>
    </row>
    <row r="97" spans="1:12" ht="18" customHeight="1">
      <c r="A97" s="73" t="s">
        <v>1124</v>
      </c>
      <c r="B97" s="73" t="s">
        <v>973</v>
      </c>
      <c r="C97" s="77"/>
      <c r="D97" s="76">
        <v>0</v>
      </c>
      <c r="E97" s="76">
        <v>0</v>
      </c>
      <c r="F97" s="76">
        <v>0</v>
      </c>
      <c r="G97" s="76">
        <v>0</v>
      </c>
      <c r="H97" s="76">
        <v>0</v>
      </c>
      <c r="I97" s="77"/>
      <c r="J97" s="77"/>
      <c r="K97" s="77"/>
      <c r="L97" s="77"/>
    </row>
    <row r="98" spans="1:12" ht="18" customHeight="1">
      <c r="A98" s="73" t="s">
        <v>1125</v>
      </c>
      <c r="B98" s="73" t="s">
        <v>973</v>
      </c>
      <c r="C98" s="77"/>
      <c r="D98" s="84">
        <f>D87+D88+D96</f>
        <v>2.8000000000000001E-2</v>
      </c>
      <c r="E98" s="84">
        <f>E87+E88+E96</f>
        <v>2.8000000000000001E-2</v>
      </c>
      <c r="F98" s="84">
        <f>F87+F88+F96</f>
        <v>3.7999999999999999E-2</v>
      </c>
      <c r="G98" s="84">
        <f>G87+G88+G96</f>
        <v>3.7999999999999999E-2</v>
      </c>
      <c r="H98" s="84">
        <f>H87+H88+H96</f>
        <v>3.7999999999999999E-2</v>
      </c>
      <c r="I98" s="77"/>
      <c r="J98" s="77"/>
      <c r="K98" s="77"/>
      <c r="L98" s="77"/>
    </row>
    <row r="99" spans="1:12" ht="18" customHeight="1">
      <c r="A99" s="73" t="s">
        <v>1126</v>
      </c>
      <c r="B99" s="73" t="s">
        <v>973</v>
      </c>
      <c r="C99" s="77"/>
      <c r="D99" s="84">
        <f>D89+D90+D96</f>
        <v>4.4999999999999998E-2</v>
      </c>
      <c r="E99" s="84">
        <f>E89+E90+E96</f>
        <v>4.4999999999999998E-2</v>
      </c>
      <c r="F99" s="84">
        <f>F89+F90+F96</f>
        <v>5.3000000000000005E-2</v>
      </c>
      <c r="G99" s="84">
        <f>G89+G90+G96</f>
        <v>5.3000000000000005E-2</v>
      </c>
      <c r="H99" s="84">
        <f>H89+H90+H96</f>
        <v>5.3000000000000005E-2</v>
      </c>
      <c r="I99" s="77"/>
      <c r="J99" s="77"/>
      <c r="K99" s="77"/>
      <c r="L99" s="77"/>
    </row>
    <row r="100" spans="1:12" ht="18" customHeight="1">
      <c r="A100" s="73" t="s">
        <v>1127</v>
      </c>
      <c r="B100" s="73" t="s">
        <v>973</v>
      </c>
      <c r="C100" s="77"/>
      <c r="D100" s="84">
        <f>D91+D92+D96</f>
        <v>8.4999999999999992E-2</v>
      </c>
      <c r="E100" s="84">
        <f>E91+E92+E96</f>
        <v>7.5000000000000011E-2</v>
      </c>
      <c r="F100" s="84">
        <f>F91+F92+F96</f>
        <v>0.08</v>
      </c>
      <c r="G100" s="84">
        <f>G91+G92+G96</f>
        <v>7.5000000000000011E-2</v>
      </c>
      <c r="H100" s="84">
        <f>H91+H92+H96</f>
        <v>7.5000000000000011E-2</v>
      </c>
      <c r="I100" s="77"/>
      <c r="J100" s="77"/>
      <c r="K100" s="77"/>
      <c r="L100" s="77"/>
    </row>
    <row r="101" spans="1:12" ht="18" customHeight="1">
      <c r="A101" s="73" t="s">
        <v>1129</v>
      </c>
      <c r="B101" s="73" t="s">
        <v>1012</v>
      </c>
      <c r="C101" s="78">
        <f>F56</f>
        <v>7513.2359999999999</v>
      </c>
      <c r="D101" s="78">
        <f>C101*(1+D98)*(1+D97)</f>
        <v>7723.6066080000001</v>
      </c>
      <c r="E101" s="78">
        <f>D101*(1+E98)*(1+E97)</f>
        <v>7939.8675930240006</v>
      </c>
      <c r="F101" s="78">
        <f>E101*(1+F98)*(1+F97)</f>
        <v>8241.5825615589129</v>
      </c>
      <c r="G101" s="78">
        <f>F101*(1+G98)*(1+G97)</f>
        <v>8554.7626988981519</v>
      </c>
      <c r="H101" s="78">
        <f>G101*(1+H98)*(1+H97)</f>
        <v>8879.8436814562829</v>
      </c>
      <c r="I101" s="74"/>
      <c r="J101" s="74"/>
      <c r="K101" s="74"/>
      <c r="L101" s="74"/>
    </row>
    <row r="102" spans="1:12" ht="18" customHeight="1">
      <c r="A102" s="73" t="s">
        <v>1130</v>
      </c>
      <c r="B102" s="73" t="s">
        <v>1012</v>
      </c>
      <c r="C102" s="78">
        <f>F57</f>
        <v>7759.48</v>
      </c>
      <c r="D102" s="78">
        <f>C102*(1+D99)*(1+D97)</f>
        <v>8108.6565999999993</v>
      </c>
      <c r="E102" s="78">
        <f>D102*(1+E99)*(1+E97)</f>
        <v>8473.5461469999991</v>
      </c>
      <c r="F102" s="78">
        <f>E102*(1+F99)*(1+F97)</f>
        <v>8922.6440927909989</v>
      </c>
      <c r="G102" s="78">
        <f>F102*(1+G99)*(1+G97)</f>
        <v>9395.5442297089212</v>
      </c>
      <c r="H102" s="78">
        <f>G102*(1+H99)*(1+H97)</f>
        <v>9893.5080738834931</v>
      </c>
      <c r="I102" s="74"/>
      <c r="J102" s="74"/>
      <c r="K102" s="74"/>
      <c r="L102" s="74"/>
    </row>
    <row r="103" spans="1:12" ht="18" customHeight="1">
      <c r="A103" s="73" t="s">
        <v>1131</v>
      </c>
      <c r="B103" s="73" t="s">
        <v>1012</v>
      </c>
      <c r="C103" s="78">
        <f>F58</f>
        <v>2058.1999999999998</v>
      </c>
      <c r="D103" s="78">
        <f>C103*(1+D100)*(1+D97)</f>
        <v>2233.1469999999999</v>
      </c>
      <c r="E103" s="78">
        <f>D103*(1+E100)*(1+E97)</f>
        <v>2400.6330249999996</v>
      </c>
      <c r="F103" s="78">
        <f>E103*(1+F100)*(1+F97)</f>
        <v>2592.6836669999998</v>
      </c>
      <c r="G103" s="78">
        <f>F103*(1+G100)*(1+G97)</f>
        <v>2787.1349420249999</v>
      </c>
      <c r="H103" s="78">
        <f>G103*(1+H100)*(1+H97)</f>
        <v>2996.1700626768747</v>
      </c>
      <c r="I103" s="74"/>
      <c r="J103" s="74"/>
      <c r="K103" s="74"/>
      <c r="L103" s="74"/>
    </row>
    <row r="104" spans="1:12" ht="18" customHeight="1">
      <c r="A104" s="73" t="s">
        <v>1132</v>
      </c>
      <c r="B104" s="73" t="s">
        <v>1012</v>
      </c>
      <c r="C104" s="78">
        <f>F64</f>
        <v>1299.5</v>
      </c>
      <c r="D104" s="78">
        <f t="shared" ref="D104:H106" si="14">C104*(1+D93)</f>
        <v>1338.4850000000001</v>
      </c>
      <c r="E104" s="78">
        <f t="shared" si="14"/>
        <v>1378.6395500000001</v>
      </c>
      <c r="F104" s="78">
        <f t="shared" si="14"/>
        <v>1413.1055387500001</v>
      </c>
      <c r="G104" s="78">
        <f t="shared" si="14"/>
        <v>1448.43317721875</v>
      </c>
      <c r="H104" s="78">
        <f t="shared" si="14"/>
        <v>1484.6440066492187</v>
      </c>
      <c r="I104" s="74"/>
      <c r="J104" s="74"/>
      <c r="K104" s="74"/>
      <c r="L104" s="74"/>
    </row>
    <row r="105" spans="1:12" ht="18" customHeight="1">
      <c r="A105" s="73" t="s">
        <v>1133</v>
      </c>
      <c r="B105" s="73" t="s">
        <v>1012</v>
      </c>
      <c r="C105" s="78">
        <f>F65</f>
        <v>1447.5199999999995</v>
      </c>
      <c r="D105" s="78">
        <f t="shared" si="14"/>
        <v>1519.8959999999995</v>
      </c>
      <c r="E105" s="78">
        <f t="shared" si="14"/>
        <v>1580.6918399999995</v>
      </c>
      <c r="F105" s="78">
        <f t="shared" si="14"/>
        <v>1636.0160543999993</v>
      </c>
      <c r="G105" s="78">
        <f t="shared" si="14"/>
        <v>1685.0965360319994</v>
      </c>
      <c r="H105" s="78">
        <f t="shared" si="14"/>
        <v>1735.6494321129594</v>
      </c>
      <c r="I105" s="74"/>
      <c r="J105" s="74"/>
      <c r="K105" s="74"/>
      <c r="L105" s="74"/>
    </row>
    <row r="106" spans="1:12" ht="18" customHeight="1">
      <c r="A106" s="73" t="s">
        <v>1134</v>
      </c>
      <c r="B106" s="73" t="s">
        <v>1012</v>
      </c>
      <c r="C106" s="78">
        <f>F66</f>
        <v>0</v>
      </c>
      <c r="D106" s="78">
        <f t="shared" si="14"/>
        <v>0</v>
      </c>
      <c r="E106" s="78">
        <f t="shared" si="14"/>
        <v>0</v>
      </c>
      <c r="F106" s="78">
        <f t="shared" si="14"/>
        <v>0</v>
      </c>
      <c r="G106" s="78">
        <f t="shared" si="14"/>
        <v>0</v>
      </c>
      <c r="H106" s="78">
        <f t="shared" si="14"/>
        <v>0</v>
      </c>
      <c r="I106" s="74"/>
      <c r="J106" s="74"/>
      <c r="K106" s="74"/>
      <c r="L106" s="74"/>
    </row>
    <row r="107" spans="1:12" ht="18" customHeight="1">
      <c r="A107" s="73" t="s">
        <v>1135</v>
      </c>
      <c r="B107" s="73" t="s">
        <v>1012</v>
      </c>
      <c r="C107" s="78">
        <f t="shared" ref="C107:H109" si="15">C101-C104</f>
        <v>6213.7359999999999</v>
      </c>
      <c r="D107" s="78">
        <f t="shared" si="15"/>
        <v>6385.1216079999995</v>
      </c>
      <c r="E107" s="78">
        <f t="shared" si="15"/>
        <v>6561.2280430240007</v>
      </c>
      <c r="F107" s="78">
        <f t="shared" si="15"/>
        <v>6828.4770228089128</v>
      </c>
      <c r="G107" s="78">
        <f t="shared" si="15"/>
        <v>7106.3295216794022</v>
      </c>
      <c r="H107" s="78">
        <f t="shared" si="15"/>
        <v>7395.1996748070642</v>
      </c>
      <c r="I107" s="74"/>
      <c r="J107" s="74"/>
      <c r="K107" s="74"/>
      <c r="L107" s="74"/>
    </row>
    <row r="108" spans="1:12" ht="18" customHeight="1">
      <c r="A108" s="73" t="s">
        <v>1136</v>
      </c>
      <c r="B108" s="73" t="s">
        <v>1012</v>
      </c>
      <c r="C108" s="78">
        <f t="shared" si="15"/>
        <v>6311.96</v>
      </c>
      <c r="D108" s="78">
        <f t="shared" si="15"/>
        <v>6588.7605999999996</v>
      </c>
      <c r="E108" s="78">
        <f t="shared" si="15"/>
        <v>6892.8543069999996</v>
      </c>
      <c r="F108" s="78">
        <f t="shared" si="15"/>
        <v>7286.6280383909998</v>
      </c>
      <c r="G108" s="78">
        <f t="shared" si="15"/>
        <v>7710.4476936769215</v>
      </c>
      <c r="H108" s="78">
        <f t="shared" si="15"/>
        <v>8157.8586417705337</v>
      </c>
      <c r="I108" s="74"/>
      <c r="J108" s="74"/>
      <c r="K108" s="74"/>
      <c r="L108" s="74"/>
    </row>
    <row r="109" spans="1:12" ht="18" customHeight="1">
      <c r="A109" s="73" t="s">
        <v>1137</v>
      </c>
      <c r="B109" s="73" t="s">
        <v>1012</v>
      </c>
      <c r="C109" s="78">
        <f t="shared" si="15"/>
        <v>2058.1999999999998</v>
      </c>
      <c r="D109" s="78">
        <f t="shared" si="15"/>
        <v>2233.1469999999999</v>
      </c>
      <c r="E109" s="78">
        <f t="shared" si="15"/>
        <v>2400.6330249999996</v>
      </c>
      <c r="F109" s="78">
        <f t="shared" si="15"/>
        <v>2592.6836669999998</v>
      </c>
      <c r="G109" s="78">
        <f t="shared" si="15"/>
        <v>2787.1349420249999</v>
      </c>
      <c r="H109" s="78">
        <f t="shared" si="15"/>
        <v>2996.1700626768747</v>
      </c>
      <c r="I109" s="74"/>
      <c r="J109" s="74"/>
      <c r="K109" s="74"/>
      <c r="L109" s="74"/>
    </row>
    <row r="110" spans="1:12" ht="18" customHeight="1">
      <c r="A110" s="73" t="s">
        <v>1138</v>
      </c>
      <c r="B110" s="73" t="s">
        <v>1012</v>
      </c>
      <c r="C110" s="78">
        <f t="shared" ref="C110:H110" si="16">SUM(C107:C109)</f>
        <v>14583.896000000001</v>
      </c>
      <c r="D110" s="78">
        <f t="shared" si="16"/>
        <v>15207.029208</v>
      </c>
      <c r="E110" s="78">
        <f t="shared" si="16"/>
        <v>15854.715375024</v>
      </c>
      <c r="F110" s="78">
        <f t="shared" si="16"/>
        <v>16707.788728199914</v>
      </c>
      <c r="G110" s="78">
        <f t="shared" si="16"/>
        <v>17603.912157381325</v>
      </c>
      <c r="H110" s="78">
        <f t="shared" si="16"/>
        <v>18549.228379254473</v>
      </c>
      <c r="I110" s="74"/>
      <c r="J110" s="74"/>
      <c r="K110" s="74"/>
      <c r="L110" s="74"/>
    </row>
    <row r="111" spans="1:12" ht="18" customHeight="1">
      <c r="A111" s="73" t="s">
        <v>1139</v>
      </c>
      <c r="B111" s="73" t="s">
        <v>973</v>
      </c>
      <c r="C111" s="77"/>
      <c r="D111" s="84">
        <f>D110/C110-1</f>
        <v>4.2727485714379787E-2</v>
      </c>
      <c r="E111" s="84">
        <f>E110/D110-1</f>
        <v>4.2591235813716377E-2</v>
      </c>
      <c r="F111" s="84">
        <f>F110/E110-1</f>
        <v>5.3805655478354586E-2</v>
      </c>
      <c r="G111" s="84">
        <f>G110/F110-1</f>
        <v>5.3635070670297935E-2</v>
      </c>
      <c r="H111" s="84">
        <f>H110/G110-1</f>
        <v>5.3699212619439107E-2</v>
      </c>
      <c r="I111" s="77"/>
      <c r="J111" s="77"/>
      <c r="K111" s="77"/>
      <c r="L111" s="77"/>
    </row>
    <row r="112" spans="1:12" ht="8" customHeight="1">
      <c r="A112" s="73"/>
      <c r="B112" s="73"/>
      <c r="C112" s="74"/>
      <c r="D112" s="74"/>
      <c r="E112" s="74"/>
      <c r="F112" s="74"/>
      <c r="G112" s="74"/>
      <c r="H112" s="74"/>
      <c r="I112" s="74"/>
      <c r="J112" s="74"/>
      <c r="K112" s="74"/>
      <c r="L112" s="74"/>
    </row>
    <row r="113" spans="1:12" ht="22" customHeight="1">
      <c r="A113" s="92" t="s">
        <v>1038</v>
      </c>
      <c r="B113" s="92" t="s">
        <v>972</v>
      </c>
      <c r="C113" s="93" t="s">
        <v>1010</v>
      </c>
      <c r="D113" s="93" t="s">
        <v>1022</v>
      </c>
      <c r="E113" s="93" t="s">
        <v>1023</v>
      </c>
      <c r="F113" s="93" t="s">
        <v>1024</v>
      </c>
      <c r="G113" s="93" t="s">
        <v>1025</v>
      </c>
      <c r="H113" s="93" t="s">
        <v>1026</v>
      </c>
      <c r="I113" s="93"/>
      <c r="J113" s="93"/>
      <c r="K113" s="93"/>
      <c r="L113" s="93"/>
    </row>
    <row r="114" spans="1:12" ht="18" customHeight="1">
      <c r="A114" s="73" t="s">
        <v>1237</v>
      </c>
      <c r="B114" s="73" t="s">
        <v>1012</v>
      </c>
      <c r="C114" s="78">
        <f t="shared" ref="C114:C119" si="17">F67</f>
        <v>53071.511999999995</v>
      </c>
      <c r="D114" s="78">
        <f t="shared" ref="D114:H116" si="18">C114*(1+D98)</f>
        <v>54557.514335999993</v>
      </c>
      <c r="E114" s="78">
        <f t="shared" si="18"/>
        <v>56085.124737407998</v>
      </c>
      <c r="F114" s="78">
        <f t="shared" si="18"/>
        <v>58216.359477429505</v>
      </c>
      <c r="G114" s="78">
        <f t="shared" si="18"/>
        <v>60428.581137571826</v>
      </c>
      <c r="H114" s="78">
        <f t="shared" si="18"/>
        <v>62724.867220799555</v>
      </c>
      <c r="I114" s="74"/>
      <c r="J114" s="74"/>
      <c r="K114" s="74"/>
      <c r="L114" s="74"/>
    </row>
    <row r="115" spans="1:12" ht="18" customHeight="1">
      <c r="A115" s="73" t="s">
        <v>1238</v>
      </c>
      <c r="B115" s="73" t="s">
        <v>1012</v>
      </c>
      <c r="C115" s="78">
        <f t="shared" si="17"/>
        <v>45607.76</v>
      </c>
      <c r="D115" s="78">
        <f t="shared" si="18"/>
        <v>47660.109199999999</v>
      </c>
      <c r="E115" s="78">
        <f t="shared" si="18"/>
        <v>49804.814113999993</v>
      </c>
      <c r="F115" s="78">
        <f t="shared" si="18"/>
        <v>52444.469262041988</v>
      </c>
      <c r="G115" s="78">
        <f t="shared" si="18"/>
        <v>55224.026132930208</v>
      </c>
      <c r="H115" s="78">
        <f t="shared" si="18"/>
        <v>58150.899517975507</v>
      </c>
      <c r="I115" s="74"/>
      <c r="J115" s="74"/>
      <c r="K115" s="74"/>
      <c r="L115" s="74"/>
    </row>
    <row r="116" spans="1:12" ht="18" customHeight="1">
      <c r="A116" s="73" t="s">
        <v>1239</v>
      </c>
      <c r="B116" s="73" t="s">
        <v>1012</v>
      </c>
      <c r="C116" s="78">
        <f t="shared" si="17"/>
        <v>38264.145000000004</v>
      </c>
      <c r="D116" s="78">
        <f t="shared" si="18"/>
        <v>41516.597325000002</v>
      </c>
      <c r="E116" s="78">
        <f t="shared" si="18"/>
        <v>44630.342124374998</v>
      </c>
      <c r="F116" s="78">
        <f t="shared" si="18"/>
        <v>48200.769494325003</v>
      </c>
      <c r="G116" s="78">
        <f t="shared" si="18"/>
        <v>51815.827206399379</v>
      </c>
      <c r="H116" s="78">
        <f t="shared" si="18"/>
        <v>55702.014246879327</v>
      </c>
      <c r="I116" s="74"/>
      <c r="J116" s="74"/>
      <c r="K116" s="74"/>
      <c r="L116" s="74"/>
    </row>
    <row r="117" spans="1:12" ht="18" customHeight="1">
      <c r="A117" s="73" t="s">
        <v>1240</v>
      </c>
      <c r="B117" s="73" t="s">
        <v>1012</v>
      </c>
      <c r="C117" s="78">
        <f t="shared" si="17"/>
        <v>3151.9749999999999</v>
      </c>
      <c r="D117" s="78">
        <f>C117*(1+D129)</f>
        <v>3230.7743749999995</v>
      </c>
      <c r="E117" s="78">
        <f>D117*(1+E129)</f>
        <v>3311.5437343749991</v>
      </c>
      <c r="F117" s="78">
        <f>E117*(1+F129)</f>
        <v>3420.8246776093738</v>
      </c>
      <c r="G117" s="78">
        <f>F117*(1+G129)</f>
        <v>3533.7118919704831</v>
      </c>
      <c r="H117" s="78">
        <f>G117*(1+H129)</f>
        <v>3650.3243844055087</v>
      </c>
      <c r="I117" s="74"/>
      <c r="J117" s="74"/>
      <c r="K117" s="74"/>
      <c r="L117" s="74"/>
    </row>
    <row r="118" spans="1:12" ht="18" customHeight="1">
      <c r="A118" s="73" t="s">
        <v>1241</v>
      </c>
      <c r="B118" s="73" t="s">
        <v>1012</v>
      </c>
      <c r="C118" s="78">
        <f t="shared" si="17"/>
        <v>6423.45</v>
      </c>
      <c r="D118" s="78">
        <f>C118*(1+D129)</f>
        <v>6584.0362499999992</v>
      </c>
      <c r="E118" s="78">
        <f>D118*(1+E129)</f>
        <v>6748.637156249999</v>
      </c>
      <c r="F118" s="78">
        <f>E118*(1+F129)</f>
        <v>6971.342182406248</v>
      </c>
      <c r="G118" s="78">
        <f>F118*(1+G129)</f>
        <v>7201.3964744256537</v>
      </c>
      <c r="H118" s="78">
        <f>G118*(1+H129)</f>
        <v>7439.0425580817</v>
      </c>
      <c r="I118" s="74"/>
      <c r="J118" s="74"/>
      <c r="K118" s="74"/>
      <c r="L118" s="74"/>
    </row>
    <row r="119" spans="1:12" ht="18" customHeight="1">
      <c r="A119" s="73" t="s">
        <v>1242</v>
      </c>
      <c r="B119" s="73" t="s">
        <v>1012</v>
      </c>
      <c r="C119" s="78">
        <f t="shared" si="17"/>
        <v>491.02499999999998</v>
      </c>
      <c r="D119" s="78">
        <f>C119*(1+D129)</f>
        <v>503.30062499999991</v>
      </c>
      <c r="E119" s="78">
        <f>D119*(1+E129)</f>
        <v>515.8831406249999</v>
      </c>
      <c r="F119" s="78">
        <f>E119*(1+F129)</f>
        <v>532.90728426562487</v>
      </c>
      <c r="G119" s="78">
        <f>F119*(1+G129)</f>
        <v>550.49322464639044</v>
      </c>
      <c r="H119" s="78">
        <f>G119*(1+H129)</f>
        <v>568.65950105972126</v>
      </c>
      <c r="I119" s="74"/>
      <c r="J119" s="74"/>
      <c r="K119" s="74"/>
      <c r="L119" s="74"/>
    </row>
    <row r="120" spans="1:12" ht="18" customHeight="1">
      <c r="A120" s="73" t="s">
        <v>1110</v>
      </c>
      <c r="B120" s="73" t="s">
        <v>1012</v>
      </c>
      <c r="C120" s="78">
        <f t="shared" ref="C120:H122" si="19">C114+C117</f>
        <v>56223.486999999994</v>
      </c>
      <c r="D120" s="78">
        <f t="shared" si="19"/>
        <v>57788.288710999994</v>
      </c>
      <c r="E120" s="78">
        <f t="shared" si="19"/>
        <v>59396.668471782999</v>
      </c>
      <c r="F120" s="78">
        <f t="shared" si="19"/>
        <v>61637.184155038878</v>
      </c>
      <c r="G120" s="78">
        <f t="shared" si="19"/>
        <v>63962.293029542307</v>
      </c>
      <c r="H120" s="78">
        <f t="shared" si="19"/>
        <v>66375.191605205066</v>
      </c>
      <c r="I120" s="74"/>
      <c r="J120" s="74"/>
      <c r="K120" s="74"/>
      <c r="L120" s="74"/>
    </row>
    <row r="121" spans="1:12" ht="18" customHeight="1">
      <c r="A121" s="73" t="s">
        <v>1111</v>
      </c>
      <c r="B121" s="73" t="s">
        <v>1012</v>
      </c>
      <c r="C121" s="78">
        <f t="shared" si="19"/>
        <v>52031.21</v>
      </c>
      <c r="D121" s="78">
        <f t="shared" si="19"/>
        <v>54244.145449999996</v>
      </c>
      <c r="E121" s="78">
        <f t="shared" si="19"/>
        <v>56553.451270249992</v>
      </c>
      <c r="F121" s="78">
        <f t="shared" si="19"/>
        <v>59415.811444448234</v>
      </c>
      <c r="G121" s="78">
        <f t="shared" si="19"/>
        <v>62425.42260735586</v>
      </c>
      <c r="H121" s="78">
        <f t="shared" si="19"/>
        <v>65589.94207605721</v>
      </c>
      <c r="I121" s="74"/>
      <c r="J121" s="74"/>
      <c r="K121" s="74"/>
      <c r="L121" s="74"/>
    </row>
    <row r="122" spans="1:12" ht="18" customHeight="1">
      <c r="A122" s="73" t="s">
        <v>1112</v>
      </c>
      <c r="B122" s="73" t="s">
        <v>1012</v>
      </c>
      <c r="C122" s="78">
        <f t="shared" si="19"/>
        <v>38755.170000000006</v>
      </c>
      <c r="D122" s="78">
        <f t="shared" si="19"/>
        <v>42019.897950000006</v>
      </c>
      <c r="E122" s="78">
        <f t="shared" si="19"/>
        <v>45146.225265000001</v>
      </c>
      <c r="F122" s="78">
        <f t="shared" si="19"/>
        <v>48733.676778590627</v>
      </c>
      <c r="G122" s="78">
        <f t="shared" si="19"/>
        <v>52366.320431045766</v>
      </c>
      <c r="H122" s="78">
        <f t="shared" si="19"/>
        <v>56270.67374793905</v>
      </c>
      <c r="I122" s="74"/>
      <c r="J122" s="74"/>
      <c r="K122" s="74"/>
      <c r="L122" s="74"/>
    </row>
    <row r="123" spans="1:12" ht="18" customHeight="1">
      <c r="A123" s="80" t="s">
        <v>1113</v>
      </c>
      <c r="B123" s="80" t="s">
        <v>1012</v>
      </c>
      <c r="C123" s="82">
        <f t="shared" ref="C123:H123" si="20">SUM(C120:C122)</f>
        <v>147009.867</v>
      </c>
      <c r="D123" s="82">
        <f t="shared" si="20"/>
        <v>154052.332111</v>
      </c>
      <c r="E123" s="82">
        <f t="shared" si="20"/>
        <v>161096.34500703297</v>
      </c>
      <c r="F123" s="82">
        <f t="shared" si="20"/>
        <v>169786.67237807775</v>
      </c>
      <c r="G123" s="82">
        <f t="shared" si="20"/>
        <v>178754.03606794393</v>
      </c>
      <c r="H123" s="82">
        <f t="shared" si="20"/>
        <v>188235.80742920132</v>
      </c>
      <c r="I123" s="74"/>
      <c r="J123" s="74"/>
      <c r="K123" s="74"/>
      <c r="L123" s="74"/>
    </row>
    <row r="124" spans="1:12" ht="18" customHeight="1">
      <c r="A124" s="73" t="s">
        <v>1140</v>
      </c>
      <c r="B124" s="73" t="s">
        <v>973</v>
      </c>
      <c r="C124" s="77"/>
      <c r="D124" s="84">
        <f>D123/C123-1</f>
        <v>4.7904710443687382E-2</v>
      </c>
      <c r="E124" s="84">
        <f>E123/D123-1</f>
        <v>4.5724805327565621E-2</v>
      </c>
      <c r="F124" s="84">
        <f>F123/E123-1</f>
        <v>5.3944907134084286E-2</v>
      </c>
      <c r="G124" s="84">
        <f>G123/F123-1</f>
        <v>5.2815474643956861E-2</v>
      </c>
      <c r="H124" s="84">
        <f>H123/G123-1</f>
        <v>5.3043677053833838E-2</v>
      </c>
      <c r="I124" s="77"/>
      <c r="J124" s="77"/>
      <c r="K124" s="77"/>
      <c r="L124" s="77"/>
    </row>
    <row r="125" spans="1:12" ht="8" customHeight="1">
      <c r="A125" s="73"/>
      <c r="B125" s="73"/>
      <c r="C125" s="74"/>
      <c r="D125" s="74"/>
      <c r="E125" s="74"/>
      <c r="F125" s="74"/>
      <c r="G125" s="74"/>
      <c r="H125" s="74"/>
      <c r="I125" s="74"/>
      <c r="J125" s="74"/>
      <c r="K125" s="74"/>
      <c r="L125" s="74"/>
    </row>
    <row r="126" spans="1:12" ht="24" customHeight="1">
      <c r="A126" s="129" t="s">
        <v>1343</v>
      </c>
      <c r="B126" s="129"/>
      <c r="C126" s="125"/>
      <c r="D126" s="125"/>
      <c r="E126" s="125"/>
      <c r="F126" s="125"/>
      <c r="G126" s="125"/>
      <c r="H126" s="125"/>
      <c r="I126" s="125"/>
      <c r="J126" s="125"/>
      <c r="K126" s="125"/>
      <c r="L126" s="125"/>
    </row>
    <row r="127" spans="1:12" ht="22" customHeight="1">
      <c r="A127" s="92" t="s">
        <v>1038</v>
      </c>
      <c r="B127" s="92" t="s">
        <v>972</v>
      </c>
      <c r="C127" s="93" t="s">
        <v>1010</v>
      </c>
      <c r="D127" s="93" t="s">
        <v>1022</v>
      </c>
      <c r="E127" s="93" t="s">
        <v>1023</v>
      </c>
      <c r="F127" s="93" t="s">
        <v>1024</v>
      </c>
      <c r="G127" s="93" t="s">
        <v>1025</v>
      </c>
      <c r="H127" s="93" t="s">
        <v>1026</v>
      </c>
      <c r="I127" s="93"/>
      <c r="J127" s="93"/>
      <c r="K127" s="93"/>
      <c r="L127" s="93"/>
    </row>
    <row r="128" spans="1:12" ht="18" customHeight="1">
      <c r="A128" s="73" t="s">
        <v>1298</v>
      </c>
      <c r="B128" s="73" t="s">
        <v>1012</v>
      </c>
      <c r="C128" s="79">
        <f>SUM('Income Statement'!T14:U14)+SUM(E35:F35)</f>
        <v>10068.474999999999</v>
      </c>
      <c r="D128" s="74"/>
      <c r="E128" s="74"/>
      <c r="F128" s="74"/>
      <c r="G128" s="74"/>
      <c r="H128" s="74"/>
      <c r="I128" s="74"/>
      <c r="J128" s="74"/>
      <c r="K128" s="74"/>
      <c r="L128" s="74"/>
    </row>
    <row r="129" spans="1:12" ht="18" customHeight="1">
      <c r="A129" s="73" t="s">
        <v>1141</v>
      </c>
      <c r="B129" s="73" t="s">
        <v>973</v>
      </c>
      <c r="C129" s="77"/>
      <c r="D129" s="76">
        <v>2.5000000000000001E-2</v>
      </c>
      <c r="E129" s="76">
        <v>2.5000000000000001E-2</v>
      </c>
      <c r="F129" s="76">
        <v>3.3000000000000002E-2</v>
      </c>
      <c r="G129" s="76">
        <v>3.3000000000000002E-2</v>
      </c>
      <c r="H129" s="76">
        <v>3.3000000000000002E-2</v>
      </c>
      <c r="I129" s="77"/>
      <c r="J129" s="77"/>
      <c r="K129" s="77"/>
      <c r="L129" s="77"/>
    </row>
    <row r="130" spans="1:12" ht="18" customHeight="1">
      <c r="A130" s="73" t="s">
        <v>1142</v>
      </c>
      <c r="B130" s="73" t="s">
        <v>973</v>
      </c>
      <c r="C130" s="77"/>
      <c r="D130" s="76">
        <v>0.1</v>
      </c>
      <c r="E130" s="76">
        <v>0.35</v>
      </c>
      <c r="F130" s="76">
        <v>0.5</v>
      </c>
      <c r="G130" s="76">
        <v>0.5</v>
      </c>
      <c r="H130" s="76">
        <v>0.5</v>
      </c>
      <c r="I130" s="77"/>
      <c r="J130" s="77"/>
      <c r="K130" s="77"/>
      <c r="L130" s="77"/>
    </row>
    <row r="131" spans="1:12" ht="18" customHeight="1">
      <c r="A131" s="73" t="s">
        <v>1143</v>
      </c>
      <c r="B131" s="73" t="s">
        <v>973</v>
      </c>
      <c r="C131" s="77"/>
      <c r="D131" s="76">
        <v>0.15</v>
      </c>
      <c r="E131" s="76">
        <v>0.15</v>
      </c>
      <c r="F131" s="76">
        <v>0.15</v>
      </c>
      <c r="G131" s="76">
        <v>0.15</v>
      </c>
      <c r="H131" s="76">
        <v>0.15</v>
      </c>
      <c r="I131" s="77"/>
      <c r="J131" s="77"/>
      <c r="K131" s="77"/>
      <c r="L131" s="77"/>
    </row>
    <row r="132" spans="1:12" ht="18" customHeight="1">
      <c r="A132" s="73" t="s">
        <v>1144</v>
      </c>
      <c r="B132" s="73" t="s">
        <v>973</v>
      </c>
      <c r="C132" s="77"/>
      <c r="D132" s="76">
        <v>0.82</v>
      </c>
      <c r="E132" s="76">
        <v>0.82</v>
      </c>
      <c r="F132" s="76">
        <v>0.82</v>
      </c>
      <c r="G132" s="76">
        <v>0.82</v>
      </c>
      <c r="H132" s="76">
        <v>0.82</v>
      </c>
      <c r="I132" s="77"/>
      <c r="J132" s="77"/>
      <c r="K132" s="77"/>
      <c r="L132" s="77"/>
    </row>
    <row r="133" spans="1:12" ht="18" customHeight="1">
      <c r="A133" s="73" t="s">
        <v>1145</v>
      </c>
      <c r="B133" s="73" t="s">
        <v>973</v>
      </c>
      <c r="C133" s="77"/>
      <c r="D133" s="76">
        <v>0.15</v>
      </c>
      <c r="E133" s="76">
        <v>0.152</v>
      </c>
      <c r="F133" s="76">
        <v>0.155</v>
      </c>
      <c r="G133" s="76">
        <v>0.158</v>
      </c>
      <c r="H133" s="76">
        <v>0.16</v>
      </c>
      <c r="I133" s="77"/>
      <c r="J133" s="77"/>
      <c r="K133" s="77"/>
      <c r="L133" s="77"/>
    </row>
    <row r="134" spans="1:12" ht="18" customHeight="1">
      <c r="A134" s="73" t="s">
        <v>1146</v>
      </c>
      <c r="B134" s="73" t="s">
        <v>1012</v>
      </c>
      <c r="C134" s="78">
        <f>C128</f>
        <v>10068.474999999999</v>
      </c>
      <c r="D134" s="78">
        <f>C134*(1+D129)</f>
        <v>10320.186874999998</v>
      </c>
      <c r="E134" s="78">
        <f>D134*(1+E129)</f>
        <v>10578.191546874996</v>
      </c>
      <c r="F134" s="78">
        <f>E134*(1+F129)</f>
        <v>10927.271867921871</v>
      </c>
      <c r="G134" s="78">
        <f>F134*(1+G129)</f>
        <v>11287.871839563291</v>
      </c>
      <c r="H134" s="78">
        <f>G134*(1+H129)</f>
        <v>11660.37161026888</v>
      </c>
      <c r="I134" s="74"/>
      <c r="J134" s="74"/>
      <c r="K134" s="74"/>
      <c r="L134" s="74"/>
    </row>
    <row r="135" spans="1:12" ht="18" customHeight="1">
      <c r="A135" s="73" t="s">
        <v>1147</v>
      </c>
      <c r="B135" s="73" t="s">
        <v>1012</v>
      </c>
      <c r="C135" s="74"/>
      <c r="D135" s="78">
        <f>D134*D130</f>
        <v>1032.0186874999997</v>
      </c>
      <c r="E135" s="78">
        <f>E134*E130</f>
        <v>3702.3670414062481</v>
      </c>
      <c r="F135" s="78">
        <f>F134*F130</f>
        <v>5463.6359339609353</v>
      </c>
      <c r="G135" s="78">
        <f>G134*G130</f>
        <v>5643.9359197816457</v>
      </c>
      <c r="H135" s="78">
        <f>H134*H130</f>
        <v>5830.1858051344398</v>
      </c>
      <c r="I135" s="74"/>
      <c r="J135" s="74"/>
      <c r="K135" s="74"/>
      <c r="L135" s="74"/>
    </row>
    <row r="136" spans="1:12" ht="18" customHeight="1">
      <c r="A136" s="73" t="s">
        <v>1148</v>
      </c>
      <c r="B136" s="73" t="s">
        <v>1012</v>
      </c>
      <c r="C136" s="74"/>
      <c r="D136" s="78">
        <f>D134-D135</f>
        <v>9288.1681874999977</v>
      </c>
      <c r="E136" s="78">
        <f>E134-E135</f>
        <v>6875.8245054687477</v>
      </c>
      <c r="F136" s="78">
        <f>F134-F135</f>
        <v>5463.6359339609353</v>
      </c>
      <c r="G136" s="78">
        <f>G134-G135</f>
        <v>5643.9359197816457</v>
      </c>
      <c r="H136" s="78">
        <f>H134-H135</f>
        <v>5830.1858051344398</v>
      </c>
      <c r="I136" s="74"/>
      <c r="J136" s="74"/>
      <c r="K136" s="74"/>
      <c r="L136" s="74"/>
    </row>
    <row r="137" spans="1:12" ht="18" customHeight="1">
      <c r="A137" s="73" t="s">
        <v>1149</v>
      </c>
      <c r="B137" s="73" t="s">
        <v>1012</v>
      </c>
      <c r="C137" s="74"/>
      <c r="D137" s="78">
        <f>D135*D131</f>
        <v>154.80280312499994</v>
      </c>
      <c r="E137" s="78">
        <f>E135*E131</f>
        <v>555.35505621093716</v>
      </c>
      <c r="F137" s="78">
        <f>F135*F131</f>
        <v>819.54539009414032</v>
      </c>
      <c r="G137" s="78">
        <f>G135*G131</f>
        <v>846.59038796724678</v>
      </c>
      <c r="H137" s="78">
        <f>H135*H131</f>
        <v>874.52787077016592</v>
      </c>
      <c r="I137" s="74"/>
      <c r="J137" s="74"/>
      <c r="K137" s="74"/>
      <c r="L137" s="74"/>
    </row>
    <row r="138" spans="1:12" ht="18" customHeight="1">
      <c r="A138" s="73" t="s">
        <v>1150</v>
      </c>
      <c r="B138" s="73" t="s">
        <v>1012</v>
      </c>
      <c r="C138" s="74"/>
      <c r="D138" s="78">
        <f>D137*D132</f>
        <v>126.93829856249994</v>
      </c>
      <c r="E138" s="78">
        <f>E137*E132</f>
        <v>455.39114609296843</v>
      </c>
      <c r="F138" s="78">
        <f>F137*F132</f>
        <v>672.02721987719497</v>
      </c>
      <c r="G138" s="78">
        <f>G137*G132</f>
        <v>694.20411813314229</v>
      </c>
      <c r="H138" s="78">
        <f>H137*H132</f>
        <v>717.11285403153602</v>
      </c>
      <c r="I138" s="74"/>
      <c r="J138" s="74"/>
      <c r="K138" s="74"/>
      <c r="L138" s="74"/>
    </row>
    <row r="139" spans="1:12" ht="18" customHeight="1">
      <c r="A139" s="73" t="s">
        <v>1151</v>
      </c>
      <c r="B139" s="73" t="s">
        <v>1012</v>
      </c>
      <c r="C139" s="74"/>
      <c r="D139" s="78">
        <f>D136*D133</f>
        <v>1393.2252281249996</v>
      </c>
      <c r="E139" s="78">
        <f>E136*E133</f>
        <v>1045.1253248312496</v>
      </c>
      <c r="F139" s="78">
        <f>F136*F133</f>
        <v>846.86356976394495</v>
      </c>
      <c r="G139" s="78">
        <f>G136*G133</f>
        <v>891.74187532550002</v>
      </c>
      <c r="H139" s="78">
        <f>H136*H133</f>
        <v>932.82972882151034</v>
      </c>
      <c r="I139" s="74"/>
      <c r="J139" s="74"/>
      <c r="K139" s="74"/>
      <c r="L139" s="74"/>
    </row>
    <row r="140" spans="1:12" ht="8" customHeight="1">
      <c r="A140" s="73"/>
      <c r="B140" s="73"/>
      <c r="C140" s="74"/>
      <c r="D140" s="74"/>
      <c r="E140" s="74"/>
      <c r="F140" s="74"/>
      <c r="G140" s="74"/>
      <c r="H140" s="74"/>
      <c r="I140" s="74"/>
      <c r="J140" s="74"/>
      <c r="K140" s="74"/>
      <c r="L140" s="74"/>
    </row>
    <row r="141" spans="1:12" ht="22" customHeight="1">
      <c r="A141" s="92" t="s">
        <v>1038</v>
      </c>
      <c r="B141" s="92" t="s">
        <v>972</v>
      </c>
      <c r="C141" s="93" t="s">
        <v>1152</v>
      </c>
      <c r="D141" s="93" t="s">
        <v>1153</v>
      </c>
      <c r="E141" s="93"/>
      <c r="F141" s="93"/>
      <c r="G141" s="93"/>
      <c r="H141" s="93"/>
      <c r="I141" s="93"/>
      <c r="J141" s="93"/>
      <c r="K141" s="93"/>
      <c r="L141" s="93"/>
    </row>
    <row r="142" spans="1:12" ht="18" customHeight="1">
      <c r="A142" s="73" t="s">
        <v>1154</v>
      </c>
      <c r="B142" s="73" t="s">
        <v>1012</v>
      </c>
      <c r="C142" s="74"/>
      <c r="D142" s="75">
        <v>5000</v>
      </c>
      <c r="E142" s="74"/>
      <c r="F142" s="74"/>
      <c r="G142" s="74"/>
      <c r="H142" s="74"/>
      <c r="I142" s="74"/>
      <c r="J142" s="74"/>
      <c r="K142" s="74"/>
      <c r="L142" s="74"/>
    </row>
    <row r="143" spans="1:12" ht="18" customHeight="1">
      <c r="A143" s="73" t="s">
        <v>1155</v>
      </c>
      <c r="B143" s="73" t="s">
        <v>1012</v>
      </c>
      <c r="C143" s="74"/>
      <c r="D143" s="75">
        <v>8500</v>
      </c>
      <c r="E143" s="74"/>
      <c r="F143" s="74"/>
      <c r="G143" s="74"/>
      <c r="H143" s="74"/>
      <c r="I143" s="74"/>
      <c r="J143" s="74"/>
      <c r="K143" s="74"/>
      <c r="L143" s="74"/>
    </row>
    <row r="144" spans="1:12" ht="18" customHeight="1">
      <c r="A144" s="73" t="s">
        <v>1156</v>
      </c>
      <c r="B144" s="73" t="s">
        <v>1012</v>
      </c>
      <c r="C144" s="74"/>
      <c r="D144" s="75">
        <v>1750</v>
      </c>
      <c r="E144" s="74"/>
      <c r="F144" s="74"/>
      <c r="G144" s="74"/>
      <c r="H144" s="74"/>
      <c r="I144" s="74"/>
      <c r="J144" s="74"/>
      <c r="K144" s="74"/>
      <c r="L144" s="74"/>
    </row>
    <row r="145" spans="1:12" ht="18" customHeight="1">
      <c r="A145" s="73" t="s">
        <v>1157</v>
      </c>
      <c r="B145" s="73" t="s">
        <v>1012</v>
      </c>
      <c r="C145" s="74"/>
      <c r="D145" s="78">
        <f>D142-D144</f>
        <v>3250</v>
      </c>
      <c r="E145" s="74"/>
      <c r="F145" s="74"/>
      <c r="G145" s="74"/>
      <c r="H145" s="74"/>
      <c r="I145" s="74"/>
      <c r="J145" s="74"/>
      <c r="K145" s="74"/>
      <c r="L145" s="74"/>
    </row>
    <row r="146" spans="1:12" ht="18" customHeight="1">
      <c r="A146" s="73" t="s">
        <v>1158</v>
      </c>
      <c r="B146" s="73" t="s">
        <v>1159</v>
      </c>
      <c r="C146" s="74"/>
      <c r="D146" s="75">
        <v>4</v>
      </c>
      <c r="E146" s="74"/>
      <c r="F146" s="74"/>
      <c r="G146" s="74"/>
      <c r="H146" s="74"/>
      <c r="I146" s="74"/>
      <c r="J146" s="74"/>
      <c r="K146" s="74"/>
      <c r="L146" s="74"/>
    </row>
    <row r="147" spans="1:12" ht="18" customHeight="1">
      <c r="A147" s="73" t="s">
        <v>1160</v>
      </c>
      <c r="B147" s="73" t="s">
        <v>1159</v>
      </c>
      <c r="C147" s="74"/>
      <c r="D147" s="75">
        <v>6</v>
      </c>
      <c r="E147" s="74"/>
      <c r="F147" s="74"/>
      <c r="G147" s="74"/>
      <c r="H147" s="74"/>
      <c r="I147" s="74"/>
      <c r="J147" s="74"/>
      <c r="K147" s="74"/>
      <c r="L147" s="74"/>
    </row>
    <row r="148" spans="1:12" ht="18" customHeight="1">
      <c r="A148" s="73" t="s">
        <v>1161</v>
      </c>
      <c r="B148" s="73" t="s">
        <v>1159</v>
      </c>
      <c r="C148" s="74"/>
      <c r="D148" s="75">
        <v>10</v>
      </c>
      <c r="E148" s="74"/>
      <c r="F148" s="74"/>
      <c r="G148" s="74"/>
      <c r="H148" s="74"/>
      <c r="I148" s="74"/>
      <c r="J148" s="74"/>
      <c r="K148" s="74"/>
      <c r="L148" s="74"/>
    </row>
    <row r="149" spans="1:12" ht="18" customHeight="1">
      <c r="A149" s="73" t="s">
        <v>1162</v>
      </c>
      <c r="B149" s="73" t="s">
        <v>973</v>
      </c>
      <c r="C149" s="77"/>
      <c r="D149" s="76">
        <v>0.8</v>
      </c>
      <c r="E149" s="77"/>
      <c r="F149" s="77"/>
      <c r="G149" s="77"/>
      <c r="H149" s="77"/>
      <c r="I149" s="77"/>
      <c r="J149" s="77"/>
      <c r="K149" s="77"/>
      <c r="L149" s="77"/>
    </row>
    <row r="150" spans="1:12" ht="18" customHeight="1">
      <c r="A150" s="73" t="s">
        <v>1163</v>
      </c>
      <c r="B150" s="73" t="s">
        <v>973</v>
      </c>
      <c r="C150" s="77"/>
      <c r="D150" s="76">
        <v>0.5</v>
      </c>
      <c r="E150" s="77"/>
      <c r="F150" s="77"/>
      <c r="G150" s="77"/>
      <c r="H150" s="77"/>
      <c r="I150" s="77"/>
      <c r="J150" s="77"/>
      <c r="K150" s="77"/>
      <c r="L150" s="77"/>
    </row>
    <row r="151" spans="1:12" ht="18" customHeight="1">
      <c r="A151" s="73" t="s">
        <v>1164</v>
      </c>
      <c r="B151" s="73" t="s">
        <v>1012</v>
      </c>
      <c r="C151" s="74"/>
      <c r="D151" s="75">
        <v>3000</v>
      </c>
      <c r="E151" s="74"/>
      <c r="F151" s="74"/>
      <c r="G151" s="74"/>
      <c r="H151" s="74"/>
      <c r="I151" s="74"/>
      <c r="J151" s="74"/>
      <c r="K151" s="74"/>
      <c r="L151" s="74"/>
    </row>
    <row r="152" spans="1:12" ht="22" customHeight="1">
      <c r="A152" s="92" t="s">
        <v>1038</v>
      </c>
      <c r="B152" s="92" t="s">
        <v>972</v>
      </c>
      <c r="C152" s="93" t="s">
        <v>1010</v>
      </c>
      <c r="D152" s="93" t="s">
        <v>1022</v>
      </c>
      <c r="E152" s="93" t="s">
        <v>1023</v>
      </c>
      <c r="F152" s="93" t="s">
        <v>1024</v>
      </c>
      <c r="G152" s="93" t="s">
        <v>1025</v>
      </c>
      <c r="H152" s="93" t="s">
        <v>1026</v>
      </c>
      <c r="I152" s="93"/>
      <c r="J152" s="93"/>
      <c r="K152" s="93"/>
      <c r="L152" s="93"/>
    </row>
    <row r="153" spans="1:12" ht="18" customHeight="1">
      <c r="A153" s="73" t="s">
        <v>1165</v>
      </c>
      <c r="B153" s="73" t="s">
        <v>1012</v>
      </c>
      <c r="C153" s="74">
        <v>0</v>
      </c>
      <c r="D153" s="78">
        <f>$D$142/$D$146</f>
        <v>1250</v>
      </c>
      <c r="E153" s="78">
        <f>$D$142/$D$146</f>
        <v>1250</v>
      </c>
      <c r="F153" s="78">
        <f>$D$142/$D$146</f>
        <v>1250</v>
      </c>
      <c r="G153" s="78">
        <f>$D$142/$D$146</f>
        <v>1250</v>
      </c>
      <c r="H153" s="78">
        <f>($D$143-$D$142)/$D$147</f>
        <v>583.33333333333337</v>
      </c>
      <c r="I153" s="74"/>
      <c r="J153" s="74"/>
      <c r="K153" s="74"/>
      <c r="L153" s="74"/>
    </row>
    <row r="154" spans="1:12" ht="18" customHeight="1">
      <c r="A154" s="73" t="s">
        <v>1166</v>
      </c>
      <c r="B154" s="73" t="s">
        <v>1012</v>
      </c>
      <c r="C154" s="74">
        <v>0</v>
      </c>
      <c r="D154" s="78">
        <f>D153*$D$145/$D$142</f>
        <v>812.5</v>
      </c>
      <c r="E154" s="78">
        <f>E153*$D$145/$D$142</f>
        <v>812.5</v>
      </c>
      <c r="F154" s="78">
        <f>F153*$D$145/$D$142</f>
        <v>812.5</v>
      </c>
      <c r="G154" s="78">
        <f>G153*$D$145/$D$142</f>
        <v>812.5</v>
      </c>
      <c r="H154" s="78">
        <f>H153*$D$145/$D$142</f>
        <v>379.16666666666669</v>
      </c>
      <c r="I154" s="74"/>
      <c r="J154" s="74"/>
      <c r="K154" s="74"/>
      <c r="L154" s="74"/>
    </row>
    <row r="155" spans="1:12" ht="18" customHeight="1">
      <c r="A155" s="73" t="s">
        <v>1167</v>
      </c>
      <c r="B155" s="73" t="s">
        <v>1012</v>
      </c>
      <c r="C155" s="74">
        <v>0</v>
      </c>
      <c r="D155" s="78">
        <f>D153*$D$144/$D$142</f>
        <v>437.5</v>
      </c>
      <c r="E155" s="78">
        <f>E153*$D$144/$D$142</f>
        <v>437.5</v>
      </c>
      <c r="F155" s="78">
        <f>F153*$D$144/$D$142</f>
        <v>437.5</v>
      </c>
      <c r="G155" s="78">
        <f>G153*$D$144/$D$142</f>
        <v>437.5</v>
      </c>
      <c r="H155" s="78">
        <f>H153*$D$144/$D$142</f>
        <v>204.16666666666669</v>
      </c>
      <c r="I155" s="74"/>
      <c r="J155" s="74"/>
      <c r="K155" s="74"/>
      <c r="L155" s="74"/>
    </row>
    <row r="156" spans="1:12" ht="18" customHeight="1">
      <c r="A156" s="73" t="s">
        <v>1168</v>
      </c>
      <c r="B156" s="73" t="s">
        <v>1012</v>
      </c>
      <c r="C156" s="74">
        <v>0</v>
      </c>
      <c r="D156" s="78">
        <f t="shared" ref="D156:H157" si="21">C156+C154</f>
        <v>0</v>
      </c>
      <c r="E156" s="78">
        <f t="shared" si="21"/>
        <v>812.5</v>
      </c>
      <c r="F156" s="78">
        <f t="shared" si="21"/>
        <v>1625</v>
      </c>
      <c r="G156" s="78">
        <f t="shared" si="21"/>
        <v>2437.5</v>
      </c>
      <c r="H156" s="78">
        <f t="shared" si="21"/>
        <v>3250</v>
      </c>
      <c r="I156" s="74"/>
      <c r="J156" s="74"/>
      <c r="K156" s="74"/>
      <c r="L156" s="74"/>
    </row>
    <row r="157" spans="1:12" ht="18" customHeight="1">
      <c r="A157" s="73" t="s">
        <v>1169</v>
      </c>
      <c r="B157" s="73" t="s">
        <v>1012</v>
      </c>
      <c r="C157" s="74">
        <v>0</v>
      </c>
      <c r="D157" s="78">
        <f t="shared" si="21"/>
        <v>0</v>
      </c>
      <c r="E157" s="78">
        <f t="shared" si="21"/>
        <v>437.5</v>
      </c>
      <c r="F157" s="78">
        <f t="shared" si="21"/>
        <v>875</v>
      </c>
      <c r="G157" s="78">
        <f t="shared" si="21"/>
        <v>1312.5</v>
      </c>
      <c r="H157" s="78">
        <f t="shared" si="21"/>
        <v>1750</v>
      </c>
      <c r="I157" s="74"/>
      <c r="J157" s="74"/>
      <c r="K157" s="74"/>
      <c r="L157" s="74"/>
    </row>
    <row r="158" spans="1:12" ht="18" customHeight="1">
      <c r="A158" s="73" t="s">
        <v>1170</v>
      </c>
      <c r="B158" s="73" t="s">
        <v>1012</v>
      </c>
      <c r="C158" s="74">
        <v>0</v>
      </c>
      <c r="D158" s="78">
        <f>(D156+D154*$D$150)/$D$148</f>
        <v>40.625</v>
      </c>
      <c r="E158" s="78">
        <f>(E156+E154*$D$150)/$D$148</f>
        <v>121.875</v>
      </c>
      <c r="F158" s="78">
        <f>(F156+F154*$D$150)/$D$148</f>
        <v>203.125</v>
      </c>
      <c r="G158" s="78">
        <f>(G156+G154*$D$150)/$D$148</f>
        <v>284.375</v>
      </c>
      <c r="H158" s="78">
        <f>(H156+H154*$D$150)/$D$148</f>
        <v>343.95833333333337</v>
      </c>
      <c r="I158" s="74"/>
      <c r="J158" s="74"/>
      <c r="K158" s="74"/>
      <c r="L158" s="74"/>
    </row>
    <row r="159" spans="1:12" ht="18" customHeight="1">
      <c r="A159" s="73" t="s">
        <v>1171</v>
      </c>
      <c r="B159" s="73" t="s">
        <v>1012</v>
      </c>
      <c r="C159" s="74">
        <v>0</v>
      </c>
      <c r="D159" s="78">
        <f>(D157+D155*$D$150)/$D$148*$D$149</f>
        <v>17.5</v>
      </c>
      <c r="E159" s="78">
        <f>(E157+E155*$D$150)/$D$148*$D$149</f>
        <v>52.5</v>
      </c>
      <c r="F159" s="78">
        <f>(F157+F155*$D$150)/$D$148*$D$149</f>
        <v>87.5</v>
      </c>
      <c r="G159" s="78">
        <f>(G157+G155*$D$150)/$D$148*$D$149</f>
        <v>122.5</v>
      </c>
      <c r="H159" s="78">
        <f>(H157+H155*$D$150)/$D$148*$D$149</f>
        <v>148.16666666666666</v>
      </c>
      <c r="I159" s="74"/>
      <c r="J159" s="74"/>
      <c r="K159" s="74"/>
      <c r="L159" s="74"/>
    </row>
    <row r="160" spans="1:12" ht="18" customHeight="1">
      <c r="A160" s="73" t="s">
        <v>1172</v>
      </c>
      <c r="B160" s="73" t="s">
        <v>1012</v>
      </c>
      <c r="C160" s="74">
        <v>0</v>
      </c>
      <c r="D160" s="78">
        <f>(D157+D155*$D$150)/$D$148*(1-$D$149)</f>
        <v>4.3749999999999991</v>
      </c>
      <c r="E160" s="78">
        <f>(E157+E155*$D$150)/$D$148*(1-$D$149)</f>
        <v>13.124999999999996</v>
      </c>
      <c r="F160" s="78">
        <f>(F157+F155*$D$150)/$D$148*(1-$D$149)</f>
        <v>21.874999999999996</v>
      </c>
      <c r="G160" s="78">
        <f>(G157+G155*$D$150)/$D$148*(1-$D$149)</f>
        <v>30.624999999999993</v>
      </c>
      <c r="H160" s="78">
        <f>(H157+H155*$D$150)/$D$148*(1-$D$149)</f>
        <v>37.041666666666657</v>
      </c>
      <c r="I160" s="74"/>
      <c r="J160" s="74"/>
      <c r="K160" s="74"/>
      <c r="L160" s="74"/>
    </row>
    <row r="161" spans="1:12" ht="18" customHeight="1">
      <c r="A161" s="73" t="s">
        <v>1173</v>
      </c>
      <c r="B161" s="73" t="s">
        <v>1012</v>
      </c>
      <c r="C161" s="74"/>
      <c r="D161" s="78">
        <f>$D$151+D155</f>
        <v>3437.5</v>
      </c>
      <c r="E161" s="78">
        <f>$D$151+E155</f>
        <v>3437.5</v>
      </c>
      <c r="F161" s="78">
        <f>$D$151+F155</f>
        <v>3437.5</v>
      </c>
      <c r="G161" s="78">
        <f>$D$151+G155</f>
        <v>3437.5</v>
      </c>
      <c r="H161" s="78">
        <f>$D$151+H155</f>
        <v>3204.1666666666665</v>
      </c>
      <c r="I161" s="74"/>
      <c r="J161" s="74"/>
      <c r="K161" s="74"/>
      <c r="L161" s="74"/>
    </row>
    <row r="162" spans="1:12" ht="18" customHeight="1">
      <c r="A162" s="80" t="s">
        <v>1174</v>
      </c>
      <c r="B162" s="80" t="s">
        <v>1012</v>
      </c>
      <c r="C162" s="82">
        <f>C110</f>
        <v>14583.896000000001</v>
      </c>
      <c r="D162" s="82">
        <f>D110+D138-D158-D159</f>
        <v>15275.8425065625</v>
      </c>
      <c r="E162" s="82">
        <f>E110+E138-E158-E159</f>
        <v>16135.731521116968</v>
      </c>
      <c r="F162" s="82">
        <f>F110+F138-F158-F159</f>
        <v>17089.19094807711</v>
      </c>
      <c r="G162" s="82">
        <f>G110+G138-G158-G159</f>
        <v>17891.241275514465</v>
      </c>
      <c r="H162" s="82">
        <f>H110+H138-H158-H159</f>
        <v>18774.21623328601</v>
      </c>
      <c r="I162" s="74"/>
      <c r="J162" s="74"/>
      <c r="K162" s="74"/>
      <c r="L162" s="74"/>
    </row>
    <row r="163" spans="1:12" ht="18" customHeight="1">
      <c r="A163" s="73" t="s">
        <v>1175</v>
      </c>
      <c r="B163" s="73" t="s">
        <v>973</v>
      </c>
      <c r="C163" s="77"/>
      <c r="D163" s="84">
        <f>D162/C162-1</f>
        <v>4.7445929850466584E-2</v>
      </c>
      <c r="E163" s="84">
        <f>E162/D162-1</f>
        <v>5.6290775070838794E-2</v>
      </c>
      <c r="F163" s="84">
        <f>F162/E162-1</f>
        <v>5.9089941209813812E-2</v>
      </c>
      <c r="G163" s="84">
        <f>G162/F162-1</f>
        <v>4.6933194782261101E-2</v>
      </c>
      <c r="H163" s="84">
        <f>H162/G162-1</f>
        <v>4.9352358742149605E-2</v>
      </c>
      <c r="I163" s="77"/>
      <c r="J163" s="77"/>
      <c r="K163" s="77"/>
      <c r="L163" s="77"/>
    </row>
    <row r="164" spans="1:12" ht="18" customHeight="1">
      <c r="A164" s="80" t="s">
        <v>1176</v>
      </c>
      <c r="B164" s="80" t="s">
        <v>1012</v>
      </c>
      <c r="C164" s="81">
        <f>SUM('Income Statement'!T14:U14)-SUM('Income Statement'!T25:U25)+SUM(E36:F36)</f>
        <v>1440.2918249999998</v>
      </c>
      <c r="D164" s="82">
        <f>D139-D160</f>
        <v>1388.8502281249996</v>
      </c>
      <c r="E164" s="82">
        <f>E139-E160</f>
        <v>1032.0003248312496</v>
      </c>
      <c r="F164" s="82">
        <f>F139-F160</f>
        <v>824.98856976394495</v>
      </c>
      <c r="G164" s="82">
        <f>G139-G160</f>
        <v>861.11687532550002</v>
      </c>
      <c r="H164" s="82">
        <f>H139-H160</f>
        <v>895.78806215484371</v>
      </c>
      <c r="I164" s="74"/>
      <c r="J164" s="74"/>
      <c r="K164" s="74"/>
      <c r="L164" s="74"/>
    </row>
    <row r="165" spans="1:12" ht="8" customHeight="1">
      <c r="A165" s="73"/>
      <c r="B165" s="73"/>
      <c r="C165" s="74"/>
      <c r="D165" s="74"/>
      <c r="E165" s="74"/>
      <c r="F165" s="74"/>
      <c r="G165" s="74"/>
      <c r="H165" s="74"/>
      <c r="I165" s="74"/>
      <c r="J165" s="74"/>
      <c r="K165" s="74"/>
      <c r="L165" s="74"/>
    </row>
    <row r="166" spans="1:12" ht="24" customHeight="1">
      <c r="A166" s="129" t="s">
        <v>1344</v>
      </c>
      <c r="B166" s="129"/>
      <c r="C166" s="125"/>
      <c r="D166" s="125"/>
      <c r="E166" s="125"/>
      <c r="F166" s="125"/>
      <c r="G166" s="125"/>
      <c r="H166" s="125"/>
      <c r="I166" s="125"/>
      <c r="J166" s="125"/>
      <c r="K166" s="125"/>
      <c r="L166" s="125"/>
    </row>
    <row r="167" spans="1:12" ht="22" customHeight="1">
      <c r="A167" s="92" t="s">
        <v>1038</v>
      </c>
      <c r="B167" s="92" t="s">
        <v>972</v>
      </c>
      <c r="C167" s="93" t="s">
        <v>1010</v>
      </c>
      <c r="D167" s="93" t="s">
        <v>1022</v>
      </c>
      <c r="E167" s="93" t="s">
        <v>1023</v>
      </c>
      <c r="F167" s="93" t="s">
        <v>1024</v>
      </c>
      <c r="G167" s="93" t="s">
        <v>1025</v>
      </c>
      <c r="H167" s="93" t="s">
        <v>1026</v>
      </c>
      <c r="I167" s="93"/>
      <c r="J167" s="93"/>
      <c r="K167" s="93"/>
      <c r="L167" s="93"/>
    </row>
    <row r="168" spans="1:12" ht="18" customHeight="1">
      <c r="A168" s="73" t="s">
        <v>1178</v>
      </c>
      <c r="B168" s="73" t="s">
        <v>973</v>
      </c>
      <c r="C168" s="77"/>
      <c r="D168" s="76">
        <v>2.1999999999999999E-2</v>
      </c>
      <c r="E168" s="76">
        <v>2.1499999999999998E-2</v>
      </c>
      <c r="F168" s="76">
        <v>2.1000000000000001E-2</v>
      </c>
      <c r="G168" s="76">
        <v>2.0500000000000001E-2</v>
      </c>
      <c r="H168" s="76">
        <v>0.02</v>
      </c>
      <c r="I168" s="77"/>
      <c r="J168" s="77"/>
      <c r="K168" s="77"/>
      <c r="L168" s="77"/>
    </row>
    <row r="169" spans="1:12" ht="18" customHeight="1">
      <c r="A169" s="73" t="s">
        <v>1179</v>
      </c>
      <c r="B169" s="73" t="s">
        <v>973</v>
      </c>
      <c r="C169" s="77"/>
      <c r="D169" s="76">
        <v>0.05</v>
      </c>
      <c r="E169" s="76">
        <v>0.05</v>
      </c>
      <c r="F169" s="76">
        <v>0.03</v>
      </c>
      <c r="G169" s="76">
        <v>0.03</v>
      </c>
      <c r="H169" s="76">
        <v>0.03</v>
      </c>
      <c r="I169" s="77"/>
      <c r="J169" s="77"/>
      <c r="K169" s="77"/>
      <c r="L169" s="77"/>
    </row>
    <row r="170" spans="1:12" ht="18" customHeight="1">
      <c r="A170" s="73" t="s">
        <v>1059</v>
      </c>
      <c r="B170" s="73" t="s">
        <v>973</v>
      </c>
      <c r="C170" s="77"/>
      <c r="D170" s="76">
        <v>0.22</v>
      </c>
      <c r="E170" s="76">
        <v>0.22</v>
      </c>
      <c r="F170" s="76">
        <v>0.22</v>
      </c>
      <c r="G170" s="76">
        <v>0.22</v>
      </c>
      <c r="H170" s="76">
        <v>0.22</v>
      </c>
      <c r="I170" s="77"/>
      <c r="J170" s="77"/>
      <c r="K170" s="77"/>
      <c r="L170" s="77"/>
    </row>
    <row r="171" spans="1:12" ht="18" customHeight="1">
      <c r="A171" s="73" t="s">
        <v>1180</v>
      </c>
      <c r="B171" s="73" t="s">
        <v>973</v>
      </c>
      <c r="C171" s="77"/>
      <c r="D171" s="76">
        <v>0</v>
      </c>
      <c r="E171" s="76">
        <v>0</v>
      </c>
      <c r="F171" s="76">
        <v>0</v>
      </c>
      <c r="G171" s="76">
        <v>0</v>
      </c>
      <c r="H171" s="76">
        <v>0</v>
      </c>
      <c r="I171" s="77"/>
      <c r="J171" s="77"/>
      <c r="K171" s="77"/>
      <c r="L171" s="77"/>
    </row>
    <row r="172" spans="1:12" ht="18" customHeight="1">
      <c r="A172" s="73" t="s">
        <v>1181</v>
      </c>
      <c r="B172" s="73" t="s">
        <v>973</v>
      </c>
      <c r="C172" s="77"/>
      <c r="D172" s="76">
        <v>0.05</v>
      </c>
      <c r="E172" s="76">
        <v>0.05</v>
      </c>
      <c r="F172" s="76">
        <v>0.05</v>
      </c>
      <c r="G172" s="76">
        <v>0.05</v>
      </c>
      <c r="H172" s="76">
        <v>0.05</v>
      </c>
      <c r="I172" s="77"/>
      <c r="J172" s="77"/>
      <c r="K172" s="77"/>
      <c r="L172" s="77"/>
    </row>
    <row r="173" spans="1:12" ht="18" customHeight="1">
      <c r="A173" s="73" t="s">
        <v>1182</v>
      </c>
      <c r="B173" s="73" t="s">
        <v>973</v>
      </c>
      <c r="C173" s="77"/>
      <c r="D173" s="76">
        <v>0</v>
      </c>
      <c r="E173" s="76">
        <v>0</v>
      </c>
      <c r="F173" s="76">
        <v>0</v>
      </c>
      <c r="G173" s="76">
        <v>0</v>
      </c>
      <c r="H173" s="76">
        <v>0</v>
      </c>
      <c r="I173" s="77"/>
      <c r="J173" s="77"/>
      <c r="K173" s="77"/>
      <c r="L173" s="77"/>
    </row>
    <row r="174" spans="1:12" ht="18" customHeight="1">
      <c r="A174" s="73" t="s">
        <v>1183</v>
      </c>
      <c r="B174" s="73" t="s">
        <v>1012</v>
      </c>
      <c r="C174" s="74"/>
      <c r="D174" s="75">
        <v>100</v>
      </c>
      <c r="E174" s="74"/>
      <c r="F174" s="74"/>
      <c r="G174" s="74"/>
      <c r="H174" s="74"/>
      <c r="I174" s="74"/>
      <c r="J174" s="74"/>
      <c r="K174" s="74"/>
      <c r="L174" s="74"/>
    </row>
    <row r="175" spans="1:12" ht="18" customHeight="1">
      <c r="A175" s="73" t="s">
        <v>1184</v>
      </c>
      <c r="B175" s="73" t="s">
        <v>1012</v>
      </c>
      <c r="C175" s="74"/>
      <c r="D175" s="75">
        <v>150</v>
      </c>
      <c r="E175" s="75">
        <v>50</v>
      </c>
      <c r="F175" s="75">
        <v>50</v>
      </c>
      <c r="G175" s="75">
        <v>50</v>
      </c>
      <c r="H175" s="75">
        <v>50</v>
      </c>
      <c r="I175" s="74"/>
      <c r="J175" s="74"/>
      <c r="K175" s="74"/>
      <c r="L175" s="74"/>
    </row>
    <row r="176" spans="1:12" ht="18" customHeight="1">
      <c r="A176" s="73" t="s">
        <v>1185</v>
      </c>
      <c r="B176" s="73" t="s">
        <v>1012</v>
      </c>
      <c r="C176" s="74"/>
      <c r="D176" s="75">
        <v>0</v>
      </c>
      <c r="E176" s="75">
        <v>0</v>
      </c>
      <c r="F176" s="75">
        <v>0</v>
      </c>
      <c r="G176" s="75">
        <v>0</v>
      </c>
      <c r="H176" s="75">
        <v>0</v>
      </c>
      <c r="I176" s="74"/>
      <c r="J176" s="74"/>
      <c r="K176" s="74"/>
      <c r="L176" s="74"/>
    </row>
    <row r="177" spans="1:12" ht="18" customHeight="1">
      <c r="A177" s="73" t="s">
        <v>1186</v>
      </c>
      <c r="B177" s="73" t="s">
        <v>1012</v>
      </c>
      <c r="C177" s="74"/>
      <c r="D177" s="75">
        <v>0</v>
      </c>
      <c r="E177" s="75">
        <v>0</v>
      </c>
      <c r="F177" s="75">
        <v>0</v>
      </c>
      <c r="G177" s="75">
        <v>0</v>
      </c>
      <c r="H177" s="75">
        <v>0</v>
      </c>
      <c r="I177" s="74"/>
      <c r="J177" s="74"/>
      <c r="K177" s="74"/>
      <c r="L177" s="74"/>
    </row>
    <row r="178" spans="1:12" ht="18" customHeight="1">
      <c r="A178" s="73" t="s">
        <v>1187</v>
      </c>
      <c r="B178" s="73" t="s">
        <v>1012</v>
      </c>
      <c r="C178" s="79">
        <f>SUM('Income Statement'!T16:U16)-SUM('Income Statement'!T26:U26)+SUM(E40:F40)</f>
        <v>84</v>
      </c>
      <c r="D178" s="78">
        <f t="shared" ref="D178:H179" si="22">C178*(1+D171)</f>
        <v>84</v>
      </c>
      <c r="E178" s="78">
        <f t="shared" si="22"/>
        <v>84</v>
      </c>
      <c r="F178" s="78">
        <f t="shared" si="22"/>
        <v>84</v>
      </c>
      <c r="G178" s="78">
        <f t="shared" si="22"/>
        <v>84</v>
      </c>
      <c r="H178" s="78">
        <f t="shared" si="22"/>
        <v>84</v>
      </c>
      <c r="I178" s="74"/>
      <c r="J178" s="74"/>
      <c r="K178" s="74"/>
      <c r="L178" s="74"/>
    </row>
    <row r="179" spans="1:12" ht="18" customHeight="1">
      <c r="A179" s="73" t="s">
        <v>1188</v>
      </c>
      <c r="B179" s="73" t="s">
        <v>1012</v>
      </c>
      <c r="C179" s="78">
        <f>-F351+SUM(E41:F41)</f>
        <v>198.65</v>
      </c>
      <c r="D179" s="78">
        <f t="shared" si="22"/>
        <v>208.58250000000001</v>
      </c>
      <c r="E179" s="78">
        <f t="shared" si="22"/>
        <v>219.01162500000001</v>
      </c>
      <c r="F179" s="78">
        <f t="shared" si="22"/>
        <v>229.96220625000001</v>
      </c>
      <c r="G179" s="78">
        <f t="shared" si="22"/>
        <v>241.46031656250003</v>
      </c>
      <c r="H179" s="78">
        <f t="shared" si="22"/>
        <v>253.53333239062505</v>
      </c>
      <c r="I179" s="74"/>
      <c r="J179" s="74"/>
      <c r="K179" s="74"/>
      <c r="L179" s="74"/>
    </row>
    <row r="180" spans="1:12" ht="18" customHeight="1">
      <c r="A180" s="73" t="s">
        <v>1189</v>
      </c>
      <c r="B180" s="73" t="s">
        <v>1012</v>
      </c>
      <c r="C180" s="78">
        <f>-F350+SUM(E42:F42)</f>
        <v>188</v>
      </c>
      <c r="D180" s="78">
        <f>D176</f>
        <v>0</v>
      </c>
      <c r="E180" s="78">
        <f>E176</f>
        <v>0</v>
      </c>
      <c r="F180" s="78">
        <f>F176</f>
        <v>0</v>
      </c>
      <c r="G180" s="78">
        <f>G176</f>
        <v>0</v>
      </c>
      <c r="H180" s="78">
        <f>H176</f>
        <v>0</v>
      </c>
      <c r="I180" s="74"/>
      <c r="J180" s="74"/>
      <c r="K180" s="74"/>
      <c r="L180" s="74"/>
    </row>
    <row r="181" spans="1:12" ht="18" customHeight="1">
      <c r="A181" s="73" t="s">
        <v>1190</v>
      </c>
      <c r="B181" s="73" t="s">
        <v>1012</v>
      </c>
      <c r="C181" s="78">
        <f>F352+SUM(E43:F43)</f>
        <v>24</v>
      </c>
      <c r="D181" s="78">
        <f>D174</f>
        <v>100</v>
      </c>
      <c r="E181" s="78">
        <f>D181*(1+E173)</f>
        <v>100</v>
      </c>
      <c r="F181" s="78">
        <f>E181*(1+F173)</f>
        <v>100</v>
      </c>
      <c r="G181" s="78">
        <f>F181*(1+G173)</f>
        <v>100</v>
      </c>
      <c r="H181" s="78">
        <f>G181*(1+H173)</f>
        <v>100</v>
      </c>
      <c r="I181" s="74"/>
      <c r="J181" s="74"/>
      <c r="K181" s="74"/>
      <c r="L181" s="74"/>
    </row>
    <row r="182" spans="1:12" ht="18" customHeight="1">
      <c r="A182" s="73" t="s">
        <v>1184</v>
      </c>
      <c r="B182" s="73" t="s">
        <v>1012</v>
      </c>
      <c r="C182" s="78">
        <f>F353+SUM(E44:F44)</f>
        <v>251.00399999999999</v>
      </c>
      <c r="D182" s="78">
        <f>D175</f>
        <v>150</v>
      </c>
      <c r="E182" s="78">
        <f>E175</f>
        <v>50</v>
      </c>
      <c r="F182" s="78">
        <f>F175</f>
        <v>50</v>
      </c>
      <c r="G182" s="78">
        <f>G175</f>
        <v>50</v>
      </c>
      <c r="H182" s="78">
        <f>H175</f>
        <v>50</v>
      </c>
      <c r="I182" s="74"/>
      <c r="J182" s="74"/>
      <c r="K182" s="74"/>
      <c r="L182" s="74"/>
    </row>
    <row r="183" spans="1:12" ht="18" customHeight="1">
      <c r="A183" s="73" t="s">
        <v>1191</v>
      </c>
      <c r="B183" s="73" t="s">
        <v>1012</v>
      </c>
      <c r="C183" s="78">
        <f t="shared" ref="C183:H183" si="23">C178+C179+C180-C181-C182</f>
        <v>195.64599999999999</v>
      </c>
      <c r="D183" s="78">
        <f t="shared" si="23"/>
        <v>42.582499999999982</v>
      </c>
      <c r="E183" s="78">
        <f t="shared" si="23"/>
        <v>153.01162499999998</v>
      </c>
      <c r="F183" s="78">
        <f t="shared" si="23"/>
        <v>163.96220625000001</v>
      </c>
      <c r="G183" s="78">
        <f t="shared" si="23"/>
        <v>175.4603165625</v>
      </c>
      <c r="H183" s="78">
        <f t="shared" si="23"/>
        <v>187.53333239062505</v>
      </c>
      <c r="I183" s="74"/>
      <c r="J183" s="74"/>
      <c r="K183" s="74"/>
      <c r="L183" s="74"/>
    </row>
    <row r="184" spans="1:12" ht="18" customHeight="1">
      <c r="A184" s="73" t="s">
        <v>1192</v>
      </c>
      <c r="B184" s="73" t="s">
        <v>1012</v>
      </c>
      <c r="C184" s="78">
        <f t="shared" ref="C184:H184" si="24">C123</f>
        <v>147009.867</v>
      </c>
      <c r="D184" s="78">
        <f t="shared" si="24"/>
        <v>154052.332111</v>
      </c>
      <c r="E184" s="78">
        <f t="shared" si="24"/>
        <v>161096.34500703297</v>
      </c>
      <c r="F184" s="78">
        <f t="shared" si="24"/>
        <v>169786.67237807775</v>
      </c>
      <c r="G184" s="78">
        <f t="shared" si="24"/>
        <v>178754.03606794393</v>
      </c>
      <c r="H184" s="78">
        <f t="shared" si="24"/>
        <v>188235.80742920132</v>
      </c>
      <c r="I184" s="74"/>
      <c r="J184" s="74"/>
      <c r="K184" s="74"/>
      <c r="L184" s="74"/>
    </row>
    <row r="185" spans="1:12" ht="18" customHeight="1">
      <c r="A185" s="73" t="s">
        <v>1054</v>
      </c>
      <c r="B185" s="73" t="s">
        <v>1012</v>
      </c>
      <c r="C185" s="78">
        <f t="shared" ref="C185:H185" si="25">C162</f>
        <v>14583.896000000001</v>
      </c>
      <c r="D185" s="78">
        <f t="shared" si="25"/>
        <v>15275.8425065625</v>
      </c>
      <c r="E185" s="78">
        <f t="shared" si="25"/>
        <v>16135.731521116968</v>
      </c>
      <c r="F185" s="78">
        <f t="shared" si="25"/>
        <v>17089.19094807711</v>
      </c>
      <c r="G185" s="78">
        <f t="shared" si="25"/>
        <v>17891.241275514465</v>
      </c>
      <c r="H185" s="78">
        <f t="shared" si="25"/>
        <v>18774.21623328601</v>
      </c>
      <c r="I185" s="74"/>
      <c r="J185" s="74"/>
      <c r="K185" s="74"/>
      <c r="L185" s="74"/>
    </row>
    <row r="186" spans="1:12" ht="18" customHeight="1">
      <c r="A186" s="73" t="s">
        <v>1056</v>
      </c>
      <c r="B186" s="73" t="s">
        <v>1012</v>
      </c>
      <c r="C186" s="78">
        <f t="shared" ref="C186:H186" si="26">C164</f>
        <v>1440.2918249999998</v>
      </c>
      <c r="D186" s="78">
        <f t="shared" si="26"/>
        <v>1388.8502281249996</v>
      </c>
      <c r="E186" s="78">
        <f t="shared" si="26"/>
        <v>1032.0003248312496</v>
      </c>
      <c r="F186" s="78">
        <f t="shared" si="26"/>
        <v>824.98856976394495</v>
      </c>
      <c r="G186" s="78">
        <f t="shared" si="26"/>
        <v>861.11687532550002</v>
      </c>
      <c r="H186" s="78">
        <f t="shared" si="26"/>
        <v>895.78806215484371</v>
      </c>
      <c r="I186" s="74"/>
      <c r="J186" s="74"/>
      <c r="K186" s="74"/>
      <c r="L186" s="74"/>
    </row>
    <row r="187" spans="1:12" ht="18" customHeight="1">
      <c r="A187" s="73" t="s">
        <v>718</v>
      </c>
      <c r="B187" s="73" t="s">
        <v>1012</v>
      </c>
      <c r="C187" s="79">
        <f>SUM('Income Statement'!T30:U30)+SUM(E39:F39)</f>
        <v>3243.6416239999999</v>
      </c>
      <c r="D187" s="78">
        <f>D184*D168</f>
        <v>3389.1513064419996</v>
      </c>
      <c r="E187" s="78">
        <f>E184*E168</f>
        <v>3463.5714176512088</v>
      </c>
      <c r="F187" s="78">
        <f>F184*F168</f>
        <v>3565.5201199396329</v>
      </c>
      <c r="G187" s="78">
        <f>G184*G168</f>
        <v>3664.4577393928507</v>
      </c>
      <c r="H187" s="78">
        <f>H184*H168</f>
        <v>3764.7161485840265</v>
      </c>
      <c r="I187" s="74"/>
      <c r="J187" s="74"/>
      <c r="K187" s="74"/>
      <c r="L187" s="74"/>
    </row>
    <row r="188" spans="1:12" ht="18" customHeight="1">
      <c r="A188" s="73" t="s">
        <v>1193</v>
      </c>
      <c r="B188" s="73" t="s">
        <v>1012</v>
      </c>
      <c r="C188" s="78">
        <f t="shared" ref="C188:H188" si="27">C183</f>
        <v>195.64599999999999</v>
      </c>
      <c r="D188" s="78">
        <f t="shared" si="27"/>
        <v>42.582499999999982</v>
      </c>
      <c r="E188" s="78">
        <f t="shared" si="27"/>
        <v>153.01162499999998</v>
      </c>
      <c r="F188" s="78">
        <f t="shared" si="27"/>
        <v>163.96220625000001</v>
      </c>
      <c r="G188" s="78">
        <f t="shared" si="27"/>
        <v>175.4603165625</v>
      </c>
      <c r="H188" s="78">
        <f t="shared" si="27"/>
        <v>187.53333239062505</v>
      </c>
      <c r="I188" s="74"/>
      <c r="J188" s="74"/>
      <c r="K188" s="74"/>
      <c r="L188" s="74"/>
    </row>
    <row r="189" spans="1:12" ht="18" customHeight="1">
      <c r="A189" s="80" t="s">
        <v>1057</v>
      </c>
      <c r="B189" s="80" t="s">
        <v>1012</v>
      </c>
      <c r="C189" s="81">
        <f>SUM('Income Statement'!T33:U33)+SUM(E46:F46)</f>
        <v>12976.192201</v>
      </c>
      <c r="D189" s="82">
        <f>D185+D186-D187+D188</f>
        <v>13318.123928245499</v>
      </c>
      <c r="E189" s="82">
        <f>E185+E186-E187+E188</f>
        <v>13857.17205329701</v>
      </c>
      <c r="F189" s="82">
        <f>F185+F186-F187+F188</f>
        <v>14512.621604151422</v>
      </c>
      <c r="G189" s="82">
        <f>G185+G186-G187+G188</f>
        <v>15263.360728009615</v>
      </c>
      <c r="H189" s="82">
        <f>H185+H186-H187+H188</f>
        <v>16092.821479247452</v>
      </c>
      <c r="I189" s="74"/>
      <c r="J189" s="74"/>
      <c r="K189" s="74"/>
      <c r="L189" s="74"/>
    </row>
    <row r="190" spans="1:12" ht="18" customHeight="1">
      <c r="A190" s="73" t="s">
        <v>1058</v>
      </c>
      <c r="B190" s="73" t="s">
        <v>1012</v>
      </c>
      <c r="C190" s="79">
        <f>SUM('Income Statement'!T37:U37)+SUM(E47:F47)</f>
        <v>1661.1000000000001</v>
      </c>
      <c r="D190" s="78">
        <f>C190*(1+D169)</f>
        <v>1744.1550000000002</v>
      </c>
      <c r="E190" s="78">
        <f>D190*(1+E169)</f>
        <v>1831.3627500000002</v>
      </c>
      <c r="F190" s="78">
        <f>E190*(1+F169)</f>
        <v>1886.3036325000003</v>
      </c>
      <c r="G190" s="78">
        <f>F190*(1+G169)</f>
        <v>1942.8927414750003</v>
      </c>
      <c r="H190" s="78">
        <f>G190*(1+H169)</f>
        <v>2001.1795237192505</v>
      </c>
      <c r="I190" s="74"/>
      <c r="J190" s="74"/>
      <c r="K190" s="74"/>
      <c r="L190" s="74"/>
    </row>
    <row r="191" spans="1:12" ht="18" customHeight="1">
      <c r="A191" s="73" t="s">
        <v>1186</v>
      </c>
      <c r="B191" s="73" t="s">
        <v>1012</v>
      </c>
      <c r="C191" s="79">
        <f>-SUM('Income Statement'!T38:U38)+SUM(E48:F48)</f>
        <v>-5</v>
      </c>
      <c r="D191" s="78">
        <f>D177</f>
        <v>0</v>
      </c>
      <c r="E191" s="78">
        <f>E177</f>
        <v>0</v>
      </c>
      <c r="F191" s="78">
        <f>F177</f>
        <v>0</v>
      </c>
      <c r="G191" s="78">
        <f>G177</f>
        <v>0</v>
      </c>
      <c r="H191" s="78">
        <f>H177</f>
        <v>0</v>
      </c>
      <c r="I191" s="74"/>
      <c r="J191" s="74"/>
      <c r="K191" s="74"/>
      <c r="L191" s="74"/>
    </row>
    <row r="192" spans="1:12" ht="18" customHeight="1">
      <c r="A192" s="73" t="s">
        <v>1194</v>
      </c>
      <c r="B192" s="73" t="s">
        <v>1012</v>
      </c>
      <c r="C192" s="79">
        <f>SUM('Income Statement'!T39:U39)+SUM(E49:F49)</f>
        <v>11311.092200999999</v>
      </c>
      <c r="D192" s="78">
        <f>D189-D190+D191</f>
        <v>11573.968928245498</v>
      </c>
      <c r="E192" s="78">
        <f>E189-E190+E191</f>
        <v>12025.80930329701</v>
      </c>
      <c r="F192" s="78">
        <f>F189-F190+F191</f>
        <v>12626.317971651421</v>
      </c>
      <c r="G192" s="78">
        <f>G189-G190+G191</f>
        <v>13320.467986534615</v>
      </c>
      <c r="H192" s="78">
        <f>H189-H190+H191</f>
        <v>14091.641955528201</v>
      </c>
      <c r="I192" s="74"/>
      <c r="J192" s="74"/>
      <c r="K192" s="74"/>
      <c r="L192" s="74"/>
    </row>
    <row r="193" spans="1:12" ht="18" customHeight="1">
      <c r="A193" s="80" t="s">
        <v>1011</v>
      </c>
      <c r="B193" s="80" t="s">
        <v>1012</v>
      </c>
      <c r="C193" s="81">
        <f>SUM('Income Statement'!T41:U41)+SUM(E51:F51)</f>
        <v>8894.8119167799996</v>
      </c>
      <c r="D193" s="82">
        <f>D192-D195</f>
        <v>9027.6957640314886</v>
      </c>
      <c r="E193" s="82">
        <f>E192-E195</f>
        <v>9380.1312565716689</v>
      </c>
      <c r="F193" s="82">
        <f>F192-F195</f>
        <v>9848.5280178881076</v>
      </c>
      <c r="G193" s="82">
        <f>G192-G195</f>
        <v>10389.965029497</v>
      </c>
      <c r="H193" s="82">
        <f>H192-H195</f>
        <v>10991.480725311996</v>
      </c>
      <c r="I193" s="74"/>
      <c r="J193" s="74"/>
      <c r="K193" s="74"/>
      <c r="L193" s="74"/>
    </row>
    <row r="194" spans="1:12" ht="18" customHeight="1">
      <c r="A194" s="73" t="s">
        <v>1053</v>
      </c>
      <c r="B194" s="73" t="s">
        <v>973</v>
      </c>
      <c r="C194" s="77"/>
      <c r="D194" s="84">
        <f>D193/C193-1</f>
        <v>1.4939478034471376E-2</v>
      </c>
      <c r="E194" s="84">
        <f>E193/D193-1</f>
        <v>3.9039363061432297E-2</v>
      </c>
      <c r="F194" s="84">
        <f>F193/E193-1</f>
        <v>4.993499008750879E-2</v>
      </c>
      <c r="G194" s="84">
        <f>G193/F193-1</f>
        <v>5.497644019750636E-2</v>
      </c>
      <c r="H194" s="84">
        <f>H193/G193-1</f>
        <v>5.7893909566326673E-2</v>
      </c>
      <c r="I194" s="77"/>
      <c r="J194" s="77"/>
      <c r="K194" s="77"/>
      <c r="L194" s="77"/>
    </row>
    <row r="195" spans="1:12" ht="18" customHeight="1">
      <c r="A195" s="73" t="s">
        <v>1195</v>
      </c>
      <c r="B195" s="73" t="s">
        <v>1012</v>
      </c>
      <c r="C195" s="79">
        <f>SUM('Income Statement'!T40:U40)+SUM(E50:F50)</f>
        <v>2416.2802842199999</v>
      </c>
      <c r="D195" s="78">
        <f>D192*D170</f>
        <v>2546.2731642140097</v>
      </c>
      <c r="E195" s="78">
        <f>E192*E170</f>
        <v>2645.678046725342</v>
      </c>
      <c r="F195" s="78">
        <f>F192*F170</f>
        <v>2777.7899537633125</v>
      </c>
      <c r="G195" s="78">
        <f>G192*G170</f>
        <v>2930.5029570376155</v>
      </c>
      <c r="H195" s="78">
        <f>H192*H170</f>
        <v>3100.1612302162043</v>
      </c>
      <c r="I195" s="74"/>
      <c r="J195" s="74"/>
      <c r="K195" s="74"/>
      <c r="L195" s="74"/>
    </row>
    <row r="196" spans="1:12" ht="18" customHeight="1">
      <c r="A196" s="73" t="s">
        <v>1196</v>
      </c>
      <c r="B196" s="73" t="s">
        <v>973</v>
      </c>
      <c r="C196" s="84">
        <f>C195/C192</f>
        <v>0.21362042155454974</v>
      </c>
      <c r="D196" s="84">
        <f>D170</f>
        <v>0.22</v>
      </c>
      <c r="E196" s="84">
        <f>E170</f>
        <v>0.22</v>
      </c>
      <c r="F196" s="84">
        <f>F170</f>
        <v>0.22</v>
      </c>
      <c r="G196" s="84">
        <f>G170</f>
        <v>0.22</v>
      </c>
      <c r="H196" s="84">
        <f>H170</f>
        <v>0.22</v>
      </c>
      <c r="I196" s="77"/>
      <c r="J196" s="77"/>
      <c r="K196" s="77"/>
      <c r="L196" s="77"/>
    </row>
    <row r="197" spans="1:12" ht="8" customHeight="1">
      <c r="A197" s="73"/>
      <c r="B197" s="73"/>
      <c r="C197" s="74"/>
      <c r="D197" s="74"/>
      <c r="E197" s="74"/>
      <c r="F197" s="74"/>
      <c r="G197" s="74"/>
      <c r="H197" s="74"/>
      <c r="I197" s="74"/>
      <c r="J197" s="74"/>
      <c r="K197" s="74"/>
      <c r="L197" s="74"/>
    </row>
    <row r="198" spans="1:12" ht="22" customHeight="1">
      <c r="A198" s="92" t="s">
        <v>1038</v>
      </c>
      <c r="B198" s="92" t="s">
        <v>972</v>
      </c>
      <c r="C198" s="93" t="s">
        <v>1293</v>
      </c>
      <c r="D198" s="93" t="s">
        <v>1294</v>
      </c>
      <c r="E198" s="93" t="s">
        <v>1299</v>
      </c>
      <c r="F198" s="93"/>
      <c r="G198" s="93"/>
      <c r="H198" s="93"/>
      <c r="I198" s="93"/>
      <c r="J198" s="93"/>
      <c r="K198" s="93"/>
      <c r="L198" s="93"/>
    </row>
    <row r="199" spans="1:12" ht="18" customHeight="1">
      <c r="A199" s="73" t="s">
        <v>1197</v>
      </c>
      <c r="B199" s="73" t="s">
        <v>973</v>
      </c>
      <c r="C199" s="84">
        <f>(E193/C193)^(1/2)-1</f>
        <v>2.6918725509881725E-2</v>
      </c>
      <c r="D199" s="84">
        <f>(H193/E193)^(1/3)-1</f>
        <v>5.4263317414158019E-2</v>
      </c>
      <c r="E199" s="84">
        <f>(H193/C193)^(1/5)-1</f>
        <v>4.3239174188407281E-2</v>
      </c>
      <c r="F199" s="77"/>
      <c r="G199" s="77"/>
      <c r="H199" s="77"/>
      <c r="I199" s="77"/>
      <c r="J199" s="77"/>
      <c r="K199" s="77"/>
      <c r="L199" s="77"/>
    </row>
    <row r="200" spans="1:12" ht="18" customHeight="1">
      <c r="A200" s="73" t="s">
        <v>1198</v>
      </c>
      <c r="B200" s="73" t="s">
        <v>973</v>
      </c>
      <c r="C200" s="76">
        <v>1E-3</v>
      </c>
      <c r="D200" s="77"/>
      <c r="E200" s="77"/>
      <c r="F200" s="77"/>
      <c r="G200" s="77"/>
      <c r="H200" s="77"/>
      <c r="I200" s="77"/>
      <c r="J200" s="77"/>
      <c r="K200" s="77"/>
      <c r="L200" s="77"/>
    </row>
    <row r="201" spans="1:12" ht="18" customHeight="1">
      <c r="A201" s="80" t="s">
        <v>1199</v>
      </c>
      <c r="B201" s="80" t="s">
        <v>973</v>
      </c>
      <c r="C201" s="86">
        <f>ROUND(C199/$C$200,0)*$C$200</f>
        <v>2.7E-2</v>
      </c>
      <c r="D201" s="86">
        <f>ROUND(D199/$C$200,0)*$C$200</f>
        <v>5.3999999999999999E-2</v>
      </c>
      <c r="E201" s="87"/>
      <c r="F201" s="87"/>
      <c r="G201" s="87"/>
      <c r="H201" s="87"/>
      <c r="I201" s="77"/>
      <c r="J201" s="77"/>
      <c r="K201" s="77"/>
      <c r="L201" s="77"/>
    </row>
    <row r="202" spans="1:12" ht="18" customHeight="1">
      <c r="A202" s="73" t="s">
        <v>1200</v>
      </c>
      <c r="B202" s="73" t="s">
        <v>1012</v>
      </c>
      <c r="C202" s="78">
        <f>C193*(1+C201)^2</f>
        <v>9381.6160781734507</v>
      </c>
      <c r="D202" s="78">
        <f>C202*(1+D201)^3</f>
        <v>10984.985527083545</v>
      </c>
      <c r="E202" s="74"/>
      <c r="F202" s="74"/>
      <c r="G202" s="74"/>
      <c r="H202" s="74"/>
      <c r="I202" s="74"/>
      <c r="J202" s="74"/>
      <c r="K202" s="74"/>
      <c r="L202" s="74"/>
    </row>
    <row r="203" spans="1:12" ht="18" customHeight="1">
      <c r="A203" s="73" t="s">
        <v>1201</v>
      </c>
      <c r="B203" s="73" t="s">
        <v>1012</v>
      </c>
      <c r="C203" s="78">
        <f>C202-E193</f>
        <v>1.4848216017817322</v>
      </c>
      <c r="D203" s="78">
        <f>D202-H193</f>
        <v>-6.495198228451045</v>
      </c>
      <c r="E203" s="74"/>
      <c r="F203" s="74"/>
      <c r="G203" s="74"/>
      <c r="H203" s="74"/>
      <c r="I203" s="74"/>
      <c r="J203" s="74"/>
      <c r="K203" s="74"/>
      <c r="L203" s="74"/>
    </row>
    <row r="204" spans="1:12" ht="8" customHeight="1">
      <c r="A204" s="73"/>
      <c r="B204" s="73"/>
      <c r="C204" s="74"/>
      <c r="D204" s="74"/>
      <c r="E204" s="74"/>
      <c r="F204" s="74"/>
      <c r="G204" s="74"/>
      <c r="H204" s="74"/>
      <c r="I204" s="74"/>
      <c r="J204" s="74"/>
      <c r="K204" s="74"/>
      <c r="L204" s="74"/>
    </row>
    <row r="205" spans="1:12" ht="24" customHeight="1">
      <c r="A205" s="129" t="s">
        <v>1345</v>
      </c>
      <c r="B205" s="129"/>
      <c r="C205" s="125"/>
      <c r="D205" s="125"/>
      <c r="E205" s="125"/>
      <c r="F205" s="125"/>
      <c r="G205" s="125"/>
      <c r="H205" s="125"/>
      <c r="I205" s="125"/>
      <c r="J205" s="125"/>
      <c r="K205" s="125"/>
      <c r="L205" s="125"/>
    </row>
    <row r="206" spans="1:12" ht="22" customHeight="1">
      <c r="A206" s="92" t="s">
        <v>1038</v>
      </c>
      <c r="B206" s="92" t="s">
        <v>972</v>
      </c>
      <c r="C206" s="93" t="s">
        <v>1403</v>
      </c>
      <c r="D206" s="93" t="s">
        <v>1404</v>
      </c>
      <c r="E206" s="93" t="s">
        <v>1296</v>
      </c>
      <c r="F206" s="93"/>
      <c r="G206" s="93"/>
      <c r="H206" s="93"/>
      <c r="I206" s="93"/>
      <c r="J206" s="93"/>
      <c r="K206" s="93"/>
      <c r="L206" s="93"/>
    </row>
    <row r="207" spans="1:12" ht="18" customHeight="1">
      <c r="A207" s="73" t="s">
        <v>1202</v>
      </c>
      <c r="B207" s="73" t="s">
        <v>973</v>
      </c>
      <c r="C207" s="84">
        <f>(L247/F247)^(1/6)-1</f>
        <v>6.0327463385986047E-2</v>
      </c>
      <c r="D207" s="84">
        <f>(L247/J247)^(1/2)-1</f>
        <v>5.5343372265308499E-3</v>
      </c>
      <c r="E207" s="77"/>
      <c r="F207" s="77"/>
      <c r="G207" s="77"/>
      <c r="H207" s="77"/>
      <c r="I207" s="77"/>
      <c r="J207" s="77"/>
      <c r="K207" s="77"/>
      <c r="L207" s="77"/>
    </row>
    <row r="208" spans="1:12" ht="18" customHeight="1">
      <c r="A208" s="73" t="s">
        <v>1203</v>
      </c>
      <c r="B208" s="73" t="s">
        <v>973</v>
      </c>
      <c r="C208" s="84">
        <f>SUM(F257:L257)/SUM(F247:L247)</f>
        <v>0.88583458501480916</v>
      </c>
      <c r="D208" s="84">
        <f>SUM(J257:L257)/SUM(J247:L247)</f>
        <v>0.83599287269847555</v>
      </c>
      <c r="E208" s="84">
        <f>SUM(I293:J293)/SUM(I290:J290)</f>
        <v>0.85293440736478709</v>
      </c>
      <c r="F208" s="77"/>
      <c r="G208" s="77"/>
      <c r="H208" s="77"/>
      <c r="I208" s="77"/>
      <c r="J208" s="77"/>
      <c r="K208" s="77"/>
      <c r="L208" s="77"/>
    </row>
    <row r="209" spans="1:12" ht="18" customHeight="1">
      <c r="A209" s="73" t="s">
        <v>1204</v>
      </c>
      <c r="B209" s="73" t="s">
        <v>973</v>
      </c>
      <c r="C209" s="84">
        <f>SUM(F259:L259)/SUM(F247:L247)</f>
        <v>0.60200148392117125</v>
      </c>
      <c r="D209" s="84">
        <f>SUM(J259:L259)/SUM(J247:L247)</f>
        <v>0.57485646406652147</v>
      </c>
      <c r="E209" s="84">
        <f>SUM(I295:J295)/SUM(I290:J290)</f>
        <v>0.60759493670886078</v>
      </c>
      <c r="F209" s="77"/>
      <c r="G209" s="77"/>
      <c r="H209" s="77"/>
      <c r="I209" s="77"/>
      <c r="J209" s="77"/>
      <c r="K209" s="77"/>
      <c r="L209" s="77"/>
    </row>
    <row r="210" spans="1:12" ht="18" customHeight="1">
      <c r="A210" s="73" t="s">
        <v>1205</v>
      </c>
      <c r="B210" s="73" t="s">
        <v>973</v>
      </c>
      <c r="C210" s="84">
        <f>SUM(F255:L255)/SUM(F247:L247)</f>
        <v>1.2170124122566259</v>
      </c>
      <c r="D210" s="84">
        <f>SUM(J255:L255)/SUM(J247:L247)</f>
        <v>1.1724411007721243</v>
      </c>
      <c r="E210" s="84">
        <f>SUM(I291:J291)/SUM(I290:J290)</f>
        <v>1.2011507479861909</v>
      </c>
      <c r="F210" s="77"/>
      <c r="G210" s="77"/>
      <c r="H210" s="77"/>
      <c r="I210" s="77"/>
      <c r="J210" s="77"/>
      <c r="K210" s="77"/>
      <c r="L210" s="77"/>
    </row>
    <row r="211" spans="1:12" ht="18" customHeight="1">
      <c r="A211" s="73" t="s">
        <v>1206</v>
      </c>
      <c r="B211" s="73" t="s">
        <v>973</v>
      </c>
      <c r="C211" s="84">
        <f>1-(L262/F262)^(1/6)</f>
        <v>1.085835714352712E-2</v>
      </c>
      <c r="D211" s="84">
        <f>1-(L262/J262)^(1/2)</f>
        <v>1.09157836389836E-2</v>
      </c>
      <c r="E211" s="77"/>
      <c r="F211" s="77"/>
      <c r="G211" s="77"/>
      <c r="H211" s="77"/>
      <c r="I211" s="77"/>
      <c r="J211" s="77"/>
      <c r="K211" s="77"/>
      <c r="L211" s="77"/>
    </row>
    <row r="212" spans="1:12" ht="18" customHeight="1">
      <c r="A212" s="73" t="s">
        <v>1207</v>
      </c>
      <c r="B212" s="73" t="s">
        <v>1015</v>
      </c>
      <c r="C212" s="79" t="e">
        <f>#REF!*100</f>
        <v>#REF!</v>
      </c>
      <c r="D212" s="74"/>
      <c r="E212" s="74"/>
      <c r="F212" s="74"/>
      <c r="G212" s="74"/>
      <c r="H212" s="74"/>
      <c r="I212" s="74"/>
      <c r="J212" s="74"/>
      <c r="K212" s="74"/>
      <c r="L212" s="74"/>
    </row>
    <row r="213" spans="1:12" ht="18" customHeight="1">
      <c r="A213" s="73" t="s">
        <v>1208</v>
      </c>
      <c r="B213" s="73" t="s">
        <v>1015</v>
      </c>
      <c r="C213" s="79" t="e">
        <f>#REF!*100</f>
        <v>#REF!</v>
      </c>
      <c r="D213" s="74"/>
      <c r="E213" s="74"/>
      <c r="F213" s="74"/>
      <c r="G213" s="74"/>
      <c r="H213" s="74"/>
      <c r="I213" s="74"/>
      <c r="J213" s="74"/>
      <c r="K213" s="74"/>
      <c r="L213" s="74"/>
    </row>
    <row r="214" spans="1:12" ht="18" customHeight="1">
      <c r="A214" s="73" t="s">
        <v>1209</v>
      </c>
      <c r="B214" s="73" t="s">
        <v>973</v>
      </c>
      <c r="C214" s="84" t="e">
        <f>1-C213/C212</f>
        <v>#REF!</v>
      </c>
      <c r="D214" s="77"/>
      <c r="E214" s="77"/>
      <c r="F214" s="77"/>
      <c r="G214" s="77"/>
      <c r="H214" s="77"/>
      <c r="I214" s="77"/>
      <c r="J214" s="77"/>
      <c r="K214" s="77"/>
      <c r="L214" s="77"/>
    </row>
    <row r="215" spans="1:12" ht="22" customHeight="1">
      <c r="A215" s="92" t="s">
        <v>1038</v>
      </c>
      <c r="B215" s="92" t="s">
        <v>972</v>
      </c>
      <c r="C215" s="93" t="s">
        <v>1293</v>
      </c>
      <c r="D215" s="93" t="s">
        <v>1294</v>
      </c>
      <c r="E215" s="93"/>
      <c r="F215" s="93"/>
      <c r="G215" s="93"/>
      <c r="H215" s="93"/>
      <c r="I215" s="93"/>
      <c r="J215" s="93"/>
      <c r="K215" s="93"/>
      <c r="L215" s="93"/>
    </row>
    <row r="216" spans="1:12" ht="18" customHeight="1">
      <c r="A216" s="73" t="s">
        <v>1210</v>
      </c>
      <c r="B216" s="73" t="s">
        <v>973</v>
      </c>
      <c r="C216" s="76">
        <v>5.0000000000000001E-3</v>
      </c>
      <c r="D216" s="76">
        <v>8.0000000000000002E-3</v>
      </c>
      <c r="E216" s="77"/>
      <c r="F216" s="77"/>
      <c r="G216" s="77"/>
      <c r="H216" s="77"/>
      <c r="I216" s="77"/>
      <c r="J216" s="77"/>
      <c r="K216" s="77"/>
      <c r="L216" s="77"/>
    </row>
    <row r="217" spans="1:12" ht="18" customHeight="1">
      <c r="A217" s="73" t="s">
        <v>1211</v>
      </c>
      <c r="B217" s="73" t="s">
        <v>973</v>
      </c>
      <c r="C217" s="76">
        <v>0.82</v>
      </c>
      <c r="D217" s="76">
        <v>0.86</v>
      </c>
      <c r="E217" s="77"/>
      <c r="F217" s="77"/>
      <c r="G217" s="77"/>
      <c r="H217" s="77"/>
      <c r="I217" s="77"/>
      <c r="J217" s="77"/>
      <c r="K217" s="77"/>
      <c r="L217" s="77"/>
    </row>
    <row r="218" spans="1:12" ht="18" customHeight="1">
      <c r="A218" s="73" t="s">
        <v>1212</v>
      </c>
      <c r="B218" s="73" t="s">
        <v>973</v>
      </c>
      <c r="C218" s="76">
        <v>0.6</v>
      </c>
      <c r="D218" s="76">
        <v>0.56999999999999995</v>
      </c>
      <c r="E218" s="77"/>
      <c r="F218" s="77"/>
      <c r="G218" s="77"/>
      <c r="H218" s="77"/>
      <c r="I218" s="77"/>
      <c r="J218" s="77"/>
      <c r="K218" s="77"/>
      <c r="L218" s="77"/>
    </row>
    <row r="219" spans="1:12" ht="18" customHeight="1">
      <c r="A219" s="73" t="s">
        <v>1213</v>
      </c>
      <c r="B219" s="73" t="s">
        <v>978</v>
      </c>
      <c r="C219" s="88">
        <v>20</v>
      </c>
      <c r="D219" s="88">
        <v>20</v>
      </c>
      <c r="E219" s="74"/>
      <c r="F219" s="74"/>
      <c r="G219" s="74"/>
      <c r="H219" s="74"/>
      <c r="I219" s="74"/>
      <c r="J219" s="74"/>
      <c r="K219" s="74"/>
      <c r="L219" s="74"/>
    </row>
    <row r="220" spans="1:12" ht="18" customHeight="1">
      <c r="A220" s="73" t="s">
        <v>1214</v>
      </c>
      <c r="B220" s="73" t="s">
        <v>973</v>
      </c>
      <c r="C220" s="94">
        <v>1.5E-3</v>
      </c>
      <c r="D220" s="77"/>
      <c r="E220" s="77"/>
      <c r="F220" s="77"/>
      <c r="G220" s="77"/>
      <c r="H220" s="77"/>
      <c r="I220" s="77"/>
      <c r="J220" s="77"/>
      <c r="K220" s="77"/>
      <c r="L220" s="77"/>
    </row>
    <row r="221" spans="1:12" ht="18" customHeight="1">
      <c r="A221" s="73" t="s">
        <v>1215</v>
      </c>
      <c r="B221" s="73" t="s">
        <v>978</v>
      </c>
      <c r="C221" s="88">
        <v>20</v>
      </c>
      <c r="D221" s="74"/>
      <c r="E221" s="74"/>
      <c r="F221" s="74"/>
      <c r="G221" s="74"/>
      <c r="H221" s="74"/>
      <c r="I221" s="74"/>
      <c r="J221" s="74"/>
      <c r="K221" s="74"/>
      <c r="L221" s="74"/>
    </row>
    <row r="222" spans="1:12" ht="22" customHeight="1">
      <c r="A222" s="92" t="s">
        <v>1038</v>
      </c>
      <c r="B222" s="92" t="s">
        <v>972</v>
      </c>
      <c r="C222" s="93" t="s">
        <v>1010</v>
      </c>
      <c r="D222" s="93" t="s">
        <v>1022</v>
      </c>
      <c r="E222" s="93" t="s">
        <v>1023</v>
      </c>
      <c r="F222" s="93" t="s">
        <v>1024</v>
      </c>
      <c r="G222" s="93" t="s">
        <v>1025</v>
      </c>
      <c r="H222" s="93" t="s">
        <v>1026</v>
      </c>
      <c r="I222" s="93"/>
      <c r="J222" s="93"/>
      <c r="K222" s="93"/>
      <c r="L222" s="93"/>
    </row>
    <row r="223" spans="1:12" ht="18" customHeight="1">
      <c r="A223" s="80" t="s">
        <v>1011</v>
      </c>
      <c r="B223" s="80" t="s">
        <v>1012</v>
      </c>
      <c r="C223" s="83"/>
      <c r="D223" s="82">
        <f>D193</f>
        <v>9027.6957640314886</v>
      </c>
      <c r="E223" s="82">
        <f>E193</f>
        <v>9380.1312565716689</v>
      </c>
      <c r="F223" s="82">
        <f>F193</f>
        <v>9848.5280178881076</v>
      </c>
      <c r="G223" s="82">
        <f>G193</f>
        <v>10389.965029497</v>
      </c>
      <c r="H223" s="82">
        <f>H193</f>
        <v>10991.480725311996</v>
      </c>
      <c r="I223" s="74"/>
      <c r="J223" s="74"/>
      <c r="K223" s="74"/>
      <c r="L223" s="74"/>
    </row>
    <row r="224" spans="1:12" ht="18" customHeight="1">
      <c r="A224" s="73" t="s">
        <v>987</v>
      </c>
      <c r="B224" s="73" t="s">
        <v>973</v>
      </c>
      <c r="C224" s="77"/>
      <c r="D224" s="84">
        <f>$C$217</f>
        <v>0.82</v>
      </c>
      <c r="E224" s="84">
        <f>$C$217</f>
        <v>0.82</v>
      </c>
      <c r="F224" s="84">
        <f>$D$217</f>
        <v>0.86</v>
      </c>
      <c r="G224" s="84">
        <f>$D$217</f>
        <v>0.86</v>
      </c>
      <c r="H224" s="84">
        <f>$D$217</f>
        <v>0.86</v>
      </c>
      <c r="I224" s="77"/>
      <c r="J224" s="77"/>
      <c r="K224" s="77"/>
      <c r="L224" s="77"/>
    </row>
    <row r="225" spans="1:12" ht="18" customHeight="1">
      <c r="A225" s="73" t="s">
        <v>986</v>
      </c>
      <c r="B225" s="73" t="s">
        <v>973</v>
      </c>
      <c r="C225" s="77"/>
      <c r="D225" s="84">
        <f>$C$218</f>
        <v>0.6</v>
      </c>
      <c r="E225" s="84">
        <f>$C$218</f>
        <v>0.6</v>
      </c>
      <c r="F225" s="84">
        <f>$D$218</f>
        <v>0.56999999999999995</v>
      </c>
      <c r="G225" s="84">
        <f>$D$218</f>
        <v>0.56999999999999995</v>
      </c>
      <c r="H225" s="84">
        <f>$D$218</f>
        <v>0.56999999999999995</v>
      </c>
      <c r="I225" s="77"/>
      <c r="J225" s="77"/>
      <c r="K225" s="77"/>
      <c r="L225" s="77"/>
    </row>
    <row r="226" spans="1:12" ht="18" customHeight="1">
      <c r="A226" s="73" t="s">
        <v>985</v>
      </c>
      <c r="B226" s="73" t="s">
        <v>973</v>
      </c>
      <c r="C226" s="77"/>
      <c r="D226" s="84">
        <f>$C$216</f>
        <v>5.0000000000000001E-3</v>
      </c>
      <c r="E226" s="84">
        <f>$C$216</f>
        <v>5.0000000000000001E-3</v>
      </c>
      <c r="F226" s="84">
        <f>$D$216</f>
        <v>8.0000000000000002E-3</v>
      </c>
      <c r="G226" s="84">
        <f>$D$216</f>
        <v>8.0000000000000002E-3</v>
      </c>
      <c r="H226" s="84">
        <f>$D$216</f>
        <v>8.0000000000000002E-3</v>
      </c>
      <c r="I226" s="77"/>
      <c r="J226" s="77"/>
      <c r="K226" s="77"/>
      <c r="L226" s="77"/>
    </row>
    <row r="227" spans="1:12" ht="18" customHeight="1">
      <c r="A227" s="73" t="s">
        <v>1216</v>
      </c>
      <c r="B227" s="73" t="s">
        <v>1012</v>
      </c>
      <c r="C227" s="74"/>
      <c r="D227" s="78">
        <f>D223*D224</f>
        <v>7402.7105265058199</v>
      </c>
      <c r="E227" s="78">
        <f>E223*E224</f>
        <v>7691.7076303887679</v>
      </c>
      <c r="F227" s="78">
        <f>F223*F224</f>
        <v>8469.734095383772</v>
      </c>
      <c r="G227" s="78">
        <f>G223*G224</f>
        <v>8935.3699253674204</v>
      </c>
      <c r="H227" s="78">
        <f>H223*H224</f>
        <v>9452.6734237683158</v>
      </c>
      <c r="I227" s="74"/>
      <c r="J227" s="74"/>
      <c r="K227" s="74"/>
      <c r="L227" s="74"/>
    </row>
    <row r="228" spans="1:12" ht="18" customHeight="1">
      <c r="A228" s="73" t="s">
        <v>1063</v>
      </c>
      <c r="B228" s="73" t="s">
        <v>1012</v>
      </c>
      <c r="C228" s="74"/>
      <c r="D228" s="78">
        <f>D223*D225</f>
        <v>5416.617458418893</v>
      </c>
      <c r="E228" s="78">
        <f>E223*E225</f>
        <v>5628.0787539430012</v>
      </c>
      <c r="F228" s="78">
        <f>F223*F225</f>
        <v>5613.6609701962207</v>
      </c>
      <c r="G228" s="78">
        <f>G223*G225</f>
        <v>5922.2800668132895</v>
      </c>
      <c r="H228" s="78">
        <f>H223*H225</f>
        <v>6265.1440134278373</v>
      </c>
      <c r="I228" s="74"/>
      <c r="J228" s="74"/>
      <c r="K228" s="74"/>
      <c r="L228" s="74"/>
    </row>
    <row r="229" spans="1:12" ht="18" customHeight="1">
      <c r="A229" s="73" t="s">
        <v>1217</v>
      </c>
      <c r="B229" s="73" t="s">
        <v>1012</v>
      </c>
      <c r="C229" s="74"/>
      <c r="D229" s="78">
        <f>D227-D228</f>
        <v>1986.0930680869269</v>
      </c>
      <c r="E229" s="78">
        <f>E227-E228</f>
        <v>2063.6288764457668</v>
      </c>
      <c r="F229" s="78">
        <f>F227-F228</f>
        <v>2856.0731251875513</v>
      </c>
      <c r="G229" s="78">
        <f>G227-G228</f>
        <v>3013.0898585541308</v>
      </c>
      <c r="H229" s="78">
        <f>H227-H228</f>
        <v>3187.5294103404785</v>
      </c>
      <c r="I229" s="74"/>
      <c r="J229" s="74"/>
      <c r="K229" s="74"/>
      <c r="L229" s="74"/>
    </row>
    <row r="230" spans="1:12" ht="18" customHeight="1">
      <c r="A230" s="73" t="s">
        <v>1218</v>
      </c>
      <c r="B230" s="73" t="s">
        <v>1012</v>
      </c>
      <c r="C230" s="74"/>
      <c r="D230" s="78">
        <f>(D226+$C$220)/(1-D226)*D223*$C$221</f>
        <v>1179.4979390191897</v>
      </c>
      <c r="E230" s="78">
        <f>(E226+$C$220)/(1-E226)*E223*$C$221</f>
        <v>1225.544787290771</v>
      </c>
      <c r="F230" s="78">
        <f>(F226+$C$220)/(1-F226)*F223*$C$221</f>
        <v>1886.3108098777625</v>
      </c>
      <c r="G230" s="78">
        <f>(G226+$C$220)/(1-G226)*G223*$C$221</f>
        <v>1990.0134633109174</v>
      </c>
      <c r="H230" s="78">
        <f>(H226+$C$220)/(1-H226)*H223*$C$221</f>
        <v>2105.2231227916122</v>
      </c>
      <c r="I230" s="74"/>
      <c r="J230" s="74"/>
      <c r="K230" s="74"/>
      <c r="L230" s="74"/>
    </row>
    <row r="231" spans="1:12" ht="18" customHeight="1">
      <c r="A231" s="73" t="s">
        <v>1219</v>
      </c>
      <c r="B231" s="73" t="s">
        <v>1012</v>
      </c>
      <c r="C231" s="74"/>
      <c r="D231" s="78">
        <f>D229-D230</f>
        <v>806.59512906773716</v>
      </c>
      <c r="E231" s="78">
        <f>E229-E230</f>
        <v>838.08408915499581</v>
      </c>
      <c r="F231" s="78">
        <f>F229-F230</f>
        <v>969.76231530978885</v>
      </c>
      <c r="G231" s="78">
        <f>G229-G230</f>
        <v>1023.0763952432135</v>
      </c>
      <c r="H231" s="78">
        <f>H229-H230</f>
        <v>1082.3062875488663</v>
      </c>
      <c r="I231" s="74"/>
      <c r="J231" s="74"/>
      <c r="K231" s="74"/>
      <c r="L231" s="74"/>
    </row>
    <row r="232" spans="1:12" ht="18" customHeight="1">
      <c r="A232" s="73" t="s">
        <v>1220</v>
      </c>
      <c r="B232" s="73" t="s">
        <v>1012</v>
      </c>
      <c r="C232" s="74"/>
      <c r="D232" s="78">
        <f>D227+D161</f>
        <v>10840.21052650582</v>
      </c>
      <c r="E232" s="78">
        <f>E227+E161</f>
        <v>11129.207630388768</v>
      </c>
      <c r="F232" s="78">
        <f>F227+F161</f>
        <v>11907.234095383772</v>
      </c>
      <c r="G232" s="78">
        <f>G227+G161</f>
        <v>12372.86992536742</v>
      </c>
      <c r="H232" s="78">
        <f>H227+H161</f>
        <v>12656.840090434982</v>
      </c>
      <c r="I232" s="74"/>
      <c r="J232" s="74"/>
      <c r="K232" s="74"/>
      <c r="L232" s="74"/>
    </row>
    <row r="233" spans="1:12" ht="18" customHeight="1">
      <c r="A233" s="73" t="s">
        <v>1221</v>
      </c>
      <c r="B233" s="73" t="s">
        <v>973</v>
      </c>
      <c r="C233" s="77"/>
      <c r="D233" s="84">
        <f>D232/D223</f>
        <v>1.2007726899366531</v>
      </c>
      <c r="E233" s="84">
        <f>E232/E223</f>
        <v>1.1864660873046637</v>
      </c>
      <c r="F233" s="84">
        <f>F232/F223</f>
        <v>1.2090369315857548</v>
      </c>
      <c r="G233" s="84">
        <f>G232/G223</f>
        <v>1.1908480818021019</v>
      </c>
      <c r="H233" s="84">
        <f>H232/H223</f>
        <v>1.1515136501388636</v>
      </c>
      <c r="I233" s="77"/>
      <c r="J233" s="77"/>
      <c r="K233" s="77"/>
      <c r="L233" s="77"/>
    </row>
    <row r="234" spans="1:12" ht="18" customHeight="1">
      <c r="A234" s="73" t="s">
        <v>1222</v>
      </c>
      <c r="B234" s="73" t="s">
        <v>1223</v>
      </c>
      <c r="C234" s="74"/>
      <c r="D234" s="78" t="str">
        <f>IF(D231&gt;=0,"演算有余量","现金不足，复核回购假设")</f>
        <v>演算有余量</v>
      </c>
      <c r="E234" s="78" t="str">
        <f>IF(E231&gt;=0,"演算有余量","现金不足，复核回购假设")</f>
        <v>演算有余量</v>
      </c>
      <c r="F234" s="78" t="str">
        <f>IF(F231&gt;=0,"演算有余量","现金不足，复核回购假设")</f>
        <v>演算有余量</v>
      </c>
      <c r="G234" s="78" t="str">
        <f>IF(G231&gt;=0,"演算有余量","现金不足，复核回购假设")</f>
        <v>演算有余量</v>
      </c>
      <c r="H234" s="78" t="str">
        <f>IF(H231&gt;=0,"演算有余量","现金不足，复核回购假设")</f>
        <v>演算有余量</v>
      </c>
      <c r="I234" s="74"/>
      <c r="J234" s="74"/>
      <c r="K234" s="74"/>
      <c r="L234" s="74"/>
    </row>
    <row r="235" spans="1:12" ht="8" customHeight="1">
      <c r="A235" s="73"/>
      <c r="B235" s="73"/>
      <c r="C235" s="74"/>
      <c r="D235" s="74"/>
      <c r="E235" s="74"/>
      <c r="F235" s="74"/>
      <c r="G235" s="74"/>
      <c r="H235" s="74"/>
      <c r="I235" s="74"/>
      <c r="J235" s="74"/>
      <c r="K235" s="74"/>
      <c r="L235" s="74"/>
    </row>
    <row r="236" spans="1:12" ht="24" customHeight="1">
      <c r="A236" s="129" t="s">
        <v>1346</v>
      </c>
      <c r="B236" s="129"/>
      <c r="C236" s="125"/>
      <c r="D236" s="125"/>
      <c r="E236" s="125"/>
      <c r="F236" s="125"/>
      <c r="G236" s="125"/>
      <c r="H236" s="125"/>
      <c r="I236" s="125"/>
      <c r="J236" s="125"/>
      <c r="K236" s="125"/>
      <c r="L236" s="125"/>
    </row>
    <row r="237" spans="1:12" ht="22" customHeight="1">
      <c r="A237" s="92" t="s">
        <v>1038</v>
      </c>
      <c r="B237" s="92" t="s">
        <v>972</v>
      </c>
      <c r="C237" s="93" t="s">
        <v>1302</v>
      </c>
      <c r="D237" s="93" t="s">
        <v>980</v>
      </c>
      <c r="E237" s="93" t="s">
        <v>981</v>
      </c>
      <c r="F237" s="93" t="s">
        <v>982</v>
      </c>
      <c r="G237" s="93" t="s">
        <v>983</v>
      </c>
      <c r="H237" s="93" t="s">
        <v>984</v>
      </c>
      <c r="I237" s="93"/>
      <c r="J237" s="93"/>
      <c r="K237" s="93"/>
      <c r="L237" s="93"/>
    </row>
    <row r="238" spans="1:12" ht="18" customHeight="1">
      <c r="A238" s="73" t="s">
        <v>1303</v>
      </c>
      <c r="B238" s="73" t="s">
        <v>1012</v>
      </c>
      <c r="C238" s="89">
        <f>F63-(F342+E37+F37)</f>
        <v>-1</v>
      </c>
      <c r="D238" s="74" t="s">
        <v>1022</v>
      </c>
      <c r="E238" s="74" t="s">
        <v>1023</v>
      </c>
      <c r="F238" s="74" t="s">
        <v>1024</v>
      </c>
      <c r="G238" s="74" t="s">
        <v>1025</v>
      </c>
      <c r="H238" s="74" t="s">
        <v>1026</v>
      </c>
      <c r="I238" s="74"/>
      <c r="J238" s="74"/>
      <c r="K238" s="74"/>
      <c r="L238" s="74"/>
    </row>
    <row r="239" spans="1:12" ht="18" customHeight="1">
      <c r="A239" s="73" t="s">
        <v>1304</v>
      </c>
      <c r="B239" s="73" t="s">
        <v>1012</v>
      </c>
      <c r="C239" s="90">
        <f>F76-(F349+SUM('Income Statement'!T14:U14)+E38+F38)</f>
        <v>-2.0249999999941792</v>
      </c>
      <c r="D239" s="74"/>
      <c r="E239" s="74"/>
      <c r="F239" s="74"/>
      <c r="G239" s="74"/>
      <c r="H239" s="74"/>
      <c r="I239" s="74"/>
      <c r="J239" s="74"/>
      <c r="K239" s="74"/>
      <c r="L239" s="74"/>
    </row>
    <row r="240" spans="1:12" ht="18" customHeight="1">
      <c r="A240" s="73" t="s">
        <v>1305</v>
      </c>
      <c r="B240" s="73" t="s">
        <v>1012</v>
      </c>
      <c r="C240" s="89">
        <f>C183-C188</f>
        <v>0</v>
      </c>
      <c r="D240" s="74"/>
      <c r="E240" s="74"/>
      <c r="F240" s="74"/>
      <c r="G240" s="74"/>
      <c r="H240" s="74"/>
      <c r="I240" s="74"/>
      <c r="J240" s="74"/>
      <c r="K240" s="74"/>
      <c r="L240" s="74"/>
    </row>
    <row r="241" spans="1:12" ht="18" customHeight="1">
      <c r="A241" s="73" t="s">
        <v>1306</v>
      </c>
      <c r="B241" s="73" t="s">
        <v>1012</v>
      </c>
      <c r="C241" s="89">
        <f>C185+C186-C187+C188-C189</f>
        <v>0</v>
      </c>
      <c r="D241" s="74"/>
      <c r="E241" s="74"/>
      <c r="F241" s="74"/>
      <c r="G241" s="74"/>
      <c r="H241" s="74"/>
      <c r="I241" s="74"/>
      <c r="J241" s="74"/>
      <c r="K241" s="74"/>
      <c r="L241" s="74"/>
    </row>
    <row r="242" spans="1:12" ht="18" customHeight="1">
      <c r="A242" s="73" t="s">
        <v>1307</v>
      </c>
      <c r="B242" s="73"/>
      <c r="C242" s="91">
        <v>1.8189894035458565E-12</v>
      </c>
      <c r="D242" s="91">
        <v>0</v>
      </c>
      <c r="E242" s="74"/>
      <c r="F242" s="74"/>
      <c r="G242" s="74"/>
      <c r="H242" s="74"/>
      <c r="I242" s="74"/>
      <c r="J242" s="74"/>
      <c r="K242" s="74"/>
      <c r="L242" s="74"/>
    </row>
    <row r="243" spans="1:12" ht="18" customHeight="1">
      <c r="A243" s="73" t="s">
        <v>1236</v>
      </c>
      <c r="B243" s="73" t="s">
        <v>1235</v>
      </c>
      <c r="C243" s="90">
        <f>'Year-End Valuation'!D55-C201</f>
        <v>0</v>
      </c>
      <c r="D243" s="90">
        <f>'Year-End Valuation'!H55-D201</f>
        <v>0</v>
      </c>
      <c r="E243" s="74"/>
      <c r="F243" s="74"/>
      <c r="G243" s="74"/>
      <c r="H243" s="74"/>
      <c r="I243" s="74"/>
      <c r="J243" s="74"/>
      <c r="K243" s="74"/>
      <c r="L243" s="74"/>
    </row>
    <row r="244" spans="1:12" ht="8" customHeight="1">
      <c r="A244" s="73"/>
      <c r="B244" s="73"/>
      <c r="C244" s="74"/>
      <c r="D244" s="74"/>
      <c r="E244" s="74"/>
      <c r="F244" s="74"/>
      <c r="G244" s="74"/>
      <c r="H244" s="74"/>
      <c r="I244" s="74"/>
      <c r="J244" s="74"/>
      <c r="K244" s="74"/>
      <c r="L244" s="74"/>
    </row>
    <row r="245" spans="1:12" ht="24" customHeight="1">
      <c r="A245" s="129" t="s">
        <v>1347</v>
      </c>
      <c r="B245" s="129"/>
      <c r="C245" s="125"/>
      <c r="D245" s="125"/>
      <c r="E245" s="125"/>
      <c r="F245" s="125"/>
      <c r="G245" s="125"/>
      <c r="H245" s="125"/>
      <c r="I245" s="125"/>
      <c r="J245" s="125"/>
      <c r="K245" s="125"/>
      <c r="L245" s="125"/>
    </row>
    <row r="246" spans="1:12" ht="22" customHeight="1">
      <c r="A246" s="92" t="s">
        <v>1038</v>
      </c>
      <c r="B246" s="92" t="s">
        <v>972</v>
      </c>
      <c r="C246" s="93" t="s">
        <v>73</v>
      </c>
      <c r="D246" s="93" t="s">
        <v>74</v>
      </c>
      <c r="E246" s="93" t="s">
        <v>75</v>
      </c>
      <c r="F246" s="93" t="s">
        <v>76</v>
      </c>
      <c r="G246" s="93" t="s">
        <v>77</v>
      </c>
      <c r="H246" s="93" t="s">
        <v>78</v>
      </c>
      <c r="I246" s="93" t="s">
        <v>79</v>
      </c>
      <c r="J246" s="93" t="s">
        <v>80</v>
      </c>
      <c r="K246" s="93" t="s">
        <v>81</v>
      </c>
      <c r="L246" s="93" t="s">
        <v>82</v>
      </c>
    </row>
    <row r="247" spans="1:12" ht="18" customHeight="1">
      <c r="A247" s="80" t="s">
        <v>1011</v>
      </c>
      <c r="B247" s="80" t="s">
        <v>1012</v>
      </c>
      <c r="C247" s="81">
        <f>'Income Statement'!C41</f>
        <v>4686.5</v>
      </c>
      <c r="D247" s="81">
        <f>'Income Statement'!D41</f>
        <v>5192.3</v>
      </c>
      <c r="E247" s="81">
        <f>'Income Statement'!E41</f>
        <v>5924.3</v>
      </c>
      <c r="F247" s="81">
        <f>'Income Statement'!F41</f>
        <v>6025.4</v>
      </c>
      <c r="G247" s="81">
        <f>'Income Statement'!G41</f>
        <v>4730.5</v>
      </c>
      <c r="H247" s="81">
        <f>'Income Statement'!H41</f>
        <v>7545.2</v>
      </c>
      <c r="I247" s="79">
        <f>'Income Statement'!I41</f>
        <v>6177</v>
      </c>
      <c r="J247" s="79">
        <f>'Income Statement'!J41</f>
        <v>8469</v>
      </c>
      <c r="K247" s="79">
        <f>'Income Statement'!K41</f>
        <v>8223</v>
      </c>
      <c r="L247" s="79">
        <f>'Income Statement'!L41</f>
        <v>8563</v>
      </c>
    </row>
    <row r="248" spans="1:12" ht="18" customHeight="1">
      <c r="A248" s="73" t="s">
        <v>1053</v>
      </c>
      <c r="B248" s="73" t="s">
        <v>973</v>
      </c>
      <c r="C248" s="77"/>
      <c r="D248" s="84">
        <f t="shared" ref="D248:L248" si="28">D247/C247-1</f>
        <v>0.10792702443187885</v>
      </c>
      <c r="E248" s="84">
        <f t="shared" si="28"/>
        <v>0.14097798663405436</v>
      </c>
      <c r="F248" s="84">
        <f t="shared" si="28"/>
        <v>1.7065307293688603E-2</v>
      </c>
      <c r="G248" s="84">
        <f t="shared" si="28"/>
        <v>-0.21490689414810626</v>
      </c>
      <c r="H248" s="84">
        <f t="shared" si="28"/>
        <v>0.59501109819258002</v>
      </c>
      <c r="I248" s="84">
        <f t="shared" si="28"/>
        <v>-0.18133382812914167</v>
      </c>
      <c r="J248" s="84">
        <f t="shared" si="28"/>
        <v>0.37105390966488594</v>
      </c>
      <c r="K248" s="84">
        <f t="shared" si="28"/>
        <v>-2.904711300035423E-2</v>
      </c>
      <c r="L248" s="84">
        <f t="shared" si="28"/>
        <v>4.1347440107016853E-2</v>
      </c>
    </row>
    <row r="249" spans="1:12" ht="18" customHeight="1">
      <c r="A249" s="73" t="s">
        <v>1054</v>
      </c>
      <c r="B249" s="73" t="s">
        <v>1012</v>
      </c>
      <c r="C249" s="79">
        <f>'Derived Metrics'!C17</f>
        <v>7608.5</v>
      </c>
      <c r="D249" s="79">
        <f>'Derived Metrics'!D17</f>
        <v>8311.5</v>
      </c>
      <c r="E249" s="79">
        <f>'Derived Metrics'!E17</f>
        <v>9039.2000000000007</v>
      </c>
      <c r="F249" s="79">
        <f>'Derived Metrics'!F17</f>
        <v>9455.1</v>
      </c>
      <c r="G249" s="79">
        <f>'Derived Metrics'!G17</f>
        <v>8518.6</v>
      </c>
      <c r="H249" s="79">
        <f>'Derived Metrics'!H17</f>
        <v>10750.4</v>
      </c>
      <c r="I249" s="79">
        <f>'Derived Metrics'!I17</f>
        <v>11756</v>
      </c>
      <c r="J249" s="79">
        <f>'Derived Metrics'!J17</f>
        <v>12962</v>
      </c>
      <c r="K249" s="79">
        <f>'Derived Metrics'!K17</f>
        <v>13179</v>
      </c>
      <c r="L249" s="79">
        <f>'Derived Metrics'!L17</f>
        <v>13930</v>
      </c>
    </row>
    <row r="250" spans="1:12" ht="18" customHeight="1">
      <c r="A250" s="73" t="s">
        <v>1055</v>
      </c>
      <c r="B250" s="73" t="s">
        <v>973</v>
      </c>
      <c r="C250" s="77"/>
      <c r="D250" s="84">
        <f t="shared" ref="D250:L250" si="29">D249/C249-1</f>
        <v>9.2396661628441956E-2</v>
      </c>
      <c r="E250" s="84">
        <f t="shared" si="29"/>
        <v>8.755338988148953E-2</v>
      </c>
      <c r="F250" s="84">
        <f t="shared" si="29"/>
        <v>4.6010708912292975E-2</v>
      </c>
      <c r="G250" s="84">
        <f t="shared" si="29"/>
        <v>-9.9047075123478323E-2</v>
      </c>
      <c r="H250" s="84">
        <f t="shared" si="29"/>
        <v>0.26199140703871526</v>
      </c>
      <c r="I250" s="84">
        <f t="shared" si="29"/>
        <v>9.3540705462122453E-2</v>
      </c>
      <c r="J250" s="84">
        <f t="shared" si="29"/>
        <v>0.10258591357604629</v>
      </c>
      <c r="K250" s="84">
        <f t="shared" si="29"/>
        <v>1.6741243635241432E-2</v>
      </c>
      <c r="L250" s="84">
        <f t="shared" si="29"/>
        <v>5.6984596706882051E-2</v>
      </c>
    </row>
    <row r="251" spans="1:12" ht="18" customHeight="1">
      <c r="A251" s="73" t="s">
        <v>1056</v>
      </c>
      <c r="B251" s="73" t="s">
        <v>1012</v>
      </c>
      <c r="C251" s="79">
        <f>'Derived Metrics'!C19</f>
        <v>2596.2000000000007</v>
      </c>
      <c r="D251" s="79">
        <f>'Derived Metrics'!D19</f>
        <v>2309.2999999999993</v>
      </c>
      <c r="E251" s="79">
        <f>'Derived Metrics'!E19</f>
        <v>1746.7999999999993</v>
      </c>
      <c r="F251" s="79">
        <f>'Derived Metrics'!F19</f>
        <v>1660.1999999999989</v>
      </c>
      <c r="G251" s="79">
        <f>'Derived Metrics'!G19</f>
        <v>1157.9999999999991</v>
      </c>
      <c r="H251" s="79">
        <f>'Derived Metrics'!H19</f>
        <v>1740.0999999999995</v>
      </c>
      <c r="I251" s="79">
        <f>'Derived Metrics'!I19</f>
        <v>1368</v>
      </c>
      <c r="J251" s="79">
        <f>'Derived Metrics'!J19</f>
        <v>1518</v>
      </c>
      <c r="K251" s="79">
        <f>'Derived Metrics'!K19</f>
        <v>1447</v>
      </c>
      <c r="L251" s="79">
        <f>'Derived Metrics'!L19</f>
        <v>1421</v>
      </c>
    </row>
    <row r="252" spans="1:12" ht="18" customHeight="1">
      <c r="A252" s="80" t="s">
        <v>1057</v>
      </c>
      <c r="B252" s="80" t="s">
        <v>1012</v>
      </c>
      <c r="C252" s="81">
        <f>'Income Statement'!C33</f>
        <v>7744.5</v>
      </c>
      <c r="D252" s="81">
        <f>'Income Statement'!D33</f>
        <v>9552.7000000000007</v>
      </c>
      <c r="E252" s="81">
        <f>'Income Statement'!E33</f>
        <v>8822.6</v>
      </c>
      <c r="F252" s="81">
        <f>'Income Statement'!F33</f>
        <v>9069.7999999999993</v>
      </c>
      <c r="G252" s="81">
        <f>'Income Statement'!G33</f>
        <v>7324</v>
      </c>
      <c r="H252" s="81">
        <f>'Income Statement'!H33</f>
        <v>10356</v>
      </c>
      <c r="I252" s="79">
        <f>'Income Statement'!I33</f>
        <v>9371</v>
      </c>
      <c r="J252" s="79">
        <f>'Income Statement'!J33</f>
        <v>11647</v>
      </c>
      <c r="K252" s="79">
        <f>'Income Statement'!K33</f>
        <v>11712</v>
      </c>
      <c r="L252" s="79">
        <f>'Income Statement'!L33</f>
        <v>12393</v>
      </c>
    </row>
    <row r="253" spans="1:12" ht="18" customHeight="1">
      <c r="A253" s="73" t="s">
        <v>1058</v>
      </c>
      <c r="B253" s="73" t="s">
        <v>1012</v>
      </c>
      <c r="C253" s="79">
        <f>'Income Statement'!C37</f>
        <v>884.8</v>
      </c>
      <c r="D253" s="79">
        <f>'Income Statement'!D37</f>
        <v>921.3</v>
      </c>
      <c r="E253" s="79">
        <f>'Income Statement'!E37</f>
        <v>981.2</v>
      </c>
      <c r="F253" s="79">
        <f>'Income Statement'!F37</f>
        <v>1121.9000000000001</v>
      </c>
      <c r="G253" s="79">
        <f>'Income Statement'!G37</f>
        <v>1218.0999999999999</v>
      </c>
      <c r="H253" s="79">
        <f>'Income Statement'!H37</f>
        <v>1185.8</v>
      </c>
      <c r="I253" s="79">
        <f>'Income Statement'!I37</f>
        <v>1207</v>
      </c>
      <c r="J253" s="79">
        <f>'Income Statement'!J37</f>
        <v>1361</v>
      </c>
      <c r="K253" s="79">
        <f>'Income Statement'!K37</f>
        <v>1506</v>
      </c>
      <c r="L253" s="79">
        <f>'Income Statement'!L37</f>
        <v>1582</v>
      </c>
    </row>
    <row r="254" spans="1:12" ht="18" customHeight="1">
      <c r="A254" s="73" t="s">
        <v>1059</v>
      </c>
      <c r="B254" s="73" t="s">
        <v>973</v>
      </c>
      <c r="C254" s="85">
        <f>'Derived Metrics'!C26</f>
        <v>0.31743373143023595</v>
      </c>
      <c r="D254" s="85">
        <f>'Derived Metrics'!D26</f>
        <v>0.39437802531054994</v>
      </c>
      <c r="E254" s="85">
        <f>'Derived Metrics'!E26</f>
        <v>0.24203886848940007</v>
      </c>
      <c r="F254" s="85">
        <f>'Derived Metrics'!F26</f>
        <v>0.2485252117085095</v>
      </c>
      <c r="G254" s="85">
        <f>'Derived Metrics'!G26</f>
        <v>0.22964808572312603</v>
      </c>
      <c r="H254" s="85">
        <f>'Derived Metrics'!H26</f>
        <v>0.17339147010813002</v>
      </c>
      <c r="I254" s="85">
        <f>'Derived Metrics'!I26</f>
        <v>0.21060702875399362</v>
      </c>
      <c r="J254" s="85">
        <f>'Derived Metrics'!J26</f>
        <v>0.19511499714883102</v>
      </c>
      <c r="K254" s="85">
        <f>'Derived Metrics'!K26</f>
        <v>0.20502658289028516</v>
      </c>
      <c r="L254" s="85">
        <f>'Derived Metrics'!L26</f>
        <v>0.21418739102505277</v>
      </c>
    </row>
    <row r="255" spans="1:12" ht="18" customHeight="1">
      <c r="A255" s="73" t="s">
        <v>1060</v>
      </c>
      <c r="B255" s="73" t="s">
        <v>1012</v>
      </c>
      <c r="C255" s="79">
        <f>'Cash Flow'!C28</f>
        <v>6059.6</v>
      </c>
      <c r="D255" s="79">
        <f>'Cash Flow'!D28</f>
        <v>5551.2</v>
      </c>
      <c r="E255" s="79">
        <f>'Cash Flow'!E28</f>
        <v>6966.7</v>
      </c>
      <c r="F255" s="79">
        <f>'Cash Flow'!F28</f>
        <v>8122.1</v>
      </c>
      <c r="G255" s="79">
        <f>'Cash Flow'!G28</f>
        <v>6265.2</v>
      </c>
      <c r="H255" s="79">
        <f>'Cash Flow'!H28</f>
        <v>9141.5</v>
      </c>
      <c r="I255" s="79">
        <f>'Cash Flow'!I28</f>
        <v>7387</v>
      </c>
      <c r="J255" s="79">
        <f>'Cash Flow'!J28</f>
        <v>9612</v>
      </c>
      <c r="K255" s="79">
        <f>'Cash Flow'!K28</f>
        <v>9447</v>
      </c>
      <c r="L255" s="79">
        <f>'Cash Flow'!L28</f>
        <v>10551</v>
      </c>
    </row>
    <row r="256" spans="1:12" ht="18" customHeight="1">
      <c r="A256" s="73" t="s">
        <v>1061</v>
      </c>
      <c r="B256" s="73" t="s">
        <v>1012</v>
      </c>
      <c r="C256" s="79">
        <f>-'Cash Flow'!C31</f>
        <v>1821.1</v>
      </c>
      <c r="D256" s="79">
        <f>-'Cash Flow'!D31</f>
        <v>1853.7</v>
      </c>
      <c r="E256" s="79">
        <f>-'Cash Flow'!E31</f>
        <v>2741.7</v>
      </c>
      <c r="F256" s="79">
        <f>-'Cash Flow'!F31</f>
        <v>2393.6999999999998</v>
      </c>
      <c r="G256" s="79">
        <f>-'Cash Flow'!G31</f>
        <v>1640.8</v>
      </c>
      <c r="H256" s="79">
        <f>-'Cash Flow'!H31</f>
        <v>2040</v>
      </c>
      <c r="I256" s="79">
        <f>-'Cash Flow'!I31</f>
        <v>1899</v>
      </c>
      <c r="J256" s="79">
        <f>-'Cash Flow'!J31</f>
        <v>2357</v>
      </c>
      <c r="K256" s="79">
        <f>-'Cash Flow'!K31</f>
        <v>2775</v>
      </c>
      <c r="L256" s="79">
        <f>-'Cash Flow'!L31</f>
        <v>3365</v>
      </c>
    </row>
    <row r="257" spans="1:12" ht="18" customHeight="1">
      <c r="A257" s="73" t="s">
        <v>1062</v>
      </c>
      <c r="B257" s="73" t="s">
        <v>1012</v>
      </c>
      <c r="C257" s="79">
        <f>'Cash Flow'!C71</f>
        <v>4238.5</v>
      </c>
      <c r="D257" s="79">
        <f>'Cash Flow'!D71</f>
        <v>3697.5</v>
      </c>
      <c r="E257" s="79">
        <f>'Cash Flow'!E71</f>
        <v>4225</v>
      </c>
      <c r="F257" s="79">
        <f>'Cash Flow'!F71</f>
        <v>5728.4000000000005</v>
      </c>
      <c r="G257" s="79">
        <f>'Cash Flow'!G71</f>
        <v>4624.3999999999996</v>
      </c>
      <c r="H257" s="79">
        <f>'Cash Flow'!H71</f>
        <v>7101.5</v>
      </c>
      <c r="I257" s="79">
        <f>'Cash Flow'!I71</f>
        <v>5488</v>
      </c>
      <c r="J257" s="79">
        <f>'Cash Flow'!J71</f>
        <v>7255</v>
      </c>
      <c r="K257" s="79">
        <f>'Cash Flow'!K71</f>
        <v>6672</v>
      </c>
      <c r="L257" s="79">
        <f>'Cash Flow'!L71</f>
        <v>7186</v>
      </c>
    </row>
    <row r="258" spans="1:12" ht="18" customHeight="1">
      <c r="A258" s="73" t="s">
        <v>987</v>
      </c>
      <c r="B258" s="73" t="s">
        <v>973</v>
      </c>
      <c r="C258" s="84">
        <f t="shared" ref="C258:L258" si="30">C257/C247</f>
        <v>0.90440627333831214</v>
      </c>
      <c r="D258" s="84">
        <f t="shared" si="30"/>
        <v>0.71211216609209793</v>
      </c>
      <c r="E258" s="84">
        <f t="shared" si="30"/>
        <v>0.71316442448896911</v>
      </c>
      <c r="F258" s="84">
        <f t="shared" si="30"/>
        <v>0.95070866664453824</v>
      </c>
      <c r="G258" s="84">
        <f t="shared" si="30"/>
        <v>0.97757108128104842</v>
      </c>
      <c r="H258" s="84">
        <f t="shared" si="30"/>
        <v>0.94119440173885383</v>
      </c>
      <c r="I258" s="84">
        <f t="shared" si="30"/>
        <v>0.88845717986077388</v>
      </c>
      <c r="J258" s="84">
        <f t="shared" si="30"/>
        <v>0.8566536781202031</v>
      </c>
      <c r="K258" s="84">
        <f t="shared" si="30"/>
        <v>0.81138270704122584</v>
      </c>
      <c r="L258" s="84">
        <f t="shared" si="30"/>
        <v>0.83919187200747403</v>
      </c>
    </row>
    <row r="259" spans="1:12" ht="18" customHeight="1">
      <c r="A259" s="73" t="s">
        <v>1063</v>
      </c>
      <c r="B259" s="73" t="s">
        <v>1012</v>
      </c>
      <c r="C259" s="79">
        <f>-'Cash Flow'!C45</f>
        <v>3058.2</v>
      </c>
      <c r="D259" s="79">
        <f>-'Cash Flow'!D45</f>
        <v>3089.2</v>
      </c>
      <c r="E259" s="79">
        <f>-'Cash Flow'!E45</f>
        <v>3255.9</v>
      </c>
      <c r="F259" s="79">
        <f>-'Cash Flow'!F45</f>
        <v>3581.9</v>
      </c>
      <c r="G259" s="79">
        <f>-'Cash Flow'!G45</f>
        <v>3752.9</v>
      </c>
      <c r="H259" s="79">
        <f>-'Cash Flow'!H45</f>
        <v>3918.6</v>
      </c>
      <c r="I259" s="79">
        <f>-'Cash Flow'!I45</f>
        <v>4168</v>
      </c>
      <c r="J259" s="79">
        <f>-'Cash Flow'!J45</f>
        <v>4533</v>
      </c>
      <c r="K259" s="79">
        <f>-'Cash Flow'!K45</f>
        <v>4870</v>
      </c>
      <c r="L259" s="79">
        <f>-'Cash Flow'!L45</f>
        <v>5115</v>
      </c>
    </row>
    <row r="260" spans="1:12" ht="18" customHeight="1">
      <c r="A260" s="73" t="s">
        <v>1064</v>
      </c>
      <c r="B260" s="73" t="s">
        <v>973</v>
      </c>
      <c r="C260" s="84">
        <f t="shared" ref="C260:L260" si="31">C259/C247</f>
        <v>0.65255521177851272</v>
      </c>
      <c r="D260" s="84">
        <f t="shared" si="31"/>
        <v>0.59495791845617541</v>
      </c>
      <c r="E260" s="84">
        <f t="shared" si="31"/>
        <v>0.54958391708725085</v>
      </c>
      <c r="F260" s="84">
        <f t="shared" si="31"/>
        <v>0.59446675739370003</v>
      </c>
      <c r="G260" s="84">
        <f t="shared" si="31"/>
        <v>0.79334108445196072</v>
      </c>
      <c r="H260" s="84">
        <f t="shared" si="31"/>
        <v>0.51935005036314474</v>
      </c>
      <c r="I260" s="84">
        <f t="shared" si="31"/>
        <v>0.67476121094382391</v>
      </c>
      <c r="J260" s="84">
        <f t="shared" si="31"/>
        <v>0.53524619199433232</v>
      </c>
      <c r="K260" s="84">
        <f t="shared" si="31"/>
        <v>0.59224127447403629</v>
      </c>
      <c r="L260" s="84">
        <f t="shared" si="31"/>
        <v>0.59733738175872941</v>
      </c>
    </row>
    <row r="261" spans="1:12" ht="18" customHeight="1">
      <c r="A261" s="73" t="s">
        <v>1065</v>
      </c>
      <c r="B261" s="73" t="s">
        <v>1012</v>
      </c>
      <c r="C261" s="79">
        <f>-'Cash Flow'!C44</f>
        <v>11171</v>
      </c>
      <c r="D261" s="79">
        <f>-'Cash Flow'!D44</f>
        <v>4685.7</v>
      </c>
      <c r="E261" s="79">
        <f>-'Cash Flow'!E44</f>
        <v>5207.7</v>
      </c>
      <c r="F261" s="79">
        <f>-'Cash Flow'!F44</f>
        <v>4976.2</v>
      </c>
      <c r="G261" s="79">
        <f>-'Cash Flow'!G44</f>
        <v>907.8</v>
      </c>
      <c r="H261" s="79">
        <f>-'Cash Flow'!H44</f>
        <v>845.5</v>
      </c>
      <c r="I261" s="79">
        <f>-'Cash Flow'!I44</f>
        <v>3896</v>
      </c>
      <c r="J261" s="79">
        <f>-'Cash Flow'!J44</f>
        <v>3054</v>
      </c>
      <c r="K261" s="79">
        <f>-'Cash Flow'!K44</f>
        <v>2824</v>
      </c>
      <c r="L261" s="79">
        <f>-'Cash Flow'!L44</f>
        <v>2056</v>
      </c>
    </row>
    <row r="262" spans="1:12" ht="18" customHeight="1">
      <c r="A262" s="73" t="s">
        <v>1014</v>
      </c>
      <c r="B262" s="73" t="s">
        <v>1015</v>
      </c>
      <c r="C262" s="79">
        <f>'Income Statement'!C51</f>
        <v>861.2</v>
      </c>
      <c r="D262" s="79">
        <f>'Income Statement'!D51</f>
        <v>815.5</v>
      </c>
      <c r="E262" s="79">
        <f>'Income Statement'!E51</f>
        <v>785.6</v>
      </c>
      <c r="F262" s="79">
        <f>'Income Statement'!F51</f>
        <v>764.9</v>
      </c>
      <c r="G262" s="79">
        <f>'Income Statement'!G51</f>
        <v>750.1</v>
      </c>
      <c r="H262" s="79">
        <f>'Income Statement'!H51</f>
        <v>751.8</v>
      </c>
      <c r="I262" s="79">
        <f>'Income Statement'!I51</f>
        <v>741.3</v>
      </c>
      <c r="J262" s="79">
        <f>'Income Statement'!J51</f>
        <v>732.3</v>
      </c>
      <c r="K262" s="79">
        <f>'Income Statement'!K51</f>
        <v>721.9</v>
      </c>
      <c r="L262" s="79">
        <f>'Income Statement'!L51</f>
        <v>716.4</v>
      </c>
    </row>
    <row r="263" spans="1:12" ht="18" customHeight="1">
      <c r="A263" s="73" t="s">
        <v>1066</v>
      </c>
      <c r="B263" s="73" t="s">
        <v>973</v>
      </c>
      <c r="C263" s="77"/>
      <c r="D263" s="84">
        <f t="shared" ref="D263:L263" si="32">1-D262/C262</f>
        <v>5.3065490013934125E-2</v>
      </c>
      <c r="E263" s="84">
        <f t="shared" si="32"/>
        <v>3.6664622930717372E-2</v>
      </c>
      <c r="F263" s="84">
        <f t="shared" si="32"/>
        <v>2.6349287169042834E-2</v>
      </c>
      <c r="G263" s="84">
        <f t="shared" si="32"/>
        <v>1.9348934501241977E-2</v>
      </c>
      <c r="H263" s="84">
        <f t="shared" si="32"/>
        <v>-2.2663644847353837E-3</v>
      </c>
      <c r="I263" s="84">
        <f t="shared" si="32"/>
        <v>1.3966480446927387E-2</v>
      </c>
      <c r="J263" s="84">
        <f t="shared" si="32"/>
        <v>1.2140833670578721E-2</v>
      </c>
      <c r="K263" s="84">
        <f t="shared" si="32"/>
        <v>1.4201829851153813E-2</v>
      </c>
      <c r="L263" s="84">
        <f t="shared" si="32"/>
        <v>7.6187837650644186E-3</v>
      </c>
    </row>
    <row r="264" spans="1:12" ht="18" customHeight="1">
      <c r="A264" s="73" t="s">
        <v>1067</v>
      </c>
      <c r="B264" s="73" t="s">
        <v>1012</v>
      </c>
      <c r="C264" s="79">
        <f>'Cash Flow'!C18</f>
        <v>131.30000000000001</v>
      </c>
      <c r="D264" s="79">
        <f>'Cash Flow'!D18</f>
        <v>117.5</v>
      </c>
      <c r="E264" s="79">
        <f>'Cash Flow'!E18</f>
        <v>125.1</v>
      </c>
      <c r="F264" s="79">
        <f>'Cash Flow'!F18</f>
        <v>109.6</v>
      </c>
      <c r="G264" s="79">
        <f>'Cash Flow'!G18</f>
        <v>92.4</v>
      </c>
      <c r="H264" s="79">
        <f>'Cash Flow'!H18</f>
        <v>139.19999999999999</v>
      </c>
      <c r="I264" s="79">
        <f>'Cash Flow'!I18</f>
        <v>167</v>
      </c>
      <c r="J264" s="79">
        <f>'Cash Flow'!J18</f>
        <v>175</v>
      </c>
      <c r="K264" s="79">
        <f>'Cash Flow'!K18</f>
        <v>172</v>
      </c>
      <c r="L264" s="79">
        <f>'Cash Flow'!L18</f>
        <v>165</v>
      </c>
    </row>
    <row r="265" spans="1:12" ht="18" customHeight="1">
      <c r="A265" s="73" t="s">
        <v>718</v>
      </c>
      <c r="B265" s="73" t="s">
        <v>1012</v>
      </c>
      <c r="C265" s="79">
        <f>'Income Statement'!C30</f>
        <v>2384.5</v>
      </c>
      <c r="D265" s="79">
        <f>'Income Statement'!D30</f>
        <v>2231.3000000000002</v>
      </c>
      <c r="E265" s="79">
        <f>'Income Statement'!E30</f>
        <v>2200.2000000000003</v>
      </c>
      <c r="F265" s="79">
        <f>'Income Statement'!F30</f>
        <v>2229.4</v>
      </c>
      <c r="G265" s="79">
        <f>'Income Statement'!G30</f>
        <v>2545.6</v>
      </c>
      <c r="H265" s="79">
        <f>'Income Statement'!H30</f>
        <v>2707.5</v>
      </c>
      <c r="I265" s="79">
        <f>'Income Statement'!I30</f>
        <v>2862</v>
      </c>
      <c r="J265" s="79">
        <f>'Income Statement'!J30</f>
        <v>2817</v>
      </c>
      <c r="K265" s="79">
        <f>'Income Statement'!K30</f>
        <v>2859</v>
      </c>
      <c r="L265" s="79">
        <f>'Income Statement'!L30</f>
        <v>3040</v>
      </c>
    </row>
    <row r="266" spans="1:12" ht="8" customHeight="1">
      <c r="A266" s="73"/>
      <c r="B266" s="73"/>
      <c r="C266" s="74"/>
      <c r="D266" s="74"/>
      <c r="E266" s="74"/>
      <c r="F266" s="74"/>
      <c r="G266" s="74"/>
      <c r="H266" s="74"/>
      <c r="I266" s="74"/>
      <c r="J266" s="74"/>
      <c r="K266" s="74"/>
      <c r="L266" s="74"/>
    </row>
    <row r="267" spans="1:12" ht="22" customHeight="1">
      <c r="A267" s="92" t="s">
        <v>1038</v>
      </c>
      <c r="B267" s="92" t="s">
        <v>972</v>
      </c>
      <c r="C267" s="93" t="s">
        <v>73</v>
      </c>
      <c r="D267" s="93" t="s">
        <v>74</v>
      </c>
      <c r="E267" s="93" t="s">
        <v>75</v>
      </c>
      <c r="F267" s="93" t="s">
        <v>76</v>
      </c>
      <c r="G267" s="93" t="s">
        <v>77</v>
      </c>
      <c r="H267" s="93" t="s">
        <v>78</v>
      </c>
      <c r="I267" s="93" t="s">
        <v>79</v>
      </c>
      <c r="J267" s="93" t="s">
        <v>80</v>
      </c>
      <c r="K267" s="93" t="s">
        <v>81</v>
      </c>
      <c r="L267" s="93" t="s">
        <v>82</v>
      </c>
    </row>
    <row r="268" spans="1:12" ht="18" customHeight="1">
      <c r="A268" s="73" t="s">
        <v>1069</v>
      </c>
      <c r="B268" s="73" t="s">
        <v>1012</v>
      </c>
      <c r="C268" s="79" t="str">
        <f>IF(ISNUMBER(Segments!C98),Segments!C98,"")</f>
        <v/>
      </c>
      <c r="D268" s="79">
        <f>IF(ISNUMBER(Segments!D98),Segments!D98,"")</f>
        <v>3913</v>
      </c>
      <c r="E268" s="79">
        <f>IF(ISNUMBER(Segments!E98),Segments!E98,"")</f>
        <v>4070</v>
      </c>
      <c r="F268" s="79">
        <f>IF(ISNUMBER(Segments!F98),Segments!F98,"")</f>
        <v>4227</v>
      </c>
      <c r="G268" s="79">
        <f>IF(ISNUMBER(Segments!G98),Segments!G98,"")</f>
        <v>4097</v>
      </c>
      <c r="H268" s="79">
        <f>IF(ISNUMBER(Segments!H98),Segments!H98,"")</f>
        <v>4906</v>
      </c>
      <c r="I268" s="79">
        <f>IF(ISNUMBER(Segments!I98),Segments!I98,"")</f>
        <v>5341</v>
      </c>
      <c r="J268" s="79">
        <f>IF(ISNUMBER(Segments!J98),Segments!J98,"")</f>
        <v>5877</v>
      </c>
      <c r="K268" s="79">
        <f>IF(ISNUMBER(Segments!K98),Segments!K98,"")</f>
        <v>5916</v>
      </c>
      <c r="L268" s="79">
        <f>IF(ISNUMBER(Segments!L98),Segments!L98,"")</f>
        <v>6078</v>
      </c>
    </row>
    <row r="269" spans="1:12" ht="18" customHeight="1">
      <c r="A269" s="73" t="s">
        <v>1070</v>
      </c>
      <c r="B269" s="73" t="s">
        <v>973</v>
      </c>
      <c r="C269" s="77"/>
      <c r="D269" s="84" t="str">
        <f t="shared" ref="D269:L269" si="33">IF(AND(ISNUMBER(D268),ISNUMBER(C268)),D268/C268-1,"")</f>
        <v/>
      </c>
      <c r="E269" s="84">
        <f t="shared" si="33"/>
        <v>4.0122668029644704E-2</v>
      </c>
      <c r="F269" s="84">
        <f t="shared" si="33"/>
        <v>3.8574938574938544E-2</v>
      </c>
      <c r="G269" s="84">
        <f t="shared" si="33"/>
        <v>-3.0754672344452283E-2</v>
      </c>
      <c r="H269" s="84">
        <f t="shared" si="33"/>
        <v>0.19746155723700265</v>
      </c>
      <c r="I269" s="84">
        <f t="shared" si="33"/>
        <v>8.866693844272322E-2</v>
      </c>
      <c r="J269" s="84">
        <f t="shared" si="33"/>
        <v>0.10035573862572544</v>
      </c>
      <c r="K269" s="84">
        <f t="shared" si="33"/>
        <v>6.6360387953037225E-3</v>
      </c>
      <c r="L269" s="84">
        <f t="shared" si="33"/>
        <v>2.738336713995948E-2</v>
      </c>
    </row>
    <row r="270" spans="1:12" ht="18" customHeight="1">
      <c r="A270" s="73" t="s">
        <v>1071</v>
      </c>
      <c r="B270" s="73" t="s">
        <v>1012</v>
      </c>
      <c r="C270" s="79" t="str">
        <f>IF(ISNUMBER(Segments!C100),Segments!C100,"")</f>
        <v/>
      </c>
      <c r="D270" s="79">
        <f>IF(ISNUMBER(Segments!D100),Segments!D100,"")</f>
        <v>3365</v>
      </c>
      <c r="E270" s="79">
        <f>IF(ISNUMBER(Segments!E100),Segments!E100,"")</f>
        <v>3829</v>
      </c>
      <c r="F270" s="79">
        <f>IF(ISNUMBER(Segments!F100),Segments!F100,"")</f>
        <v>4018</v>
      </c>
      <c r="G270" s="79">
        <f>IF(ISNUMBER(Segments!G100),Segments!G100,"")</f>
        <v>3329</v>
      </c>
      <c r="H270" s="79">
        <f>IF(ISNUMBER(Segments!H100),Segments!H100,"")</f>
        <v>4516</v>
      </c>
      <c r="I270" s="79">
        <f>IF(ISNUMBER(Segments!I100),Segments!I100,"")</f>
        <v>4899</v>
      </c>
      <c r="J270" s="79">
        <f>IF(ISNUMBER(Segments!J100),Segments!J100,"")</f>
        <v>5379</v>
      </c>
      <c r="K270" s="79">
        <f>IF(ISNUMBER(Segments!K100),Segments!K100,"")</f>
        <v>5514</v>
      </c>
      <c r="L270" s="79">
        <f>IF(ISNUMBER(Segments!L100),Segments!L100,"")</f>
        <v>5954</v>
      </c>
    </row>
    <row r="271" spans="1:12" ht="18" customHeight="1">
      <c r="A271" s="73" t="s">
        <v>1072</v>
      </c>
      <c r="B271" s="73" t="s">
        <v>973</v>
      </c>
      <c r="C271" s="77"/>
      <c r="D271" s="84" t="str">
        <f t="shared" ref="D271:L271" si="34">IF(AND(ISNUMBER(D270),ISNUMBER(C270)),D270/C270-1,"")</f>
        <v/>
      </c>
      <c r="E271" s="84">
        <f t="shared" si="34"/>
        <v>0.13789004457652299</v>
      </c>
      <c r="F271" s="84">
        <f t="shared" si="34"/>
        <v>4.9360146252285242E-2</v>
      </c>
      <c r="G271" s="84">
        <f t="shared" si="34"/>
        <v>-0.17147834743653556</v>
      </c>
      <c r="H271" s="84">
        <f t="shared" si="34"/>
        <v>0.35656353259237017</v>
      </c>
      <c r="I271" s="84">
        <f t="shared" si="34"/>
        <v>8.4809565987599589E-2</v>
      </c>
      <c r="J271" s="84">
        <f t="shared" si="34"/>
        <v>9.7979179424372287E-2</v>
      </c>
      <c r="K271" s="84">
        <f t="shared" si="34"/>
        <v>2.5097601784718426E-2</v>
      </c>
      <c r="L271" s="84">
        <f t="shared" si="34"/>
        <v>7.9796880667392101E-2</v>
      </c>
    </row>
    <row r="272" spans="1:12" ht="18" customHeight="1">
      <c r="A272" s="73" t="s">
        <v>1073</v>
      </c>
      <c r="B272" s="73" t="s">
        <v>1012</v>
      </c>
      <c r="C272" s="79" t="str">
        <f>IF(ISNUMBER(Segments!C102),Segments!C102,"")</f>
        <v/>
      </c>
      <c r="D272" s="79">
        <f>IF(ISNUMBER(Segments!D102),Segments!D102,"")</f>
        <v>1034</v>
      </c>
      <c r="E272" s="79">
        <f>IF(ISNUMBER(Segments!E102),Segments!E102,"")</f>
        <v>1140</v>
      </c>
      <c r="F272" s="79">
        <f>IF(ISNUMBER(Segments!F102),Segments!F102,"")</f>
        <v>1210</v>
      </c>
      <c r="G272" s="79">
        <f>IF(ISNUMBER(Segments!G102),Segments!G102,"")</f>
        <v>1093</v>
      </c>
      <c r="H272" s="79">
        <f>IF(ISNUMBER(Segments!H102),Segments!H102,"")</f>
        <v>1328</v>
      </c>
      <c r="I272" s="79">
        <f>IF(ISNUMBER(Segments!I102),Segments!I102,"")</f>
        <v>1516</v>
      </c>
      <c r="J272" s="79">
        <f>IF(ISNUMBER(Segments!J102),Segments!J102,"")</f>
        <v>1706</v>
      </c>
      <c r="K272" s="79">
        <f>IF(ISNUMBER(Segments!K102),Segments!K102,"")</f>
        <v>1748</v>
      </c>
      <c r="L272" s="79">
        <f>IF(ISNUMBER(Segments!L102),Segments!L102,"")</f>
        <v>1897</v>
      </c>
    </row>
    <row r="273" spans="1:12" ht="18" customHeight="1">
      <c r="A273" s="73" t="s">
        <v>1074</v>
      </c>
      <c r="B273" s="73" t="s">
        <v>973</v>
      </c>
      <c r="C273" s="77"/>
      <c r="D273" s="84" t="str">
        <f t="shared" ref="D273:L273" si="35">IF(AND(ISNUMBER(D272),ISNUMBER(C272)),D272/C272-1,"")</f>
        <v/>
      </c>
      <c r="E273" s="84">
        <f t="shared" si="35"/>
        <v>0.10251450676982587</v>
      </c>
      <c r="F273" s="84">
        <f t="shared" si="35"/>
        <v>6.1403508771929793E-2</v>
      </c>
      <c r="G273" s="84">
        <f t="shared" si="35"/>
        <v>-9.6694214876033024E-2</v>
      </c>
      <c r="H273" s="84">
        <f t="shared" si="35"/>
        <v>0.21500457456541633</v>
      </c>
      <c r="I273" s="84">
        <f t="shared" si="35"/>
        <v>0.14156626506024095</v>
      </c>
      <c r="J273" s="84">
        <f t="shared" si="35"/>
        <v>0.12532981530343013</v>
      </c>
      <c r="K273" s="84">
        <f t="shared" si="35"/>
        <v>2.4618991793669442E-2</v>
      </c>
      <c r="L273" s="84">
        <f t="shared" si="35"/>
        <v>8.524027459954242E-2</v>
      </c>
    </row>
    <row r="274" spans="1:12" ht="18" customHeight="1">
      <c r="A274" s="73" t="s">
        <v>1075</v>
      </c>
      <c r="B274" s="73" t="s">
        <v>973</v>
      </c>
      <c r="C274" s="85">
        <f>IF(ISNUMBER('Operating Metrics'!C74),'Operating Metrics'!C74,"")</f>
        <v>1.7000000000000001E-2</v>
      </c>
      <c r="D274" s="85">
        <f>IF(ISNUMBER('Operating Metrics'!D74),'Operating Metrics'!D74,"")</f>
        <v>3.5999999999999997E-2</v>
      </c>
      <c r="E274" s="85">
        <f>IF(ISNUMBER('Operating Metrics'!E74),'Operating Metrics'!E74,"")</f>
        <v>2.5000000000000001E-2</v>
      </c>
      <c r="F274" s="85">
        <f>IF(ISNUMBER('Operating Metrics'!F74),'Operating Metrics'!F74,"")</f>
        <v>0.05</v>
      </c>
      <c r="G274" s="85">
        <f>IF(ISNUMBER('Operating Metrics'!G74),'Operating Metrics'!G74,"")</f>
        <v>4.0000000000000001E-3</v>
      </c>
      <c r="H274" s="85">
        <f>IF(ISNUMBER('Operating Metrics'!H74),'Operating Metrics'!H74,"")</f>
        <v>0.13800000000000001</v>
      </c>
      <c r="I274" s="85">
        <f>IF(ISNUMBER('Operating Metrics'!I74),'Operating Metrics'!I74,"")</f>
        <v>5.8999999999999997E-2</v>
      </c>
      <c r="J274" s="85">
        <f>IF(ISNUMBER('Operating Metrics'!J74),'Operating Metrics'!J74,"")</f>
        <v>8.6999999999999994E-2</v>
      </c>
      <c r="K274" s="85">
        <f>IF(ISNUMBER('Operating Metrics'!K74),'Operating Metrics'!K74,"")</f>
        <v>2E-3</v>
      </c>
      <c r="L274" s="85">
        <f>IF(ISNUMBER('Operating Metrics'!L74),'Operating Metrics'!L74,"")</f>
        <v>2.1000000000000001E-2</v>
      </c>
    </row>
    <row r="275" spans="1:12" ht="18" customHeight="1">
      <c r="A275" s="73" t="s">
        <v>1076</v>
      </c>
      <c r="B275" s="73" t="s">
        <v>973</v>
      </c>
      <c r="C275" s="85" t="str">
        <f>IF(ISNUMBER('Operating Metrics'!C75),'Operating Metrics'!C75,"")</f>
        <v/>
      </c>
      <c r="D275" s="85" t="str">
        <f>IF(ISNUMBER('Operating Metrics'!D75),'Operating Metrics'!D75,"")</f>
        <v/>
      </c>
      <c r="E275" s="85">
        <f>IF(ISNUMBER('Operating Metrics'!E75),'Operating Metrics'!E75,"")</f>
        <v>6.0999999999999999E-2</v>
      </c>
      <c r="F275" s="85">
        <f>IF(ISNUMBER('Operating Metrics'!F75),'Operating Metrics'!F75,"")</f>
        <v>6.0999999999999999E-2</v>
      </c>
      <c r="G275" s="85">
        <f>IF(ISNUMBER('Operating Metrics'!G75),'Operating Metrics'!G75,"")</f>
        <v>-0.15</v>
      </c>
      <c r="H275" s="85">
        <f>IF(ISNUMBER('Operating Metrics'!H75),'Operating Metrics'!H75,"")</f>
        <v>0.216</v>
      </c>
      <c r="I275" s="85">
        <f>IF(ISNUMBER('Operating Metrics'!I75),'Operating Metrics'!I75,"")</f>
        <v>0.13300000000000001</v>
      </c>
      <c r="J275" s="85">
        <f>IF(ISNUMBER('Operating Metrics'!J75),'Operating Metrics'!J75,"")</f>
        <v>9.1999999999999998E-2</v>
      </c>
      <c r="K275" s="85">
        <f>IF(ISNUMBER('Operating Metrics'!K75),'Operating Metrics'!K75,"")</f>
        <v>-2E-3</v>
      </c>
      <c r="L275" s="85">
        <f>IF(ISNUMBER('Operating Metrics'!L75),'Operating Metrics'!L75,"")</f>
        <v>3.2000000000000001E-2</v>
      </c>
    </row>
    <row r="276" spans="1:12" ht="18" customHeight="1">
      <c r="A276" s="73" t="s">
        <v>1077</v>
      </c>
      <c r="B276" s="73" t="s">
        <v>973</v>
      </c>
      <c r="C276" s="85" t="str">
        <f>IF(ISNUMBER('Operating Metrics'!C76),'Operating Metrics'!C76,"")</f>
        <v/>
      </c>
      <c r="D276" s="85" t="str">
        <f>IF(ISNUMBER('Operating Metrics'!D76),'Operating Metrics'!D76,"")</f>
        <v/>
      </c>
      <c r="E276" s="85">
        <f>IF(ISNUMBER('Operating Metrics'!E76),'Operating Metrics'!E76,"")</f>
        <v>5.5999999999999987E-2</v>
      </c>
      <c r="F276" s="85">
        <f>IF(ISNUMBER('Operating Metrics'!F76),'Operating Metrics'!F76,"")</f>
        <v>7.2000000000000008E-2</v>
      </c>
      <c r="G276" s="85">
        <f>IF(ISNUMBER('Operating Metrics'!G76),'Operating Metrics'!G76,"")</f>
        <v>-0.105</v>
      </c>
      <c r="H276" s="85">
        <f>IF(ISNUMBER('Operating Metrics'!H76),'Operating Metrics'!H76,"")</f>
        <v>0.16600000000000001</v>
      </c>
      <c r="I276" s="85">
        <f>IF(ISNUMBER('Operating Metrics'!I76),'Operating Metrics'!I76,"")</f>
        <v>0.16</v>
      </c>
      <c r="J276" s="85">
        <f>IF(ISNUMBER('Operating Metrics'!J76),'Operating Metrics'!J76,"")</f>
        <v>9.4E-2</v>
      </c>
      <c r="K276" s="85">
        <f>IF(ISNUMBER('Operating Metrics'!K76),'Operating Metrics'!K76,"")</f>
        <v>-3.0000000000000001E-3</v>
      </c>
      <c r="L276" s="85">
        <f>IF(ISNUMBER('Operating Metrics'!L76),'Operating Metrics'!L76,"")</f>
        <v>4.5999999999999999E-2</v>
      </c>
    </row>
    <row r="277" spans="1:12" ht="18" customHeight="1">
      <c r="A277" s="73" t="s">
        <v>1078</v>
      </c>
      <c r="B277" s="73" t="s">
        <v>973</v>
      </c>
      <c r="C277" s="85" t="str">
        <f>IF(ISNUMBER('Operating Metrics'!C92),'Operating Metrics'!C92,"")</f>
        <v/>
      </c>
      <c r="D277" s="85" t="str">
        <f>IF(ISNUMBER('Operating Metrics'!D92),'Operating Metrics'!D92,"")</f>
        <v/>
      </c>
      <c r="E277" s="85" t="str">
        <f>IF(ISNUMBER('Operating Metrics'!E92),'Operating Metrics'!E92,"")</f>
        <v/>
      </c>
      <c r="F277" s="85">
        <f>IF(ISNUMBER('Operating Metrics'!F92),'Operating Metrics'!F92,"")</f>
        <v>7.0000000000000007E-2</v>
      </c>
      <c r="G277" s="85">
        <f>IF(ISNUMBER('Operating Metrics'!G92),'Operating Metrics'!G92,"")</f>
        <v>-7.0000000000000007E-2</v>
      </c>
      <c r="H277" s="85">
        <f>IF(ISNUMBER('Operating Metrics'!H92),'Operating Metrics'!H92,"")</f>
        <v>0.18</v>
      </c>
      <c r="I277" s="85">
        <f>IF(ISNUMBER('Operating Metrics'!I92),'Operating Metrics'!I92,"")</f>
        <v>0.11</v>
      </c>
      <c r="J277" s="85">
        <f>IF(ISNUMBER('Operating Metrics'!J92),'Operating Metrics'!J92,"")</f>
        <v>0.1</v>
      </c>
      <c r="K277" s="85">
        <f>IF(ISNUMBER('Operating Metrics'!K92),'Operating Metrics'!K92,"")</f>
        <v>0.02</v>
      </c>
      <c r="L277" s="85">
        <f>IF(ISNUMBER('Operating Metrics'!L92),'Operating Metrics'!L92,"")</f>
        <v>0.05</v>
      </c>
    </row>
    <row r="278" spans="1:12" ht="8" customHeight="1">
      <c r="A278" s="73"/>
      <c r="B278" s="73"/>
      <c r="C278" s="74"/>
      <c r="D278" s="74"/>
      <c r="E278" s="74"/>
      <c r="F278" s="74"/>
      <c r="G278" s="74"/>
      <c r="H278" s="74"/>
      <c r="I278" s="74"/>
      <c r="J278" s="74"/>
      <c r="K278" s="74"/>
      <c r="L278" s="74"/>
    </row>
    <row r="279" spans="1:12" ht="24" customHeight="1">
      <c r="A279" s="129" t="s">
        <v>1348</v>
      </c>
      <c r="B279" s="129"/>
      <c r="C279" s="125"/>
      <c r="D279" s="125"/>
      <c r="E279" s="125"/>
      <c r="F279" s="125"/>
      <c r="G279" s="125"/>
      <c r="H279" s="125"/>
      <c r="I279" s="125"/>
      <c r="J279" s="125"/>
      <c r="K279" s="125"/>
      <c r="L279" s="125"/>
    </row>
    <row r="280" spans="1:12" ht="22" customHeight="1">
      <c r="A280" s="92" t="s">
        <v>1038</v>
      </c>
      <c r="B280" s="92" t="s">
        <v>972</v>
      </c>
      <c r="C280" s="93" t="s">
        <v>1080</v>
      </c>
      <c r="D280" s="93" t="s">
        <v>1081</v>
      </c>
      <c r="E280" s="93" t="s">
        <v>1082</v>
      </c>
      <c r="F280" s="93" t="s">
        <v>1083</v>
      </c>
      <c r="G280" s="93" t="s">
        <v>1084</v>
      </c>
      <c r="H280" s="93" t="s">
        <v>1085</v>
      </c>
      <c r="I280" s="93" t="s">
        <v>1086</v>
      </c>
      <c r="J280" s="93" t="s">
        <v>1087</v>
      </c>
      <c r="K280" s="93"/>
      <c r="L280" s="93"/>
    </row>
    <row r="281" spans="1:12" ht="18" customHeight="1">
      <c r="A281" s="73" t="s">
        <v>1069</v>
      </c>
      <c r="B281" s="73" t="s">
        <v>1012</v>
      </c>
      <c r="C281" s="79">
        <f>IF(ISNUMBER(Segments!N98),Segments!N98,"")</f>
        <v>1525</v>
      </c>
      <c r="D281" s="79">
        <f>IF(ISNUMBER(Segments!O98),Segments!O98,"")</f>
        <v>1472</v>
      </c>
      <c r="E281" s="79">
        <f>IF(ISNUMBER(Segments!P98),Segments!P98,"")</f>
        <v>1360</v>
      </c>
      <c r="F281" s="79">
        <f>IF(ISNUMBER(Segments!Q98),Segments!Q98,"")</f>
        <v>1576</v>
      </c>
      <c r="G281" s="79">
        <f>IF(ISNUMBER(Segments!R98),Segments!R98,"")</f>
        <v>1581</v>
      </c>
      <c r="H281" s="79">
        <f>IF(ISNUMBER(Segments!S98),Segments!S98,"")</f>
        <v>1561</v>
      </c>
      <c r="I281" s="79">
        <f>IF(ISNUMBER(Segments!T98),Segments!T98,"")</f>
        <v>1427</v>
      </c>
      <c r="J281" s="79">
        <f>IF(ISNUMBER(Segments!U98),Segments!U98,"")</f>
        <v>1621</v>
      </c>
      <c r="K281" s="74"/>
      <c r="L281" s="74"/>
    </row>
    <row r="282" spans="1:12" ht="18" customHeight="1">
      <c r="A282" s="73" t="s">
        <v>1088</v>
      </c>
      <c r="B282" s="73" t="s">
        <v>973</v>
      </c>
      <c r="C282" s="77"/>
      <c r="D282" s="77"/>
      <c r="E282" s="77"/>
      <c r="F282" s="77"/>
      <c r="G282" s="84">
        <f>G281/C281-1</f>
        <v>3.6721311475409912E-2</v>
      </c>
      <c r="H282" s="84">
        <f>H281/D281-1</f>
        <v>6.0461956521739024E-2</v>
      </c>
      <c r="I282" s="84">
        <f>I281/E281-1</f>
        <v>4.9264705882352988E-2</v>
      </c>
      <c r="J282" s="84">
        <f>J281/F281-1</f>
        <v>2.8553299492385831E-2</v>
      </c>
      <c r="K282" s="77"/>
      <c r="L282" s="77"/>
    </row>
    <row r="283" spans="1:12" ht="18" customHeight="1">
      <c r="A283" s="73" t="s">
        <v>1071</v>
      </c>
      <c r="B283" s="73" t="s">
        <v>1012</v>
      </c>
      <c r="C283" s="79">
        <f>IF(ISNUMBER(Segments!N100),Segments!N100,"")</f>
        <v>1463</v>
      </c>
      <c r="D283" s="79">
        <f>IF(ISNUMBER(Segments!O100),Segments!O100,"")</f>
        <v>1394</v>
      </c>
      <c r="E283" s="79">
        <f>IF(ISNUMBER(Segments!P100),Segments!P100,"")</f>
        <v>1252</v>
      </c>
      <c r="F283" s="79">
        <f>IF(ISNUMBER(Segments!Q100),Segments!Q100,"")</f>
        <v>1511</v>
      </c>
      <c r="G283" s="79">
        <f>IF(ISNUMBER(Segments!R100),Segments!R100,"")</f>
        <v>1620</v>
      </c>
      <c r="H283" s="79">
        <f>IF(ISNUMBER(Segments!S100),Segments!S100,"")</f>
        <v>1571</v>
      </c>
      <c r="I283" s="79">
        <f>IF(ISNUMBER(Segments!T100),Segments!T100,"")</f>
        <v>1429</v>
      </c>
      <c r="J283" s="79">
        <f>IF(ISNUMBER(Segments!U100),Segments!U100,"")</f>
        <v>1577</v>
      </c>
      <c r="K283" s="74"/>
      <c r="L283" s="74"/>
    </row>
    <row r="284" spans="1:12" ht="18" customHeight="1">
      <c r="A284" s="73" t="s">
        <v>1088</v>
      </c>
      <c r="B284" s="73" t="s">
        <v>973</v>
      </c>
      <c r="C284" s="77"/>
      <c r="D284" s="77"/>
      <c r="E284" s="77"/>
      <c r="F284" s="77"/>
      <c r="G284" s="84">
        <f>G283/C283-1</f>
        <v>0.10731373889268636</v>
      </c>
      <c r="H284" s="84">
        <f>H283/D283-1</f>
        <v>0.12697274031563843</v>
      </c>
      <c r="I284" s="84">
        <f>I283/E283-1</f>
        <v>0.14137380191693283</v>
      </c>
      <c r="J284" s="84">
        <f>J283/F283-1</f>
        <v>4.3679682329583081E-2</v>
      </c>
      <c r="K284" s="77"/>
      <c r="L284" s="77"/>
    </row>
    <row r="285" spans="1:12" ht="18" customHeight="1">
      <c r="A285" s="73" t="s">
        <v>1073</v>
      </c>
      <c r="B285" s="73" t="s">
        <v>1012</v>
      </c>
      <c r="C285" s="79">
        <f>IF(ISNUMBER(Segments!N102),Segments!N102,"")</f>
        <v>459</v>
      </c>
      <c r="D285" s="79">
        <f>IF(ISNUMBER(Segments!O102),Segments!O102,"")</f>
        <v>458</v>
      </c>
      <c r="E285" s="79">
        <f>IF(ISNUMBER(Segments!P102),Segments!P102,"")</f>
        <v>429</v>
      </c>
      <c r="F285" s="79">
        <f>IF(ISNUMBER(Segments!Q102),Segments!Q102,"")</f>
        <v>473</v>
      </c>
      <c r="G285" s="79">
        <f>IF(ISNUMBER(Segments!R102),Segments!R102,"")</f>
        <v>496</v>
      </c>
      <c r="H285" s="79">
        <f>IF(ISNUMBER(Segments!S102),Segments!S102,"")</f>
        <v>500</v>
      </c>
      <c r="I285" s="79">
        <f>IF(ISNUMBER(Segments!T102),Segments!T102,"")</f>
        <v>475</v>
      </c>
      <c r="J285" s="79">
        <f>IF(ISNUMBER(Segments!U102),Segments!U102,"")</f>
        <v>515</v>
      </c>
      <c r="K285" s="74"/>
      <c r="L285" s="74"/>
    </row>
    <row r="286" spans="1:12" ht="18" customHeight="1">
      <c r="A286" s="73" t="s">
        <v>1088</v>
      </c>
      <c r="B286" s="73" t="s">
        <v>973</v>
      </c>
      <c r="C286" s="77"/>
      <c r="D286" s="77"/>
      <c r="E286" s="77"/>
      <c r="F286" s="77"/>
      <c r="G286" s="84">
        <f>G285/C285-1</f>
        <v>8.0610021786492458E-2</v>
      </c>
      <c r="H286" s="84">
        <f>H285/D285-1</f>
        <v>9.1703056768559055E-2</v>
      </c>
      <c r="I286" s="84">
        <f>I285/E285-1</f>
        <v>0.10722610722610715</v>
      </c>
      <c r="J286" s="84">
        <f>J285/F285-1</f>
        <v>8.8794926004228225E-2</v>
      </c>
      <c r="K286" s="77"/>
      <c r="L286" s="77"/>
    </row>
    <row r="287" spans="1:12" ht="18" customHeight="1">
      <c r="A287" s="73" t="s">
        <v>1089</v>
      </c>
      <c r="B287" s="73" t="s">
        <v>1012</v>
      </c>
      <c r="C287" s="79">
        <f>IF(ISNUMBER('Derived Metrics'!N17),'Derived Metrics'!N17,"")</f>
        <v>3448</v>
      </c>
      <c r="D287" s="79">
        <f>IF(ISNUMBER('Derived Metrics'!O17),'Derived Metrics'!O17,"")</f>
        <v>3325</v>
      </c>
      <c r="E287" s="79">
        <f>IF(ISNUMBER('Derived Metrics'!P17),'Derived Metrics'!P17,"")</f>
        <v>3041</v>
      </c>
      <c r="F287" s="79">
        <f>IF(ISNUMBER('Derived Metrics'!Q17),'Derived Metrics'!Q17,"")</f>
        <v>3559</v>
      </c>
      <c r="G287" s="79">
        <f>IF(ISNUMBER('Derived Metrics'!R17),'Derived Metrics'!R17,"")</f>
        <v>3697</v>
      </c>
      <c r="H287" s="79">
        <f>IF(ISNUMBER('Derived Metrics'!S17),'Derived Metrics'!S17,"")</f>
        <v>3632</v>
      </c>
      <c r="I287" s="79">
        <f>IF(ISNUMBER('Derived Metrics'!T17),'Derived Metrics'!T17,"")</f>
        <v>3331</v>
      </c>
      <c r="J287" s="79">
        <f>IF(ISNUMBER('Derived Metrics'!U17),'Derived Metrics'!U17,"")</f>
        <v>3713</v>
      </c>
      <c r="K287" s="74"/>
      <c r="L287" s="74"/>
    </row>
    <row r="288" spans="1:12" ht="18" customHeight="1">
      <c r="A288" s="73" t="s">
        <v>1088</v>
      </c>
      <c r="B288" s="73" t="s">
        <v>973</v>
      </c>
      <c r="C288" s="77"/>
      <c r="D288" s="77"/>
      <c r="E288" s="77"/>
      <c r="F288" s="77"/>
      <c r="G288" s="84">
        <f>G287/C287-1</f>
        <v>7.221577726218098E-2</v>
      </c>
      <c r="H288" s="84">
        <f>H287/D287-1</f>
        <v>9.2330827067669263E-2</v>
      </c>
      <c r="I288" s="84">
        <f>I287/E287-1</f>
        <v>9.5363367313383796E-2</v>
      </c>
      <c r="J288" s="84">
        <f>J287/F287-1</f>
        <v>4.3270581624051729E-2</v>
      </c>
      <c r="K288" s="77"/>
      <c r="L288" s="77"/>
    </row>
    <row r="289" spans="1:12" ht="18" customHeight="1">
      <c r="A289" s="73" t="s">
        <v>1090</v>
      </c>
      <c r="B289" s="73" t="s">
        <v>1012</v>
      </c>
      <c r="C289" s="79">
        <f>IF(ISNUMBER('Derived Metrics'!N19),'Derived Metrics'!N19,"")</f>
        <v>408</v>
      </c>
      <c r="D289" s="79">
        <f>IF(ISNUMBER('Derived Metrics'!O19),'Derived Metrics'!O19,"")</f>
        <v>333</v>
      </c>
      <c r="E289" s="79">
        <f>IF(ISNUMBER('Derived Metrics'!P19),'Derived Metrics'!P19,"")</f>
        <v>273</v>
      </c>
      <c r="F289" s="79">
        <f>IF(ISNUMBER('Derived Metrics'!Q19),'Derived Metrics'!Q19,"")</f>
        <v>380</v>
      </c>
      <c r="G289" s="79">
        <f>IF(ISNUMBER('Derived Metrics'!R19),'Derived Metrics'!R19,"")</f>
        <v>391</v>
      </c>
      <c r="H289" s="79">
        <f>IF(ISNUMBER('Derived Metrics'!S19),'Derived Metrics'!S19,"")</f>
        <v>376</v>
      </c>
      <c r="I289" s="79">
        <f>IF(ISNUMBER('Derived Metrics'!T19),'Derived Metrics'!T19,"")</f>
        <v>285</v>
      </c>
      <c r="J289" s="79">
        <f>IF(ISNUMBER('Derived Metrics'!U19),'Derived Metrics'!U19,"")</f>
        <v>387</v>
      </c>
      <c r="K289" s="74"/>
      <c r="L289" s="74"/>
    </row>
    <row r="290" spans="1:12" ht="18" customHeight="1">
      <c r="A290" s="80" t="s">
        <v>1011</v>
      </c>
      <c r="B290" s="80" t="s">
        <v>1012</v>
      </c>
      <c r="C290" s="81">
        <f>IF(ISNUMBER('Income Statement'!N41),'Income Statement'!N41,"")</f>
        <v>2255</v>
      </c>
      <c r="D290" s="81">
        <f>IF(ISNUMBER('Income Statement'!O41),'Income Statement'!O41,"")</f>
        <v>2016</v>
      </c>
      <c r="E290" s="81">
        <f>IF(ISNUMBER('Income Statement'!P41),'Income Statement'!P41,"")</f>
        <v>1868</v>
      </c>
      <c r="F290" s="81">
        <f>IF(ISNUMBER('Income Statement'!Q41),'Income Statement'!Q41,"")</f>
        <v>2253</v>
      </c>
      <c r="G290" s="81">
        <f>IF(ISNUMBER('Income Statement'!R41),'Income Statement'!R41,"")</f>
        <v>2278</v>
      </c>
      <c r="H290" s="81">
        <f>IF(ISNUMBER('Income Statement'!S41),'Income Statement'!S41,"")</f>
        <v>2164</v>
      </c>
      <c r="I290" s="79">
        <f>IF(ISNUMBER('Income Statement'!T41),'Income Statement'!T41,"")</f>
        <v>1983</v>
      </c>
      <c r="J290" s="79">
        <f>IF(ISNUMBER('Income Statement'!U41),'Income Statement'!U41,"")</f>
        <v>2362</v>
      </c>
      <c r="K290" s="74"/>
      <c r="L290" s="74"/>
    </row>
    <row r="291" spans="1:12" ht="18" customHeight="1">
      <c r="A291" s="73" t="s">
        <v>1060</v>
      </c>
      <c r="B291" s="73" t="s">
        <v>1012</v>
      </c>
      <c r="C291" s="79">
        <f>IF(ISNUMBER('Cash Flow'!N28),'Cash Flow'!N28,"")</f>
        <v>2736</v>
      </c>
      <c r="D291" s="79">
        <f>IF(ISNUMBER('Cash Flow'!O28),'Cash Flow'!O28,"")</f>
        <v>2631</v>
      </c>
      <c r="E291" s="79">
        <f>IF(ISNUMBER('Cash Flow'!P28),'Cash Flow'!P28,"")</f>
        <v>2428</v>
      </c>
      <c r="F291" s="79">
        <f>IF(ISNUMBER('Cash Flow'!Q28),'Cash Flow'!Q28,"")</f>
        <v>1998</v>
      </c>
      <c r="G291" s="79">
        <f>IF(ISNUMBER('Cash Flow'!R28),'Cash Flow'!R28,"")</f>
        <v>3428</v>
      </c>
      <c r="H291" s="79">
        <f>IF(ISNUMBER('Cash Flow'!S28),'Cash Flow'!S28,"")</f>
        <v>2697</v>
      </c>
      <c r="I291" s="79">
        <f>IF(ISNUMBER('Cash Flow'!T28),'Cash Flow'!T28,"")</f>
        <v>2412</v>
      </c>
      <c r="J291" s="79">
        <f>IF(ISNUMBER('Cash Flow'!U28),'Cash Flow'!U28,"")</f>
        <v>2807</v>
      </c>
      <c r="K291" s="74"/>
      <c r="L291" s="74"/>
    </row>
    <row r="292" spans="1:12" ht="18" customHeight="1">
      <c r="A292" s="73" t="s">
        <v>1061</v>
      </c>
      <c r="B292" s="73" t="s">
        <v>1012</v>
      </c>
      <c r="C292" s="79">
        <f>IF(ISNUMBER('Cash Flow'!N31),-'Cash Flow'!N31,"")</f>
        <v>794</v>
      </c>
      <c r="D292" s="79">
        <f>IF(ISNUMBER('Cash Flow'!O31),-'Cash Flow'!O31,"")</f>
        <v>807</v>
      </c>
      <c r="E292" s="79">
        <f>IF(ISNUMBER('Cash Flow'!P31),-'Cash Flow'!P31,"")</f>
        <v>551</v>
      </c>
      <c r="F292" s="79">
        <f>IF(ISNUMBER('Cash Flow'!Q31),-'Cash Flow'!Q31,"")</f>
        <v>744</v>
      </c>
      <c r="G292" s="79">
        <f>IF(ISNUMBER('Cash Flow'!R31),-'Cash Flow'!R31,"")</f>
        <v>1011</v>
      </c>
      <c r="H292" s="79">
        <f>IF(ISNUMBER('Cash Flow'!S31),-'Cash Flow'!S31,"")</f>
        <v>1059</v>
      </c>
      <c r="I292" s="79">
        <f>IF(ISNUMBER('Cash Flow'!T31),-'Cash Flow'!T31,"")</f>
        <v>682</v>
      </c>
      <c r="J292" s="79">
        <f>IF(ISNUMBER('Cash Flow'!U31),-'Cash Flow'!U31,"")</f>
        <v>831</v>
      </c>
      <c r="K292" s="74"/>
      <c r="L292" s="74"/>
    </row>
    <row r="293" spans="1:12" ht="18" customHeight="1">
      <c r="A293" s="73" t="s">
        <v>1091</v>
      </c>
      <c r="B293" s="73" t="s">
        <v>1012</v>
      </c>
      <c r="C293" s="79">
        <f>IF(ISNUMBER('Cash Flow'!N71),'Cash Flow'!N71,"")</f>
        <v>1942</v>
      </c>
      <c r="D293" s="79">
        <f>IF(ISNUMBER('Cash Flow'!O71),'Cash Flow'!O71,"")</f>
        <v>1824</v>
      </c>
      <c r="E293" s="79">
        <f>IF(ISNUMBER('Cash Flow'!P71),'Cash Flow'!P71,"")</f>
        <v>1877</v>
      </c>
      <c r="F293" s="79">
        <f>IF(ISNUMBER('Cash Flow'!Q71),'Cash Flow'!Q71,"")</f>
        <v>1254</v>
      </c>
      <c r="G293" s="79">
        <f>IF(ISNUMBER('Cash Flow'!R71),'Cash Flow'!R71,"")</f>
        <v>2417</v>
      </c>
      <c r="H293" s="79">
        <f>IF(ISNUMBER('Cash Flow'!S71),'Cash Flow'!S71,"")</f>
        <v>1638</v>
      </c>
      <c r="I293" s="79">
        <f>IF(ISNUMBER('Cash Flow'!T71),'Cash Flow'!T71,"")</f>
        <v>1730</v>
      </c>
      <c r="J293" s="79">
        <f>IF(ISNUMBER('Cash Flow'!U71),'Cash Flow'!U71,"")</f>
        <v>1976</v>
      </c>
      <c r="K293" s="74"/>
      <c r="L293" s="74"/>
    </row>
    <row r="294" spans="1:12" ht="18" customHeight="1">
      <c r="A294" s="73" t="s">
        <v>987</v>
      </c>
      <c r="B294" s="73" t="s">
        <v>973</v>
      </c>
      <c r="C294" s="84">
        <f t="shared" ref="C294:J294" si="36">C293/C290</f>
        <v>0.86119733924611974</v>
      </c>
      <c r="D294" s="84">
        <f t="shared" si="36"/>
        <v>0.90476190476190477</v>
      </c>
      <c r="E294" s="84">
        <f t="shared" si="36"/>
        <v>1.0048179871520342</v>
      </c>
      <c r="F294" s="84">
        <f t="shared" si="36"/>
        <v>0.55659121171770976</v>
      </c>
      <c r="G294" s="84">
        <f t="shared" si="36"/>
        <v>1.0610184372256366</v>
      </c>
      <c r="H294" s="84">
        <f t="shared" si="36"/>
        <v>0.75693160813308691</v>
      </c>
      <c r="I294" s="84">
        <f t="shared" si="36"/>
        <v>0.87241553202218858</v>
      </c>
      <c r="J294" s="84">
        <f t="shared" si="36"/>
        <v>0.83657917019475025</v>
      </c>
      <c r="K294" s="77"/>
      <c r="L294" s="77"/>
    </row>
    <row r="295" spans="1:12" ht="18" customHeight="1">
      <c r="A295" s="73" t="s">
        <v>1063</v>
      </c>
      <c r="B295" s="73" t="s">
        <v>1012</v>
      </c>
      <c r="C295" s="79">
        <f>IF(ISNUMBER('Cash Flow'!N45),-'Cash Flow'!N45,"")</f>
        <v>1197</v>
      </c>
      <c r="D295" s="79">
        <f>IF(ISNUMBER('Cash Flow'!O45),-'Cash Flow'!O45,"")</f>
        <v>1268</v>
      </c>
      <c r="E295" s="79">
        <f>IF(ISNUMBER('Cash Flow'!P45),-'Cash Flow'!P45,"")</f>
        <v>1266</v>
      </c>
      <c r="F295" s="79">
        <f>IF(ISNUMBER('Cash Flow'!Q45),-'Cash Flow'!Q45,"")</f>
        <v>1265</v>
      </c>
      <c r="G295" s="79">
        <f>IF(ISNUMBER('Cash Flow'!R45),-'Cash Flow'!R45,"")</f>
        <v>1262</v>
      </c>
      <c r="H295" s="79">
        <f>IF(ISNUMBER('Cash Flow'!S45),-'Cash Flow'!S45,"")</f>
        <v>1323</v>
      </c>
      <c r="I295" s="79">
        <f>IF(ISNUMBER('Cash Flow'!T45),-'Cash Flow'!T45,"")</f>
        <v>1323</v>
      </c>
      <c r="J295" s="79">
        <f>IF(ISNUMBER('Cash Flow'!U45),-'Cash Flow'!U45,"")</f>
        <v>1317</v>
      </c>
      <c r="K295" s="74"/>
      <c r="L295" s="74"/>
    </row>
    <row r="296" spans="1:12" ht="18" customHeight="1">
      <c r="A296" s="73" t="s">
        <v>1092</v>
      </c>
      <c r="B296" s="73" t="s">
        <v>973</v>
      </c>
      <c r="C296" s="84">
        <f t="shared" ref="C296:J296" si="37">C295/C290</f>
        <v>0.53082039911308199</v>
      </c>
      <c r="D296" s="84">
        <f t="shared" si="37"/>
        <v>0.62896825396825395</v>
      </c>
      <c r="E296" s="84">
        <f t="shared" si="37"/>
        <v>0.67773019271948609</v>
      </c>
      <c r="F296" s="84">
        <f t="shared" si="37"/>
        <v>0.56147359076786507</v>
      </c>
      <c r="G296" s="84">
        <f t="shared" si="37"/>
        <v>0.55399473222124673</v>
      </c>
      <c r="H296" s="84">
        <f t="shared" si="37"/>
        <v>0.6113678373382625</v>
      </c>
      <c r="I296" s="84">
        <f t="shared" si="37"/>
        <v>0.66717095310136154</v>
      </c>
      <c r="J296" s="84">
        <f t="shared" si="37"/>
        <v>0.55757832345469938</v>
      </c>
      <c r="K296" s="77"/>
      <c r="L296" s="77"/>
    </row>
    <row r="297" spans="1:12" ht="18" customHeight="1">
      <c r="A297" s="73" t="s">
        <v>1093</v>
      </c>
      <c r="B297" s="73" t="s">
        <v>1015</v>
      </c>
      <c r="C297" s="79">
        <f>IF(ISNUMBER('Income Statement'!N51),'Income Statement'!N51,"")</f>
        <v>720</v>
      </c>
      <c r="D297" s="79">
        <f>IF(ISNUMBER('Income Statement'!O51),'Income Statement'!O51,"")</f>
        <v>719.7</v>
      </c>
      <c r="E297" s="79">
        <f>IF(ISNUMBER('Income Statement'!P51),'Income Statement'!P51,"")</f>
        <v>718.2</v>
      </c>
      <c r="F297" s="79">
        <f>IF(ISNUMBER('Income Statement'!Q51),'Income Statement'!Q51,"")</f>
        <v>717.6</v>
      </c>
      <c r="G297" s="79">
        <f>IF(ISNUMBER('Income Statement'!R51),'Income Statement'!R51,"")</f>
        <v>715.9</v>
      </c>
      <c r="H297" s="79">
        <f>IF(ISNUMBER('Income Statement'!S51),'Income Statement'!S51,"")</f>
        <v>714.2</v>
      </c>
      <c r="I297" s="79">
        <f>IF(ISNUMBER('Income Statement'!T51),'Income Statement'!T51,"")</f>
        <v>713.5</v>
      </c>
      <c r="J297" s="79">
        <f>IF(ISNUMBER('Income Statement'!U51),'Income Statement'!U51,"")</f>
        <v>711.1</v>
      </c>
      <c r="K297" s="74"/>
      <c r="L297" s="74"/>
    </row>
    <row r="298" spans="1:12" ht="18" customHeight="1">
      <c r="A298" s="73" t="s">
        <v>1075</v>
      </c>
      <c r="B298" s="73" t="s">
        <v>973</v>
      </c>
      <c r="C298" s="85">
        <f>IF(ISNUMBER('Operating Metrics'!N74),'Operating Metrics'!N74,"")</f>
        <v>3.0000000000000001E-3</v>
      </c>
      <c r="D298" s="85">
        <f>IF(ISNUMBER('Operating Metrics'!O74),'Operating Metrics'!O74,"")</f>
        <v>-1.3999999999999999E-2</v>
      </c>
      <c r="E298" s="85">
        <f>IF(ISNUMBER('Operating Metrics'!P74),'Operating Metrics'!P74,"")</f>
        <v>-3.6000000000000004E-2</v>
      </c>
      <c r="F298" s="85">
        <f>IF(ISNUMBER('Operating Metrics'!Q74),'Operating Metrics'!Q74,"")</f>
        <v>2.5000000000000001E-2</v>
      </c>
      <c r="G298" s="85">
        <f>IF(ISNUMBER('Operating Metrics'!R74),'Operating Metrics'!R74,"")</f>
        <v>2.4E-2</v>
      </c>
      <c r="H298" s="85">
        <f>IF(ISNUMBER('Operating Metrics'!S74),'Operating Metrics'!S74,"")</f>
        <v>6.8000000000000005E-2</v>
      </c>
      <c r="I298" s="85">
        <f>IF(ISNUMBER('Operating Metrics'!T74),'Operating Metrics'!T74,"")</f>
        <v>3.9E-2</v>
      </c>
      <c r="J298" s="85">
        <f>IF(ISNUMBER('Operating Metrics'!U74),'Operating Metrics'!U74,"")</f>
        <v>8.0000000000000002E-3</v>
      </c>
      <c r="K298" s="77"/>
      <c r="L298" s="77"/>
    </row>
    <row r="299" spans="1:12" ht="18" customHeight="1">
      <c r="A299" s="73" t="s">
        <v>1076</v>
      </c>
      <c r="B299" s="73" t="s">
        <v>973</v>
      </c>
      <c r="C299" s="85">
        <f>IF(ISNUMBER('Operating Metrics'!N75),'Operating Metrics'!N75,"")</f>
        <v>-2.1000000000000001E-2</v>
      </c>
      <c r="D299" s="85">
        <f>IF(ISNUMBER('Operating Metrics'!O75),'Operating Metrics'!O75,"")</f>
        <v>1E-3</v>
      </c>
      <c r="E299" s="85">
        <f>IF(ISNUMBER('Operating Metrics'!P75),'Operating Metrics'!P75,"")</f>
        <v>-0.01</v>
      </c>
      <c r="F299" s="85">
        <f>IF(ISNUMBER('Operating Metrics'!Q75),'Operating Metrics'!Q75,"")</f>
        <v>0.04</v>
      </c>
      <c r="G299" s="85">
        <f>IF(ISNUMBER('Operating Metrics'!R75),'Operating Metrics'!R75,"")</f>
        <v>4.2999999999999997E-2</v>
      </c>
      <c r="H299" s="85">
        <f>IF(ISNUMBER('Operating Metrics'!S75),'Operating Metrics'!S75,"")</f>
        <v>5.2000000000000005E-2</v>
      </c>
      <c r="I299" s="85">
        <f>IF(ISNUMBER('Operating Metrics'!T75),'Operating Metrics'!T75,"")</f>
        <v>3.9E-2</v>
      </c>
      <c r="J299" s="85">
        <f>IF(ISNUMBER('Operating Metrics'!U75),'Operating Metrics'!U75,"")</f>
        <v>1.4999999999999999E-2</v>
      </c>
      <c r="K299" s="77"/>
      <c r="L299" s="77"/>
    </row>
    <row r="300" spans="1:12" ht="18" customHeight="1">
      <c r="A300" s="73" t="s">
        <v>1077</v>
      </c>
      <c r="B300" s="73" t="s">
        <v>973</v>
      </c>
      <c r="C300" s="85">
        <f>IF(ISNUMBER('Operating Metrics'!N76),'Operating Metrics'!N76,"")</f>
        <v>-3.5000000000000003E-2</v>
      </c>
      <c r="D300" s="85">
        <f>IF(ISNUMBER('Operating Metrics'!O76),'Operating Metrics'!O76,"")</f>
        <v>4.0999999999999995E-2</v>
      </c>
      <c r="E300" s="85">
        <f>IF(ISNUMBER('Operating Metrics'!P76),'Operating Metrics'!P76,"")</f>
        <v>3.5000000000000003E-2</v>
      </c>
      <c r="F300" s="85">
        <f>IF(ISNUMBER('Operating Metrics'!Q76),'Operating Metrics'!Q76,"")</f>
        <v>5.5999999999999994E-2</v>
      </c>
      <c r="G300" s="85">
        <f>IF(ISNUMBER('Operating Metrics'!R76),'Operating Metrics'!R76,"")</f>
        <v>4.7E-2</v>
      </c>
      <c r="H300" s="85">
        <f>IF(ISNUMBER('Operating Metrics'!S76),'Operating Metrics'!S76,"")</f>
        <v>4.4999999999999998E-2</v>
      </c>
      <c r="I300" s="85">
        <f>IF(ISNUMBER('Operating Metrics'!T76),'Operating Metrics'!T76,"")</f>
        <v>3.4000000000000002E-2</v>
      </c>
      <c r="J300" s="85">
        <f>IF(ISNUMBER('Operating Metrics'!U76),'Operating Metrics'!U76,"")</f>
        <v>1.9E-2</v>
      </c>
      <c r="K300" s="77"/>
      <c r="L300" s="77"/>
    </row>
    <row r="301" spans="1:12" ht="18" customHeight="1">
      <c r="A301" s="73" t="s">
        <v>1078</v>
      </c>
      <c r="B301" s="73" t="s">
        <v>973</v>
      </c>
      <c r="C301" s="85">
        <f>IF(ISNUMBER('Operating Metrics'!N92),'Operating Metrics'!N92,"")</f>
        <v>0</v>
      </c>
      <c r="D301" s="85">
        <f>IF(ISNUMBER('Operating Metrics'!O92),'Operating Metrics'!O92,"")</f>
        <v>0.02</v>
      </c>
      <c r="E301" s="85">
        <f>IF(ISNUMBER('Operating Metrics'!P92),'Operating Metrics'!P92,"")</f>
        <v>0.01</v>
      </c>
      <c r="F301" s="85">
        <f>IF(ISNUMBER('Operating Metrics'!Q92),'Operating Metrics'!Q92,"")</f>
        <v>0.06</v>
      </c>
      <c r="G301" s="85">
        <f>IF(ISNUMBER('Operating Metrics'!R92),'Operating Metrics'!R92,"")</f>
        <v>0.06</v>
      </c>
      <c r="H301" s="85">
        <f>IF(ISNUMBER('Operating Metrics'!S92),'Operating Metrics'!S92,"")</f>
        <v>0.08</v>
      </c>
      <c r="I301" s="85">
        <f>IF(ISNUMBER('Operating Metrics'!T92),'Operating Metrics'!T92,"")</f>
        <v>0.06</v>
      </c>
      <c r="J301" s="85">
        <f>IF(ISNUMBER('Operating Metrics'!U92),'Operating Metrics'!U92,"")</f>
        <v>0.04</v>
      </c>
      <c r="K301" s="77"/>
      <c r="L301" s="77"/>
    </row>
    <row r="302" spans="1:12" ht="8" customHeight="1">
      <c r="A302" s="73"/>
      <c r="B302" s="73"/>
      <c r="C302" s="74"/>
      <c r="D302" s="74"/>
      <c r="E302" s="74"/>
      <c r="F302" s="74"/>
      <c r="G302" s="74"/>
      <c r="H302" s="74"/>
      <c r="I302" s="74"/>
      <c r="J302" s="74"/>
      <c r="K302" s="74"/>
      <c r="L302" s="74"/>
    </row>
    <row r="303" spans="1:12" ht="24" customHeight="1">
      <c r="A303" s="129" t="s">
        <v>1349</v>
      </c>
      <c r="B303" s="129"/>
      <c r="C303" s="125"/>
      <c r="D303" s="125"/>
      <c r="E303" s="125"/>
      <c r="F303" s="125"/>
      <c r="G303" s="125"/>
      <c r="H303" s="125"/>
      <c r="I303" s="125"/>
      <c r="J303" s="125"/>
      <c r="K303" s="125"/>
      <c r="L303" s="125"/>
    </row>
    <row r="304" spans="1:12" ht="22" customHeight="1">
      <c r="A304" s="92" t="s">
        <v>1038</v>
      </c>
      <c r="B304" s="92" t="s">
        <v>972</v>
      </c>
      <c r="C304" s="93" t="s">
        <v>1080</v>
      </c>
      <c r="D304" s="93" t="s">
        <v>1081</v>
      </c>
      <c r="E304" s="93" t="s">
        <v>1082</v>
      </c>
      <c r="F304" s="93" t="s">
        <v>1083</v>
      </c>
      <c r="G304" s="93" t="s">
        <v>1084</v>
      </c>
      <c r="H304" s="93" t="s">
        <v>1085</v>
      </c>
      <c r="I304" s="93" t="s">
        <v>1086</v>
      </c>
      <c r="J304" s="93" t="s">
        <v>1087</v>
      </c>
      <c r="K304" s="93"/>
      <c r="L304" s="93"/>
    </row>
    <row r="305" spans="1:12" ht="18" customHeight="1">
      <c r="A305" s="73" t="s">
        <v>1244</v>
      </c>
      <c r="B305" s="73" t="s">
        <v>1012</v>
      </c>
      <c r="C305" s="74">
        <v>1851</v>
      </c>
      <c r="D305" s="79">
        <f>Segments!K83-C331</f>
        <v>1794</v>
      </c>
      <c r="E305" s="74">
        <v>1679</v>
      </c>
      <c r="F305" s="74">
        <v>1901</v>
      </c>
      <c r="G305" s="74">
        <v>1906</v>
      </c>
      <c r="H305" s="79">
        <f>Segments!L83-E331</f>
        <v>1886</v>
      </c>
      <c r="I305" s="74">
        <v>1750</v>
      </c>
      <c r="J305" s="74">
        <v>1942</v>
      </c>
      <c r="K305" s="74"/>
      <c r="L305" s="74"/>
    </row>
    <row r="306" spans="1:12" ht="18" customHeight="1">
      <c r="A306" s="73" t="s">
        <v>1247</v>
      </c>
      <c r="B306" s="73" t="s">
        <v>1012</v>
      </c>
      <c r="C306" s="74">
        <v>1781</v>
      </c>
      <c r="D306" s="79">
        <f>Segments!K84-C332</f>
        <v>1707</v>
      </c>
      <c r="E306" s="74">
        <v>1554</v>
      </c>
      <c r="F306" s="74">
        <v>1839</v>
      </c>
      <c r="G306" s="74">
        <v>1962</v>
      </c>
      <c r="H306" s="79">
        <f>Segments!L84-E332</f>
        <v>1925</v>
      </c>
      <c r="I306" s="74">
        <v>1782</v>
      </c>
      <c r="J306" s="74">
        <v>1936</v>
      </c>
      <c r="K306" s="74"/>
      <c r="L306" s="74"/>
    </row>
    <row r="307" spans="1:12" ht="18" customHeight="1">
      <c r="A307" s="73" t="s">
        <v>1250</v>
      </c>
      <c r="B307" s="73" t="s">
        <v>1012</v>
      </c>
      <c r="C307" s="74">
        <v>461</v>
      </c>
      <c r="D307" s="79">
        <f>Segments!K85-C333</f>
        <v>458</v>
      </c>
      <c r="E307" s="74">
        <v>429</v>
      </c>
      <c r="F307" s="74">
        <v>473</v>
      </c>
      <c r="G307" s="74">
        <v>496</v>
      </c>
      <c r="H307" s="79">
        <f>Segments!L85-E333</f>
        <v>500</v>
      </c>
      <c r="I307" s="74">
        <v>476</v>
      </c>
      <c r="J307" s="74">
        <v>515</v>
      </c>
      <c r="K307" s="74"/>
      <c r="L307" s="74"/>
    </row>
    <row r="308" spans="1:12" ht="18" customHeight="1">
      <c r="A308" s="73" t="s">
        <v>1253</v>
      </c>
      <c r="B308" s="73" t="s">
        <v>1012</v>
      </c>
      <c r="C308" s="74">
        <v>4094</v>
      </c>
      <c r="D308" s="79">
        <f>Segments!K86-C334</f>
        <v>3959</v>
      </c>
      <c r="E308" s="74">
        <v>3661</v>
      </c>
      <c r="F308" s="74">
        <v>4213</v>
      </c>
      <c r="G308" s="74">
        <v>4363</v>
      </c>
      <c r="H308" s="79">
        <f>Segments!L86-E334</f>
        <v>4310</v>
      </c>
      <c r="I308" s="74">
        <v>4007</v>
      </c>
      <c r="J308" s="74">
        <v>4393</v>
      </c>
      <c r="K308" s="74"/>
      <c r="L308" s="74"/>
    </row>
    <row r="309" spans="1:12" ht="18" customHeight="1">
      <c r="A309" s="73" t="s">
        <v>1256</v>
      </c>
      <c r="B309" s="73" t="s">
        <v>1012</v>
      </c>
      <c r="C309" s="74">
        <v>822</v>
      </c>
      <c r="D309" s="79">
        <f>Segments!K87-C335</f>
        <v>780</v>
      </c>
      <c r="E309" s="74">
        <v>724</v>
      </c>
      <c r="F309" s="74">
        <v>791</v>
      </c>
      <c r="G309" s="74">
        <v>790</v>
      </c>
      <c r="H309" s="79">
        <f>Segments!L87-E335</f>
        <v>809</v>
      </c>
      <c r="I309" s="74">
        <v>729</v>
      </c>
      <c r="J309" s="74">
        <v>784</v>
      </c>
      <c r="K309" s="74"/>
      <c r="L309" s="74"/>
    </row>
    <row r="310" spans="1:12" ht="18" customHeight="1">
      <c r="A310" s="73" t="s">
        <v>1259</v>
      </c>
      <c r="B310" s="73" t="s">
        <v>1012</v>
      </c>
      <c r="C310" s="74">
        <v>1485</v>
      </c>
      <c r="D310" s="79">
        <f>Segments!K88-C336</f>
        <v>1435</v>
      </c>
      <c r="E310" s="74">
        <v>1309</v>
      </c>
      <c r="F310" s="74">
        <v>1564</v>
      </c>
      <c r="G310" s="74">
        <v>1645</v>
      </c>
      <c r="H310" s="79">
        <f>Segments!L88-E336</f>
        <v>1613</v>
      </c>
      <c r="I310" s="74">
        <v>1477</v>
      </c>
      <c r="J310" s="74">
        <v>1607</v>
      </c>
      <c r="K310" s="74"/>
      <c r="L310" s="74"/>
    </row>
    <row r="311" spans="1:12" ht="18" customHeight="1">
      <c r="A311" s="73" t="s">
        <v>1262</v>
      </c>
      <c r="B311" s="73" t="s">
        <v>1012</v>
      </c>
      <c r="C311" s="74">
        <v>349</v>
      </c>
      <c r="D311" s="79">
        <f>Segments!K89-C337</f>
        <v>95</v>
      </c>
      <c r="E311" s="74">
        <v>99</v>
      </c>
      <c r="F311" s="74">
        <v>103</v>
      </c>
      <c r="G311" s="74">
        <v>128</v>
      </c>
      <c r="H311" s="79">
        <f>Segments!L89-E337</f>
        <v>113</v>
      </c>
      <c r="I311" s="74">
        <v>111</v>
      </c>
      <c r="J311" s="74">
        <v>133</v>
      </c>
      <c r="K311" s="74"/>
      <c r="L311" s="74"/>
    </row>
    <row r="312" spans="1:12" ht="18" customHeight="1">
      <c r="A312" s="73" t="s">
        <v>1265</v>
      </c>
      <c r="B312" s="73" t="s">
        <v>1012</v>
      </c>
      <c r="C312" s="74">
        <v>2656</v>
      </c>
      <c r="D312" s="79">
        <f>Segments!K90-C338</f>
        <v>2310</v>
      </c>
      <c r="E312" s="74">
        <v>2132</v>
      </c>
      <c r="F312" s="74">
        <v>2458</v>
      </c>
      <c r="G312" s="74">
        <v>2563</v>
      </c>
      <c r="H312" s="79">
        <f>Segments!L90-E338</f>
        <v>2535</v>
      </c>
      <c r="I312" s="74">
        <v>2317</v>
      </c>
      <c r="J312" s="74">
        <v>2525</v>
      </c>
      <c r="K312" s="74"/>
      <c r="L312" s="74"/>
    </row>
    <row r="313" spans="1:12" ht="18" customHeight="1">
      <c r="A313" s="73" t="s">
        <v>1268</v>
      </c>
      <c r="B313" s="73" t="s">
        <v>1012</v>
      </c>
      <c r="C313" s="74">
        <v>1525</v>
      </c>
      <c r="D313" s="79">
        <f>Segments!K98-C339</f>
        <v>1472</v>
      </c>
      <c r="E313" s="74">
        <v>1360</v>
      </c>
      <c r="F313" s="74">
        <v>1576</v>
      </c>
      <c r="G313" s="74">
        <v>1581</v>
      </c>
      <c r="H313" s="79">
        <f>Segments!L98-E339</f>
        <v>1561</v>
      </c>
      <c r="I313" s="74">
        <v>1427</v>
      </c>
      <c r="J313" s="74">
        <v>1621</v>
      </c>
      <c r="K313" s="74"/>
      <c r="L313" s="74"/>
    </row>
    <row r="314" spans="1:12" ht="18" customHeight="1">
      <c r="A314" s="73" t="s">
        <v>1269</v>
      </c>
      <c r="B314" s="73" t="s">
        <v>1012</v>
      </c>
      <c r="C314" s="74">
        <v>1463</v>
      </c>
      <c r="D314" s="79">
        <f>Segments!K100-C340</f>
        <v>1394</v>
      </c>
      <c r="E314" s="74">
        <v>1252</v>
      </c>
      <c r="F314" s="74">
        <v>1511</v>
      </c>
      <c r="G314" s="74">
        <v>1620</v>
      </c>
      <c r="H314" s="79">
        <f>Segments!L100-E340</f>
        <v>1571</v>
      </c>
      <c r="I314" s="74">
        <v>1429</v>
      </c>
      <c r="J314" s="74">
        <v>1577</v>
      </c>
      <c r="K314" s="74"/>
      <c r="L314" s="74"/>
    </row>
    <row r="315" spans="1:12" ht="18" customHeight="1">
      <c r="A315" s="73" t="s">
        <v>1270</v>
      </c>
      <c r="B315" s="73" t="s">
        <v>1012</v>
      </c>
      <c r="C315" s="74">
        <v>459</v>
      </c>
      <c r="D315" s="79">
        <f>Segments!K102-C341</f>
        <v>458</v>
      </c>
      <c r="E315" s="74">
        <v>429</v>
      </c>
      <c r="F315" s="74">
        <v>473</v>
      </c>
      <c r="G315" s="74">
        <v>496</v>
      </c>
      <c r="H315" s="79">
        <f>Segments!L102-E341</f>
        <v>500</v>
      </c>
      <c r="I315" s="74">
        <v>475</v>
      </c>
      <c r="J315" s="74">
        <v>515</v>
      </c>
      <c r="K315" s="74"/>
      <c r="L315" s="74"/>
    </row>
    <row r="316" spans="1:12" ht="18" customHeight="1">
      <c r="A316" s="73" t="s">
        <v>1271</v>
      </c>
      <c r="B316" s="73" t="s">
        <v>1012</v>
      </c>
      <c r="C316" s="74">
        <v>3447</v>
      </c>
      <c r="D316" s="79">
        <f>Segments!K104-C342</f>
        <v>3323</v>
      </c>
      <c r="E316" s="74">
        <v>3041</v>
      </c>
      <c r="F316" s="74">
        <v>3559</v>
      </c>
      <c r="G316" s="74">
        <v>3697</v>
      </c>
      <c r="H316" s="79">
        <f>Segments!L104-E342</f>
        <v>3632</v>
      </c>
      <c r="I316" s="74">
        <v>3331</v>
      </c>
      <c r="J316" s="74">
        <v>3713</v>
      </c>
      <c r="K316" s="74"/>
      <c r="L316" s="74"/>
    </row>
    <row r="317" spans="1:12" ht="18" customHeight="1">
      <c r="A317" s="73" t="s">
        <v>1272</v>
      </c>
      <c r="B317" s="73" t="s">
        <v>1012</v>
      </c>
      <c r="C317" s="74">
        <v>105</v>
      </c>
      <c r="D317" s="79">
        <f>Segments!K107-C343</f>
        <v>89</v>
      </c>
      <c r="E317" s="74">
        <v>79</v>
      </c>
      <c r="F317" s="74">
        <v>97</v>
      </c>
      <c r="G317" s="74">
        <v>90</v>
      </c>
      <c r="H317" s="79">
        <f>Segments!L107-E343</f>
        <v>94</v>
      </c>
      <c r="I317" s="74">
        <v>59</v>
      </c>
      <c r="J317" s="74">
        <v>91</v>
      </c>
      <c r="K317" s="74"/>
      <c r="L317" s="74"/>
    </row>
    <row r="318" spans="1:12" ht="18" customHeight="1">
      <c r="A318" s="73" t="s">
        <v>1273</v>
      </c>
      <c r="B318" s="73" t="s">
        <v>1012</v>
      </c>
      <c r="C318" s="74">
        <v>258</v>
      </c>
      <c r="D318" s="79">
        <f>Segments!K108-C344</f>
        <v>237</v>
      </c>
      <c r="E318" s="74">
        <v>186</v>
      </c>
      <c r="F318" s="74">
        <v>278</v>
      </c>
      <c r="G318" s="74">
        <v>288</v>
      </c>
      <c r="H318" s="79">
        <f>Segments!L108-E344</f>
        <v>279</v>
      </c>
      <c r="I318" s="74">
        <v>222</v>
      </c>
      <c r="J318" s="74">
        <v>285</v>
      </c>
      <c r="K318" s="74"/>
      <c r="L318" s="74"/>
    </row>
    <row r="319" spans="1:12" ht="18" customHeight="1">
      <c r="A319" s="73" t="s">
        <v>1274</v>
      </c>
      <c r="B319" s="73" t="s">
        <v>1012</v>
      </c>
      <c r="C319" s="74">
        <v>407</v>
      </c>
      <c r="D319" s="79">
        <f>Segments!K109-C345</f>
        <v>333</v>
      </c>
      <c r="E319" s="74">
        <v>273</v>
      </c>
      <c r="F319" s="74">
        <v>380</v>
      </c>
      <c r="G319" s="74">
        <v>391</v>
      </c>
      <c r="H319" s="79">
        <f>Segments!L109-E345</f>
        <v>378</v>
      </c>
      <c r="I319" s="74">
        <v>285</v>
      </c>
      <c r="J319" s="74">
        <v>387</v>
      </c>
      <c r="K319" s="74"/>
      <c r="L319" s="74"/>
    </row>
    <row r="320" spans="1:12" ht="18" customHeight="1">
      <c r="A320" s="73" t="s">
        <v>1275</v>
      </c>
      <c r="B320" s="73" t="s">
        <v>1012</v>
      </c>
      <c r="C320" s="74">
        <v>12893</v>
      </c>
      <c r="D320" s="79">
        <f>'Operating Metrics'!K40-C346</f>
        <v>12529</v>
      </c>
      <c r="E320" s="74">
        <v>11771</v>
      </c>
      <c r="F320" s="74">
        <v>13231</v>
      </c>
      <c r="G320" s="74">
        <v>13376</v>
      </c>
      <c r="H320" s="79">
        <f>'Operating Metrics'!L40-E346</f>
        <v>13568</v>
      </c>
      <c r="I320" s="74">
        <v>12388</v>
      </c>
      <c r="J320" s="74">
        <v>13523</v>
      </c>
      <c r="K320" s="74"/>
      <c r="L320" s="74"/>
    </row>
    <row r="321" spans="1:12" ht="18" customHeight="1">
      <c r="A321" s="73" t="s">
        <v>1276</v>
      </c>
      <c r="B321" s="73" t="s">
        <v>1012</v>
      </c>
      <c r="C321" s="74">
        <v>10334</v>
      </c>
      <c r="D321" s="79">
        <f>'Operating Metrics'!K41-C347</f>
        <v>9907</v>
      </c>
      <c r="E321" s="74">
        <v>8984</v>
      </c>
      <c r="F321" s="74">
        <v>10712</v>
      </c>
      <c r="G321" s="74">
        <v>11439</v>
      </c>
      <c r="H321" s="79">
        <f>'Operating Metrics'!L41-E347</f>
        <v>11305</v>
      </c>
      <c r="I321" s="74">
        <v>10498</v>
      </c>
      <c r="J321" s="74">
        <v>11456</v>
      </c>
      <c r="K321" s="74"/>
      <c r="L321" s="74"/>
    </row>
    <row r="322" spans="1:12" ht="18" customHeight="1">
      <c r="A322" s="73" t="s">
        <v>1277</v>
      </c>
      <c r="B322" s="73" t="s">
        <v>1012</v>
      </c>
      <c r="C322" s="74">
        <v>8106</v>
      </c>
      <c r="D322" s="79">
        <f>'Operating Metrics'!K42-C348</f>
        <v>8168</v>
      </c>
      <c r="E322" s="74">
        <v>8048</v>
      </c>
      <c r="F322" s="74">
        <v>8817</v>
      </c>
      <c r="G322" s="74">
        <v>9279</v>
      </c>
      <c r="H322" s="79">
        <f>'Operating Metrics'!L42-E348</f>
        <v>9146</v>
      </c>
      <c r="I322" s="74">
        <v>9030</v>
      </c>
      <c r="J322" s="74">
        <v>9473</v>
      </c>
      <c r="K322" s="74"/>
      <c r="L322" s="74"/>
    </row>
    <row r="323" spans="1:12" ht="18" customHeight="1">
      <c r="A323" s="73" t="s">
        <v>1278</v>
      </c>
      <c r="B323" s="73" t="s">
        <v>1012</v>
      </c>
      <c r="C323" s="74">
        <v>31333</v>
      </c>
      <c r="D323" s="79">
        <f>'Operating Metrics'!K43-C349</f>
        <v>30603</v>
      </c>
      <c r="E323" s="74">
        <v>28804</v>
      </c>
      <c r="F323" s="74">
        <v>32760</v>
      </c>
      <c r="G323" s="74">
        <v>34093</v>
      </c>
      <c r="H323" s="79">
        <f>'Operating Metrics'!L43-E349</f>
        <v>34019</v>
      </c>
      <c r="I323" s="74">
        <v>31917</v>
      </c>
      <c r="J323" s="74">
        <v>34451</v>
      </c>
      <c r="K323" s="74"/>
      <c r="L323" s="74"/>
    </row>
    <row r="324" spans="1:12" ht="18" customHeight="1">
      <c r="A324" s="73" t="s">
        <v>1279</v>
      </c>
      <c r="B324" s="73" t="s">
        <v>1012</v>
      </c>
      <c r="C324" s="74">
        <v>-9</v>
      </c>
      <c r="D324" s="79">
        <f>'Note Schedules'!K48-C350</f>
        <v>-72</v>
      </c>
      <c r="E324" s="74">
        <v>-8</v>
      </c>
      <c r="F324" s="74">
        <v>-7</v>
      </c>
      <c r="G324" s="74">
        <v>-35</v>
      </c>
      <c r="H324" s="78">
        <f>G350-E350</f>
        <v>-83</v>
      </c>
      <c r="I324" s="74">
        <v>-30</v>
      </c>
      <c r="J324" s="74">
        <v>-40</v>
      </c>
      <c r="K324" s="74"/>
      <c r="L324" s="74"/>
    </row>
    <row r="325" spans="1:12" ht="18" customHeight="1">
      <c r="A325" s="73" t="s">
        <v>1280</v>
      </c>
      <c r="B325" s="73" t="s">
        <v>1012</v>
      </c>
      <c r="C325" s="74">
        <v>-52</v>
      </c>
      <c r="D325" s="79">
        <f>'Note Schedules'!K49-C351</f>
        <v>-14</v>
      </c>
      <c r="E325" s="74">
        <v>-62</v>
      </c>
      <c r="F325" s="74">
        <v>-54</v>
      </c>
      <c r="G325" s="74">
        <v>-63</v>
      </c>
      <c r="H325" s="78">
        <f>G351-E351</f>
        <v>-10</v>
      </c>
      <c r="I325" s="74">
        <v>-62</v>
      </c>
      <c r="J325" s="74">
        <v>-60</v>
      </c>
      <c r="K325" s="74"/>
      <c r="L325" s="74"/>
    </row>
    <row r="326" spans="1:12" ht="18" customHeight="1">
      <c r="A326" s="73" t="s">
        <v>1281</v>
      </c>
      <c r="B326" s="73" t="s">
        <v>1012</v>
      </c>
      <c r="C326" s="74">
        <v>2</v>
      </c>
      <c r="D326" s="79">
        <f>'Note Schedules'!K50-C352</f>
        <v>93</v>
      </c>
      <c r="E326" s="74">
        <v>11</v>
      </c>
      <c r="F326" s="74">
        <v>48</v>
      </c>
      <c r="G326" s="74">
        <v>21</v>
      </c>
      <c r="H326" s="78">
        <f>G352-E352</f>
        <v>16</v>
      </c>
      <c r="I326" s="74">
        <v>-24</v>
      </c>
      <c r="J326" s="74">
        <v>10</v>
      </c>
      <c r="K326" s="74"/>
      <c r="L326" s="74"/>
    </row>
    <row r="327" spans="1:12" ht="18" customHeight="1">
      <c r="A327" s="73" t="s">
        <v>1282</v>
      </c>
      <c r="B327" s="73" t="s">
        <v>1012</v>
      </c>
      <c r="C327" s="74">
        <v>98</v>
      </c>
      <c r="D327" s="79">
        <f>'Note Schedules'!K51-C353</f>
        <v>4</v>
      </c>
      <c r="E327" s="74">
        <v>66</v>
      </c>
      <c r="F327" s="74">
        <v>43</v>
      </c>
      <c r="G327" s="74">
        <v>39</v>
      </c>
      <c r="H327" s="78">
        <f>G353-E353</f>
        <v>81</v>
      </c>
      <c r="I327" s="74">
        <v>47</v>
      </c>
      <c r="J327" s="74">
        <v>52</v>
      </c>
      <c r="K327" s="74"/>
      <c r="L327" s="74"/>
    </row>
    <row r="328" spans="1:12" ht="18" customHeight="1">
      <c r="A328" s="73" t="s">
        <v>1283</v>
      </c>
      <c r="B328" s="73" t="s">
        <v>1017</v>
      </c>
      <c r="C328" s="74"/>
      <c r="D328" s="74">
        <v>2.8</v>
      </c>
      <c r="E328" s="74"/>
      <c r="F328" s="74"/>
      <c r="G328" s="74"/>
      <c r="H328" s="74">
        <v>3.03</v>
      </c>
      <c r="I328" s="74"/>
      <c r="J328" s="74"/>
      <c r="K328" s="74"/>
      <c r="L328" s="74"/>
    </row>
    <row r="329" spans="1:12" ht="18" customHeight="1">
      <c r="A329" s="73" t="s">
        <v>1284</v>
      </c>
      <c r="B329" s="73" t="s">
        <v>1015</v>
      </c>
      <c r="C329" s="74"/>
      <c r="D329" s="74">
        <v>719.7</v>
      </c>
      <c r="E329" s="74"/>
      <c r="F329" s="74"/>
      <c r="G329" s="74"/>
      <c r="H329" s="74">
        <v>714.2</v>
      </c>
      <c r="I329" s="74"/>
      <c r="J329" s="74"/>
      <c r="K329" s="74"/>
      <c r="L329" s="74"/>
    </row>
    <row r="330" spans="1:12" ht="22" customHeight="1">
      <c r="A330" s="92" t="s">
        <v>1038</v>
      </c>
      <c r="B330" s="92" t="s">
        <v>972</v>
      </c>
      <c r="C330" s="93" t="s">
        <v>1285</v>
      </c>
      <c r="D330" s="93" t="s">
        <v>1095</v>
      </c>
      <c r="E330" s="93" t="s">
        <v>1286</v>
      </c>
      <c r="F330" s="93" t="s">
        <v>1096</v>
      </c>
      <c r="G330" s="93" t="s">
        <v>1287</v>
      </c>
      <c r="H330" s="93"/>
      <c r="I330" s="93"/>
      <c r="J330" s="93"/>
      <c r="K330" s="93"/>
      <c r="L330" s="93"/>
    </row>
    <row r="331" spans="1:12" ht="18" customHeight="1">
      <c r="A331" s="73" t="s">
        <v>1244</v>
      </c>
      <c r="B331" s="73" t="s">
        <v>1012</v>
      </c>
      <c r="C331" s="74">
        <v>5417</v>
      </c>
      <c r="D331" s="74">
        <v>3579</v>
      </c>
      <c r="E331" s="74">
        <v>5485</v>
      </c>
      <c r="F331" s="74">
        <v>3691</v>
      </c>
      <c r="G331" s="74"/>
      <c r="H331" s="74"/>
      <c r="I331" s="74"/>
      <c r="J331" s="74"/>
      <c r="K331" s="74"/>
      <c r="L331" s="74"/>
    </row>
    <row r="332" spans="1:12" ht="18" customHeight="1">
      <c r="A332" s="73" t="s">
        <v>1247</v>
      </c>
      <c r="B332" s="73" t="s">
        <v>1012</v>
      </c>
      <c r="C332" s="74">
        <v>5039</v>
      </c>
      <c r="D332" s="74">
        <v>3393</v>
      </c>
      <c r="E332" s="74">
        <v>5354</v>
      </c>
      <c r="F332" s="74">
        <v>3717</v>
      </c>
      <c r="G332" s="74"/>
      <c r="H332" s="74"/>
      <c r="I332" s="74"/>
      <c r="J332" s="74"/>
      <c r="K332" s="74"/>
      <c r="L332" s="74"/>
    </row>
    <row r="333" spans="1:12" ht="18" customHeight="1">
      <c r="A333" s="73" t="s">
        <v>1250</v>
      </c>
      <c r="B333" s="73" t="s">
        <v>1012</v>
      </c>
      <c r="C333" s="74">
        <v>1300</v>
      </c>
      <c r="D333" s="74">
        <v>902</v>
      </c>
      <c r="E333" s="74">
        <v>1398</v>
      </c>
      <c r="F333" s="74">
        <v>990</v>
      </c>
      <c r="G333" s="74"/>
      <c r="H333" s="74"/>
      <c r="I333" s="74"/>
      <c r="J333" s="74"/>
      <c r="K333" s="74"/>
      <c r="L333" s="74"/>
    </row>
    <row r="334" spans="1:12" ht="18" customHeight="1">
      <c r="A334" s="73" t="s">
        <v>1253</v>
      </c>
      <c r="B334" s="73" t="s">
        <v>1012</v>
      </c>
      <c r="C334" s="74">
        <v>11756</v>
      </c>
      <c r="D334" s="74">
        <v>7874</v>
      </c>
      <c r="E334" s="74">
        <v>12238</v>
      </c>
      <c r="F334" s="74">
        <v>8399</v>
      </c>
      <c r="G334" s="74"/>
      <c r="H334" s="74"/>
      <c r="I334" s="74"/>
      <c r="J334" s="74"/>
      <c r="K334" s="74"/>
      <c r="L334" s="74"/>
    </row>
    <row r="335" spans="1:12" ht="18" customHeight="1">
      <c r="A335" s="73" t="s">
        <v>1256</v>
      </c>
      <c r="B335" s="73" t="s">
        <v>1012</v>
      </c>
      <c r="C335" s="74">
        <v>2417</v>
      </c>
      <c r="D335" s="74">
        <v>1515</v>
      </c>
      <c r="E335" s="74">
        <v>2306</v>
      </c>
      <c r="F335" s="74">
        <v>1513</v>
      </c>
      <c r="G335" s="74"/>
      <c r="H335" s="74"/>
      <c r="I335" s="74"/>
      <c r="J335" s="74"/>
      <c r="K335" s="74"/>
      <c r="L335" s="74"/>
    </row>
    <row r="336" spans="1:12" ht="18" customHeight="1">
      <c r="A336" s="73" t="s">
        <v>1259</v>
      </c>
      <c r="B336" s="73" t="s">
        <v>1012</v>
      </c>
      <c r="C336" s="74">
        <v>4278</v>
      </c>
      <c r="D336" s="74">
        <v>2873</v>
      </c>
      <c r="E336" s="74">
        <v>4518</v>
      </c>
      <c r="F336" s="74">
        <v>3084</v>
      </c>
      <c r="G336" s="74"/>
      <c r="H336" s="74"/>
      <c r="I336" s="74"/>
      <c r="J336" s="74"/>
      <c r="K336" s="74"/>
      <c r="L336" s="74"/>
    </row>
    <row r="337" spans="1:12" ht="18" customHeight="1">
      <c r="A337" s="73" t="s">
        <v>1262</v>
      </c>
      <c r="B337" s="73" t="s">
        <v>1012</v>
      </c>
      <c r="C337" s="74">
        <v>777</v>
      </c>
      <c r="D337" s="74">
        <v>202</v>
      </c>
      <c r="E337" s="74">
        <v>330</v>
      </c>
      <c r="F337" s="74">
        <v>244</v>
      </c>
      <c r="G337" s="74"/>
      <c r="H337" s="74"/>
      <c r="I337" s="74"/>
      <c r="J337" s="74"/>
      <c r="K337" s="74"/>
      <c r="L337" s="74"/>
    </row>
    <row r="338" spans="1:12" ht="18" customHeight="1">
      <c r="A338" s="73" t="s">
        <v>1265</v>
      </c>
      <c r="B338" s="73" t="s">
        <v>1012</v>
      </c>
      <c r="C338" s="74">
        <v>7472</v>
      </c>
      <c r="D338" s="74">
        <v>4590</v>
      </c>
      <c r="E338" s="74">
        <v>7154</v>
      </c>
      <c r="F338" s="74">
        <v>4842</v>
      </c>
      <c r="G338" s="74"/>
      <c r="H338" s="74"/>
      <c r="I338" s="74"/>
      <c r="J338" s="74"/>
      <c r="K338" s="74"/>
      <c r="L338" s="74"/>
    </row>
    <row r="339" spans="1:12" ht="18" customHeight="1">
      <c r="A339" s="73" t="s">
        <v>1268</v>
      </c>
      <c r="B339" s="73" t="s">
        <v>1012</v>
      </c>
      <c r="C339" s="74">
        <v>4444</v>
      </c>
      <c r="D339" s="74">
        <v>2936</v>
      </c>
      <c r="E339" s="74">
        <v>4517</v>
      </c>
      <c r="F339" s="74">
        <v>3048</v>
      </c>
      <c r="G339" s="74"/>
      <c r="H339" s="74"/>
      <c r="I339" s="74"/>
      <c r="J339" s="74"/>
      <c r="K339" s="74"/>
      <c r="L339" s="74"/>
    </row>
    <row r="340" spans="1:12" ht="18" customHeight="1">
      <c r="A340" s="73" t="s">
        <v>1269</v>
      </c>
      <c r="B340" s="73" t="s">
        <v>1012</v>
      </c>
      <c r="C340" s="74">
        <v>4120</v>
      </c>
      <c r="D340" s="74">
        <v>2763</v>
      </c>
      <c r="E340" s="74">
        <v>4383</v>
      </c>
      <c r="F340" s="74">
        <v>3005</v>
      </c>
      <c r="G340" s="74"/>
      <c r="H340" s="74"/>
      <c r="I340" s="74"/>
      <c r="J340" s="74"/>
      <c r="K340" s="74"/>
      <c r="L340" s="74"/>
    </row>
    <row r="341" spans="1:12" ht="18" customHeight="1">
      <c r="A341" s="73" t="s">
        <v>1270</v>
      </c>
      <c r="B341" s="73" t="s">
        <v>1012</v>
      </c>
      <c r="C341" s="74">
        <v>1290</v>
      </c>
      <c r="D341" s="74">
        <v>901</v>
      </c>
      <c r="E341" s="74">
        <v>1397</v>
      </c>
      <c r="F341" s="74">
        <v>990</v>
      </c>
      <c r="G341" s="74"/>
      <c r="H341" s="74"/>
      <c r="I341" s="74"/>
      <c r="J341" s="74"/>
      <c r="K341" s="74"/>
      <c r="L341" s="74"/>
    </row>
    <row r="342" spans="1:12" ht="18" customHeight="1">
      <c r="A342" s="73" t="s">
        <v>1271</v>
      </c>
      <c r="B342" s="73" t="s">
        <v>1012</v>
      </c>
      <c r="C342" s="74">
        <v>9855</v>
      </c>
      <c r="D342" s="74">
        <v>6600</v>
      </c>
      <c r="E342" s="74">
        <v>10298</v>
      </c>
      <c r="F342" s="74">
        <v>7044</v>
      </c>
      <c r="G342" s="74"/>
      <c r="H342" s="74"/>
      <c r="I342" s="74"/>
      <c r="J342" s="74"/>
      <c r="K342" s="74"/>
      <c r="L342" s="74"/>
    </row>
    <row r="343" spans="1:12" ht="18" customHeight="1">
      <c r="A343" s="73" t="s">
        <v>1272</v>
      </c>
      <c r="B343" s="73" t="s">
        <v>1012</v>
      </c>
      <c r="C343" s="74">
        <v>328</v>
      </c>
      <c r="D343" s="74">
        <v>176</v>
      </c>
      <c r="E343" s="74">
        <v>266</v>
      </c>
      <c r="F343" s="74">
        <v>151</v>
      </c>
      <c r="G343" s="74"/>
      <c r="H343" s="74"/>
      <c r="I343" s="74"/>
      <c r="J343" s="74"/>
      <c r="K343" s="74"/>
      <c r="L343" s="74"/>
    </row>
    <row r="344" spans="1:12" ht="18" customHeight="1">
      <c r="A344" s="73" t="s">
        <v>1273</v>
      </c>
      <c r="B344" s="73" t="s">
        <v>1012</v>
      </c>
      <c r="C344" s="74">
        <v>711</v>
      </c>
      <c r="D344" s="74">
        <v>465</v>
      </c>
      <c r="E344" s="74">
        <v>752</v>
      </c>
      <c r="F344" s="74">
        <v>508</v>
      </c>
      <c r="G344" s="74"/>
      <c r="H344" s="74"/>
      <c r="I344" s="74"/>
      <c r="J344" s="74"/>
      <c r="K344" s="74"/>
      <c r="L344" s="74"/>
    </row>
    <row r="345" spans="1:12" ht="18" customHeight="1">
      <c r="A345" s="73" t="s">
        <v>1274</v>
      </c>
      <c r="B345" s="73" t="s">
        <v>1012</v>
      </c>
      <c r="C345" s="74">
        <v>1114</v>
      </c>
      <c r="D345" s="74">
        <v>653</v>
      </c>
      <c r="E345" s="74">
        <v>1044</v>
      </c>
      <c r="F345" s="74">
        <v>672</v>
      </c>
      <c r="G345" s="74"/>
      <c r="H345" s="74"/>
      <c r="I345" s="74"/>
      <c r="J345" s="74"/>
      <c r="K345" s="74"/>
      <c r="L345" s="74"/>
    </row>
    <row r="346" spans="1:12" ht="18" customHeight="1">
      <c r="A346" s="73" t="s">
        <v>1275</v>
      </c>
      <c r="B346" s="73" t="s">
        <v>1012</v>
      </c>
      <c r="C346" s="74">
        <v>37743</v>
      </c>
      <c r="D346" s="74">
        <v>25003</v>
      </c>
      <c r="E346" s="74">
        <v>38378</v>
      </c>
      <c r="F346" s="74">
        <v>25911</v>
      </c>
      <c r="G346" s="74"/>
      <c r="H346" s="74"/>
      <c r="I346" s="74"/>
      <c r="J346" s="74"/>
      <c r="K346" s="74"/>
      <c r="L346" s="74"/>
    </row>
    <row r="347" spans="1:12" ht="18" customHeight="1">
      <c r="A347" s="73" t="s">
        <v>1276</v>
      </c>
      <c r="B347" s="73" t="s">
        <v>1012</v>
      </c>
      <c r="C347" s="74">
        <v>29225</v>
      </c>
      <c r="D347" s="74">
        <v>19696</v>
      </c>
      <c r="E347" s="74">
        <v>31135</v>
      </c>
      <c r="F347" s="74">
        <v>21954</v>
      </c>
      <c r="G347" s="74"/>
      <c r="H347" s="74"/>
      <c r="I347" s="74"/>
      <c r="J347" s="74"/>
      <c r="K347" s="74"/>
      <c r="L347" s="74"/>
    </row>
    <row r="348" spans="1:12" ht="18" customHeight="1">
      <c r="A348" s="73" t="s">
        <v>1277</v>
      </c>
      <c r="B348" s="73" t="s">
        <v>1012</v>
      </c>
      <c r="C348" s="74">
        <v>23361</v>
      </c>
      <c r="D348" s="74">
        <v>16865</v>
      </c>
      <c r="E348" s="74">
        <v>26143</v>
      </c>
      <c r="F348" s="74">
        <v>18503</v>
      </c>
      <c r="G348" s="74"/>
      <c r="H348" s="74"/>
      <c r="I348" s="74"/>
      <c r="J348" s="74"/>
      <c r="K348" s="74"/>
      <c r="L348" s="74"/>
    </row>
    <row r="349" spans="1:12" ht="18" customHeight="1">
      <c r="A349" s="73" t="s">
        <v>1278</v>
      </c>
      <c r="B349" s="73" t="s">
        <v>1012</v>
      </c>
      <c r="C349" s="74">
        <v>90330</v>
      </c>
      <c r="D349" s="74">
        <v>61564</v>
      </c>
      <c r="E349" s="74">
        <v>95656</v>
      </c>
      <c r="F349" s="74">
        <v>66368</v>
      </c>
      <c r="G349" s="74"/>
      <c r="H349" s="74"/>
      <c r="I349" s="74"/>
      <c r="J349" s="74"/>
      <c r="K349" s="74"/>
      <c r="L349" s="74"/>
    </row>
    <row r="350" spans="1:12" ht="18" customHeight="1">
      <c r="A350" s="73" t="s">
        <v>1279</v>
      </c>
      <c r="B350" s="73" t="s">
        <v>1012</v>
      </c>
      <c r="C350" s="74">
        <v>-22</v>
      </c>
      <c r="D350" s="74">
        <v>-15</v>
      </c>
      <c r="E350" s="74">
        <v>-50</v>
      </c>
      <c r="F350" s="74">
        <v>-70</v>
      </c>
      <c r="G350" s="74">
        <v>-133</v>
      </c>
      <c r="H350" s="74"/>
      <c r="I350" s="74"/>
      <c r="J350" s="74"/>
      <c r="K350" s="74"/>
      <c r="L350" s="74"/>
    </row>
    <row r="351" spans="1:12" ht="18" customHeight="1">
      <c r="A351" s="73" t="s">
        <v>1280</v>
      </c>
      <c r="B351" s="73" t="s">
        <v>1012</v>
      </c>
      <c r="C351" s="74">
        <v>-143</v>
      </c>
      <c r="D351" s="74">
        <v>-117</v>
      </c>
      <c r="E351" s="74">
        <v>-180</v>
      </c>
      <c r="F351" s="74">
        <v>-122</v>
      </c>
      <c r="G351" s="74">
        <v>-190</v>
      </c>
      <c r="H351" s="74"/>
      <c r="I351" s="74"/>
      <c r="J351" s="74"/>
      <c r="K351" s="74"/>
      <c r="L351" s="74"/>
    </row>
    <row r="352" spans="1:12" ht="18" customHeight="1">
      <c r="A352" s="73" t="s">
        <v>1281</v>
      </c>
      <c r="B352" s="73" t="s">
        <v>1012</v>
      </c>
      <c r="C352" s="74">
        <v>7</v>
      </c>
      <c r="D352" s="74">
        <v>59</v>
      </c>
      <c r="E352" s="74">
        <v>81</v>
      </c>
      <c r="F352" s="74">
        <v>-13</v>
      </c>
      <c r="G352" s="74">
        <v>97</v>
      </c>
      <c r="H352" s="74"/>
      <c r="I352" s="74"/>
      <c r="J352" s="74"/>
      <c r="K352" s="74"/>
      <c r="L352" s="74"/>
    </row>
    <row r="353" spans="1:12" ht="18" customHeight="1">
      <c r="A353" s="73" t="s">
        <v>1282</v>
      </c>
      <c r="B353" s="73" t="s">
        <v>1012</v>
      </c>
      <c r="C353" s="74">
        <v>287</v>
      </c>
      <c r="D353" s="74">
        <v>109</v>
      </c>
      <c r="E353" s="74">
        <v>148</v>
      </c>
      <c r="F353" s="74">
        <v>99</v>
      </c>
      <c r="G353" s="74">
        <v>229</v>
      </c>
      <c r="H353" s="74"/>
      <c r="I353" s="74"/>
      <c r="J353" s="74"/>
      <c r="K353" s="74"/>
      <c r="L353" s="74"/>
    </row>
    <row r="354" spans="1:12" ht="8" customHeight="1">
      <c r="A354" s="73"/>
      <c r="B354" s="73"/>
      <c r="C354" s="74"/>
      <c r="D354" s="74"/>
      <c r="E354" s="74"/>
      <c r="F354" s="74"/>
      <c r="G354" s="74"/>
      <c r="H354" s="74"/>
      <c r="I354" s="74"/>
      <c r="J354" s="74"/>
      <c r="K354" s="74"/>
      <c r="L354" s="74"/>
    </row>
    <row r="355" spans="1:12" ht="24" customHeight="1">
      <c r="A355" s="129" t="s">
        <v>1350</v>
      </c>
      <c r="B355" s="129"/>
      <c r="C355" s="125"/>
      <c r="D355" s="125"/>
      <c r="E355" s="125"/>
      <c r="F355" s="125"/>
      <c r="G355" s="125"/>
      <c r="H355" s="125"/>
      <c r="I355" s="125"/>
      <c r="J355" s="125"/>
      <c r="K355" s="125"/>
      <c r="L355" s="125"/>
    </row>
    <row r="356" spans="1:12" ht="20" customHeight="1">
      <c r="A356" s="73" t="s">
        <v>1351</v>
      </c>
      <c r="B356" s="73"/>
      <c r="C356" s="128" t="s">
        <v>1068</v>
      </c>
      <c r="D356" s="128"/>
      <c r="E356" s="128"/>
      <c r="F356" s="128"/>
      <c r="G356" s="128"/>
      <c r="H356" s="128"/>
      <c r="I356" s="128"/>
      <c r="J356" s="128"/>
      <c r="K356" s="128"/>
      <c r="L356" s="128"/>
    </row>
    <row r="357" spans="1:12" ht="20" customHeight="1">
      <c r="A357" s="73" t="s">
        <v>1351</v>
      </c>
      <c r="B357" s="73"/>
      <c r="C357" s="128" t="s">
        <v>1079</v>
      </c>
      <c r="D357" s="128"/>
      <c r="E357" s="128"/>
      <c r="F357" s="128"/>
      <c r="G357" s="128"/>
      <c r="H357" s="128"/>
      <c r="I357" s="128"/>
      <c r="J357" s="128"/>
      <c r="K357" s="128"/>
      <c r="L357" s="128"/>
    </row>
    <row r="358" spans="1:12" ht="20" customHeight="1">
      <c r="A358" s="73" t="s">
        <v>1351</v>
      </c>
      <c r="B358" s="73"/>
      <c r="C358" s="128" t="s">
        <v>1094</v>
      </c>
      <c r="D358" s="128"/>
      <c r="E358" s="128"/>
      <c r="F358" s="128"/>
      <c r="G358" s="128"/>
      <c r="H358" s="128"/>
      <c r="I358" s="128"/>
      <c r="J358" s="128"/>
      <c r="K358" s="128"/>
      <c r="L358" s="128"/>
    </row>
    <row r="359" spans="1:12" ht="20" customHeight="1">
      <c r="A359" s="73" t="s">
        <v>1114</v>
      </c>
      <c r="B359" s="73"/>
      <c r="C359" s="128" t="s">
        <v>1352</v>
      </c>
      <c r="D359" s="128"/>
      <c r="E359" s="128"/>
      <c r="F359" s="128"/>
      <c r="G359" s="128"/>
      <c r="H359" s="128"/>
      <c r="I359" s="128"/>
      <c r="J359" s="128"/>
      <c r="K359" s="128"/>
      <c r="L359" s="128"/>
    </row>
    <row r="360" spans="1:12" ht="20" customHeight="1">
      <c r="A360" s="73" t="s">
        <v>1115</v>
      </c>
      <c r="B360" s="73"/>
      <c r="C360" s="128" t="s">
        <v>1353</v>
      </c>
      <c r="D360" s="128"/>
      <c r="E360" s="128"/>
      <c r="F360" s="128"/>
      <c r="G360" s="128"/>
      <c r="H360" s="128"/>
      <c r="I360" s="128"/>
      <c r="J360" s="128"/>
      <c r="K360" s="128"/>
      <c r="L360" s="128"/>
    </row>
    <row r="361" spans="1:12" ht="20" customHeight="1">
      <c r="A361" s="73" t="s">
        <v>1116</v>
      </c>
      <c r="B361" s="73"/>
      <c r="C361" s="128" t="s">
        <v>1354</v>
      </c>
      <c r="D361" s="128"/>
      <c r="E361" s="128"/>
      <c r="F361" s="128"/>
      <c r="G361" s="128"/>
      <c r="H361" s="128"/>
      <c r="I361" s="128"/>
      <c r="J361" s="128"/>
      <c r="K361" s="128"/>
      <c r="L361" s="128"/>
    </row>
    <row r="362" spans="1:12" ht="20" customHeight="1">
      <c r="A362" s="73" t="s">
        <v>1117</v>
      </c>
      <c r="B362" s="73"/>
      <c r="C362" s="128" t="s">
        <v>1355</v>
      </c>
      <c r="D362" s="128"/>
      <c r="E362" s="128"/>
      <c r="F362" s="128"/>
      <c r="G362" s="128"/>
      <c r="H362" s="128"/>
      <c r="I362" s="128"/>
      <c r="J362" s="128"/>
      <c r="K362" s="128"/>
      <c r="L362" s="128"/>
    </row>
    <row r="363" spans="1:12" ht="20" customHeight="1">
      <c r="A363" s="73" t="s">
        <v>1118</v>
      </c>
      <c r="B363" s="73"/>
      <c r="C363" s="128" t="s">
        <v>1356</v>
      </c>
      <c r="D363" s="128"/>
      <c r="E363" s="128"/>
      <c r="F363" s="128"/>
      <c r="G363" s="128"/>
      <c r="H363" s="128"/>
      <c r="I363" s="128"/>
      <c r="J363" s="128"/>
      <c r="K363" s="128"/>
      <c r="L363" s="128"/>
    </row>
    <row r="364" spans="1:12" ht="20" customHeight="1">
      <c r="A364" s="73" t="s">
        <v>1119</v>
      </c>
      <c r="B364" s="73"/>
      <c r="C364" s="128" t="s">
        <v>1357</v>
      </c>
      <c r="D364" s="128"/>
      <c r="E364" s="128"/>
      <c r="F364" s="128"/>
      <c r="G364" s="128"/>
      <c r="H364" s="128"/>
      <c r="I364" s="128"/>
      <c r="J364" s="128"/>
      <c r="K364" s="128"/>
      <c r="L364" s="128"/>
    </row>
    <row r="365" spans="1:12" ht="20" customHeight="1">
      <c r="A365" s="73" t="s">
        <v>1120</v>
      </c>
      <c r="B365" s="73"/>
      <c r="C365" s="128" t="s">
        <v>1358</v>
      </c>
      <c r="D365" s="128"/>
      <c r="E365" s="128"/>
      <c r="F365" s="128"/>
      <c r="G365" s="128"/>
      <c r="H365" s="128"/>
      <c r="I365" s="128"/>
      <c r="J365" s="128"/>
      <c r="K365" s="128"/>
      <c r="L365" s="128"/>
    </row>
    <row r="366" spans="1:12" ht="20" customHeight="1">
      <c r="A366" s="73" t="s">
        <v>1121</v>
      </c>
      <c r="B366" s="73"/>
      <c r="C366" s="128" t="s">
        <v>1359</v>
      </c>
      <c r="D366" s="128"/>
      <c r="E366" s="128"/>
      <c r="F366" s="128"/>
      <c r="G366" s="128"/>
      <c r="H366" s="128"/>
      <c r="I366" s="128"/>
      <c r="J366" s="128"/>
      <c r="K366" s="128"/>
      <c r="L366" s="128"/>
    </row>
    <row r="367" spans="1:12" ht="20" customHeight="1">
      <c r="A367" s="73" t="s">
        <v>1122</v>
      </c>
      <c r="B367" s="73"/>
      <c r="C367" s="128" t="s">
        <v>1360</v>
      </c>
      <c r="D367" s="128"/>
      <c r="E367" s="128"/>
      <c r="F367" s="128"/>
      <c r="G367" s="128"/>
      <c r="H367" s="128"/>
      <c r="I367" s="128"/>
      <c r="J367" s="128"/>
      <c r="K367" s="128"/>
      <c r="L367" s="128"/>
    </row>
    <row r="368" spans="1:12" ht="20" customHeight="1">
      <c r="A368" s="73" t="s">
        <v>1123</v>
      </c>
      <c r="B368" s="73"/>
      <c r="C368" s="128" t="s">
        <v>1361</v>
      </c>
      <c r="D368" s="128"/>
      <c r="E368" s="128"/>
      <c r="F368" s="128"/>
      <c r="G368" s="128"/>
      <c r="H368" s="128"/>
      <c r="I368" s="128"/>
      <c r="J368" s="128"/>
      <c r="K368" s="128"/>
      <c r="L368" s="128"/>
    </row>
    <row r="369" spans="1:12" ht="20" customHeight="1">
      <c r="A369" s="73" t="s">
        <v>1124</v>
      </c>
      <c r="B369" s="73"/>
      <c r="C369" s="128" t="s">
        <v>1362</v>
      </c>
      <c r="D369" s="128"/>
      <c r="E369" s="128"/>
      <c r="F369" s="128"/>
      <c r="G369" s="128"/>
      <c r="H369" s="128"/>
      <c r="I369" s="128"/>
      <c r="J369" s="128"/>
      <c r="K369" s="128"/>
      <c r="L369" s="128"/>
    </row>
    <row r="370" spans="1:12" ht="20" customHeight="1">
      <c r="A370" s="73" t="s">
        <v>1351</v>
      </c>
      <c r="B370" s="73"/>
      <c r="C370" s="128" t="s">
        <v>1128</v>
      </c>
      <c r="D370" s="128"/>
      <c r="E370" s="128"/>
      <c r="F370" s="128"/>
      <c r="G370" s="128"/>
      <c r="H370" s="128"/>
      <c r="I370" s="128"/>
      <c r="J370" s="128"/>
      <c r="K370" s="128"/>
      <c r="L370" s="128"/>
    </row>
    <row r="371" spans="1:12" ht="20" customHeight="1">
      <c r="A371" s="73" t="s">
        <v>1142</v>
      </c>
      <c r="B371" s="73"/>
      <c r="C371" s="128" t="s">
        <v>1363</v>
      </c>
      <c r="D371" s="128"/>
      <c r="E371" s="128"/>
      <c r="F371" s="128"/>
      <c r="G371" s="128"/>
      <c r="H371" s="128"/>
      <c r="I371" s="128"/>
      <c r="J371" s="128"/>
      <c r="K371" s="128"/>
      <c r="L371" s="128"/>
    </row>
    <row r="372" spans="1:12" ht="20" customHeight="1">
      <c r="A372" s="73" t="s">
        <v>1143</v>
      </c>
      <c r="B372" s="73"/>
      <c r="C372" s="128" t="s">
        <v>1364</v>
      </c>
      <c r="D372" s="128"/>
      <c r="E372" s="128"/>
      <c r="F372" s="128"/>
      <c r="G372" s="128"/>
      <c r="H372" s="128"/>
      <c r="I372" s="128"/>
      <c r="J372" s="128"/>
      <c r="K372" s="128"/>
      <c r="L372" s="128"/>
    </row>
    <row r="373" spans="1:12" ht="20" customHeight="1">
      <c r="A373" s="73" t="s">
        <v>1154</v>
      </c>
      <c r="B373" s="73"/>
      <c r="C373" s="128" t="s">
        <v>1365</v>
      </c>
      <c r="D373" s="128"/>
      <c r="E373" s="128"/>
      <c r="F373" s="128"/>
      <c r="G373" s="128"/>
      <c r="H373" s="128"/>
      <c r="I373" s="128"/>
      <c r="J373" s="128"/>
      <c r="K373" s="128"/>
      <c r="L373" s="128"/>
    </row>
    <row r="374" spans="1:12" ht="20" customHeight="1">
      <c r="A374" s="73" t="s">
        <v>1155</v>
      </c>
      <c r="B374" s="73"/>
      <c r="C374" s="128" t="s">
        <v>1366</v>
      </c>
      <c r="D374" s="128"/>
      <c r="E374" s="128"/>
      <c r="F374" s="128"/>
      <c r="G374" s="128"/>
      <c r="H374" s="128"/>
      <c r="I374" s="128"/>
      <c r="J374" s="128"/>
      <c r="K374" s="128"/>
      <c r="L374" s="128"/>
    </row>
    <row r="375" spans="1:12" ht="20" customHeight="1">
      <c r="A375" s="73" t="s">
        <v>1156</v>
      </c>
      <c r="B375" s="73"/>
      <c r="C375" s="128" t="s">
        <v>1367</v>
      </c>
      <c r="D375" s="128"/>
      <c r="E375" s="128"/>
      <c r="F375" s="128"/>
      <c r="G375" s="128"/>
      <c r="H375" s="128"/>
      <c r="I375" s="128"/>
      <c r="J375" s="128"/>
      <c r="K375" s="128"/>
      <c r="L375" s="128"/>
    </row>
    <row r="376" spans="1:12" ht="20" customHeight="1">
      <c r="A376" s="73" t="s">
        <v>1158</v>
      </c>
      <c r="B376" s="73"/>
      <c r="C376" s="128" t="s">
        <v>1368</v>
      </c>
      <c r="D376" s="128"/>
      <c r="E376" s="128"/>
      <c r="F376" s="128"/>
      <c r="G376" s="128"/>
      <c r="H376" s="128"/>
      <c r="I376" s="128"/>
      <c r="J376" s="128"/>
      <c r="K376" s="128"/>
      <c r="L376" s="128"/>
    </row>
    <row r="377" spans="1:12" ht="20" customHeight="1">
      <c r="A377" s="73" t="s">
        <v>1160</v>
      </c>
      <c r="B377" s="73"/>
      <c r="C377" s="128" t="s">
        <v>1369</v>
      </c>
      <c r="D377" s="128"/>
      <c r="E377" s="128"/>
      <c r="F377" s="128"/>
      <c r="G377" s="128"/>
      <c r="H377" s="128"/>
      <c r="I377" s="128"/>
      <c r="J377" s="128"/>
      <c r="K377" s="128"/>
      <c r="L377" s="128"/>
    </row>
    <row r="378" spans="1:12" ht="20" customHeight="1">
      <c r="A378" s="73" t="s">
        <v>1161</v>
      </c>
      <c r="B378" s="73"/>
      <c r="C378" s="128" t="s">
        <v>1370</v>
      </c>
      <c r="D378" s="128"/>
      <c r="E378" s="128"/>
      <c r="F378" s="128"/>
      <c r="G378" s="128"/>
      <c r="H378" s="128"/>
      <c r="I378" s="128"/>
      <c r="J378" s="128"/>
      <c r="K378" s="128"/>
      <c r="L378" s="128"/>
    </row>
    <row r="379" spans="1:12" ht="20" customHeight="1">
      <c r="A379" s="73" t="s">
        <v>1162</v>
      </c>
      <c r="B379" s="73"/>
      <c r="C379" s="128" t="s">
        <v>1371</v>
      </c>
      <c r="D379" s="128"/>
      <c r="E379" s="128"/>
      <c r="F379" s="128"/>
      <c r="G379" s="128"/>
      <c r="H379" s="128"/>
      <c r="I379" s="128"/>
      <c r="J379" s="128"/>
      <c r="K379" s="128"/>
      <c r="L379" s="128"/>
    </row>
    <row r="380" spans="1:12" ht="20" customHeight="1">
      <c r="A380" s="73" t="s">
        <v>1163</v>
      </c>
      <c r="B380" s="73"/>
      <c r="C380" s="128" t="s">
        <v>1372</v>
      </c>
      <c r="D380" s="128"/>
      <c r="E380" s="128"/>
      <c r="F380" s="128"/>
      <c r="G380" s="128"/>
      <c r="H380" s="128"/>
      <c r="I380" s="128"/>
      <c r="J380" s="128"/>
      <c r="K380" s="128"/>
      <c r="L380" s="128"/>
    </row>
    <row r="381" spans="1:12" ht="20" customHeight="1">
      <c r="A381" s="73" t="s">
        <v>1164</v>
      </c>
      <c r="B381" s="73"/>
      <c r="C381" s="128" t="s">
        <v>1373</v>
      </c>
      <c r="D381" s="128"/>
      <c r="E381" s="128"/>
      <c r="F381" s="128"/>
      <c r="G381" s="128"/>
      <c r="H381" s="128"/>
      <c r="I381" s="128"/>
      <c r="J381" s="128"/>
      <c r="K381" s="128"/>
      <c r="L381" s="128"/>
    </row>
    <row r="382" spans="1:12" ht="20" customHeight="1">
      <c r="A382" s="73" t="s">
        <v>1351</v>
      </c>
      <c r="B382" s="73"/>
      <c r="C382" s="128" t="s">
        <v>1177</v>
      </c>
      <c r="D382" s="128"/>
      <c r="E382" s="128"/>
      <c r="F382" s="128"/>
      <c r="G382" s="128"/>
      <c r="H382" s="128"/>
      <c r="I382" s="128"/>
      <c r="J382" s="128"/>
      <c r="K382" s="128"/>
      <c r="L382" s="128"/>
    </row>
    <row r="383" spans="1:12" ht="20" customHeight="1">
      <c r="A383" s="73" t="s">
        <v>1178</v>
      </c>
      <c r="B383" s="73"/>
      <c r="C383" s="128" t="s">
        <v>1374</v>
      </c>
      <c r="D383" s="128"/>
      <c r="E383" s="128"/>
      <c r="F383" s="128"/>
      <c r="G383" s="128"/>
      <c r="H383" s="128"/>
      <c r="I383" s="128"/>
      <c r="J383" s="128"/>
      <c r="K383" s="128"/>
      <c r="L383" s="128"/>
    </row>
    <row r="384" spans="1:12" ht="20" customHeight="1">
      <c r="A384" s="73" t="s">
        <v>1179</v>
      </c>
      <c r="B384" s="73"/>
      <c r="C384" s="128" t="s">
        <v>1375</v>
      </c>
      <c r="D384" s="128"/>
      <c r="E384" s="128"/>
      <c r="F384" s="128"/>
      <c r="G384" s="128"/>
      <c r="H384" s="128"/>
      <c r="I384" s="128"/>
      <c r="J384" s="128"/>
      <c r="K384" s="128"/>
      <c r="L384" s="128"/>
    </row>
    <row r="385" spans="1:12" ht="20" customHeight="1">
      <c r="A385" s="73" t="s">
        <v>1059</v>
      </c>
      <c r="B385" s="73"/>
      <c r="C385" s="128" t="s">
        <v>1376</v>
      </c>
      <c r="D385" s="128"/>
      <c r="E385" s="128"/>
      <c r="F385" s="128"/>
      <c r="G385" s="128"/>
      <c r="H385" s="128"/>
      <c r="I385" s="128"/>
      <c r="J385" s="128"/>
      <c r="K385" s="128"/>
      <c r="L385" s="128"/>
    </row>
    <row r="386" spans="1:12" ht="20" customHeight="1">
      <c r="A386" s="73" t="s">
        <v>1180</v>
      </c>
      <c r="B386" s="73"/>
      <c r="C386" s="128" t="s">
        <v>1377</v>
      </c>
      <c r="D386" s="128"/>
      <c r="E386" s="128"/>
      <c r="F386" s="128"/>
      <c r="G386" s="128"/>
      <c r="H386" s="128"/>
      <c r="I386" s="128"/>
      <c r="J386" s="128"/>
      <c r="K386" s="128"/>
      <c r="L386" s="128"/>
    </row>
    <row r="387" spans="1:12" ht="20" customHeight="1">
      <c r="A387" s="73" t="s">
        <v>1184</v>
      </c>
      <c r="B387" s="73"/>
      <c r="C387" s="128" t="s">
        <v>1378</v>
      </c>
      <c r="D387" s="128"/>
      <c r="E387" s="128"/>
      <c r="F387" s="128"/>
      <c r="G387" s="128"/>
      <c r="H387" s="128"/>
      <c r="I387" s="128"/>
      <c r="J387" s="128"/>
      <c r="K387" s="128"/>
      <c r="L387" s="128"/>
    </row>
    <row r="388" spans="1:12" ht="20" customHeight="1">
      <c r="A388" s="73" t="s">
        <v>1198</v>
      </c>
      <c r="B388" s="73"/>
      <c r="C388" s="128" t="s">
        <v>1379</v>
      </c>
      <c r="D388" s="128"/>
      <c r="E388" s="128"/>
      <c r="F388" s="128"/>
      <c r="G388" s="128"/>
      <c r="H388" s="128"/>
      <c r="I388" s="128"/>
      <c r="J388" s="128"/>
      <c r="K388" s="128"/>
      <c r="L388" s="128"/>
    </row>
    <row r="389" spans="1:12" ht="20" customHeight="1">
      <c r="A389" s="73" t="s">
        <v>1209</v>
      </c>
      <c r="B389" s="73"/>
      <c r="C389" s="128" t="s">
        <v>1380</v>
      </c>
      <c r="D389" s="128"/>
      <c r="E389" s="128"/>
      <c r="F389" s="128"/>
      <c r="G389" s="128"/>
      <c r="H389" s="128"/>
      <c r="I389" s="128"/>
      <c r="J389" s="128"/>
      <c r="K389" s="128"/>
      <c r="L389" s="128"/>
    </row>
    <row r="390" spans="1:12" ht="20" customHeight="1">
      <c r="A390" s="73" t="s">
        <v>1210</v>
      </c>
      <c r="B390" s="73"/>
      <c r="C390" s="128" t="s">
        <v>1381</v>
      </c>
      <c r="D390" s="128"/>
      <c r="E390" s="128"/>
      <c r="F390" s="128"/>
      <c r="G390" s="128"/>
      <c r="H390" s="128"/>
      <c r="I390" s="128"/>
      <c r="J390" s="128"/>
      <c r="K390" s="128"/>
      <c r="L390" s="128"/>
    </row>
    <row r="391" spans="1:12" ht="20" customHeight="1">
      <c r="A391" s="73" t="s">
        <v>1211</v>
      </c>
      <c r="B391" s="73"/>
      <c r="C391" s="128" t="s">
        <v>1382</v>
      </c>
      <c r="D391" s="128"/>
      <c r="E391" s="128"/>
      <c r="F391" s="128"/>
      <c r="G391" s="128"/>
      <c r="H391" s="128"/>
      <c r="I391" s="128"/>
      <c r="J391" s="128"/>
      <c r="K391" s="128"/>
      <c r="L391" s="128"/>
    </row>
    <row r="392" spans="1:12" ht="20" customHeight="1">
      <c r="A392" s="73" t="s">
        <v>1212</v>
      </c>
      <c r="B392" s="73"/>
      <c r="C392" s="128" t="s">
        <v>1383</v>
      </c>
      <c r="D392" s="128"/>
      <c r="E392" s="128"/>
      <c r="F392" s="128"/>
      <c r="G392" s="128"/>
      <c r="H392" s="128"/>
      <c r="I392" s="128"/>
      <c r="J392" s="128"/>
      <c r="K392" s="128"/>
      <c r="L392" s="128"/>
    </row>
    <row r="393" spans="1:12" ht="20" customHeight="1">
      <c r="A393" s="73" t="s">
        <v>1213</v>
      </c>
      <c r="B393" s="73"/>
      <c r="C393" s="128" t="s">
        <v>1384</v>
      </c>
      <c r="D393" s="128"/>
      <c r="E393" s="128"/>
      <c r="F393" s="128"/>
      <c r="G393" s="128"/>
      <c r="H393" s="128"/>
      <c r="I393" s="128"/>
      <c r="J393" s="128"/>
      <c r="K393" s="128"/>
      <c r="L393" s="128"/>
    </row>
    <row r="394" spans="1:12" ht="20" customHeight="1">
      <c r="A394" s="73" t="s">
        <v>1214</v>
      </c>
      <c r="B394" s="73"/>
      <c r="C394" s="128" t="s">
        <v>1385</v>
      </c>
      <c r="D394" s="128"/>
      <c r="E394" s="128"/>
      <c r="F394" s="128"/>
      <c r="G394" s="128"/>
      <c r="H394" s="128"/>
      <c r="I394" s="128"/>
      <c r="J394" s="128"/>
      <c r="K394" s="128"/>
      <c r="L394" s="128"/>
    </row>
    <row r="395" spans="1:12" ht="20" customHeight="1">
      <c r="A395" s="73" t="s">
        <v>1215</v>
      </c>
      <c r="B395" s="73"/>
      <c r="C395" s="128" t="s">
        <v>1386</v>
      </c>
      <c r="D395" s="128"/>
      <c r="E395" s="128"/>
      <c r="F395" s="128"/>
      <c r="G395" s="128"/>
      <c r="H395" s="128"/>
      <c r="I395" s="128"/>
      <c r="J395" s="128"/>
      <c r="K395" s="128"/>
      <c r="L395" s="128"/>
    </row>
    <row r="396" spans="1:12" ht="20" customHeight="1">
      <c r="A396" s="73" t="s">
        <v>1351</v>
      </c>
      <c r="B396" s="73"/>
      <c r="C396" s="128" t="s">
        <v>1224</v>
      </c>
      <c r="D396" s="128"/>
      <c r="E396" s="128"/>
      <c r="F396" s="128"/>
      <c r="G396" s="128"/>
      <c r="H396" s="128"/>
      <c r="I396" s="128"/>
      <c r="J396" s="128"/>
      <c r="K396" s="128"/>
      <c r="L396" s="128"/>
    </row>
    <row r="397" spans="1:12" ht="20" customHeight="1">
      <c r="A397" s="73" t="s">
        <v>1300</v>
      </c>
      <c r="B397" s="73"/>
      <c r="C397" s="128" t="s">
        <v>1301</v>
      </c>
      <c r="D397" s="128"/>
      <c r="E397" s="128"/>
      <c r="F397" s="128"/>
      <c r="G397" s="128"/>
      <c r="H397" s="128"/>
      <c r="I397" s="128"/>
      <c r="J397" s="128"/>
      <c r="K397" s="128"/>
      <c r="L397" s="128"/>
    </row>
    <row r="398" spans="1:12" ht="20" customHeight="1">
      <c r="A398" s="73" t="s">
        <v>1229</v>
      </c>
      <c r="B398" s="73"/>
      <c r="C398" s="128" t="s">
        <v>1387</v>
      </c>
      <c r="D398" s="128"/>
      <c r="E398" s="128"/>
      <c r="F398" s="128"/>
      <c r="G398" s="128"/>
      <c r="H398" s="128"/>
      <c r="I398" s="128"/>
      <c r="J398" s="128"/>
      <c r="K398" s="128"/>
      <c r="L398" s="128"/>
    </row>
    <row r="399" spans="1:12" ht="20" customHeight="1">
      <c r="A399" s="73" t="s">
        <v>1351</v>
      </c>
      <c r="B399" s="73"/>
      <c r="C399" s="128" t="s">
        <v>1243</v>
      </c>
      <c r="D399" s="128"/>
      <c r="E399" s="128"/>
      <c r="F399" s="128"/>
      <c r="G399" s="128"/>
      <c r="H399" s="128"/>
      <c r="I399" s="128"/>
      <c r="J399" s="128"/>
      <c r="K399" s="128"/>
      <c r="L399" s="128"/>
    </row>
    <row r="400" spans="1:12" ht="20" customHeight="1">
      <c r="A400" s="73" t="s">
        <v>1310</v>
      </c>
      <c r="B400" s="73"/>
      <c r="C400" s="128" t="s">
        <v>1471</v>
      </c>
      <c r="D400" s="128"/>
      <c r="E400" s="128"/>
      <c r="F400" s="128"/>
      <c r="G400" s="128"/>
      <c r="H400" s="128"/>
      <c r="I400" s="128"/>
      <c r="J400" s="128"/>
      <c r="K400" s="128"/>
      <c r="L400" s="128"/>
    </row>
    <row r="401" spans="1:12" ht="20" customHeight="1">
      <c r="A401" s="73" t="s">
        <v>1311</v>
      </c>
      <c r="B401" s="73"/>
      <c r="C401" s="128" t="s">
        <v>1472</v>
      </c>
      <c r="D401" s="128"/>
      <c r="E401" s="128"/>
      <c r="F401" s="128"/>
      <c r="G401" s="128"/>
      <c r="H401" s="128"/>
      <c r="I401" s="128"/>
      <c r="J401" s="128"/>
      <c r="K401" s="128"/>
      <c r="L401" s="128"/>
    </row>
    <row r="402" spans="1:12" ht="20" customHeight="1">
      <c r="A402" s="73" t="s">
        <v>1312</v>
      </c>
      <c r="B402" s="73"/>
      <c r="C402" s="128" t="s">
        <v>1473</v>
      </c>
      <c r="D402" s="128"/>
      <c r="E402" s="128"/>
      <c r="F402" s="128"/>
      <c r="G402" s="128"/>
      <c r="H402" s="128"/>
      <c r="I402" s="128"/>
      <c r="J402" s="128"/>
      <c r="K402" s="128"/>
      <c r="L402" s="128"/>
    </row>
    <row r="403" spans="1:12" ht="20" customHeight="1">
      <c r="A403" s="73" t="s">
        <v>1313</v>
      </c>
      <c r="B403" s="73"/>
      <c r="C403" s="128" t="s">
        <v>1388</v>
      </c>
      <c r="D403" s="128"/>
      <c r="E403" s="128"/>
      <c r="F403" s="128"/>
      <c r="G403" s="128"/>
      <c r="H403" s="128"/>
      <c r="I403" s="128"/>
      <c r="J403" s="128"/>
      <c r="K403" s="128"/>
      <c r="L403" s="128"/>
    </row>
    <row r="404" spans="1:12" ht="20" customHeight="1">
      <c r="A404" s="73" t="s">
        <v>1314</v>
      </c>
      <c r="B404" s="73"/>
      <c r="C404" s="128" t="s">
        <v>1389</v>
      </c>
      <c r="D404" s="128"/>
      <c r="E404" s="128"/>
      <c r="F404" s="128"/>
      <c r="G404" s="128"/>
      <c r="H404" s="128"/>
      <c r="I404" s="128"/>
      <c r="J404" s="128"/>
      <c r="K404" s="128"/>
      <c r="L404" s="128"/>
    </row>
    <row r="405" spans="1:12" ht="20" customHeight="1">
      <c r="A405" s="73" t="s">
        <v>1315</v>
      </c>
      <c r="B405" s="73"/>
      <c r="C405" s="128" t="s">
        <v>1390</v>
      </c>
      <c r="D405" s="128"/>
      <c r="E405" s="128"/>
      <c r="F405" s="128"/>
      <c r="G405" s="128"/>
      <c r="H405" s="128"/>
      <c r="I405" s="128"/>
      <c r="J405" s="128"/>
      <c r="K405" s="128"/>
      <c r="L405" s="128"/>
    </row>
    <row r="406" spans="1:12" ht="20" customHeight="1">
      <c r="A406" s="73" t="s">
        <v>1316</v>
      </c>
      <c r="B406" s="73"/>
      <c r="C406" s="128" t="s">
        <v>1391</v>
      </c>
      <c r="D406" s="128"/>
      <c r="E406" s="128"/>
      <c r="F406" s="128"/>
      <c r="G406" s="128"/>
      <c r="H406" s="128"/>
      <c r="I406" s="128"/>
      <c r="J406" s="128"/>
      <c r="K406" s="128"/>
      <c r="L406" s="128"/>
    </row>
    <row r="407" spans="1:12" ht="20" customHeight="1">
      <c r="A407" s="73" t="s">
        <v>1317</v>
      </c>
      <c r="B407" s="73"/>
      <c r="C407" s="128" t="s">
        <v>1392</v>
      </c>
      <c r="D407" s="128"/>
      <c r="E407" s="128"/>
      <c r="F407" s="128"/>
      <c r="G407" s="128"/>
      <c r="H407" s="128"/>
      <c r="I407" s="128"/>
      <c r="J407" s="128"/>
      <c r="K407" s="128"/>
      <c r="L407" s="128"/>
    </row>
    <row r="408" spans="1:12" ht="20" customHeight="1">
      <c r="A408" s="73" t="s">
        <v>1178</v>
      </c>
      <c r="B408" s="73"/>
      <c r="C408" s="128" t="s">
        <v>1393</v>
      </c>
      <c r="D408" s="128"/>
      <c r="E408" s="128"/>
      <c r="F408" s="128"/>
      <c r="G408" s="128"/>
      <c r="H408" s="128"/>
      <c r="I408" s="128"/>
      <c r="J408" s="128"/>
      <c r="K408" s="128"/>
      <c r="L408" s="128"/>
    </row>
    <row r="409" spans="1:12" ht="20" customHeight="1">
      <c r="A409" s="73" t="s">
        <v>1318</v>
      </c>
      <c r="B409" s="73"/>
      <c r="C409" s="128" t="s">
        <v>1394</v>
      </c>
      <c r="D409" s="128"/>
      <c r="E409" s="128"/>
      <c r="F409" s="128"/>
      <c r="G409" s="128"/>
      <c r="H409" s="128"/>
      <c r="I409" s="128"/>
      <c r="J409" s="128"/>
      <c r="K409" s="128"/>
      <c r="L409" s="128"/>
    </row>
    <row r="410" spans="1:12" ht="20" customHeight="1">
      <c r="A410" s="73" t="s">
        <v>1319</v>
      </c>
      <c r="B410" s="73"/>
      <c r="C410" s="128" t="s">
        <v>1395</v>
      </c>
      <c r="D410" s="128"/>
      <c r="E410" s="128"/>
      <c r="F410" s="128"/>
      <c r="G410" s="128"/>
      <c r="H410" s="128"/>
      <c r="I410" s="128"/>
      <c r="J410" s="128"/>
      <c r="K410" s="128"/>
      <c r="L410" s="128"/>
    </row>
    <row r="411" spans="1:12" ht="20" customHeight="1">
      <c r="A411" s="73" t="s">
        <v>1181</v>
      </c>
      <c r="B411" s="73"/>
      <c r="C411" s="128" t="s">
        <v>1396</v>
      </c>
      <c r="D411" s="128"/>
      <c r="E411" s="128"/>
      <c r="F411" s="128"/>
      <c r="G411" s="128"/>
      <c r="H411" s="128"/>
      <c r="I411" s="128"/>
      <c r="J411" s="128"/>
      <c r="K411" s="128"/>
      <c r="L411" s="128"/>
    </row>
    <row r="412" spans="1:12" ht="20" customHeight="1">
      <c r="A412" s="73" t="s">
        <v>1320</v>
      </c>
      <c r="B412" s="73"/>
      <c r="C412" s="128" t="s">
        <v>1474</v>
      </c>
      <c r="D412" s="128"/>
      <c r="E412" s="128"/>
      <c r="F412" s="128"/>
      <c r="G412" s="128"/>
      <c r="H412" s="128"/>
      <c r="I412" s="128"/>
      <c r="J412" s="128"/>
      <c r="K412" s="128"/>
      <c r="L412" s="128"/>
    </row>
    <row r="413" spans="1:12" ht="20" customHeight="1">
      <c r="A413" s="73" t="s">
        <v>1182</v>
      </c>
      <c r="B413" s="73"/>
      <c r="C413" s="128" t="s">
        <v>1475</v>
      </c>
      <c r="D413" s="128"/>
      <c r="E413" s="128"/>
      <c r="F413" s="128"/>
      <c r="G413" s="128"/>
      <c r="H413" s="128"/>
      <c r="I413" s="128"/>
      <c r="J413" s="128"/>
      <c r="K413" s="128"/>
      <c r="L413" s="128"/>
    </row>
    <row r="414" spans="1:12" ht="20" customHeight="1">
      <c r="A414" s="73" t="s">
        <v>1321</v>
      </c>
      <c r="B414" s="73"/>
      <c r="C414" s="128" t="s">
        <v>1397</v>
      </c>
      <c r="D414" s="128"/>
      <c r="E414" s="128"/>
      <c r="F414" s="128"/>
      <c r="G414" s="128"/>
      <c r="H414" s="128"/>
      <c r="I414" s="128"/>
      <c r="J414" s="128"/>
      <c r="K414" s="128"/>
      <c r="L414" s="128"/>
    </row>
    <row r="415" spans="1:12" ht="20" customHeight="1">
      <c r="A415" s="73" t="s">
        <v>1322</v>
      </c>
      <c r="B415" s="73"/>
      <c r="C415" s="128" t="s">
        <v>1398</v>
      </c>
      <c r="D415" s="128"/>
      <c r="E415" s="128"/>
      <c r="F415" s="128"/>
      <c r="G415" s="128"/>
      <c r="H415" s="128"/>
      <c r="I415" s="128"/>
      <c r="J415" s="128"/>
      <c r="K415" s="128"/>
      <c r="L415" s="128"/>
    </row>
    <row r="416" spans="1:12" ht="20" customHeight="1">
      <c r="A416" s="73" t="s">
        <v>1186</v>
      </c>
      <c r="B416" s="73"/>
      <c r="C416" s="128" t="s">
        <v>1399</v>
      </c>
      <c r="D416" s="128"/>
      <c r="E416" s="128"/>
      <c r="F416" s="128"/>
      <c r="G416" s="128"/>
      <c r="H416" s="128"/>
      <c r="I416" s="128"/>
      <c r="J416" s="128"/>
      <c r="K416" s="128"/>
      <c r="L416" s="128"/>
    </row>
    <row r="417" spans="1:12" ht="20" customHeight="1">
      <c r="A417" s="73" t="s">
        <v>1400</v>
      </c>
      <c r="B417" s="73"/>
      <c r="C417" s="128" t="s">
        <v>1328</v>
      </c>
      <c r="D417" s="128"/>
      <c r="E417" s="128"/>
      <c r="F417" s="128"/>
      <c r="G417" s="128"/>
      <c r="H417" s="128"/>
      <c r="I417" s="128"/>
      <c r="J417" s="128"/>
      <c r="K417" s="128"/>
      <c r="L417" s="128"/>
    </row>
    <row r="418" spans="1:12" ht="28" customHeight="1">
      <c r="A418" s="73" t="s">
        <v>1245</v>
      </c>
      <c r="B418" s="73"/>
      <c r="C418" s="128" t="s">
        <v>1246</v>
      </c>
      <c r="D418" s="128"/>
      <c r="E418" s="128"/>
      <c r="F418" s="128"/>
      <c r="G418" s="128"/>
      <c r="H418" s="128"/>
      <c r="I418" s="128"/>
      <c r="J418" s="128"/>
      <c r="K418" s="128"/>
      <c r="L418" s="128"/>
    </row>
    <row r="419" spans="1:12" ht="28" customHeight="1">
      <c r="A419" s="73" t="s">
        <v>1248</v>
      </c>
      <c r="B419" s="73"/>
      <c r="C419" s="128" t="s">
        <v>1249</v>
      </c>
      <c r="D419" s="128"/>
      <c r="E419" s="128"/>
      <c r="F419" s="128"/>
      <c r="G419" s="128"/>
      <c r="H419" s="128"/>
      <c r="I419" s="128"/>
      <c r="J419" s="128"/>
      <c r="K419" s="128"/>
      <c r="L419" s="128"/>
    </row>
    <row r="420" spans="1:12" ht="28" customHeight="1">
      <c r="A420" s="73" t="s">
        <v>1251</v>
      </c>
      <c r="B420" s="73"/>
      <c r="C420" s="128" t="s">
        <v>1252</v>
      </c>
      <c r="D420" s="128"/>
      <c r="E420" s="128"/>
      <c r="F420" s="128"/>
      <c r="G420" s="128"/>
      <c r="H420" s="128"/>
      <c r="I420" s="128"/>
      <c r="J420" s="128"/>
      <c r="K420" s="128"/>
      <c r="L420" s="128"/>
    </row>
    <row r="421" spans="1:12" ht="28" customHeight="1">
      <c r="A421" s="73" t="s">
        <v>1254</v>
      </c>
      <c r="B421" s="73"/>
      <c r="C421" s="128" t="s">
        <v>1255</v>
      </c>
      <c r="D421" s="128"/>
      <c r="E421" s="128"/>
      <c r="F421" s="128"/>
      <c r="G421" s="128"/>
      <c r="H421" s="128"/>
      <c r="I421" s="128"/>
      <c r="J421" s="128"/>
      <c r="K421" s="128"/>
      <c r="L421" s="128"/>
    </row>
    <row r="422" spans="1:12" ht="28" customHeight="1">
      <c r="A422" s="73" t="s">
        <v>1257</v>
      </c>
      <c r="B422" s="73"/>
      <c r="C422" s="128" t="s">
        <v>1258</v>
      </c>
      <c r="D422" s="128"/>
      <c r="E422" s="128"/>
      <c r="F422" s="128"/>
      <c r="G422" s="128"/>
      <c r="H422" s="128"/>
      <c r="I422" s="128"/>
      <c r="J422" s="128"/>
      <c r="K422" s="128"/>
      <c r="L422" s="128"/>
    </row>
    <row r="423" spans="1:12" ht="28" customHeight="1">
      <c r="A423" s="73" t="s">
        <v>1260</v>
      </c>
      <c r="B423" s="73"/>
      <c r="C423" s="128" t="s">
        <v>1261</v>
      </c>
      <c r="D423" s="128"/>
      <c r="E423" s="128"/>
      <c r="F423" s="128"/>
      <c r="G423" s="128"/>
      <c r="H423" s="128"/>
      <c r="I423" s="128"/>
      <c r="J423" s="128"/>
      <c r="K423" s="128"/>
      <c r="L423" s="128"/>
    </row>
    <row r="424" spans="1:12" ht="20" customHeight="1">
      <c r="A424" s="73" t="s">
        <v>1263</v>
      </c>
      <c r="B424" s="73"/>
      <c r="C424" s="128" t="s">
        <v>1264</v>
      </c>
      <c r="D424" s="128"/>
      <c r="E424" s="128"/>
      <c r="F424" s="128"/>
      <c r="G424" s="128"/>
      <c r="H424" s="128"/>
      <c r="I424" s="128"/>
      <c r="J424" s="128"/>
      <c r="K424" s="128"/>
      <c r="L424" s="128"/>
    </row>
    <row r="425" spans="1:12" ht="20" customHeight="1">
      <c r="A425" s="73" t="s">
        <v>1266</v>
      </c>
      <c r="B425" s="73"/>
      <c r="C425" s="128" t="s">
        <v>1267</v>
      </c>
      <c r="D425" s="128"/>
      <c r="E425" s="128"/>
      <c r="F425" s="128"/>
      <c r="G425" s="128"/>
      <c r="H425" s="128"/>
      <c r="I425" s="128"/>
      <c r="J425" s="128"/>
      <c r="K425" s="128"/>
      <c r="L425" s="128"/>
    </row>
    <row r="426" spans="1:12" ht="20" customHeight="1">
      <c r="A426" s="73" t="s">
        <v>1401</v>
      </c>
      <c r="B426" s="73"/>
      <c r="C426" s="128" t="s">
        <v>1402</v>
      </c>
      <c r="D426" s="128"/>
      <c r="E426" s="128"/>
      <c r="F426" s="128"/>
      <c r="G426" s="128"/>
      <c r="H426" s="128"/>
      <c r="I426" s="128"/>
      <c r="J426" s="128"/>
      <c r="K426" s="128"/>
      <c r="L426" s="128"/>
    </row>
    <row r="427" spans="1:12" ht="42" customHeight="1">
      <c r="A427" s="73" t="s">
        <v>1401</v>
      </c>
      <c r="B427" s="73"/>
      <c r="C427" s="3" t="s">
        <v>1288</v>
      </c>
      <c r="D427" s="128"/>
      <c r="E427" s="128"/>
      <c r="F427" s="128"/>
      <c r="G427" s="128"/>
      <c r="H427" s="128"/>
      <c r="I427" s="128"/>
      <c r="J427" s="128"/>
      <c r="K427" s="128"/>
      <c r="L427" s="128"/>
    </row>
    <row r="428" spans="1:12" ht="28" customHeight="1">
      <c r="A428" s="73" t="s">
        <v>1401</v>
      </c>
      <c r="B428" s="73"/>
      <c r="C428" s="128" t="s">
        <v>1289</v>
      </c>
      <c r="D428" s="128"/>
      <c r="E428" s="128"/>
      <c r="F428" s="128"/>
      <c r="G428" s="128"/>
      <c r="H428" s="128"/>
      <c r="I428" s="128"/>
      <c r="J428" s="128"/>
      <c r="K428" s="128"/>
      <c r="L428" s="128"/>
    </row>
    <row r="429" spans="1:12" ht="28" customHeight="1">
      <c r="A429" s="73" t="s">
        <v>1401</v>
      </c>
      <c r="B429" s="73"/>
      <c r="C429" s="128" t="s">
        <v>1290</v>
      </c>
      <c r="D429" s="128"/>
      <c r="E429" s="128"/>
      <c r="F429" s="128"/>
      <c r="G429" s="128"/>
      <c r="H429" s="128"/>
      <c r="I429" s="128"/>
      <c r="J429" s="128"/>
      <c r="K429" s="128"/>
      <c r="L429" s="128"/>
    </row>
    <row r="430" spans="1:12" ht="28" customHeight="1">
      <c r="A430" s="73" t="s">
        <v>1401</v>
      </c>
      <c r="B430" s="73"/>
      <c r="C430" s="128" t="s">
        <v>1291</v>
      </c>
      <c r="D430" s="128"/>
      <c r="E430" s="128"/>
      <c r="F430" s="128"/>
      <c r="G430" s="128"/>
      <c r="H430" s="128"/>
      <c r="I430" s="128"/>
      <c r="J430" s="128"/>
      <c r="K430" s="128"/>
      <c r="L430" s="128"/>
    </row>
    <row r="431" spans="1:12" ht="20" customHeight="1">
      <c r="A431" s="73" t="s">
        <v>1401</v>
      </c>
      <c r="B431" s="73"/>
      <c r="C431" s="128" t="s">
        <v>1292</v>
      </c>
      <c r="D431" s="128"/>
      <c r="E431" s="128"/>
      <c r="F431" s="128"/>
      <c r="G431" s="128"/>
      <c r="H431" s="128"/>
      <c r="I431" s="128"/>
      <c r="J431" s="128"/>
      <c r="K431" s="128"/>
      <c r="L431" s="128"/>
    </row>
    <row r="433" spans="1:12" ht="24" customHeight="1">
      <c r="A433" s="124" t="s">
        <v>1447</v>
      </c>
      <c r="B433" s="123"/>
      <c r="C433" s="123"/>
      <c r="D433" s="123"/>
      <c r="E433" s="123"/>
      <c r="F433" s="123"/>
      <c r="G433" s="123"/>
      <c r="H433" s="123"/>
      <c r="I433" s="123"/>
      <c r="J433" s="123"/>
      <c r="K433" s="123"/>
      <c r="L433" s="123"/>
    </row>
    <row r="434" spans="1:12" ht="18" customHeight="1">
      <c r="A434" s="98" t="s">
        <v>1038</v>
      </c>
      <c r="B434" s="98" t="s">
        <v>972</v>
      </c>
      <c r="C434" s="98" t="s">
        <v>1432</v>
      </c>
      <c r="D434" s="98" t="s">
        <v>1433</v>
      </c>
      <c r="E434" s="98" t="s">
        <v>1434</v>
      </c>
      <c r="F434" s="98" t="s">
        <v>1435</v>
      </c>
      <c r="G434" s="98" t="s">
        <v>1436</v>
      </c>
      <c r="H434" s="98" t="s">
        <v>1437</v>
      </c>
      <c r="I434" s="98" t="s">
        <v>1438</v>
      </c>
      <c r="J434" s="98" t="s">
        <v>1439</v>
      </c>
    </row>
    <row r="435" spans="1:12" ht="18" customHeight="1">
      <c r="A435" s="97" t="s">
        <v>1101</v>
      </c>
      <c r="B435" s="97" t="s">
        <v>1012</v>
      </c>
      <c r="C435" s="99">
        <v>326</v>
      </c>
      <c r="D435" s="99">
        <v>322</v>
      </c>
      <c r="E435" s="99">
        <v>319</v>
      </c>
      <c r="F435" s="99">
        <v>325</v>
      </c>
      <c r="G435" s="99">
        <v>325</v>
      </c>
      <c r="H435" s="99">
        <v>325</v>
      </c>
      <c r="I435" s="99">
        <v>323</v>
      </c>
      <c r="J435" s="99">
        <v>320</v>
      </c>
    </row>
    <row r="436" spans="1:12" ht="18" customHeight="1">
      <c r="A436" s="97" t="s">
        <v>1102</v>
      </c>
      <c r="B436" s="97" t="s">
        <v>1012</v>
      </c>
      <c r="C436" s="99">
        <v>318</v>
      </c>
      <c r="D436" s="99">
        <v>312</v>
      </c>
      <c r="E436" s="99">
        <v>301</v>
      </c>
      <c r="F436" s="99">
        <v>328</v>
      </c>
      <c r="G436" s="99">
        <v>341</v>
      </c>
      <c r="H436" s="99">
        <v>353</v>
      </c>
      <c r="I436" s="99">
        <v>353</v>
      </c>
      <c r="J436" s="99">
        <v>359</v>
      </c>
    </row>
    <row r="437" spans="1:12" ht="18" customHeight="1">
      <c r="A437" s="97" t="s">
        <v>1103</v>
      </c>
      <c r="B437" s="97" t="s">
        <v>1012</v>
      </c>
      <c r="C437" s="99">
        <v>2</v>
      </c>
      <c r="D437" s="99">
        <v>0</v>
      </c>
      <c r="E437" s="99">
        <v>0</v>
      </c>
      <c r="F437" s="99">
        <v>0</v>
      </c>
      <c r="G437" s="99">
        <v>0</v>
      </c>
      <c r="H437" s="99">
        <v>0</v>
      </c>
      <c r="I437" s="99">
        <v>0</v>
      </c>
      <c r="J437" s="99">
        <v>0</v>
      </c>
    </row>
    <row r="438" spans="1:12" ht="18" customHeight="1">
      <c r="A438" s="97" t="s">
        <v>1448</v>
      </c>
      <c r="B438" s="97" t="s">
        <v>973</v>
      </c>
      <c r="C438" s="100">
        <v>0.20699999999999999</v>
      </c>
      <c r="D438" s="100">
        <v>0.20499999999999999</v>
      </c>
      <c r="E438" s="100">
        <v>0.19800000000000001</v>
      </c>
      <c r="F438" s="100">
        <v>0.21299999999999999</v>
      </c>
      <c r="G438" s="100">
        <v>0.22800000000000001</v>
      </c>
      <c r="H438" s="100">
        <v>0.215</v>
      </c>
      <c r="I438" s="100">
        <v>0.22</v>
      </c>
      <c r="J438" s="100">
        <v>0.19500000000000001</v>
      </c>
    </row>
    <row r="439" spans="1:12" ht="18" customHeight="1">
      <c r="A439" s="97" t="s">
        <v>1442</v>
      </c>
      <c r="B439" s="97" t="s">
        <v>973</v>
      </c>
      <c r="C439" s="100">
        <v>0.01</v>
      </c>
      <c r="D439" s="100">
        <v>-0.01</v>
      </c>
      <c r="E439" s="100">
        <v>-0.03</v>
      </c>
      <c r="F439" s="100">
        <v>0.03</v>
      </c>
      <c r="G439" s="100">
        <v>0.03</v>
      </c>
      <c r="H439" s="100">
        <v>0.05</v>
      </c>
      <c r="I439" s="100">
        <v>0.04</v>
      </c>
      <c r="J439" s="100">
        <v>0.02</v>
      </c>
    </row>
    <row r="440" spans="1:12" ht="18" customHeight="1">
      <c r="A440" s="97" t="s">
        <v>1443</v>
      </c>
      <c r="B440" s="97" t="s">
        <v>973</v>
      </c>
      <c r="C440" s="100">
        <v>0.01</v>
      </c>
      <c r="D440" s="100">
        <v>0.03</v>
      </c>
      <c r="E440" s="100">
        <v>0.01</v>
      </c>
      <c r="F440" s="100">
        <v>0.06</v>
      </c>
      <c r="G440" s="100">
        <v>0.06</v>
      </c>
      <c r="H440" s="100">
        <v>0.06</v>
      </c>
      <c r="I440" s="100">
        <v>0.04</v>
      </c>
      <c r="J440" s="100">
        <v>0.03</v>
      </c>
    </row>
    <row r="441" spans="1:12" ht="18" customHeight="1">
      <c r="A441" s="97" t="s">
        <v>1444</v>
      </c>
      <c r="B441" s="97" t="s">
        <v>973</v>
      </c>
      <c r="C441" s="100">
        <v>0.01</v>
      </c>
      <c r="D441" s="100">
        <v>0.2</v>
      </c>
      <c r="E441" s="100">
        <v>0.09</v>
      </c>
      <c r="F441" s="100">
        <v>0.09</v>
      </c>
      <c r="G441" s="100">
        <v>0.06</v>
      </c>
      <c r="H441" s="100">
        <v>0.06</v>
      </c>
      <c r="I441" s="100">
        <v>0.06</v>
      </c>
      <c r="J441" s="100">
        <v>7.0000000000000007E-2</v>
      </c>
    </row>
    <row r="442" spans="1:12" ht="18" customHeight="1">
      <c r="A442" s="97" t="s">
        <v>1445</v>
      </c>
      <c r="B442" s="97" t="s">
        <v>973</v>
      </c>
      <c r="C442" s="100">
        <v>0.04</v>
      </c>
      <c r="D442" s="100">
        <v>-0.06</v>
      </c>
      <c r="E442" s="100">
        <v>-7.0000000000000007E-2</v>
      </c>
      <c r="F442" s="100">
        <v>-0.02</v>
      </c>
      <c r="G442" s="100">
        <v>-0.06</v>
      </c>
      <c r="H442" s="100">
        <v>0.06</v>
      </c>
      <c r="I442" s="100">
        <v>0.03</v>
      </c>
      <c r="J442" s="100">
        <v>0</v>
      </c>
    </row>
    <row r="444" spans="1:12" ht="24" customHeight="1">
      <c r="A444" s="124" t="s">
        <v>1449</v>
      </c>
      <c r="B444" s="123"/>
      <c r="C444" s="123"/>
      <c r="D444" s="123"/>
      <c r="E444" s="123"/>
      <c r="F444" s="123"/>
      <c r="G444" s="123"/>
      <c r="H444" s="123"/>
      <c r="I444" s="123"/>
      <c r="J444" s="123"/>
      <c r="K444" s="123"/>
      <c r="L444" s="123"/>
    </row>
    <row r="445" spans="1:12" ht="18" customHeight="1">
      <c r="A445" s="98" t="s">
        <v>1038</v>
      </c>
      <c r="B445" s="98" t="s">
        <v>972</v>
      </c>
      <c r="C445" s="98" t="s">
        <v>1450</v>
      </c>
      <c r="D445" s="98" t="s">
        <v>1451</v>
      </c>
      <c r="E445" s="98" t="s">
        <v>1452</v>
      </c>
      <c r="F445" s="98" t="s">
        <v>1453</v>
      </c>
    </row>
    <row r="446" spans="1:12" ht="18" customHeight="1">
      <c r="A446" s="97" t="s">
        <v>1097</v>
      </c>
      <c r="B446" s="97" t="s">
        <v>1012</v>
      </c>
      <c r="C446" s="99">
        <v>1840</v>
      </c>
      <c r="D446" s="99">
        <v>1814</v>
      </c>
      <c r="E446" s="99">
        <v>1728</v>
      </c>
      <c r="F446" s="99">
        <v>1837</v>
      </c>
    </row>
    <row r="447" spans="1:12" ht="18" customHeight="1">
      <c r="A447" s="97" t="s">
        <v>1098</v>
      </c>
      <c r="B447" s="97" t="s">
        <v>1012</v>
      </c>
      <c r="C447" s="99">
        <v>1738</v>
      </c>
      <c r="D447" s="99">
        <v>1660</v>
      </c>
      <c r="E447" s="99">
        <v>1585</v>
      </c>
      <c r="F447" s="99">
        <v>1673</v>
      </c>
    </row>
    <row r="448" spans="1:12" ht="18" customHeight="1">
      <c r="A448" s="97" t="s">
        <v>1099</v>
      </c>
      <c r="B448" s="97" t="s">
        <v>1012</v>
      </c>
      <c r="C448" s="99">
        <v>468</v>
      </c>
      <c r="D448" s="99">
        <v>395</v>
      </c>
      <c r="E448" s="99">
        <v>409</v>
      </c>
      <c r="F448" s="99">
        <v>430</v>
      </c>
    </row>
    <row r="449" spans="1:20" ht="18" customHeight="1">
      <c r="A449" s="97" t="s">
        <v>1101</v>
      </c>
      <c r="B449" s="97" t="s">
        <v>1012</v>
      </c>
      <c r="C449" s="99">
        <v>322</v>
      </c>
      <c r="D449" s="99">
        <v>326</v>
      </c>
      <c r="E449" s="99">
        <v>324</v>
      </c>
      <c r="F449" s="99">
        <v>322</v>
      </c>
    </row>
    <row r="450" spans="1:20" ht="18" customHeight="1">
      <c r="A450" s="97" t="s">
        <v>1102</v>
      </c>
      <c r="B450" s="97" t="s">
        <v>1012</v>
      </c>
      <c r="C450" s="99">
        <v>298</v>
      </c>
      <c r="D450" s="99">
        <v>302</v>
      </c>
      <c r="E450" s="99">
        <v>298</v>
      </c>
      <c r="F450" s="99">
        <v>303</v>
      </c>
    </row>
    <row r="451" spans="1:20" ht="18" customHeight="1">
      <c r="A451" s="97" t="s">
        <v>1454</v>
      </c>
      <c r="B451" s="97" t="s">
        <v>1012</v>
      </c>
      <c r="C451" s="99">
        <v>2556</v>
      </c>
      <c r="D451" s="99">
        <v>2474</v>
      </c>
      <c r="E451" s="99">
        <v>2355</v>
      </c>
      <c r="F451" s="99">
        <v>2461</v>
      </c>
    </row>
    <row r="452" spans="1:20" ht="18" customHeight="1">
      <c r="A452" s="97" t="s">
        <v>1058</v>
      </c>
      <c r="B452" s="97" t="s">
        <v>1012</v>
      </c>
      <c r="C452" s="99">
        <v>341</v>
      </c>
      <c r="D452" s="99">
        <v>360</v>
      </c>
      <c r="E452" s="99">
        <v>372</v>
      </c>
      <c r="F452" s="99">
        <v>373</v>
      </c>
    </row>
    <row r="453" spans="1:20" ht="18" customHeight="1">
      <c r="A453" s="97" t="s">
        <v>1188</v>
      </c>
      <c r="B453" s="97" t="s">
        <v>1012</v>
      </c>
      <c r="C453" s="99">
        <v>50</v>
      </c>
      <c r="D453" s="99">
        <v>31</v>
      </c>
      <c r="E453" s="99">
        <v>45</v>
      </c>
      <c r="F453" s="99">
        <v>45</v>
      </c>
    </row>
    <row r="454" spans="1:20" ht="18" customHeight="1">
      <c r="A454" s="97" t="s">
        <v>1441</v>
      </c>
      <c r="B454" s="97" t="s">
        <v>1012</v>
      </c>
      <c r="C454" s="99">
        <v>21</v>
      </c>
      <c r="D454" s="99">
        <v>20</v>
      </c>
      <c r="E454" s="99">
        <v>23</v>
      </c>
      <c r="F454" s="99">
        <v>20</v>
      </c>
    </row>
    <row r="456" spans="1:20" ht="30" customHeight="1">
      <c r="A456" s="97" t="s">
        <v>1455</v>
      </c>
      <c r="C456" s="3" t="s">
        <v>1456</v>
      </c>
      <c r="D456" s="123"/>
      <c r="E456" s="123"/>
      <c r="F456" s="123"/>
      <c r="G456" s="123"/>
      <c r="H456" s="123"/>
      <c r="I456" s="123"/>
      <c r="J456" s="123"/>
      <c r="K456" s="123"/>
      <c r="L456" s="123"/>
      <c r="M456" s="123"/>
      <c r="N456" s="123"/>
      <c r="O456" s="123"/>
      <c r="P456" s="123"/>
      <c r="Q456" s="123"/>
      <c r="R456" s="123"/>
      <c r="S456" s="123"/>
      <c r="T456" s="123"/>
    </row>
    <row r="457" spans="1:20" ht="30" customHeight="1">
      <c r="A457" s="97" t="s">
        <v>1457</v>
      </c>
      <c r="C457" s="3" t="s">
        <v>1458</v>
      </c>
      <c r="D457" s="123"/>
      <c r="E457" s="123"/>
      <c r="F457" s="123"/>
      <c r="G457" s="123"/>
      <c r="H457" s="123"/>
      <c r="I457" s="123"/>
      <c r="J457" s="123"/>
      <c r="K457" s="123"/>
      <c r="L457" s="123"/>
      <c r="M457" s="123"/>
      <c r="N457" s="123"/>
      <c r="O457" s="123"/>
      <c r="P457" s="123"/>
      <c r="Q457" s="123"/>
      <c r="R457" s="123"/>
      <c r="S457" s="123"/>
      <c r="T457" s="123"/>
    </row>
    <row r="460" spans="1:20" ht="24" customHeight="1">
      <c r="A460" s="124" t="s">
        <v>1459</v>
      </c>
      <c r="B460" s="123"/>
      <c r="C460" s="123"/>
      <c r="D460" s="123"/>
      <c r="E460" s="123"/>
      <c r="F460" s="123"/>
      <c r="G460" s="123"/>
      <c r="H460" s="123"/>
      <c r="I460" s="123"/>
      <c r="J460" s="123"/>
      <c r="K460" s="123"/>
      <c r="L460" s="123"/>
      <c r="M460" s="123"/>
      <c r="N460" s="123"/>
      <c r="O460" s="123"/>
      <c r="P460" s="123"/>
      <c r="Q460" s="123"/>
      <c r="R460" s="123"/>
      <c r="S460" s="123"/>
      <c r="T460" s="123"/>
    </row>
    <row r="461" spans="1:20" ht="30" customHeight="1">
      <c r="A461" s="97" t="s">
        <v>1460</v>
      </c>
      <c r="C461" s="3" t="s">
        <v>1461</v>
      </c>
      <c r="D461" s="123"/>
      <c r="E461" s="123"/>
      <c r="F461" s="123"/>
      <c r="G461" s="123"/>
      <c r="H461" s="123"/>
      <c r="I461" s="123"/>
      <c r="J461" s="123"/>
      <c r="K461" s="123"/>
      <c r="L461" s="123"/>
      <c r="M461" s="123"/>
      <c r="N461" s="123"/>
      <c r="O461" s="123"/>
      <c r="P461" s="123"/>
      <c r="Q461" s="123"/>
      <c r="R461" s="123"/>
      <c r="S461" s="123"/>
      <c r="T461" s="123"/>
    </row>
    <row r="462" spans="1:20" ht="30" customHeight="1">
      <c r="A462" s="97" t="s">
        <v>1460</v>
      </c>
      <c r="C462" s="3" t="s">
        <v>1462</v>
      </c>
      <c r="D462" s="123"/>
      <c r="E462" s="123"/>
      <c r="F462" s="123"/>
      <c r="G462" s="123"/>
      <c r="H462" s="123"/>
      <c r="I462" s="123"/>
      <c r="J462" s="123"/>
      <c r="K462" s="123"/>
      <c r="L462" s="123"/>
      <c r="M462" s="123"/>
      <c r="N462" s="123"/>
      <c r="O462" s="123"/>
      <c r="P462" s="123"/>
      <c r="Q462" s="123"/>
      <c r="R462" s="123"/>
      <c r="S462" s="123"/>
      <c r="T462" s="123"/>
    </row>
    <row r="463" spans="1:20" ht="30" customHeight="1">
      <c r="A463" s="97" t="s">
        <v>1460</v>
      </c>
      <c r="C463" s="3" t="s">
        <v>1463</v>
      </c>
      <c r="D463" s="123"/>
      <c r="E463" s="123"/>
      <c r="F463" s="123"/>
      <c r="G463" s="123"/>
      <c r="H463" s="123"/>
      <c r="I463" s="123"/>
      <c r="J463" s="123"/>
      <c r="K463" s="123"/>
      <c r="L463" s="123"/>
      <c r="M463" s="123"/>
      <c r="N463" s="123"/>
      <c r="O463" s="123"/>
      <c r="P463" s="123"/>
      <c r="Q463" s="123"/>
      <c r="R463" s="123"/>
      <c r="S463" s="123"/>
      <c r="T463" s="123"/>
    </row>
    <row r="464" spans="1:20" ht="30" customHeight="1">
      <c r="A464" s="97" t="s">
        <v>1460</v>
      </c>
      <c r="C464" s="3" t="s">
        <v>1464</v>
      </c>
      <c r="D464" s="123"/>
      <c r="E464" s="123"/>
      <c r="F464" s="123"/>
      <c r="G464" s="123"/>
      <c r="H464" s="123"/>
      <c r="I464" s="123"/>
      <c r="J464" s="123"/>
      <c r="K464" s="123"/>
      <c r="L464" s="123"/>
      <c r="M464" s="123"/>
      <c r="N464" s="123"/>
      <c r="O464" s="123"/>
      <c r="P464" s="123"/>
      <c r="Q464" s="123"/>
      <c r="R464" s="123"/>
      <c r="S464" s="123"/>
      <c r="T464" s="123"/>
    </row>
    <row r="465" spans="1:20" ht="30" customHeight="1">
      <c r="A465" s="97" t="s">
        <v>1460</v>
      </c>
      <c r="C465" s="3" t="s">
        <v>1465</v>
      </c>
      <c r="D465" s="123"/>
      <c r="E465" s="123"/>
      <c r="F465" s="123"/>
      <c r="G465" s="123"/>
      <c r="H465" s="123"/>
      <c r="I465" s="123"/>
      <c r="J465" s="123"/>
      <c r="K465" s="123"/>
      <c r="L465" s="123"/>
      <c r="M465" s="123"/>
      <c r="N465" s="123"/>
      <c r="O465" s="123"/>
      <c r="P465" s="123"/>
      <c r="Q465" s="123"/>
      <c r="R465" s="123"/>
      <c r="S465" s="123"/>
      <c r="T465" s="123"/>
    </row>
    <row r="466" spans="1:20" ht="30" customHeight="1">
      <c r="A466" s="97" t="s">
        <v>1460</v>
      </c>
      <c r="C466" s="3" t="s">
        <v>1466</v>
      </c>
      <c r="D466" s="123"/>
      <c r="E466" s="123"/>
      <c r="F466" s="123"/>
      <c r="G466" s="123"/>
      <c r="H466" s="123"/>
      <c r="I466" s="123"/>
      <c r="J466" s="123"/>
      <c r="K466" s="123"/>
      <c r="L466" s="123"/>
      <c r="M466" s="123"/>
      <c r="N466" s="123"/>
      <c r="O466" s="123"/>
      <c r="P466" s="123"/>
      <c r="Q466" s="123"/>
      <c r="R466" s="123"/>
      <c r="S466" s="123"/>
      <c r="T466" s="123"/>
    </row>
    <row r="467" spans="1:20" ht="30" customHeight="1">
      <c r="A467" s="97" t="s">
        <v>1460</v>
      </c>
      <c r="C467" s="3" t="s">
        <v>1467</v>
      </c>
      <c r="D467" s="123"/>
      <c r="E467" s="123"/>
      <c r="F467" s="123"/>
      <c r="G467" s="123"/>
      <c r="H467" s="123"/>
      <c r="I467" s="123"/>
      <c r="J467" s="123"/>
      <c r="K467" s="123"/>
      <c r="L467" s="123"/>
      <c r="M467" s="123"/>
      <c r="N467" s="123"/>
      <c r="O467" s="123"/>
      <c r="P467" s="123"/>
      <c r="Q467" s="123"/>
      <c r="R467" s="123"/>
      <c r="S467" s="123"/>
      <c r="T467" s="123"/>
    </row>
    <row r="468" spans="1:20" ht="30" customHeight="1">
      <c r="A468" s="97" t="s">
        <v>1460</v>
      </c>
      <c r="C468" s="3" t="s">
        <v>1468</v>
      </c>
      <c r="D468" s="123"/>
      <c r="E468" s="123"/>
      <c r="F468" s="123"/>
      <c r="G468" s="123"/>
      <c r="H468" s="123"/>
      <c r="I468" s="123"/>
      <c r="J468" s="123"/>
      <c r="K468" s="123"/>
      <c r="L468" s="123"/>
      <c r="M468" s="123"/>
      <c r="N468" s="123"/>
      <c r="O468" s="123"/>
      <c r="P468" s="123"/>
      <c r="Q468" s="123"/>
      <c r="R468" s="123"/>
      <c r="S468" s="123"/>
      <c r="T468" s="123"/>
    </row>
    <row r="469" spans="1:20" ht="30" customHeight="1">
      <c r="A469" s="97" t="s">
        <v>1460</v>
      </c>
      <c r="C469" s="3" t="s">
        <v>1469</v>
      </c>
      <c r="D469" s="123"/>
      <c r="E469" s="123"/>
      <c r="F469" s="123"/>
      <c r="G469" s="123"/>
      <c r="H469" s="123"/>
      <c r="I469" s="123"/>
      <c r="J469" s="123"/>
      <c r="K469" s="123"/>
      <c r="L469" s="123"/>
      <c r="M469" s="123"/>
      <c r="N469" s="123"/>
      <c r="O469" s="123"/>
      <c r="P469" s="123"/>
      <c r="Q469" s="123"/>
      <c r="R469" s="123"/>
      <c r="S469" s="123"/>
      <c r="T469" s="123"/>
    </row>
    <row r="470" spans="1:20" ht="30" customHeight="1">
      <c r="A470" s="97" t="s">
        <v>1460</v>
      </c>
      <c r="C470" s="3" t="s">
        <v>1470</v>
      </c>
      <c r="D470" s="123"/>
      <c r="E470" s="123"/>
      <c r="F470" s="123"/>
      <c r="G470" s="123"/>
      <c r="H470" s="123"/>
      <c r="I470" s="123"/>
      <c r="J470" s="123"/>
      <c r="K470" s="123"/>
      <c r="L470" s="123"/>
      <c r="M470" s="123"/>
      <c r="N470" s="123"/>
      <c r="O470" s="123"/>
      <c r="P470" s="123"/>
      <c r="Q470" s="123"/>
      <c r="R470" s="123"/>
      <c r="S470" s="123"/>
      <c r="T470" s="123"/>
    </row>
  </sheetData>
  <mergeCells count="114">
    <mergeCell ref="A2:L2"/>
    <mergeCell ref="A3:L3"/>
    <mergeCell ref="A5:F5"/>
    <mergeCell ref="A54:L54"/>
    <mergeCell ref="A85:L85"/>
    <mergeCell ref="A126:L126"/>
    <mergeCell ref="A166:L166"/>
    <mergeCell ref="A205:L205"/>
    <mergeCell ref="A1:B1"/>
    <mergeCell ref="C1:D1"/>
    <mergeCell ref="E1:F1"/>
    <mergeCell ref="G1:H1"/>
    <mergeCell ref="I1:J1"/>
    <mergeCell ref="K1:L1"/>
    <mergeCell ref="A236:L236"/>
    <mergeCell ref="A245:L245"/>
    <mergeCell ref="A279:L279"/>
    <mergeCell ref="A303:L303"/>
    <mergeCell ref="A355:L355"/>
    <mergeCell ref="C356:L356"/>
    <mergeCell ref="C357:L357"/>
    <mergeCell ref="C358:L358"/>
    <mergeCell ref="C359:L359"/>
    <mergeCell ref="C360:L360"/>
    <mergeCell ref="C361:L361"/>
    <mergeCell ref="C362:L362"/>
    <mergeCell ref="C363:L363"/>
    <mergeCell ref="C364:L364"/>
    <mergeCell ref="C365:L365"/>
    <mergeCell ref="C366:L366"/>
    <mergeCell ref="C367:L367"/>
    <mergeCell ref="C368:L368"/>
    <mergeCell ref="C369:L369"/>
    <mergeCell ref="C370:L370"/>
    <mergeCell ref="C371:L371"/>
    <mergeCell ref="C372:L372"/>
    <mergeCell ref="C373:L373"/>
    <mergeCell ref="C374:L374"/>
    <mergeCell ref="C375:L375"/>
    <mergeCell ref="C376:L376"/>
    <mergeCell ref="C377:L377"/>
    <mergeCell ref="C378:L378"/>
    <mergeCell ref="C379:L379"/>
    <mergeCell ref="C380:L380"/>
    <mergeCell ref="C381:L381"/>
    <mergeCell ref="C382:L382"/>
    <mergeCell ref="C383:L383"/>
    <mergeCell ref="C384:L384"/>
    <mergeCell ref="C385:L385"/>
    <mergeCell ref="C386:L386"/>
    <mergeCell ref="C387:L387"/>
    <mergeCell ref="C388:L388"/>
    <mergeCell ref="C389:L389"/>
    <mergeCell ref="C390:L390"/>
    <mergeCell ref="C391:L391"/>
    <mergeCell ref="C392:L392"/>
    <mergeCell ref="C393:L393"/>
    <mergeCell ref="C394:L394"/>
    <mergeCell ref="C395:L395"/>
    <mergeCell ref="C396:L396"/>
    <mergeCell ref="C397:L397"/>
    <mergeCell ref="C398:L398"/>
    <mergeCell ref="C399:L399"/>
    <mergeCell ref="C400:L400"/>
    <mergeCell ref="C401:L401"/>
    <mergeCell ref="C402:L402"/>
    <mergeCell ref="C403:L403"/>
    <mergeCell ref="C404:L404"/>
    <mergeCell ref="C420:L420"/>
    <mergeCell ref="C421:L421"/>
    <mergeCell ref="C422:L422"/>
    <mergeCell ref="C405:L405"/>
    <mergeCell ref="C406:L406"/>
    <mergeCell ref="C407:L407"/>
    <mergeCell ref="C408:L408"/>
    <mergeCell ref="C409:L409"/>
    <mergeCell ref="C410:L410"/>
    <mergeCell ref="C411:L411"/>
    <mergeCell ref="C412:L412"/>
    <mergeCell ref="C413:L413"/>
    <mergeCell ref="A433:L433"/>
    <mergeCell ref="A444:L444"/>
    <mergeCell ref="I5:T5"/>
    <mergeCell ref="I25:T25"/>
    <mergeCell ref="I45:T45"/>
    <mergeCell ref="I59:T59"/>
    <mergeCell ref="A460:T460"/>
    <mergeCell ref="C461:T461"/>
    <mergeCell ref="C462:T462"/>
    <mergeCell ref="C423:L423"/>
    <mergeCell ref="C424:L424"/>
    <mergeCell ref="C425:L425"/>
    <mergeCell ref="C426:L426"/>
    <mergeCell ref="C427:L427"/>
    <mergeCell ref="C428:L428"/>
    <mergeCell ref="C429:L429"/>
    <mergeCell ref="C430:L430"/>
    <mergeCell ref="C431:L431"/>
    <mergeCell ref="C414:L414"/>
    <mergeCell ref="C415:L415"/>
    <mergeCell ref="C416:L416"/>
    <mergeCell ref="C417:L417"/>
    <mergeCell ref="C418:L418"/>
    <mergeCell ref="C419:L419"/>
    <mergeCell ref="C463:T463"/>
    <mergeCell ref="C464:T464"/>
    <mergeCell ref="C465:T465"/>
    <mergeCell ref="C466:T466"/>
    <mergeCell ref="C467:T467"/>
    <mergeCell ref="C468:T468"/>
    <mergeCell ref="C469:T469"/>
    <mergeCell ref="C470:T470"/>
    <mergeCell ref="C456:T456"/>
    <mergeCell ref="C457:T457"/>
  </mergeCells>
  <phoneticPr fontId="33"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2DFC85-BEA8-EC43-AEB9-068636D02460}">
  <sheetPr>
    <tabColor rgb="FFC00000"/>
  </sheetPr>
  <dimension ref="A1:O87"/>
  <sheetViews>
    <sheetView showGridLines="0" tabSelected="1" zoomScale="130" zoomScaleNormal="130" workbookViewId="0">
      <pane ySplit="2" topLeftCell="A36" activePane="bottomLeft" state="frozen"/>
      <selection pane="bottomLeft" activeCell="K48" sqref="K48"/>
    </sheetView>
  </sheetViews>
  <sheetFormatPr baseColWidth="10" defaultColWidth="8.83203125" defaultRowHeight="14"/>
  <cols>
    <col min="1" max="1" width="34" customWidth="1"/>
    <col min="2" max="2" width="38" customWidth="1"/>
    <col min="3" max="8" width="14" customWidth="1"/>
    <col min="9" max="9" width="3" customWidth="1"/>
    <col min="10" max="10" width="13" customWidth="1"/>
    <col min="11" max="14" width="14" customWidth="1"/>
    <col min="15" max="15" width="28" customWidth="1"/>
  </cols>
  <sheetData>
    <row r="1" spans="1:15" ht="24" customHeight="1">
      <c r="A1" s="131" t="s">
        <v>998</v>
      </c>
      <c r="B1" s="131"/>
      <c r="C1" s="57"/>
      <c r="D1" s="57"/>
      <c r="E1" s="57"/>
      <c r="F1" s="57"/>
      <c r="G1" s="57"/>
      <c r="H1" s="57"/>
      <c r="I1" s="57"/>
      <c r="J1" s="57"/>
      <c r="K1" s="57"/>
      <c r="L1" s="57"/>
      <c r="M1" s="57"/>
      <c r="N1" s="57"/>
      <c r="O1" s="57"/>
    </row>
    <row r="2" spans="1:15" ht="18" customHeight="1">
      <c r="A2" s="3" t="s">
        <v>1329</v>
      </c>
      <c r="B2" s="3"/>
      <c r="C2" s="3"/>
      <c r="D2" s="52"/>
      <c r="E2" s="52"/>
      <c r="F2" s="52"/>
      <c r="G2" s="52"/>
      <c r="H2" s="52"/>
      <c r="I2" s="52"/>
      <c r="J2" s="52"/>
      <c r="K2" s="52"/>
      <c r="L2" s="52"/>
      <c r="M2" s="52"/>
      <c r="N2" s="52"/>
      <c r="O2" s="52"/>
    </row>
    <row r="3" spans="1:15" ht="8" customHeight="1">
      <c r="A3" s="58"/>
      <c r="B3" s="58"/>
      <c r="C3" s="58"/>
      <c r="D3" s="58"/>
      <c r="E3" s="58"/>
      <c r="F3" s="58"/>
      <c r="G3" s="58"/>
      <c r="H3" s="58"/>
      <c r="I3" s="58"/>
      <c r="J3" s="58"/>
      <c r="K3" s="58"/>
      <c r="L3" s="58"/>
      <c r="M3" s="58"/>
      <c r="N3" s="58"/>
      <c r="O3" s="58"/>
    </row>
    <row r="4" spans="1:15" ht="24" customHeight="1">
      <c r="A4" s="59" t="s">
        <v>967</v>
      </c>
      <c r="B4" s="59"/>
      <c r="C4" s="59"/>
      <c r="D4" s="59"/>
      <c r="E4" s="58"/>
      <c r="F4" s="58"/>
      <c r="G4" s="58"/>
      <c r="H4" s="58"/>
      <c r="I4" s="58"/>
      <c r="J4" s="58"/>
      <c r="K4" s="58"/>
      <c r="L4" s="58"/>
      <c r="M4" s="58"/>
      <c r="N4" s="58"/>
      <c r="O4" s="58"/>
    </row>
    <row r="5" spans="1:15" ht="18" customHeight="1">
      <c r="A5" s="58" t="s">
        <v>968</v>
      </c>
      <c r="B5" s="58" t="s">
        <v>999</v>
      </c>
      <c r="C5" s="60">
        <v>166800</v>
      </c>
      <c r="D5" s="58"/>
      <c r="E5" s="58"/>
      <c r="F5" s="58"/>
      <c r="G5" s="58"/>
      <c r="H5" s="58"/>
      <c r="I5" s="58"/>
      <c r="J5" s="58"/>
      <c r="K5" s="58"/>
      <c r="L5" s="58"/>
      <c r="M5" s="58"/>
      <c r="N5" s="58"/>
      <c r="O5" s="58"/>
    </row>
    <row r="6" spans="1:15" ht="18" customHeight="1">
      <c r="A6" s="58" t="s">
        <v>969</v>
      </c>
      <c r="B6" s="58" t="s">
        <v>1000</v>
      </c>
      <c r="C6" s="61">
        <v>0.15</v>
      </c>
      <c r="D6" s="58"/>
      <c r="E6" s="58"/>
      <c r="F6" s="58"/>
      <c r="G6" s="58"/>
      <c r="H6" s="58"/>
      <c r="I6" s="58"/>
      <c r="J6" s="58"/>
      <c r="K6" s="58"/>
      <c r="L6" s="58"/>
      <c r="M6" s="58"/>
      <c r="N6" s="58"/>
      <c r="O6" s="58"/>
    </row>
    <row r="7" spans="1:15" ht="18" customHeight="1">
      <c r="A7" s="58" t="s">
        <v>970</v>
      </c>
      <c r="B7" s="58" t="s">
        <v>1330</v>
      </c>
      <c r="C7" s="62">
        <v>2</v>
      </c>
      <c r="D7" s="58"/>
      <c r="E7" s="58"/>
      <c r="F7" s="58"/>
      <c r="G7" s="58"/>
      <c r="H7" s="58"/>
      <c r="I7" s="58"/>
      <c r="J7" s="58"/>
      <c r="K7" s="58"/>
      <c r="L7" s="58"/>
      <c r="M7" s="58"/>
      <c r="N7" s="58"/>
      <c r="O7" s="58"/>
    </row>
    <row r="8" spans="1:15" ht="18" customHeight="1">
      <c r="A8" s="58" t="s">
        <v>971</v>
      </c>
      <c r="B8" s="58" t="s">
        <v>1001</v>
      </c>
      <c r="C8" s="63">
        <v>46307</v>
      </c>
      <c r="D8" s="58"/>
      <c r="E8" s="58"/>
      <c r="F8" s="58"/>
      <c r="G8" s="58"/>
      <c r="H8" s="58"/>
      <c r="I8" s="58"/>
      <c r="J8" s="58"/>
      <c r="K8" s="58"/>
      <c r="L8" s="58"/>
      <c r="M8" s="58"/>
      <c r="N8" s="58"/>
      <c r="O8" s="58"/>
    </row>
    <row r="9" spans="1:15" ht="18" customHeight="1">
      <c r="A9" s="58" t="s">
        <v>1002</v>
      </c>
      <c r="B9" s="58"/>
      <c r="C9" s="58" t="str">
        <f>IF(AND(ISNUMBER(C5),C5&gt;0,ISNUMBER(C6),C6&gt;-1,OR(C7=1,C7=2,C7=3)),"可计算","检查控制项")</f>
        <v>可计算</v>
      </c>
      <c r="D9" s="58"/>
      <c r="E9" s="58"/>
      <c r="F9" s="58"/>
      <c r="G9" s="58"/>
      <c r="H9" s="58"/>
      <c r="I9" s="58"/>
      <c r="J9" s="58"/>
      <c r="K9" s="58"/>
      <c r="L9" s="58"/>
      <c r="M9" s="58"/>
      <c r="N9" s="58"/>
      <c r="O9" s="58"/>
    </row>
    <row r="10" spans="1:15" ht="8" customHeight="1">
      <c r="A10" s="58"/>
      <c r="B10" s="58"/>
      <c r="C10" s="58"/>
      <c r="D10" s="58"/>
      <c r="E10" s="58"/>
      <c r="F10" s="58"/>
      <c r="G10" s="58"/>
      <c r="H10" s="58"/>
      <c r="I10" s="58"/>
      <c r="J10" s="58"/>
      <c r="K10" s="58"/>
      <c r="L10" s="58"/>
      <c r="M10" s="58"/>
      <c r="N10" s="58"/>
      <c r="O10" s="58"/>
    </row>
    <row r="11" spans="1:15" ht="24" customHeight="1">
      <c r="A11" s="59" t="s">
        <v>1003</v>
      </c>
      <c r="B11" s="59"/>
      <c r="C11" s="59"/>
      <c r="D11" s="59"/>
      <c r="E11" s="59"/>
      <c r="F11" s="59"/>
      <c r="G11" s="59"/>
      <c r="H11" s="58"/>
      <c r="I11" s="58"/>
      <c r="J11" s="58"/>
      <c r="K11" s="58"/>
      <c r="L11" s="58"/>
      <c r="M11" s="58"/>
      <c r="N11" s="58"/>
      <c r="O11" s="58"/>
    </row>
    <row r="12" spans="1:15" ht="22" customHeight="1">
      <c r="A12" s="53" t="s">
        <v>1004</v>
      </c>
      <c r="B12" s="53" t="s">
        <v>1005</v>
      </c>
      <c r="C12" s="53" t="s">
        <v>1006</v>
      </c>
      <c r="D12" s="53" t="s">
        <v>1007</v>
      </c>
      <c r="E12" s="53" t="s">
        <v>1008</v>
      </c>
      <c r="F12" s="53" t="s">
        <v>1009</v>
      </c>
      <c r="G12" s="53" t="s">
        <v>1010</v>
      </c>
      <c r="H12" s="58"/>
      <c r="I12" s="58"/>
      <c r="J12" s="58"/>
      <c r="K12" s="58"/>
      <c r="L12" s="58"/>
      <c r="M12" s="58"/>
      <c r="N12" s="58"/>
      <c r="O12" s="58"/>
    </row>
    <row r="13" spans="1:15" ht="18" customHeight="1">
      <c r="A13" s="64" t="s">
        <v>1011</v>
      </c>
      <c r="B13" s="65" t="s">
        <v>1012</v>
      </c>
      <c r="C13" s="66">
        <f>'Income Statement'!T41</f>
        <v>1983</v>
      </c>
      <c r="D13" s="66">
        <f>'Income Statement'!U41</f>
        <v>2362</v>
      </c>
      <c r="E13" s="66">
        <f>'Valuation Driver Build'!E51</f>
        <v>2314.3552141258824</v>
      </c>
      <c r="F13" s="66">
        <f>'Valuation Driver Build'!F51</f>
        <v>2235.4567026541176</v>
      </c>
      <c r="G13" s="66">
        <f>SUM(C13:F13)</f>
        <v>8894.8119167799996</v>
      </c>
      <c r="H13" s="58"/>
      <c r="I13" s="58"/>
      <c r="J13" s="58"/>
      <c r="K13" s="58"/>
      <c r="L13" s="58"/>
      <c r="M13" s="58"/>
      <c r="N13" s="58"/>
      <c r="O13" s="58"/>
    </row>
    <row r="14" spans="1:15" ht="18" customHeight="1">
      <c r="A14" s="64" t="s">
        <v>1013</v>
      </c>
      <c r="B14" s="65" t="s">
        <v>1331</v>
      </c>
      <c r="C14" s="65"/>
      <c r="D14" s="65"/>
      <c r="E14" s="67">
        <f>'Valuation Driver Build'!E52</f>
        <v>1.5959268711976504E-2</v>
      </c>
      <c r="F14" s="67">
        <f>'Valuation Driver Build'!F52</f>
        <v>3.3020657418723509E-2</v>
      </c>
      <c r="G14" s="68">
        <f>G13/'Income Statement'!L41-1</f>
        <v>3.8749493960060777E-2</v>
      </c>
      <c r="H14" s="58"/>
      <c r="I14" s="58"/>
      <c r="J14" s="58"/>
      <c r="K14" s="58"/>
      <c r="L14" s="58"/>
      <c r="M14" s="58"/>
      <c r="N14" s="58"/>
      <c r="O14" s="58"/>
    </row>
    <row r="15" spans="1:15" ht="18" customHeight="1">
      <c r="A15" s="64" t="s">
        <v>1014</v>
      </c>
      <c r="B15" s="65" t="s">
        <v>1051</v>
      </c>
      <c r="C15" s="66">
        <f>'Income Statement'!T51</f>
        <v>713.5</v>
      </c>
      <c r="D15" s="66">
        <f>'Income Statement'!U51</f>
        <v>711.1</v>
      </c>
      <c r="E15" s="66">
        <f>'Valuation Driver Build'!E81</f>
        <v>710.21112500000004</v>
      </c>
      <c r="F15" s="66">
        <f>'Valuation Driver Build'!F81</f>
        <v>709.32336109375001</v>
      </c>
      <c r="G15" s="66">
        <f>'Valuation Driver Build'!G81</f>
        <v>711.01992526198637</v>
      </c>
      <c r="H15" s="58"/>
      <c r="I15" s="58"/>
      <c r="J15" s="58"/>
      <c r="K15" s="58"/>
      <c r="L15" s="58"/>
      <c r="M15" s="58"/>
      <c r="N15" s="58"/>
      <c r="O15" s="58"/>
    </row>
    <row r="16" spans="1:15" ht="18" customHeight="1">
      <c r="A16" s="64" t="s">
        <v>1016</v>
      </c>
      <c r="B16" s="65" t="s">
        <v>1017</v>
      </c>
      <c r="C16" s="65"/>
      <c r="D16" s="65"/>
      <c r="E16" s="65"/>
      <c r="F16" s="65"/>
      <c r="G16" s="69">
        <f>G13/G15</f>
        <v>12.509933407987923</v>
      </c>
      <c r="H16" s="58"/>
      <c r="I16" s="58"/>
      <c r="J16" s="58"/>
      <c r="K16" s="58"/>
      <c r="L16" s="58"/>
      <c r="M16" s="58"/>
      <c r="N16" s="58"/>
      <c r="O16" s="58"/>
    </row>
    <row r="17" spans="1:15" ht="18" customHeight="1">
      <c r="A17" s="64" t="s">
        <v>1018</v>
      </c>
      <c r="B17" s="65"/>
      <c r="C17" s="65"/>
      <c r="D17" s="65"/>
      <c r="E17" s="65"/>
      <c r="F17" s="65"/>
      <c r="G17" s="65" t="str">
        <f>IF(COUNT(C13:D13,E14:F14,G13,G15)&lt;6,"待填基期数据","可计算")</f>
        <v>可计算</v>
      </c>
      <c r="H17" s="58"/>
      <c r="I17" s="58"/>
      <c r="J17" s="58"/>
      <c r="K17" s="58"/>
      <c r="L17" s="58"/>
      <c r="M17" s="58"/>
      <c r="N17" s="58"/>
      <c r="O17" s="58"/>
    </row>
    <row r="18" spans="1:15" ht="8" customHeight="1">
      <c r="A18" s="58"/>
      <c r="B18" s="58"/>
      <c r="C18" s="58"/>
      <c r="D18" s="58"/>
      <c r="E18" s="58"/>
      <c r="F18" s="58"/>
      <c r="G18" s="58"/>
      <c r="H18" s="58"/>
      <c r="I18" s="58"/>
      <c r="J18" s="58"/>
      <c r="K18" s="58"/>
      <c r="L18" s="58"/>
      <c r="M18" s="58"/>
      <c r="N18" s="58"/>
      <c r="O18" s="58"/>
    </row>
    <row r="19" spans="1:15" ht="8" customHeight="1">
      <c r="A19" s="58"/>
      <c r="B19" s="58"/>
      <c r="C19" s="58"/>
      <c r="D19" s="58"/>
      <c r="E19" s="58"/>
      <c r="F19" s="58"/>
      <c r="G19" s="58"/>
      <c r="H19" s="58"/>
      <c r="I19" s="58"/>
      <c r="J19" s="58"/>
      <c r="K19" s="58"/>
      <c r="L19" s="58"/>
      <c r="M19" s="58"/>
      <c r="N19" s="58"/>
      <c r="O19" s="58"/>
    </row>
    <row r="20" spans="1:15" ht="24" customHeight="1">
      <c r="A20" s="59" t="s">
        <v>1019</v>
      </c>
      <c r="B20" s="59"/>
      <c r="C20" s="59"/>
      <c r="D20" s="59"/>
      <c r="E20" s="59"/>
      <c r="F20" s="59"/>
      <c r="G20" s="59"/>
      <c r="H20" s="59"/>
      <c r="I20" s="58"/>
      <c r="J20" s="59" t="s">
        <v>1020</v>
      </c>
      <c r="K20" s="59"/>
      <c r="L20" s="59"/>
      <c r="M20" s="59"/>
      <c r="N20" s="59"/>
      <c r="O20" s="59"/>
    </row>
    <row r="21" spans="1:15" ht="22" customHeight="1">
      <c r="A21" s="53" t="s">
        <v>1004</v>
      </c>
      <c r="B21" s="53" t="s">
        <v>972</v>
      </c>
      <c r="C21" s="53" t="s">
        <v>1021</v>
      </c>
      <c r="D21" s="53" t="s">
        <v>1022</v>
      </c>
      <c r="E21" s="53" t="s">
        <v>1023</v>
      </c>
      <c r="F21" s="53" t="s">
        <v>1024</v>
      </c>
      <c r="G21" s="53" t="s">
        <v>1025</v>
      </c>
      <c r="H21" s="53" t="s">
        <v>1026</v>
      </c>
      <c r="I21" s="58"/>
      <c r="J21" s="53" t="s">
        <v>1027</v>
      </c>
      <c r="K21" s="53" t="s">
        <v>1028</v>
      </c>
      <c r="L21" s="53" t="s">
        <v>1029</v>
      </c>
      <c r="M21" s="53" t="s">
        <v>1030</v>
      </c>
      <c r="N21" s="53" t="s">
        <v>1031</v>
      </c>
      <c r="O21" s="53" t="s">
        <v>1032</v>
      </c>
    </row>
    <row r="22" spans="1:15" ht="18" customHeight="1">
      <c r="A22" s="64" t="s">
        <v>1033</v>
      </c>
      <c r="B22" s="65" t="s">
        <v>973</v>
      </c>
      <c r="C22" s="65"/>
      <c r="D22" s="68">
        <f>IF(AND(CHOOSE($C$7,D54,D55,D56)&lt;&gt;"",ISNUMBER(CHOOSE($C$7,D54,D55,D56))),CHOOSE($C$7,D54,D55,D56),"待填参数")</f>
        <v>2.7E-2</v>
      </c>
      <c r="E22" s="68">
        <f>IF(AND(CHOOSE($C$7,E54,E55,E56)&lt;&gt;"",ISNUMBER(CHOOSE($C$7,E54,E55,E56))),CHOOSE($C$7,E54,E55,E56),"待填参数")</f>
        <v>2.7E-2</v>
      </c>
      <c r="F22" s="68">
        <f>IF(AND(CHOOSE($C$7,F54,F55,F56)&lt;&gt;"",ISNUMBER(CHOOSE($C$7,F54,F55,F56))),CHOOSE($C$7,F54,F55,F56),"待填参数")</f>
        <v>5.3999999999999999E-2</v>
      </c>
      <c r="G22" s="68">
        <f>IF(AND(CHOOSE($C$7,G54,G55,G56)&lt;&gt;"",ISNUMBER(CHOOSE($C$7,G54,G55,G56))),CHOOSE($C$7,G54,G55,G56),"待填参数")</f>
        <v>5.3999999999999999E-2</v>
      </c>
      <c r="H22" s="68">
        <f>IF(AND(CHOOSE($C$7,H54,H55,H56)&lt;&gt;"",ISNUMBER(CHOOSE($C$7,H54,H55,H56))),CHOOSE($C$7,H54,H55,H56),"待填参数")</f>
        <v>5.3999999999999999E-2</v>
      </c>
      <c r="I22" s="58"/>
      <c r="J22" s="64" t="s">
        <v>1010</v>
      </c>
      <c r="K22" s="69">
        <f>C25</f>
        <v>12.509933407987923</v>
      </c>
      <c r="L22" s="70"/>
      <c r="M22" s="69" t="str">
        <f t="shared" ref="M22:M27" si="0">IF(ISNUMBER(L22),K22-L22,"")</f>
        <v/>
      </c>
      <c r="N22" s="68" t="str">
        <f t="shared" ref="N22:N27" si="1">IF(ISNUMBER(L22),K22/L22-1,"")</f>
        <v/>
      </c>
      <c r="O22" s="65" t="s">
        <v>1034</v>
      </c>
    </row>
    <row r="23" spans="1:15" ht="18" customHeight="1">
      <c r="A23" s="64" t="s">
        <v>1035</v>
      </c>
      <c r="B23" s="65" t="s">
        <v>1012</v>
      </c>
      <c r="C23" s="66">
        <f>G13</f>
        <v>8894.8119167799996</v>
      </c>
      <c r="D23" s="66">
        <f>IF(AND(ISNUMBER(C23),ISNUMBER(D22)),C23*(1+D22),"待填参数")</f>
        <v>9134.971838533058</v>
      </c>
      <c r="E23" s="66">
        <f>IF(AND(ISNUMBER(D23),ISNUMBER(E22)),D23*(1+E22),"待填参数")</f>
        <v>9381.6160781734488</v>
      </c>
      <c r="F23" s="66">
        <f>IF(AND(ISNUMBER(E23),ISNUMBER(F22)),E23*(1+F22),"待填参数")</f>
        <v>9888.223346394816</v>
      </c>
      <c r="G23" s="66">
        <f>IF(AND(ISNUMBER(F23),ISNUMBER(G22)),F23*(1+G22),"待填参数")</f>
        <v>10422.187407100137</v>
      </c>
      <c r="H23" s="66">
        <f>IF(AND(ISNUMBER(G23),ISNUMBER(H22)),G23*(1+H22),"待填参数")</f>
        <v>10984.985527083545</v>
      </c>
      <c r="I23" s="58"/>
      <c r="J23" s="64" t="s">
        <v>1022</v>
      </c>
      <c r="K23" s="69">
        <f>D25</f>
        <v>12.912262924626729</v>
      </c>
      <c r="L23" s="70"/>
      <c r="M23" s="69" t="str">
        <f t="shared" si="0"/>
        <v/>
      </c>
      <c r="N23" s="68" t="str">
        <f t="shared" si="1"/>
        <v/>
      </c>
      <c r="O23" s="65" t="s">
        <v>1034</v>
      </c>
    </row>
    <row r="24" spans="1:15" ht="18" customHeight="1">
      <c r="A24" s="64" t="s">
        <v>1014</v>
      </c>
      <c r="B24" s="65" t="s">
        <v>1015</v>
      </c>
      <c r="C24" s="66">
        <f>G15</f>
        <v>711.01992526198637</v>
      </c>
      <c r="D24" s="66">
        <f>IF(AND(ISNUMBER(C24),ISNUMBER(D26)),C24*(1-D26),"待填参数")</f>
        <v>707.46482563567645</v>
      </c>
      <c r="E24" s="66">
        <f>IF(AND(ISNUMBER(D24),ISNUMBER(E26)),D24*(1-E26),"待填参数")</f>
        <v>703.92750150749805</v>
      </c>
      <c r="F24" s="66">
        <f>IF(AND(ISNUMBER(E24),ISNUMBER(F26)),E24*(1-F26),"待填参数")</f>
        <v>698.2960814954381</v>
      </c>
      <c r="G24" s="66">
        <f>IF(AND(ISNUMBER(F24),ISNUMBER(G26)),F24*(1-G26),"待填参数")</f>
        <v>692.70971284347456</v>
      </c>
      <c r="H24" s="66">
        <f>IF(AND(ISNUMBER(G24),ISNUMBER(H26)),G24*(1-H26),"待填参数")</f>
        <v>687.16803514072672</v>
      </c>
      <c r="I24" s="58"/>
      <c r="J24" s="64" t="s">
        <v>1023</v>
      </c>
      <c r="K24" s="69">
        <f>E25</f>
        <v>13.327531682001656</v>
      </c>
      <c r="L24" s="70"/>
      <c r="M24" s="69" t="str">
        <f t="shared" si="0"/>
        <v/>
      </c>
      <c r="N24" s="68" t="str">
        <f t="shared" si="1"/>
        <v/>
      </c>
      <c r="O24" s="65" t="s">
        <v>1034</v>
      </c>
    </row>
    <row r="25" spans="1:15" ht="18" customHeight="1">
      <c r="A25" s="64" t="s">
        <v>1016</v>
      </c>
      <c r="B25" s="65" t="s">
        <v>1017</v>
      </c>
      <c r="C25" s="69">
        <f t="shared" ref="C25:H25" si="2">C23/C24</f>
        <v>12.509933407987923</v>
      </c>
      <c r="D25" s="69">
        <f t="shared" si="2"/>
        <v>12.912262924626729</v>
      </c>
      <c r="E25" s="69">
        <f t="shared" si="2"/>
        <v>13.327531682001656</v>
      </c>
      <c r="F25" s="69">
        <f t="shared" si="2"/>
        <v>14.16050241212676</v>
      </c>
      <c r="G25" s="69">
        <f t="shared" si="2"/>
        <v>15.045533812884685</v>
      </c>
      <c r="H25" s="69">
        <f t="shared" si="2"/>
        <v>15.985879676189979</v>
      </c>
      <c r="I25" s="58"/>
      <c r="J25" s="64" t="s">
        <v>1024</v>
      </c>
      <c r="K25" s="69">
        <f>F25</f>
        <v>14.16050241212676</v>
      </c>
      <c r="L25" s="70"/>
      <c r="M25" s="69" t="str">
        <f t="shared" si="0"/>
        <v/>
      </c>
      <c r="N25" s="68" t="str">
        <f t="shared" si="1"/>
        <v/>
      </c>
      <c r="O25" s="65" t="s">
        <v>1034</v>
      </c>
    </row>
    <row r="26" spans="1:15" ht="18" customHeight="1">
      <c r="A26" s="64" t="s">
        <v>985</v>
      </c>
      <c r="B26" s="65" t="s">
        <v>973</v>
      </c>
      <c r="C26" s="65"/>
      <c r="D26" s="68">
        <f>IF(AND(CHOOSE($C$7,D59,D60,D61)&lt;&gt;"",ISNUMBER(CHOOSE($C$7,D59,D60,D61))),CHOOSE($C$7,D59,D60,D61),"待填参数")</f>
        <v>5.0000000000000001E-3</v>
      </c>
      <c r="E26" s="68">
        <f>IF(AND(CHOOSE($C$7,E59,E60,E61)&lt;&gt;"",ISNUMBER(CHOOSE($C$7,E59,E60,E61))),CHOOSE($C$7,E59,E60,E61),"待填参数")</f>
        <v>5.0000000000000001E-3</v>
      </c>
      <c r="F26" s="68">
        <f>IF(AND(CHOOSE($C$7,F59,F60,F61)&lt;&gt;"",ISNUMBER(CHOOSE($C$7,F59,F60,F61))),CHOOSE($C$7,F59,F60,F61),"待填参数")</f>
        <v>8.0000000000000002E-3</v>
      </c>
      <c r="G26" s="68">
        <f>IF(AND(CHOOSE($C$7,G59,G60,G61)&lt;&gt;"",ISNUMBER(CHOOSE($C$7,G59,G60,G61))),CHOOSE($C$7,G59,G60,G61),"待填参数")</f>
        <v>8.0000000000000002E-3</v>
      </c>
      <c r="H26" s="68">
        <f>IF(AND(CHOOSE($C$7,H59,H60,H61)&lt;&gt;"",ISNUMBER(CHOOSE($C$7,H59,H60,H61))),CHOOSE($C$7,H59,H60,H61),"待填参数")</f>
        <v>8.0000000000000002E-3</v>
      </c>
      <c r="I26" s="58"/>
      <c r="J26" s="64" t="s">
        <v>1025</v>
      </c>
      <c r="K26" s="69">
        <f>G25</f>
        <v>15.045533812884685</v>
      </c>
      <c r="L26" s="70"/>
      <c r="M26" s="69" t="str">
        <f t="shared" si="0"/>
        <v/>
      </c>
      <c r="N26" s="68" t="str">
        <f t="shared" si="1"/>
        <v/>
      </c>
      <c r="O26" s="65" t="s">
        <v>1034</v>
      </c>
    </row>
    <row r="27" spans="1:15" ht="18" customHeight="1">
      <c r="A27" s="64" t="s">
        <v>987</v>
      </c>
      <c r="B27" s="65" t="s">
        <v>973</v>
      </c>
      <c r="C27" s="65"/>
      <c r="D27" s="68">
        <f>IF(AND(CHOOSE($C$7,D64,D65,D66)&lt;&gt;"",ISNUMBER(CHOOSE($C$7,D64,D65,D66))),CHOOSE($C$7,D64,D65,D66),"待填参数")</f>
        <v>0.82</v>
      </c>
      <c r="E27" s="68">
        <f>IF(AND(CHOOSE($C$7,E64,E65,E66)&lt;&gt;"",ISNUMBER(CHOOSE($C$7,E64,E65,E66))),CHOOSE($C$7,E64,E65,E66),"待填参数")</f>
        <v>0.82</v>
      </c>
      <c r="F27" s="68">
        <f>IF(AND(CHOOSE($C$7,F64,F65,F66)&lt;&gt;"",ISNUMBER(CHOOSE($C$7,F64,F65,F66))),CHOOSE($C$7,F64,F65,F66),"待填参数")</f>
        <v>0.86</v>
      </c>
      <c r="G27" s="68">
        <f>IF(AND(CHOOSE($C$7,G64,G65,G66)&lt;&gt;"",ISNUMBER(CHOOSE($C$7,G64,G65,G66))),CHOOSE($C$7,G64,G65,G66),"待填参数")</f>
        <v>0.86</v>
      </c>
      <c r="H27" s="68">
        <f>IF(AND(CHOOSE($C$7,H64,H65,H66)&lt;&gt;"",ISNUMBER(CHOOSE($C$7,H64,H65,H66))),CHOOSE($C$7,H64,H65,H66),"待填参数")</f>
        <v>0.86</v>
      </c>
      <c r="I27" s="58"/>
      <c r="J27" s="64" t="s">
        <v>1026</v>
      </c>
      <c r="K27" s="69">
        <f>H25</f>
        <v>15.985879676189979</v>
      </c>
      <c r="L27" s="70"/>
      <c r="M27" s="69" t="str">
        <f t="shared" si="0"/>
        <v/>
      </c>
      <c r="N27" s="68" t="str">
        <f t="shared" si="1"/>
        <v/>
      </c>
      <c r="O27" s="65" t="s">
        <v>1034</v>
      </c>
    </row>
    <row r="28" spans="1:15" ht="18" customHeight="1">
      <c r="A28" s="64" t="s">
        <v>986</v>
      </c>
      <c r="B28" s="65" t="s">
        <v>973</v>
      </c>
      <c r="C28" s="65"/>
      <c r="D28" s="68">
        <f>IF(AND(CHOOSE($C$7,D69,D70,D71)&lt;&gt;"",ISNUMBER(CHOOSE($C$7,D69,D70,D71))),CHOOSE($C$7,D69,D70,D71),"待填参数")</f>
        <v>0.6</v>
      </c>
      <c r="E28" s="68">
        <f>IF(AND(CHOOSE($C$7,E69,E70,E71)&lt;&gt;"",ISNUMBER(CHOOSE($C$7,E69,E70,E71))),CHOOSE($C$7,E69,E70,E71),"待填参数")</f>
        <v>0.6</v>
      </c>
      <c r="F28" s="68">
        <f>IF(AND(CHOOSE($C$7,F69,F70,F71)&lt;&gt;"",ISNUMBER(CHOOSE($C$7,F69,F70,F71))),CHOOSE($C$7,F69,F70,F71),"待填参数")</f>
        <v>0.56999999999999995</v>
      </c>
      <c r="G28" s="68">
        <f>IF(AND(CHOOSE($C$7,G69,G70,G71)&lt;&gt;"",ISNUMBER(CHOOSE($C$7,G69,G70,G71))),CHOOSE($C$7,G69,G70,G71),"待填参数")</f>
        <v>0.56999999999999995</v>
      </c>
      <c r="H28" s="68">
        <f>IF(AND(CHOOSE($C$7,H69,H70,H71)&lt;&gt;"",ISNUMBER(CHOOSE($C$7,H69,H70,H71))),CHOOSE($C$7,H69,H70,H71),"待填参数")</f>
        <v>0.56999999999999995</v>
      </c>
      <c r="I28" s="58"/>
      <c r="J28" s="58"/>
      <c r="K28" s="58"/>
      <c r="L28" s="58"/>
      <c r="M28" s="58"/>
      <c r="N28" s="58"/>
      <c r="O28" s="58"/>
    </row>
    <row r="29" spans="1:15" ht="18" customHeight="1">
      <c r="A29" s="64" t="s">
        <v>966</v>
      </c>
      <c r="B29" s="65" t="s">
        <v>978</v>
      </c>
      <c r="C29" s="65"/>
      <c r="D29" s="71">
        <f>IF(AND(CHOOSE($C$7,D74,D75,D76)&lt;&gt;"",ISNUMBER(CHOOSE($C$7,D74,D75,D76))),CHOOSE($C$7,D74,D75,D76),"待填参数")</f>
        <v>20</v>
      </c>
      <c r="E29" s="71">
        <f>IF(AND(CHOOSE($C$7,E74,E75,E76)&lt;&gt;"",ISNUMBER(CHOOSE($C$7,E74,E75,E76))),CHOOSE($C$7,E74,E75,E76),"待填参数")</f>
        <v>20</v>
      </c>
      <c r="F29" s="71">
        <f>IF(AND(CHOOSE($C$7,F74,F75,F76)&lt;&gt;"",ISNUMBER(CHOOSE($C$7,F74,F75,F76))),CHOOSE($C$7,F74,F75,F76),"待填参数")</f>
        <v>20</v>
      </c>
      <c r="G29" s="71">
        <f>IF(AND(CHOOSE($C$7,G74,G75,G76)&lt;&gt;"",ISNUMBER(CHOOSE($C$7,G74,G75,G76))),CHOOSE($C$7,G74,G75,G76),"待填参数")</f>
        <v>20</v>
      </c>
      <c r="H29" s="71">
        <f>IF(AND(CHOOSE($C$7,H74,H75,H76)&lt;&gt;"",ISNUMBER(CHOOSE($C$7,H74,H75,H76))),CHOOSE($C$7,H74,H75,H76),"待填参数")</f>
        <v>20</v>
      </c>
      <c r="I29" s="58"/>
      <c r="J29" s="58"/>
      <c r="K29" s="58"/>
      <c r="L29" s="58"/>
      <c r="M29" s="58"/>
      <c r="N29" s="58"/>
      <c r="O29" s="58"/>
    </row>
    <row r="30" spans="1:15" ht="18" customHeight="1">
      <c r="A30" s="64" t="s">
        <v>990</v>
      </c>
      <c r="B30" s="65" t="s">
        <v>1012</v>
      </c>
      <c r="C30" s="66"/>
      <c r="D30" s="66">
        <f>IF($C$35="可计算",D23*D27,"待填参数")</f>
        <v>7490.6769075971069</v>
      </c>
      <c r="E30" s="66">
        <f>IF($C$35="可计算",E23*E27,"待填参数")</f>
        <v>7692.9251841022278</v>
      </c>
      <c r="F30" s="66">
        <f>IF($C$35="可计算",F23*F27,"待填参数")</f>
        <v>8503.8720778995412</v>
      </c>
      <c r="G30" s="66">
        <f>IF($C$35="可计算",G23*G27,"待填参数")</f>
        <v>8963.0811701061175</v>
      </c>
      <c r="H30" s="66">
        <f>IF($C$35="可计算",H23*H27,"待填参数")</f>
        <v>9447.087553291849</v>
      </c>
      <c r="I30" s="58"/>
      <c r="J30" s="58"/>
      <c r="K30" s="58"/>
      <c r="L30" s="58"/>
      <c r="M30" s="58"/>
      <c r="N30" s="58"/>
      <c r="O30" s="58"/>
    </row>
    <row r="31" spans="1:15" ht="18" customHeight="1">
      <c r="A31" s="64" t="s">
        <v>988</v>
      </c>
      <c r="B31" s="65" t="s">
        <v>1012</v>
      </c>
      <c r="C31" s="66"/>
      <c r="D31" s="66">
        <f>IF($C$35="可计算",D23*D28,"待填参数")</f>
        <v>5480.9831031198346</v>
      </c>
      <c r="E31" s="66">
        <f>IF($C$35="可计算",E23*E28,"待填参数")</f>
        <v>5628.9696469040691</v>
      </c>
      <c r="F31" s="66">
        <f>IF($C$35="可计算",F23*F28,"待填参数")</f>
        <v>5636.2873074450445</v>
      </c>
      <c r="G31" s="66">
        <f>IF($C$35="可计算",G23*G28,"待填参数")</f>
        <v>5940.646822047077</v>
      </c>
      <c r="H31" s="66">
        <f>IF($C$35="可计算",H23*H28,"待填参数")</f>
        <v>6261.4417504376206</v>
      </c>
      <c r="I31" s="58"/>
      <c r="J31" s="58"/>
      <c r="K31" s="58"/>
      <c r="L31" s="58"/>
      <c r="M31" s="58"/>
      <c r="N31" s="58"/>
      <c r="O31" s="58"/>
    </row>
    <row r="32" spans="1:15" ht="18" customHeight="1">
      <c r="A32" s="64" t="s">
        <v>991</v>
      </c>
      <c r="B32" s="65" t="s">
        <v>1012</v>
      </c>
      <c r="C32" s="66"/>
      <c r="D32" s="66">
        <f>IF($C$35="可计算",D23*D29,"待填参数")</f>
        <v>182699.43677066115</v>
      </c>
      <c r="E32" s="66">
        <f>IF($C$35="可计算",E23*E29,"待填参数")</f>
        <v>187632.32156346898</v>
      </c>
      <c r="F32" s="66">
        <f>IF($C$35="可计算",F23*F29,"待填参数")</f>
        <v>197764.46692789631</v>
      </c>
      <c r="G32" s="66">
        <f>IF($C$35="可计算",G23*G29,"待填参数")</f>
        <v>208443.74814200273</v>
      </c>
      <c r="H32" s="66">
        <f>IF($C$35="可计算",H23*H29,"待填参数")</f>
        <v>219699.71054167091</v>
      </c>
      <c r="I32" s="58"/>
      <c r="J32" s="58"/>
      <c r="K32" s="58"/>
      <c r="L32" s="58"/>
      <c r="M32" s="58"/>
      <c r="N32" s="58"/>
      <c r="O32" s="58"/>
    </row>
    <row r="33" spans="1:15" ht="18" customHeight="1">
      <c r="A33" s="64" t="s">
        <v>992</v>
      </c>
      <c r="B33" s="65" t="s">
        <v>1012</v>
      </c>
      <c r="C33" s="66"/>
      <c r="D33" s="66">
        <f>IF($C$35="可计算",D32/(D24/$C$24),"待填参数")</f>
        <v>183617.52439262427</v>
      </c>
      <c r="E33" s="66">
        <f>IF($C$35="可计算",E32/(E24/$C$24),"待填参数")</f>
        <v>189522.81160927148</v>
      </c>
      <c r="F33" s="66">
        <f>IF($C$35="可计算",F32/(F24/$C$24),"待填参数")</f>
        <v>201367.98733485094</v>
      </c>
      <c r="G33" s="66">
        <f>IF($C$35="可计算",G32/(G24/$C$24),"待填参数")</f>
        <v>213953.48654327914</v>
      </c>
      <c r="H33" s="66">
        <f>IF($C$35="可计算",H32/(H24/$C$24),"待填参数")</f>
        <v>227325.57945223415</v>
      </c>
      <c r="I33" s="58"/>
      <c r="J33" s="58"/>
      <c r="K33" s="58"/>
      <c r="L33" s="58"/>
      <c r="M33" s="58"/>
      <c r="N33" s="58"/>
      <c r="O33" s="58"/>
    </row>
    <row r="34" spans="1:15" ht="18" customHeight="1">
      <c r="A34" s="64" t="s">
        <v>989</v>
      </c>
      <c r="B34" s="65" t="s">
        <v>1012</v>
      </c>
      <c r="C34" s="66"/>
      <c r="D34" s="66">
        <f>IF($C$35="可计算",D31/(D24/$C$24),"待填参数")</f>
        <v>5508.5257317787282</v>
      </c>
      <c r="E34" s="66">
        <f>IF($C$35="可计算",E31/(E24/$C$24),"待填参数")</f>
        <v>5685.6843482781442</v>
      </c>
      <c r="F34" s="66">
        <f>IF($C$35="可计算",F31/(F24/$C$24),"待填参数")</f>
        <v>5738.987639043251</v>
      </c>
      <c r="G34" s="66">
        <f>IF($C$35="可计算",G31/(G24/$C$24),"待填参数")</f>
        <v>6097.6743664834539</v>
      </c>
      <c r="H34" s="66">
        <f>IF($C$35="可计算",H31/(H24/$C$24),"待填参数")</f>
        <v>6478.7790143886723</v>
      </c>
      <c r="I34" s="58"/>
      <c r="J34" s="58"/>
      <c r="K34" s="58"/>
      <c r="L34" s="58"/>
      <c r="M34" s="58"/>
      <c r="N34" s="58"/>
      <c r="O34" s="58"/>
    </row>
    <row r="35" spans="1:15" ht="18" customHeight="1">
      <c r="A35" s="58" t="s">
        <v>1036</v>
      </c>
      <c r="B35" s="58"/>
      <c r="C35" s="58" t="str">
        <f>IF(AND(G17="可计算",COUNT(D22:H22,D26:H26,D27:H27,D28:H28,D29:H29)=25),"可计算","待填预测参数")</f>
        <v>可计算</v>
      </c>
      <c r="D35" s="58"/>
      <c r="E35" s="58"/>
      <c r="F35" s="58"/>
      <c r="G35" s="58"/>
      <c r="H35" s="58"/>
      <c r="I35" s="58"/>
      <c r="J35" s="58"/>
      <c r="K35" s="58"/>
      <c r="L35" s="58"/>
      <c r="M35" s="58"/>
      <c r="N35" s="58"/>
      <c r="O35" s="58"/>
    </row>
    <row r="36" spans="1:15" ht="18" customHeight="1">
      <c r="A36" s="58" t="s">
        <v>979</v>
      </c>
      <c r="B36" s="58"/>
      <c r="C36" s="58" t="str">
        <f>IF(AND(C9="可计算",C35="可计算"),"可计算","待填控制项/预测")</f>
        <v>可计算</v>
      </c>
      <c r="D36" s="58"/>
      <c r="E36" s="58"/>
      <c r="F36" s="58"/>
      <c r="G36" s="58"/>
      <c r="H36" s="58"/>
      <c r="I36" s="58"/>
      <c r="J36" s="58"/>
      <c r="K36" s="58"/>
      <c r="L36" s="58"/>
      <c r="M36" s="58"/>
      <c r="N36" s="58"/>
      <c r="O36" s="58"/>
    </row>
    <row r="37" spans="1:15" ht="8" customHeight="1">
      <c r="A37" s="58"/>
      <c r="B37" s="58"/>
      <c r="C37" s="58"/>
      <c r="D37" s="58"/>
      <c r="E37" s="58"/>
      <c r="F37" s="58"/>
      <c r="G37" s="58"/>
      <c r="H37" s="58"/>
      <c r="I37" s="58"/>
      <c r="J37" s="58"/>
      <c r="K37" s="58"/>
      <c r="L37" s="58"/>
      <c r="M37" s="58"/>
      <c r="N37" s="58"/>
      <c r="O37" s="58"/>
    </row>
    <row r="38" spans="1:15" ht="8" customHeight="1" thickBot="1">
      <c r="A38" s="122"/>
      <c r="B38" s="122"/>
      <c r="C38" s="122"/>
      <c r="D38" s="122"/>
      <c r="E38" s="122"/>
      <c r="F38" s="58"/>
      <c r="G38" s="58"/>
      <c r="H38" s="58"/>
      <c r="I38" s="58"/>
      <c r="J38" s="58"/>
      <c r="K38" s="58"/>
      <c r="L38" s="58"/>
      <c r="M38" s="58"/>
      <c r="N38" s="58"/>
      <c r="O38" s="58"/>
    </row>
    <row r="39" spans="1:15" ht="24" customHeight="1">
      <c r="A39" s="110" t="s">
        <v>1037</v>
      </c>
      <c r="B39" s="111"/>
      <c r="C39" s="111"/>
      <c r="D39" s="111"/>
      <c r="E39" s="112"/>
      <c r="F39" s="58"/>
      <c r="G39" s="58"/>
      <c r="H39" s="58"/>
      <c r="I39" s="58"/>
      <c r="J39" s="58"/>
      <c r="K39" s="58"/>
      <c r="L39" s="58"/>
      <c r="M39" s="58"/>
      <c r="N39" s="58"/>
      <c r="O39" s="58"/>
    </row>
    <row r="40" spans="1:15" ht="30" customHeight="1">
      <c r="A40" s="113" t="s">
        <v>1038</v>
      </c>
      <c r="B40" s="54" t="s">
        <v>1476</v>
      </c>
      <c r="C40" s="54" t="s">
        <v>1332</v>
      </c>
      <c r="D40" s="54" t="s">
        <v>972</v>
      </c>
      <c r="E40" s="114" t="s">
        <v>1005</v>
      </c>
      <c r="F40" s="58"/>
      <c r="G40" s="58"/>
      <c r="H40" s="58"/>
      <c r="I40" s="58"/>
      <c r="J40" s="58"/>
      <c r="K40" s="58"/>
      <c r="L40" s="58"/>
      <c r="M40" s="58"/>
      <c r="N40" s="58"/>
      <c r="O40" s="58"/>
    </row>
    <row r="41" spans="1:15" ht="28" customHeight="1">
      <c r="A41" s="115" t="s">
        <v>963</v>
      </c>
      <c r="B41" s="121">
        <f>IF(C36="可计算",IRR(C47:E47),"待填参数")</f>
        <v>9.8449233407844394E-2</v>
      </c>
      <c r="C41" s="121">
        <f>IF(C36="可计算",IRR(C48:H48),"待填参数")</f>
        <v>9.5144785041220148E-2</v>
      </c>
      <c r="D41" s="65" t="s">
        <v>973</v>
      </c>
      <c r="E41" s="116" t="s">
        <v>1333</v>
      </c>
      <c r="F41" s="58"/>
      <c r="G41" s="58"/>
      <c r="H41" s="58"/>
      <c r="I41" s="58"/>
      <c r="J41" s="58"/>
      <c r="K41" s="58"/>
      <c r="L41" s="58"/>
      <c r="M41" s="58"/>
      <c r="N41" s="58"/>
      <c r="O41" s="58"/>
    </row>
    <row r="42" spans="1:15" ht="28" customHeight="1">
      <c r="A42" s="115" t="s">
        <v>964</v>
      </c>
      <c r="B42" s="66">
        <f>IF(C36="可计算",SUM(D49:E49)+E50,"待填参数")</f>
        <v>152395.69039629126</v>
      </c>
      <c r="C42" s="66">
        <f>IF(C36="可计算",SUM(D49:H49)+H50,"待填参数")</f>
        <v>132591.1468706092</v>
      </c>
      <c r="D42" s="65" t="s">
        <v>1012</v>
      </c>
      <c r="E42" s="116" t="s">
        <v>1039</v>
      </c>
      <c r="F42" s="58"/>
      <c r="G42" s="58"/>
      <c r="H42" s="58"/>
      <c r="I42" s="58"/>
      <c r="J42" s="58"/>
      <c r="K42" s="58"/>
      <c r="L42" s="58"/>
      <c r="M42" s="58"/>
      <c r="N42" s="58"/>
      <c r="O42" s="58"/>
    </row>
    <row r="43" spans="1:15" ht="28" customHeight="1">
      <c r="A43" s="115" t="s">
        <v>1040</v>
      </c>
      <c r="B43" s="66">
        <f>IF(C36="可计算",E33,"待填参数")</f>
        <v>189522.81160927148</v>
      </c>
      <c r="C43" s="66">
        <f>IF(C36="可计算",H33,"待填参数")</f>
        <v>227325.57945223415</v>
      </c>
      <c r="D43" s="65" t="s">
        <v>1012</v>
      </c>
      <c r="E43" s="116" t="s">
        <v>1334</v>
      </c>
      <c r="F43" s="58"/>
      <c r="G43" s="58"/>
      <c r="H43" s="58"/>
      <c r="I43" s="58"/>
      <c r="J43" s="58"/>
      <c r="K43" s="58"/>
      <c r="L43" s="58"/>
      <c r="M43" s="58"/>
      <c r="N43" s="58"/>
      <c r="O43" s="58"/>
    </row>
    <row r="44" spans="1:15" ht="28" customHeight="1" thickBot="1">
      <c r="A44" s="117" t="s">
        <v>965</v>
      </c>
      <c r="B44" s="118">
        <f>IF(C36="可计算",SUM(D51:E51),"待填参数")</f>
        <v>11194.210080056873</v>
      </c>
      <c r="C44" s="118">
        <f>IF(C36="可计算",SUM(D51:H51),"待填参数")</f>
        <v>29509.651099972252</v>
      </c>
      <c r="D44" s="119" t="s">
        <v>1012</v>
      </c>
      <c r="E44" s="120" t="s">
        <v>1041</v>
      </c>
      <c r="F44" s="58"/>
      <c r="G44" s="58"/>
      <c r="H44" s="58"/>
      <c r="I44" s="58"/>
      <c r="J44" s="58"/>
      <c r="K44" s="58"/>
      <c r="L44" s="58"/>
      <c r="M44" s="58"/>
      <c r="N44" s="58"/>
      <c r="O44" s="58"/>
    </row>
    <row r="45" spans="1:15" ht="8" customHeight="1">
      <c r="A45" s="58"/>
      <c r="B45" s="58"/>
      <c r="C45" s="58"/>
      <c r="D45" s="58"/>
      <c r="E45" s="58"/>
      <c r="F45" s="58"/>
      <c r="G45" s="58"/>
      <c r="H45" s="58"/>
      <c r="I45" s="58"/>
      <c r="J45" s="58"/>
      <c r="K45" s="58"/>
      <c r="L45" s="58"/>
      <c r="M45" s="58"/>
      <c r="N45" s="58"/>
      <c r="O45" s="58"/>
    </row>
    <row r="46" spans="1:15" ht="8" customHeight="1">
      <c r="A46" s="58"/>
      <c r="B46" s="58"/>
      <c r="C46" s="58"/>
      <c r="D46" s="58"/>
      <c r="E46" s="58"/>
      <c r="F46" s="58"/>
      <c r="G46" s="58"/>
      <c r="H46" s="58"/>
      <c r="I46" s="58"/>
      <c r="J46" s="58"/>
      <c r="K46" s="58"/>
      <c r="L46" s="58"/>
      <c r="M46" s="58"/>
      <c r="N46" s="58"/>
      <c r="O46" s="58"/>
    </row>
    <row r="47" spans="1:15" ht="18" customHeight="1">
      <c r="A47" s="64" t="s">
        <v>993</v>
      </c>
      <c r="B47" s="65"/>
      <c r="C47" s="66">
        <f>-$C$5</f>
        <v>-166800</v>
      </c>
      <c r="D47" s="66">
        <f>D34</f>
        <v>5508.5257317787282</v>
      </c>
      <c r="E47" s="66">
        <f>E34+E33</f>
        <v>195208.49595754963</v>
      </c>
      <c r="F47" s="66">
        <f>0</f>
        <v>0</v>
      </c>
      <c r="G47" s="66">
        <f>0</f>
        <v>0</v>
      </c>
      <c r="H47" s="66">
        <f>0</f>
        <v>0</v>
      </c>
      <c r="I47" s="58"/>
      <c r="J47" s="58"/>
      <c r="K47" s="58"/>
      <c r="L47" s="58"/>
      <c r="M47" s="58"/>
      <c r="N47" s="58"/>
      <c r="O47" s="58"/>
    </row>
    <row r="48" spans="1:15" ht="18" customHeight="1">
      <c r="A48" s="64" t="s">
        <v>994</v>
      </c>
      <c r="B48" s="65"/>
      <c r="C48" s="66">
        <f>-$C$5</f>
        <v>-166800</v>
      </c>
      <c r="D48" s="66">
        <f>D34</f>
        <v>5508.5257317787282</v>
      </c>
      <c r="E48" s="66">
        <f>E34</f>
        <v>5685.6843482781442</v>
      </c>
      <c r="F48" s="66">
        <f>F34</f>
        <v>5738.987639043251</v>
      </c>
      <c r="G48" s="66">
        <f>G34</f>
        <v>6097.6743664834539</v>
      </c>
      <c r="H48" s="66">
        <f>H34+H33</f>
        <v>233804.35846662283</v>
      </c>
      <c r="I48" s="58"/>
      <c r="J48" s="58"/>
      <c r="K48" s="58"/>
      <c r="L48" s="58"/>
      <c r="M48" s="58"/>
      <c r="N48" s="58"/>
      <c r="O48" s="58"/>
    </row>
    <row r="49" spans="1:15" ht="18" customHeight="1">
      <c r="A49" s="64" t="s">
        <v>995</v>
      </c>
      <c r="B49" s="65"/>
      <c r="C49" s="66"/>
      <c r="D49" s="66">
        <f>D34/(1+$C$6)^1</f>
        <v>4790.0223754597637</v>
      </c>
      <c r="E49" s="66">
        <f>E34/(1+$C$6)^2</f>
        <v>4299.1942141989757</v>
      </c>
      <c r="F49" s="66">
        <f>F34/(1+$C$6)^3</f>
        <v>3773.4775303974702</v>
      </c>
      <c r="G49" s="66">
        <f>G34/(1+$C$6)^4</f>
        <v>3486.3651096063586</v>
      </c>
      <c r="H49" s="66">
        <f>H34/(1+$C$6)^5</f>
        <v>3221.0981990928321</v>
      </c>
      <c r="I49" s="58"/>
      <c r="J49" s="58"/>
      <c r="K49" s="58"/>
      <c r="L49" s="58"/>
      <c r="M49" s="58"/>
      <c r="N49" s="58"/>
      <c r="O49" s="58"/>
    </row>
    <row r="50" spans="1:15" ht="18" customHeight="1">
      <c r="A50" s="64" t="s">
        <v>996</v>
      </c>
      <c r="B50" s="65"/>
      <c r="C50" s="66"/>
      <c r="D50" s="66">
        <f>D33/(1+$C$6)^1</f>
        <v>159667.41251532547</v>
      </c>
      <c r="E50" s="66">
        <f>E33/(1+$C$6)^2</f>
        <v>143306.47380663251</v>
      </c>
      <c r="F50" s="66">
        <f>F33/(1+$C$6)^3</f>
        <v>132402.72036482353</v>
      </c>
      <c r="G50" s="66">
        <f>G33/(1+$C$6)^4</f>
        <v>122328.60033706525</v>
      </c>
      <c r="H50" s="66">
        <f>H33/(1+$C$6)^5</f>
        <v>113020.98944185379</v>
      </c>
      <c r="I50" s="58"/>
      <c r="J50" s="58"/>
      <c r="K50" s="58"/>
      <c r="L50" s="58"/>
      <c r="M50" s="58"/>
      <c r="N50" s="58"/>
      <c r="O50" s="58"/>
    </row>
    <row r="51" spans="1:15" ht="18" customHeight="1">
      <c r="A51" s="64" t="s">
        <v>989</v>
      </c>
      <c r="B51" s="65"/>
      <c r="C51" s="66"/>
      <c r="D51" s="66">
        <f>D34</f>
        <v>5508.5257317787282</v>
      </c>
      <c r="E51" s="66">
        <f>E34</f>
        <v>5685.6843482781442</v>
      </c>
      <c r="F51" s="66">
        <f>F34</f>
        <v>5738.987639043251</v>
      </c>
      <c r="G51" s="66">
        <f>G34</f>
        <v>6097.6743664834539</v>
      </c>
      <c r="H51" s="66">
        <f>H34</f>
        <v>6478.7790143886723</v>
      </c>
      <c r="I51" s="58"/>
      <c r="J51" s="58"/>
      <c r="K51" s="58"/>
      <c r="L51" s="58"/>
      <c r="M51" s="58"/>
      <c r="N51" s="58"/>
      <c r="O51" s="58"/>
    </row>
    <row r="52" spans="1:15" ht="8" customHeight="1">
      <c r="A52" s="58"/>
      <c r="B52" s="58"/>
      <c r="C52" s="58"/>
      <c r="D52" s="58"/>
      <c r="E52" s="58"/>
      <c r="F52" s="58"/>
      <c r="G52" s="58"/>
      <c r="H52" s="58"/>
      <c r="I52" s="58"/>
      <c r="J52" s="58"/>
      <c r="K52" s="58"/>
      <c r="L52" s="58"/>
      <c r="M52" s="58"/>
      <c r="N52" s="58"/>
      <c r="O52" s="58"/>
    </row>
    <row r="53" spans="1:15" ht="22" customHeight="1">
      <c r="A53" s="55" t="s">
        <v>1048</v>
      </c>
      <c r="B53" s="55"/>
      <c r="C53" s="55"/>
      <c r="D53" s="55" t="s">
        <v>1022</v>
      </c>
      <c r="E53" s="55" t="s">
        <v>1023</v>
      </c>
      <c r="F53" s="55" t="s">
        <v>1024</v>
      </c>
      <c r="G53" s="55" t="s">
        <v>1025</v>
      </c>
      <c r="H53" s="55" t="s">
        <v>1026</v>
      </c>
      <c r="I53" s="58"/>
      <c r="J53" s="58"/>
      <c r="K53" s="58"/>
      <c r="L53" s="58"/>
      <c r="M53" s="58"/>
      <c r="N53" s="58"/>
      <c r="O53" s="58"/>
    </row>
    <row r="54" spans="1:15" ht="18" customHeight="1">
      <c r="A54" s="65" t="s">
        <v>974</v>
      </c>
      <c r="B54" s="65"/>
      <c r="C54" s="65"/>
      <c r="D54" s="67"/>
      <c r="E54" s="67"/>
      <c r="F54" s="67"/>
      <c r="G54" s="67"/>
      <c r="H54" s="67"/>
      <c r="I54" s="58"/>
      <c r="J54" s="58"/>
      <c r="K54" s="58"/>
      <c r="L54" s="58"/>
      <c r="M54" s="58"/>
      <c r="N54" s="58"/>
      <c r="O54" s="58"/>
    </row>
    <row r="55" spans="1:15" ht="18" customHeight="1">
      <c r="A55" s="65" t="s">
        <v>975</v>
      </c>
      <c r="B55" s="65"/>
      <c r="C55" s="65"/>
      <c r="D55" s="67">
        <f>'Valuation Driver Build'!C201</f>
        <v>2.7E-2</v>
      </c>
      <c r="E55" s="67">
        <f>'Valuation Driver Build'!C201</f>
        <v>2.7E-2</v>
      </c>
      <c r="F55" s="67">
        <f>'Valuation Driver Build'!D201</f>
        <v>5.3999999999999999E-2</v>
      </c>
      <c r="G55" s="67">
        <f>'Valuation Driver Build'!D201</f>
        <v>5.3999999999999999E-2</v>
      </c>
      <c r="H55" s="67">
        <f>'Valuation Driver Build'!D201</f>
        <v>5.3999999999999999E-2</v>
      </c>
      <c r="I55" s="58"/>
      <c r="J55" s="58"/>
      <c r="K55" s="58"/>
      <c r="L55" s="58"/>
      <c r="M55" s="58"/>
      <c r="N55" s="58"/>
      <c r="O55" s="58"/>
    </row>
    <row r="56" spans="1:15" ht="18" customHeight="1">
      <c r="A56" s="65" t="s">
        <v>976</v>
      </c>
      <c r="B56" s="65"/>
      <c r="C56" s="65"/>
      <c r="D56" s="67"/>
      <c r="E56" s="67"/>
      <c r="F56" s="67"/>
      <c r="G56" s="67"/>
      <c r="H56" s="67"/>
      <c r="I56" s="58"/>
      <c r="J56" s="58"/>
      <c r="K56" s="58"/>
      <c r="L56" s="58"/>
      <c r="M56" s="58"/>
      <c r="N56" s="58"/>
      <c r="O56" s="58"/>
    </row>
    <row r="57" spans="1:15" ht="8" customHeight="1">
      <c r="A57" s="58"/>
      <c r="B57" s="58"/>
      <c r="C57" s="58"/>
      <c r="D57" s="58"/>
      <c r="E57" s="58"/>
      <c r="F57" s="58"/>
      <c r="G57" s="58"/>
      <c r="H57" s="58"/>
      <c r="I57" s="58"/>
      <c r="J57" s="58"/>
      <c r="K57" s="58"/>
      <c r="L57" s="58"/>
      <c r="M57" s="58"/>
      <c r="N57" s="58"/>
      <c r="O57" s="58"/>
    </row>
    <row r="58" spans="1:15" ht="22" customHeight="1">
      <c r="A58" s="55" t="s">
        <v>1049</v>
      </c>
      <c r="B58" s="55"/>
      <c r="C58" s="55"/>
      <c r="D58" s="55" t="s">
        <v>1022</v>
      </c>
      <c r="E58" s="55" t="s">
        <v>1023</v>
      </c>
      <c r="F58" s="55" t="s">
        <v>1024</v>
      </c>
      <c r="G58" s="55" t="s">
        <v>1025</v>
      </c>
      <c r="H58" s="55" t="s">
        <v>1026</v>
      </c>
      <c r="I58" s="58"/>
      <c r="J58" s="58"/>
      <c r="K58" s="58"/>
      <c r="L58" s="58"/>
      <c r="M58" s="58"/>
      <c r="N58" s="58"/>
      <c r="O58" s="58"/>
    </row>
    <row r="59" spans="1:15" ht="18" customHeight="1">
      <c r="A59" s="65" t="s">
        <v>974</v>
      </c>
      <c r="B59" s="65"/>
      <c r="C59" s="65"/>
      <c r="D59" s="67"/>
      <c r="E59" s="67"/>
      <c r="F59" s="67"/>
      <c r="G59" s="67"/>
      <c r="H59" s="67"/>
      <c r="I59" s="58"/>
      <c r="J59" s="58"/>
      <c r="K59" s="58"/>
      <c r="L59" s="58"/>
      <c r="M59" s="58"/>
      <c r="N59" s="58"/>
      <c r="O59" s="58"/>
    </row>
    <row r="60" spans="1:15" ht="18" customHeight="1">
      <c r="A60" s="65" t="s">
        <v>975</v>
      </c>
      <c r="B60" s="65"/>
      <c r="C60" s="65"/>
      <c r="D60" s="67">
        <f>'Valuation Driver Build'!C216</f>
        <v>5.0000000000000001E-3</v>
      </c>
      <c r="E60" s="67">
        <f>'Valuation Driver Build'!C216</f>
        <v>5.0000000000000001E-3</v>
      </c>
      <c r="F60" s="67">
        <f>'Valuation Driver Build'!D216</f>
        <v>8.0000000000000002E-3</v>
      </c>
      <c r="G60" s="67">
        <f>'Valuation Driver Build'!D216</f>
        <v>8.0000000000000002E-3</v>
      </c>
      <c r="H60" s="67">
        <f>'Valuation Driver Build'!D216</f>
        <v>8.0000000000000002E-3</v>
      </c>
      <c r="I60" s="58"/>
      <c r="J60" s="58"/>
      <c r="K60" s="58"/>
      <c r="L60" s="58"/>
      <c r="M60" s="58"/>
      <c r="N60" s="58"/>
      <c r="O60" s="58"/>
    </row>
    <row r="61" spans="1:15" ht="18" customHeight="1">
      <c r="A61" s="65" t="s">
        <v>976</v>
      </c>
      <c r="B61" s="65"/>
      <c r="C61" s="65"/>
      <c r="D61" s="67"/>
      <c r="E61" s="67"/>
      <c r="F61" s="67"/>
      <c r="G61" s="67"/>
      <c r="H61" s="67"/>
      <c r="I61" s="58"/>
      <c r="J61" s="58"/>
      <c r="K61" s="58"/>
      <c r="L61" s="58"/>
      <c r="M61" s="58"/>
      <c r="N61" s="58"/>
      <c r="O61" s="58"/>
    </row>
    <row r="62" spans="1:15" ht="8" customHeight="1">
      <c r="A62" s="58"/>
      <c r="B62" s="58"/>
      <c r="C62" s="58"/>
      <c r="D62" s="58"/>
      <c r="E62" s="58"/>
      <c r="F62" s="58"/>
      <c r="G62" s="58"/>
      <c r="H62" s="58"/>
      <c r="I62" s="58"/>
      <c r="J62" s="58"/>
      <c r="K62" s="58"/>
      <c r="L62" s="58"/>
      <c r="M62" s="58"/>
      <c r="N62" s="58"/>
      <c r="O62" s="58"/>
    </row>
    <row r="63" spans="1:15" ht="22" customHeight="1">
      <c r="A63" s="55" t="s">
        <v>977</v>
      </c>
      <c r="B63" s="55"/>
      <c r="C63" s="55"/>
      <c r="D63" s="55" t="s">
        <v>1022</v>
      </c>
      <c r="E63" s="55" t="s">
        <v>1023</v>
      </c>
      <c r="F63" s="55" t="s">
        <v>1024</v>
      </c>
      <c r="G63" s="55" t="s">
        <v>1025</v>
      </c>
      <c r="H63" s="55" t="s">
        <v>1026</v>
      </c>
      <c r="I63" s="58"/>
      <c r="J63" s="58"/>
      <c r="K63" s="58"/>
      <c r="L63" s="58"/>
      <c r="M63" s="58"/>
      <c r="N63" s="58"/>
      <c r="O63" s="58"/>
    </row>
    <row r="64" spans="1:15" ht="18" customHeight="1">
      <c r="A64" s="65" t="s">
        <v>974</v>
      </c>
      <c r="B64" s="65"/>
      <c r="C64" s="65"/>
      <c r="D64" s="67"/>
      <c r="E64" s="67"/>
      <c r="F64" s="67"/>
      <c r="G64" s="67"/>
      <c r="H64" s="67"/>
      <c r="I64" s="58"/>
      <c r="J64" s="58"/>
      <c r="K64" s="58"/>
      <c r="L64" s="58"/>
      <c r="M64" s="58"/>
      <c r="N64" s="58"/>
      <c r="O64" s="58"/>
    </row>
    <row r="65" spans="1:15" ht="18" customHeight="1">
      <c r="A65" s="65" t="s">
        <v>975</v>
      </c>
      <c r="B65" s="65"/>
      <c r="C65" s="65"/>
      <c r="D65" s="67">
        <f>'Valuation Driver Build'!C217</f>
        <v>0.82</v>
      </c>
      <c r="E65" s="67">
        <f>'Valuation Driver Build'!C217</f>
        <v>0.82</v>
      </c>
      <c r="F65" s="67">
        <f>'Valuation Driver Build'!D217</f>
        <v>0.86</v>
      </c>
      <c r="G65" s="67">
        <f>'Valuation Driver Build'!D217</f>
        <v>0.86</v>
      </c>
      <c r="H65" s="67">
        <f>'Valuation Driver Build'!D217</f>
        <v>0.86</v>
      </c>
      <c r="I65" s="58"/>
      <c r="J65" s="58"/>
      <c r="K65" s="58"/>
      <c r="L65" s="58"/>
      <c r="M65" s="58"/>
      <c r="N65" s="58"/>
      <c r="O65" s="58"/>
    </row>
    <row r="66" spans="1:15" ht="18" customHeight="1">
      <c r="A66" s="65" t="s">
        <v>976</v>
      </c>
      <c r="B66" s="65"/>
      <c r="C66" s="65"/>
      <c r="D66" s="67"/>
      <c r="E66" s="67"/>
      <c r="F66" s="67"/>
      <c r="G66" s="67"/>
      <c r="H66" s="67"/>
      <c r="I66" s="58"/>
      <c r="J66" s="58"/>
      <c r="K66" s="58"/>
      <c r="L66" s="58"/>
      <c r="M66" s="58"/>
      <c r="N66" s="58"/>
      <c r="O66" s="58"/>
    </row>
    <row r="67" spans="1:15" ht="8" customHeight="1">
      <c r="A67" s="58"/>
      <c r="B67" s="58"/>
      <c r="C67" s="58"/>
      <c r="D67" s="58"/>
      <c r="E67" s="58"/>
      <c r="F67" s="58"/>
      <c r="G67" s="58"/>
      <c r="H67" s="58"/>
      <c r="I67" s="58"/>
      <c r="J67" s="58"/>
      <c r="K67" s="58"/>
      <c r="L67" s="58"/>
      <c r="M67" s="58"/>
      <c r="N67" s="58"/>
      <c r="O67" s="58"/>
    </row>
    <row r="68" spans="1:15" ht="22" customHeight="1">
      <c r="A68" s="55" t="s">
        <v>1050</v>
      </c>
      <c r="B68" s="55"/>
      <c r="C68" s="55"/>
      <c r="D68" s="55" t="s">
        <v>1022</v>
      </c>
      <c r="E68" s="55" t="s">
        <v>1023</v>
      </c>
      <c r="F68" s="55" t="s">
        <v>1024</v>
      </c>
      <c r="G68" s="55" t="s">
        <v>1025</v>
      </c>
      <c r="H68" s="55" t="s">
        <v>1026</v>
      </c>
      <c r="I68" s="58"/>
      <c r="J68" s="58"/>
      <c r="K68" s="58"/>
      <c r="L68" s="58"/>
      <c r="M68" s="58"/>
      <c r="N68" s="58"/>
      <c r="O68" s="58"/>
    </row>
    <row r="69" spans="1:15" ht="18" customHeight="1">
      <c r="A69" s="65" t="s">
        <v>974</v>
      </c>
      <c r="B69" s="65"/>
      <c r="C69" s="65"/>
      <c r="D69" s="67"/>
      <c r="E69" s="67"/>
      <c r="F69" s="67"/>
      <c r="G69" s="67"/>
      <c r="H69" s="67"/>
      <c r="I69" s="58"/>
      <c r="J69" s="58"/>
      <c r="K69" s="58"/>
      <c r="L69" s="58"/>
      <c r="M69" s="58"/>
      <c r="N69" s="58"/>
      <c r="O69" s="58"/>
    </row>
    <row r="70" spans="1:15" ht="18" customHeight="1">
      <c r="A70" s="65" t="s">
        <v>975</v>
      </c>
      <c r="B70" s="65"/>
      <c r="C70" s="65"/>
      <c r="D70" s="67">
        <f>'Valuation Driver Build'!C218</f>
        <v>0.6</v>
      </c>
      <c r="E70" s="67">
        <f>'Valuation Driver Build'!C218</f>
        <v>0.6</v>
      </c>
      <c r="F70" s="67">
        <f>'Valuation Driver Build'!D218</f>
        <v>0.56999999999999995</v>
      </c>
      <c r="G70" s="67">
        <f>'Valuation Driver Build'!D218</f>
        <v>0.56999999999999995</v>
      </c>
      <c r="H70" s="67">
        <f>'Valuation Driver Build'!D218</f>
        <v>0.56999999999999995</v>
      </c>
      <c r="I70" s="58"/>
      <c r="J70" s="58"/>
      <c r="K70" s="58"/>
      <c r="L70" s="58"/>
      <c r="M70" s="58"/>
      <c r="N70" s="58"/>
      <c r="O70" s="58"/>
    </row>
    <row r="71" spans="1:15" ht="18" customHeight="1">
      <c r="A71" s="65" t="s">
        <v>976</v>
      </c>
      <c r="B71" s="65"/>
      <c r="C71" s="65"/>
      <c r="D71" s="67"/>
      <c r="E71" s="67"/>
      <c r="F71" s="67"/>
      <c r="G71" s="67"/>
      <c r="H71" s="67"/>
      <c r="I71" s="58"/>
      <c r="J71" s="58"/>
      <c r="K71" s="58"/>
      <c r="L71" s="58"/>
      <c r="M71" s="58"/>
      <c r="N71" s="58"/>
      <c r="O71" s="58"/>
    </row>
    <row r="72" spans="1:15" ht="8" customHeight="1">
      <c r="A72" s="58"/>
      <c r="B72" s="58"/>
      <c r="C72" s="58"/>
      <c r="D72" s="58"/>
      <c r="E72" s="58"/>
      <c r="F72" s="58"/>
      <c r="G72" s="58"/>
      <c r="H72" s="58"/>
      <c r="I72" s="58"/>
      <c r="J72" s="58"/>
      <c r="K72" s="58"/>
      <c r="L72" s="58"/>
      <c r="M72" s="58"/>
      <c r="N72" s="58"/>
      <c r="O72" s="58"/>
    </row>
    <row r="73" spans="1:15" ht="22" customHeight="1">
      <c r="A73" s="55" t="s">
        <v>966</v>
      </c>
      <c r="B73" s="55"/>
      <c r="C73" s="55"/>
      <c r="D73" s="55" t="s">
        <v>1022</v>
      </c>
      <c r="E73" s="55" t="s">
        <v>1023</v>
      </c>
      <c r="F73" s="55" t="s">
        <v>1024</v>
      </c>
      <c r="G73" s="55" t="s">
        <v>1025</v>
      </c>
      <c r="H73" s="55" t="s">
        <v>1026</v>
      </c>
      <c r="I73" s="58"/>
      <c r="J73" s="58"/>
      <c r="K73" s="58"/>
      <c r="L73" s="58"/>
      <c r="M73" s="58"/>
      <c r="N73" s="58"/>
      <c r="O73" s="58"/>
    </row>
    <row r="74" spans="1:15" ht="18" customHeight="1">
      <c r="A74" s="65" t="s">
        <v>974</v>
      </c>
      <c r="B74" s="65"/>
      <c r="C74" s="65"/>
      <c r="D74" s="72"/>
      <c r="E74" s="72"/>
      <c r="F74" s="72"/>
      <c r="G74" s="72"/>
      <c r="H74" s="72"/>
      <c r="I74" s="58"/>
      <c r="J74" s="58"/>
      <c r="K74" s="58"/>
      <c r="L74" s="58"/>
      <c r="M74" s="58"/>
      <c r="N74" s="58"/>
      <c r="O74" s="58"/>
    </row>
    <row r="75" spans="1:15" ht="18" customHeight="1">
      <c r="A75" s="65" t="s">
        <v>975</v>
      </c>
      <c r="B75" s="65"/>
      <c r="C75" s="65"/>
      <c r="D75" s="72">
        <f>'Valuation Driver Build'!C219</f>
        <v>20</v>
      </c>
      <c r="E75" s="72">
        <f>'Valuation Driver Build'!C219</f>
        <v>20</v>
      </c>
      <c r="F75" s="72">
        <f>'Valuation Driver Build'!D219</f>
        <v>20</v>
      </c>
      <c r="G75" s="72">
        <f>'Valuation Driver Build'!D219</f>
        <v>20</v>
      </c>
      <c r="H75" s="72">
        <f>'Valuation Driver Build'!D219</f>
        <v>20</v>
      </c>
      <c r="I75" s="58"/>
      <c r="J75" s="58"/>
      <c r="K75" s="58"/>
      <c r="L75" s="58"/>
      <c r="M75" s="58"/>
      <c r="N75" s="58"/>
      <c r="O75" s="58"/>
    </row>
    <row r="76" spans="1:15" ht="18" customHeight="1">
      <c r="A76" s="65" t="s">
        <v>976</v>
      </c>
      <c r="B76" s="65"/>
      <c r="C76" s="65"/>
      <c r="D76" s="72"/>
      <c r="E76" s="72"/>
      <c r="F76" s="72"/>
      <c r="G76" s="72"/>
      <c r="H76" s="72"/>
      <c r="I76" s="58"/>
      <c r="J76" s="58"/>
      <c r="K76" s="58"/>
      <c r="L76" s="58"/>
      <c r="M76" s="58"/>
      <c r="N76" s="58"/>
      <c r="O76" s="58"/>
    </row>
    <row r="77" spans="1:15" ht="8" customHeight="1">
      <c r="A77" s="58"/>
      <c r="B77" s="58"/>
      <c r="C77" s="58"/>
      <c r="D77" s="58"/>
      <c r="E77" s="58"/>
      <c r="F77" s="58"/>
      <c r="G77" s="58"/>
      <c r="H77" s="58"/>
      <c r="I77" s="58"/>
      <c r="J77" s="58"/>
      <c r="K77" s="58"/>
      <c r="L77" s="58"/>
      <c r="M77" s="58"/>
      <c r="N77" s="58"/>
      <c r="O77" s="58"/>
    </row>
    <row r="78" spans="1:15" ht="8" customHeight="1">
      <c r="A78" s="58"/>
      <c r="B78" s="58"/>
      <c r="C78" s="58"/>
      <c r="D78" s="58"/>
      <c r="E78" s="58"/>
      <c r="F78" s="58"/>
      <c r="G78" s="58"/>
      <c r="H78" s="58"/>
      <c r="I78" s="58"/>
      <c r="J78" s="58"/>
      <c r="K78" s="58"/>
      <c r="L78" s="58"/>
      <c r="M78" s="58"/>
      <c r="N78" s="58"/>
      <c r="O78" s="58"/>
    </row>
    <row r="79" spans="1:15" ht="24" customHeight="1">
      <c r="A79" s="59" t="s">
        <v>997</v>
      </c>
      <c r="B79" s="59"/>
      <c r="C79" s="59"/>
      <c r="D79" s="59"/>
      <c r="E79" s="59"/>
      <c r="F79" s="59"/>
      <c r="G79" s="59"/>
      <c r="H79" s="59"/>
      <c r="I79" s="59"/>
      <c r="J79" s="59"/>
      <c r="K79" s="59"/>
      <c r="L79" s="59"/>
      <c r="M79" s="59"/>
      <c r="N79" s="59"/>
      <c r="O79" s="59"/>
    </row>
    <row r="80" spans="1:15" ht="24" customHeight="1">
      <c r="A80" s="56" t="s">
        <v>1042</v>
      </c>
      <c r="B80" s="56"/>
      <c r="C80" s="56"/>
      <c r="D80" s="56"/>
      <c r="E80" s="56"/>
      <c r="F80" s="56"/>
      <c r="G80" s="56"/>
      <c r="H80" s="56"/>
      <c r="I80" s="56"/>
      <c r="J80" s="56"/>
      <c r="K80" s="56"/>
      <c r="L80" s="56"/>
      <c r="M80" s="56"/>
      <c r="N80" s="56"/>
      <c r="O80" s="56"/>
    </row>
    <row r="81" spans="1:15" ht="24" customHeight="1">
      <c r="A81" s="56" t="s">
        <v>1052</v>
      </c>
      <c r="B81" s="56"/>
      <c r="C81" s="56"/>
      <c r="D81" s="56"/>
      <c r="E81" s="56"/>
      <c r="F81" s="56"/>
      <c r="G81" s="56"/>
      <c r="H81" s="56"/>
      <c r="I81" s="56"/>
      <c r="J81" s="56"/>
      <c r="K81" s="56"/>
      <c r="L81" s="56"/>
      <c r="M81" s="56"/>
      <c r="N81" s="56"/>
      <c r="O81" s="56"/>
    </row>
    <row r="82" spans="1:15" ht="24" customHeight="1">
      <c r="A82" s="56" t="s">
        <v>1043</v>
      </c>
      <c r="B82" s="56"/>
      <c r="C82" s="56"/>
      <c r="D82" s="56"/>
      <c r="E82" s="56"/>
      <c r="F82" s="56"/>
      <c r="G82" s="56"/>
      <c r="H82" s="56"/>
      <c r="I82" s="56"/>
      <c r="J82" s="56"/>
      <c r="K82" s="56"/>
      <c r="L82" s="56"/>
      <c r="M82" s="56"/>
      <c r="N82" s="56"/>
      <c r="O82" s="56"/>
    </row>
    <row r="83" spans="1:15" ht="24" customHeight="1">
      <c r="A83" s="56" t="s">
        <v>1044</v>
      </c>
      <c r="B83" s="56"/>
      <c r="C83" s="56"/>
      <c r="D83" s="56"/>
      <c r="E83" s="56"/>
      <c r="F83" s="56"/>
      <c r="G83" s="56"/>
      <c r="H83" s="56"/>
      <c r="I83" s="56"/>
      <c r="J83" s="56"/>
      <c r="K83" s="56"/>
      <c r="L83" s="56"/>
      <c r="M83" s="56"/>
      <c r="N83" s="56"/>
      <c r="O83" s="56"/>
    </row>
    <row r="84" spans="1:15" ht="24" customHeight="1">
      <c r="A84" s="56" t="s">
        <v>1335</v>
      </c>
      <c r="B84" s="56"/>
      <c r="C84" s="56"/>
      <c r="D84" s="56"/>
      <c r="E84" s="56"/>
      <c r="F84" s="56"/>
      <c r="G84" s="56"/>
      <c r="H84" s="56"/>
      <c r="I84" s="56"/>
      <c r="J84" s="56"/>
      <c r="K84" s="56"/>
      <c r="L84" s="56"/>
      <c r="M84" s="56"/>
      <c r="N84" s="56"/>
      <c r="O84" s="56"/>
    </row>
    <row r="85" spans="1:15" ht="24" customHeight="1">
      <c r="A85" s="56" t="s">
        <v>1045</v>
      </c>
      <c r="B85" s="56"/>
      <c r="C85" s="56"/>
      <c r="D85" s="56"/>
      <c r="E85" s="56"/>
      <c r="F85" s="56"/>
      <c r="G85" s="56"/>
      <c r="H85" s="56"/>
      <c r="I85" s="56"/>
      <c r="J85" s="56"/>
      <c r="K85" s="56"/>
      <c r="L85" s="56"/>
      <c r="M85" s="56"/>
      <c r="N85" s="56"/>
      <c r="O85" s="56"/>
    </row>
    <row r="86" spans="1:15" ht="45">
      <c r="A86" s="56" t="s">
        <v>1046</v>
      </c>
      <c r="B86" s="56"/>
      <c r="C86" s="56"/>
      <c r="D86" s="56"/>
      <c r="E86" s="56"/>
      <c r="F86" s="56"/>
      <c r="G86" s="56"/>
      <c r="H86" s="56"/>
      <c r="I86" s="56"/>
      <c r="J86" s="56"/>
      <c r="K86" s="56"/>
      <c r="L86" s="56"/>
      <c r="M86" s="56"/>
      <c r="N86" s="56"/>
      <c r="O86" s="56"/>
    </row>
    <row r="87" spans="1:15" ht="60">
      <c r="A87" s="56" t="s">
        <v>1047</v>
      </c>
      <c r="B87" s="56"/>
      <c r="C87" s="56"/>
      <c r="D87" s="56"/>
      <c r="E87" s="56"/>
      <c r="F87" s="56"/>
      <c r="G87" s="56"/>
      <c r="H87" s="56"/>
      <c r="I87" s="56"/>
      <c r="J87" s="56"/>
      <c r="K87" s="56"/>
      <c r="L87" s="56"/>
      <c r="M87" s="56"/>
      <c r="N87" s="56"/>
      <c r="O87" s="56"/>
    </row>
  </sheetData>
  <mergeCells count="2">
    <mergeCell ref="A2:C2"/>
    <mergeCell ref="A1:B1"/>
  </mergeCells>
  <phoneticPr fontId="33"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0556-03A6-064D-BEFD-2420DEAE95B6}">
  <sheetPr>
    <tabColor rgb="FF1F4E79"/>
  </sheetPr>
  <dimension ref="A1:H36"/>
  <sheetViews>
    <sheetView showGridLines="0" workbookViewId="0">
      <pane ySplit="3" topLeftCell="A4" activePane="bottomLeft" state="frozen"/>
      <selection pane="bottomLeft"/>
    </sheetView>
  </sheetViews>
  <sheetFormatPr baseColWidth="10" defaultColWidth="8.83203125" defaultRowHeight="14"/>
  <cols>
    <col min="1" max="1" width="26" customWidth="1"/>
    <col min="2" max="2" width="40" customWidth="1"/>
    <col min="3" max="3" width="12" customWidth="1"/>
    <col min="4" max="4" width="70" customWidth="1"/>
    <col min="5" max="5" width="60" customWidth="1"/>
    <col min="6" max="6" width="66" customWidth="1"/>
    <col min="7" max="7" width="60" customWidth="1"/>
  </cols>
  <sheetData>
    <row r="1" spans="1:8" ht="28" customHeight="1">
      <c r="A1" s="2" t="s">
        <v>832</v>
      </c>
      <c r="B1" s="1"/>
      <c r="C1" s="1"/>
      <c r="D1" s="1"/>
      <c r="E1" s="1"/>
      <c r="F1" s="1"/>
      <c r="G1" s="1"/>
      <c r="H1" s="1"/>
    </row>
    <row r="2" spans="1:8" ht="16" customHeight="1">
      <c r="A2" s="3" t="s">
        <v>1</v>
      </c>
    </row>
    <row r="4" spans="1:8">
      <c r="A4" s="12" t="s">
        <v>833</v>
      </c>
      <c r="B4" s="12" t="s">
        <v>834</v>
      </c>
      <c r="C4" s="12" t="s">
        <v>835</v>
      </c>
      <c r="D4" s="12" t="s">
        <v>836</v>
      </c>
      <c r="E4" s="12" t="s">
        <v>837</v>
      </c>
      <c r="F4" s="12" t="s">
        <v>838</v>
      </c>
      <c r="G4" s="12" t="s">
        <v>839</v>
      </c>
    </row>
    <row r="5" spans="1:8">
      <c r="A5" s="5" t="s">
        <v>840</v>
      </c>
      <c r="B5" s="5" t="s">
        <v>841</v>
      </c>
      <c r="C5" s="5" t="s">
        <v>92</v>
      </c>
      <c r="D5" s="5" t="s">
        <v>842</v>
      </c>
      <c r="E5" s="5" t="s">
        <v>843</v>
      </c>
      <c r="F5" s="5" t="s">
        <v>844</v>
      </c>
      <c r="G5" s="5" t="s">
        <v>845</v>
      </c>
    </row>
    <row r="6" spans="1:8">
      <c r="A6" s="5" t="s">
        <v>846</v>
      </c>
      <c r="B6" s="5" t="s">
        <v>847</v>
      </c>
      <c r="C6" s="5" t="s">
        <v>93</v>
      </c>
      <c r="D6" s="5" t="s">
        <v>848</v>
      </c>
      <c r="E6" s="5" t="s">
        <v>849</v>
      </c>
      <c r="F6" s="5" t="s">
        <v>850</v>
      </c>
      <c r="G6" s="5" t="s">
        <v>851</v>
      </c>
    </row>
    <row r="7" spans="1:8">
      <c r="A7" s="5" t="s">
        <v>852</v>
      </c>
      <c r="B7" s="5" t="s">
        <v>853</v>
      </c>
      <c r="C7" s="5" t="s">
        <v>94</v>
      </c>
      <c r="D7" s="5" t="s">
        <v>854</v>
      </c>
      <c r="E7" s="5" t="s">
        <v>855</v>
      </c>
      <c r="F7" s="5" t="s">
        <v>856</v>
      </c>
      <c r="G7" s="5" t="s">
        <v>857</v>
      </c>
    </row>
    <row r="8" spans="1:8">
      <c r="A8" s="5" t="s">
        <v>858</v>
      </c>
      <c r="B8" s="5" t="s">
        <v>859</v>
      </c>
      <c r="C8" s="5" t="s">
        <v>95</v>
      </c>
      <c r="D8" s="5" t="s">
        <v>860</v>
      </c>
      <c r="E8" s="5" t="s">
        <v>861</v>
      </c>
      <c r="F8" s="5" t="s">
        <v>862</v>
      </c>
      <c r="G8" s="5" t="s">
        <v>863</v>
      </c>
    </row>
    <row r="9" spans="1:8">
      <c r="A9" s="5" t="s">
        <v>864</v>
      </c>
      <c r="B9" s="5" t="s">
        <v>865</v>
      </c>
      <c r="C9" s="5" t="s">
        <v>96</v>
      </c>
      <c r="D9" s="5" t="s">
        <v>866</v>
      </c>
      <c r="E9" s="5" t="s">
        <v>867</v>
      </c>
      <c r="F9" s="5" t="s">
        <v>868</v>
      </c>
      <c r="G9" s="5" t="s">
        <v>869</v>
      </c>
    </row>
    <row r="10" spans="1:8">
      <c r="A10" s="5" t="s">
        <v>870</v>
      </c>
      <c r="B10" s="5" t="s">
        <v>871</v>
      </c>
      <c r="C10" s="5" t="s">
        <v>97</v>
      </c>
      <c r="D10" s="5" t="s">
        <v>872</v>
      </c>
      <c r="E10" s="5" t="s">
        <v>873</v>
      </c>
      <c r="F10" s="5" t="s">
        <v>874</v>
      </c>
      <c r="G10" s="5" t="s">
        <v>875</v>
      </c>
    </row>
    <row r="11" spans="1:8">
      <c r="A11" s="5" t="s">
        <v>876</v>
      </c>
      <c r="B11" s="5" t="s">
        <v>877</v>
      </c>
      <c r="C11" s="5" t="s">
        <v>98</v>
      </c>
      <c r="D11" s="5" t="s">
        <v>878</v>
      </c>
      <c r="E11" s="5" t="s">
        <v>879</v>
      </c>
      <c r="F11" s="5" t="s">
        <v>880</v>
      </c>
      <c r="G11" s="5" t="s">
        <v>881</v>
      </c>
    </row>
    <row r="12" spans="1:8">
      <c r="A12" s="5" t="s">
        <v>882</v>
      </c>
      <c r="B12" s="5" t="s">
        <v>883</v>
      </c>
      <c r="C12" s="5" t="s">
        <v>99</v>
      </c>
      <c r="D12" s="5" t="s">
        <v>884</v>
      </c>
      <c r="E12" s="5" t="s">
        <v>885</v>
      </c>
      <c r="F12" s="5" t="s">
        <v>886</v>
      </c>
      <c r="G12" s="5" t="s">
        <v>887</v>
      </c>
    </row>
    <row r="13" spans="1:8">
      <c r="A13" s="5" t="s">
        <v>888</v>
      </c>
      <c r="B13" s="5" t="s">
        <v>889</v>
      </c>
      <c r="C13" s="5" t="s">
        <v>102</v>
      </c>
      <c r="D13" s="5" t="s">
        <v>890</v>
      </c>
      <c r="E13" s="5" t="s">
        <v>891</v>
      </c>
      <c r="F13" s="5" t="s">
        <v>892</v>
      </c>
      <c r="G13" s="5" t="s">
        <v>893</v>
      </c>
    </row>
    <row r="14" spans="1:8">
      <c r="A14" s="5" t="s">
        <v>894</v>
      </c>
      <c r="B14" s="5" t="s">
        <v>895</v>
      </c>
      <c r="C14" s="5" t="s">
        <v>100</v>
      </c>
      <c r="D14" s="5" t="s">
        <v>896</v>
      </c>
      <c r="E14" s="5" t="s">
        <v>897</v>
      </c>
      <c r="F14" s="5" t="s">
        <v>898</v>
      </c>
      <c r="G14" s="5" t="s">
        <v>899</v>
      </c>
    </row>
    <row r="15" spans="1:8">
      <c r="A15" s="5" t="s">
        <v>900</v>
      </c>
      <c r="B15" s="5" t="s">
        <v>901</v>
      </c>
      <c r="C15" s="5" t="s">
        <v>103</v>
      </c>
      <c r="D15" s="5" t="s">
        <v>902</v>
      </c>
      <c r="E15" s="5" t="s">
        <v>903</v>
      </c>
      <c r="F15" s="5" t="s">
        <v>904</v>
      </c>
      <c r="G15" s="5" t="s">
        <v>905</v>
      </c>
    </row>
    <row r="16" spans="1:8">
      <c r="A16" s="5" t="s">
        <v>906</v>
      </c>
      <c r="B16" s="5" t="s">
        <v>907</v>
      </c>
      <c r="C16" s="5" t="s">
        <v>104</v>
      </c>
      <c r="D16" s="5" t="s">
        <v>908</v>
      </c>
      <c r="E16" s="5" t="s">
        <v>909</v>
      </c>
      <c r="F16" s="5" t="s">
        <v>910</v>
      </c>
      <c r="G16" s="5" t="s">
        <v>911</v>
      </c>
    </row>
    <row r="17" spans="1:7">
      <c r="A17" s="5" t="s">
        <v>912</v>
      </c>
      <c r="B17" s="5" t="s">
        <v>913</v>
      </c>
      <c r="C17" s="5" t="s">
        <v>105</v>
      </c>
      <c r="D17" s="5" t="s">
        <v>914</v>
      </c>
      <c r="E17" s="5" t="s">
        <v>915</v>
      </c>
      <c r="F17" s="5" t="s">
        <v>916</v>
      </c>
      <c r="G17" s="5" t="s">
        <v>917</v>
      </c>
    </row>
    <row r="18" spans="1:7">
      <c r="A18" s="5" t="s">
        <v>918</v>
      </c>
      <c r="B18" s="5" t="s">
        <v>919</v>
      </c>
      <c r="C18" s="5" t="s">
        <v>101</v>
      </c>
      <c r="D18" s="5" t="s">
        <v>920</v>
      </c>
      <c r="E18" s="5" t="s">
        <v>921</v>
      </c>
      <c r="F18" s="5" t="s">
        <v>922</v>
      </c>
      <c r="G18" s="5" t="s">
        <v>923</v>
      </c>
    </row>
    <row r="19" spans="1:7">
      <c r="A19" s="5" t="s">
        <v>924</v>
      </c>
      <c r="B19" s="5" t="s">
        <v>925</v>
      </c>
      <c r="C19" s="5" t="s">
        <v>106</v>
      </c>
      <c r="D19" s="5" t="s">
        <v>926</v>
      </c>
      <c r="E19" s="5" t="s">
        <v>927</v>
      </c>
      <c r="F19" s="5" t="s">
        <v>928</v>
      </c>
      <c r="G19" s="5" t="s">
        <v>929</v>
      </c>
    </row>
    <row r="20" spans="1:7">
      <c r="A20" s="5" t="s">
        <v>930</v>
      </c>
      <c r="B20" s="5" t="s">
        <v>931</v>
      </c>
      <c r="C20" s="5" t="s">
        <v>107</v>
      </c>
      <c r="D20" s="5" t="s">
        <v>932</v>
      </c>
      <c r="E20" s="5" t="s">
        <v>933</v>
      </c>
      <c r="F20" s="5" t="s">
        <v>934</v>
      </c>
      <c r="G20" s="5" t="s">
        <v>935</v>
      </c>
    </row>
    <row r="22" spans="1:7">
      <c r="A22" s="4" t="s">
        <v>936</v>
      </c>
    </row>
    <row r="23" spans="1:7">
      <c r="A23" s="5" t="s">
        <v>937</v>
      </c>
      <c r="B23" s="5" t="s">
        <v>938</v>
      </c>
    </row>
    <row r="24" spans="1:7">
      <c r="A24" s="5" t="s">
        <v>939</v>
      </c>
      <c r="B24" s="5" t="s">
        <v>940</v>
      </c>
    </row>
    <row r="25" spans="1:7">
      <c r="A25" s="5" t="s">
        <v>941</v>
      </c>
      <c r="B25" s="5" t="s">
        <v>942</v>
      </c>
    </row>
    <row r="26" spans="1:7">
      <c r="A26" s="5" t="s">
        <v>943</v>
      </c>
      <c r="B26" s="5" t="s">
        <v>944</v>
      </c>
    </row>
    <row r="28" spans="1:7">
      <c r="A28" s="4" t="s">
        <v>945</v>
      </c>
    </row>
    <row r="29" spans="1:7">
      <c r="A29" s="5" t="s">
        <v>946</v>
      </c>
      <c r="B29" s="5" t="s">
        <v>947</v>
      </c>
      <c r="C29" s="5" t="s">
        <v>948</v>
      </c>
    </row>
    <row r="30" spans="1:7">
      <c r="A30" s="5" t="s">
        <v>949</v>
      </c>
      <c r="B30" s="5" t="s">
        <v>950</v>
      </c>
      <c r="C30" s="5" t="s">
        <v>948</v>
      </c>
    </row>
    <row r="31" spans="1:7">
      <c r="A31" s="5" t="s">
        <v>951</v>
      </c>
      <c r="B31" s="5" t="s">
        <v>952</v>
      </c>
      <c r="C31" s="5" t="s">
        <v>948</v>
      </c>
    </row>
    <row r="32" spans="1:7">
      <c r="A32" s="5" t="s">
        <v>953</v>
      </c>
      <c r="B32" s="5" t="s">
        <v>954</v>
      </c>
      <c r="C32" s="5" t="s">
        <v>948</v>
      </c>
    </row>
    <row r="33" spans="1:3">
      <c r="A33" s="5" t="s">
        <v>955</v>
      </c>
      <c r="B33" s="5" t="s">
        <v>956</v>
      </c>
      <c r="C33" s="5" t="s">
        <v>948</v>
      </c>
    </row>
    <row r="34" spans="1:3">
      <c r="A34" s="5" t="s">
        <v>957</v>
      </c>
      <c r="B34" s="5" t="s">
        <v>958</v>
      </c>
      <c r="C34" s="5" t="s">
        <v>948</v>
      </c>
    </row>
    <row r="35" spans="1:3">
      <c r="A35" s="5" t="s">
        <v>959</v>
      </c>
      <c r="B35" s="5" t="s">
        <v>960</v>
      </c>
      <c r="C35" s="5" t="s">
        <v>948</v>
      </c>
    </row>
    <row r="36" spans="1:3">
      <c r="A36" s="5" t="s">
        <v>961</v>
      </c>
      <c r="B36" s="5" t="s">
        <v>962</v>
      </c>
      <c r="C36" s="5" t="s">
        <v>948</v>
      </c>
    </row>
  </sheetData>
  <phoneticPr fontId="3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13</vt:i4>
      </vt:variant>
    </vt:vector>
  </HeadingPairs>
  <TitlesOfParts>
    <vt:vector size="13" baseType="lpstr">
      <vt:lpstr>Cover</vt:lpstr>
      <vt:lpstr>Income Statement</vt:lpstr>
      <vt:lpstr>Balance Sheet</vt:lpstr>
      <vt:lpstr>Cash Flow</vt:lpstr>
      <vt:lpstr>Segments</vt:lpstr>
      <vt:lpstr>Operating Metrics</vt:lpstr>
      <vt:lpstr>Note Schedules</vt:lpstr>
      <vt:lpstr>Derived Metrics</vt:lpstr>
      <vt:lpstr>Year-End Schedules</vt:lpstr>
      <vt:lpstr>Outlook &amp; Text KPIs</vt:lpstr>
      <vt:lpstr>Valuation Driver Build</vt:lpstr>
      <vt:lpstr>Year-End Valuation</vt:lpstr>
      <vt:lpstr>Sources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e69900</cp:lastModifiedBy>
  <dcterms:created xsi:type="dcterms:W3CDTF">2026-10-12T03:21:40Z</dcterms:created>
  <dcterms:modified xsi:type="dcterms:W3CDTF">2026-10-13T02:55:00Z</dcterms:modified>
</cp:coreProperties>
</file>