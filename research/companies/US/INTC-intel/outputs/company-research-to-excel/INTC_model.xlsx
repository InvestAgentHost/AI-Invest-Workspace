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d55de9729c43c0" /></Relationships>
</file>

<file path=xl/workbook.xml><?xml version="1.0" encoding="utf-8"?>
<workbook xmlns="http://schemas.openxmlformats.org/spreadsheetml/2006/main" xmlns:r="http://schemas.openxmlformats.org/officeDocument/2006/relationships">
  <sheets>
    <sheet name="Contents" sheetId="1" r:id="R45b0f56021bd4b06"/>
    <sheet name="Segments" sheetId="6" r:id="Rf1541c2dc702494d"/>
    <sheet name="Revenue &amp; Operations" sheetId="7" r:id="R73b5557fa30e44dd"/>
    <sheet name="Income Statement" sheetId="2" r:id="R2e6d2ae703c44f8c"/>
    <sheet name="Balance Sheet" sheetId="3" r:id="Rdc21ec2c0c624379"/>
    <sheet name="Cash Flow" sheetId="4" r:id="Ra754c2e473c4415b"/>
    <sheet name="Derivate Metrics" sheetId="5" r:id="Rfc04af6ebf95476b"/>
    <sheet name="Assets &amp; Investments" sheetId="8" r:id="R7be966a86da64d86"/>
    <sheet name="Debt &amp; Leases" sheetId="9" r:id="R066f744423bb4766"/>
    <sheet name="Capital &amp; Shareholders" sheetId="10" r:id="R5e5ae27ffdbb4650"/>
    <sheet name="Taxes &amp; Adjustments" sheetId="11" r:id="R230a3efaf3a44476"/>
  </sheets>
</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yyyy-mm-dd"/>
    <x:numFmt numFmtId="201" formatCode="#,##0;(#,##0);&quot;–&quot;"/>
    <x:numFmt numFmtId="202" formatCode="  @"/>
    <x:numFmt numFmtId="203" formatCode="0.0%;(0.0%);&quot;–&quot;"/>
    <x:numFmt numFmtId="204" formatCode="0.00;(0.00);&quot;–&quot;"/>
    <x:numFmt numFmtId="205" formatCode="0.0&quot;x&quot;;(0.0&quot;x&quot;);&quot;–&quot;"/>
    <x:numFmt numFmtId="206" formatCode="#,##0.0;(#,##0.0);&quot;–&quot;"/>
  </x:numFmts>
  <x:fonts count="25">
    <x:font>
      <x:sz val="11"/>
      <x:name val="Carlito"/>
    </x:font>
    <x:font>
      <x:sz val="10.5"/>
      <x:color rgb="FF243447"/>
      <x:name val="Arial"/>
    </x:font>
    <x:font>
      <x:b/>
      <x:sz val="14"/>
      <x:color rgb="FFFFFFFF"/>
      <x:name val="Arial"/>
    </x:font>
    <x:font>
      <x:sz val="9"/>
      <x:color rgb="FF64748B"/>
      <x:name val="Arial"/>
    </x:font>
    <x:font>
      <x:b/>
      <x:sz val="10"/>
      <x:color rgb="FF243447"/>
      <x:name val="Arial"/>
    </x:font>
    <x:font>
      <x:b/>
      <x:sz val="10"/>
      <x:color rgb="FFFFFFFF"/>
      <x:name val="Arial"/>
    </x:font>
    <x:font>
      <x:sz val="8.5"/>
      <x:color rgb="FF64748B"/>
      <x:name val="Arial"/>
    </x:font>
    <x:font>
      <x:b/>
      <x:sz val="10.5"/>
      <x:color rgb="FF243447"/>
      <x:name val="Arial"/>
    </x:font>
    <x:font>
      <x:b/>
      <x:sz val="10.5"/>
      <x:color rgb="FF2454A4"/>
      <x:name val="Arial"/>
    </x:font>
    <x:font>
      <x:i/>
      <x:sz val="10.5"/>
      <x:color rgb="FF243447"/>
      <x:name val="Arial"/>
    </x:font>
    <x:font>
      <x:i/>
      <x:sz val="10.5"/>
      <x:color rgb="FF2454A4"/>
      <x:name val="Arial"/>
    </x:font>
    <x:font>
      <x:i/>
      <x:sz val="9"/>
      <x:color rgb="FF64748B"/>
      <x:name val="Arial"/>
    </x:font>
    <x:font>
      <x:sz val="10.5"/>
      <x:color rgb="FF243447"/>
      <x:name val="Arial"/>
    </x:font>
    <x:font>
      <x:sz val="10.5"/>
      <x:color rgb="FF2454A4"/>
      <x:name val="Arial"/>
    </x:font>
    <x:font>
      <x:sz val="10.5"/>
      <x:color rgb="FF20746C"/>
      <x:name val="Arial"/>
    </x:font>
    <x:font>
      <x:b/>
      <x:i/>
      <x:sz val="10.5"/>
      <x:color rgb="FF243447"/>
      <x:name val="Arial"/>
    </x:font>
    <x:font>
      <x:b/>
      <x:i/>
      <x:sz val="10.5"/>
      <x:color rgb="FF2454A4"/>
      <x:name val="Arial"/>
    </x:font>
    <x:font>
      <x:sz val="9"/>
      <x:color rgb="FF64748B"/>
      <x:name val="Arial"/>
    </x:font>
    <x:font>
      <x:i/>
      <x:sz val="10.5"/>
      <x:color rgb="FF20746C"/>
      <x:name val="Arial"/>
    </x:font>
    <x:font>
      <x:b/>
      <x:sz val="10.5"/>
      <x:color rgb="FF20746C"/>
      <x:name val="Arial"/>
    </x:font>
    <x:font>
      <x:b/>
      <x:sz val="9"/>
      <x:color rgb="FF64748B"/>
      <x:name val="Arial"/>
    </x:font>
    <x:font>
      <x:b/>
      <x:i/>
      <x:sz val="10.5"/>
      <x:color rgb="FF20746C"/>
      <x:name val="Arial"/>
    </x:font>
    <x:font>
      <x:b/>
      <x:i/>
      <x:sz val="9"/>
      <x:color rgb="FF64748B"/>
      <x:name val="Arial"/>
    </x:font>
    <x:font>
      <x:b/>
      <x:sz val="10.5"/>
      <x:color rgb="FF20746C"/>
      <x:name val="Arial"/>
    </x:font>
    <x:font>
      <x:sz val="9"/>
      <x:color rgb="FF243447"/>
      <x:name val="Arial"/>
    </x:font>
  </x:fonts>
  <x:fills count="8">
    <x:fill>
      <x:patternFill patternType="none"/>
    </x:fill>
    <x:fill>
      <x:patternFill patternType="gray125"/>
    </x:fill>
    <x:fill>
      <x:patternFill patternType="solid">
        <x:fgColor rgb="FFFFFFFF"/>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s>
  <x:borders count="2">
    <x:border>
      <x:left/>
      <x:right/>
      <x:top/>
      <x:bottom/>
      <x:diagonal/>
    </x:border>
    <x:border>
      <x:left/>
      <x:right/>
      <x:top style="thin">
        <x:color rgb="FFBBC8D6"/>
      </x:top>
      <x:bottom/>
      <x:diagonal/>
    </x:border>
  </x:borders>
  <x:cellStyleXfs count="1">
    <x:xf numFmtId="0" fontId="0" fillId="0" borderId="0"/>
  </x:cellStyleXfs>
  <x:cellXfs count="1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200" fontId="1" fillId="2"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6" fillId="5" borderId="0" xfId="0" applyNumberFormat="1" applyFont="1" applyFill="1" applyBorder="1" applyAlignment="1">
      <x:alignment vertical="center"/>
    </x:xf>
    <x:xf numFmtId="200" fontId="6" fillId="5"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5" fillId="6" borderId="0" xfId="0" applyNumberFormat="1" applyFont="1" applyFill="1" applyBorder="1" applyAlignment="1">
      <x:alignment horizontal="center"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7" fillId="2" borderId="0" xfId="0" applyNumberFormat="1" applyFont="1" applyFill="1" applyBorder="1" applyAlignment="1">
      <x:alignment vertical="center"/>
    </x:xf>
    <x:xf numFmtId="0" fontId="7" fillId="2" borderId="0" xfId="0" applyNumberFormat="1" applyFont="1" applyFill="1" applyBorder="1" applyAlignment="1">
      <x:alignment vertical="center" wrapText="1"/>
    </x:xf>
    <x:xf numFmtId="0" fontId="7" fillId="2" borderId="0" xfId="0" applyNumberFormat="1" applyFont="1" applyFill="1" applyBorder="1" applyAlignment="1">
      <x:alignment horizontal="left" vertical="center" wrapText="1"/>
    </x:xf>
    <x:xf numFmtId="201" fontId="1" fillId="2" borderId="0" xfId="0" applyNumberFormat="1" applyFont="1" applyFill="1" applyBorder="1" applyAlignment="1">
      <x:alignment vertical="center"/>
    </x:xf>
    <x:xf numFmtId="201" fontId="8" fillId="2" borderId="0" xfId="0" applyNumberFormat="1" applyFont="1" applyFill="1" applyBorder="1" applyAlignment="1">
      <x:alignment vertical="center"/>
    </x:xf>
    <x:xf numFmtId="201" fontId="8" fillId="2" borderId="0" xfId="0" applyNumberFormat="1" applyFont="1" applyFill="1" applyBorder="1" applyAlignment="1">
      <x:alignment horizontal="right" vertical="center"/>
    </x:xf>
    <x:xf numFmtId="201" fontId="7" fillId="2" borderId="0" xfId="0" applyNumberFormat="1" applyFont="1" applyFill="1" applyBorder="1" applyAlignment="1">
      <x:alignment horizontal="right" vertical="center"/>
    </x:xf>
    <x:xf numFmtId="0" fontId="7" fillId="7" borderId="0" xfId="0" applyNumberFormat="1" applyFont="1" applyFill="1" applyBorder="1" applyAlignment="1">
      <x:alignment horizontal="left" vertical="center" wrapText="1"/>
    </x:xf>
    <x:xf numFmtId="0" fontId="1" fillId="7" borderId="0" xfId="0" applyNumberFormat="1" applyFont="1" applyFill="1" applyBorder="1" applyAlignment="1">
      <x:alignment vertical="center"/>
    </x:xf>
    <x:xf numFmtId="201" fontId="8" fillId="7" borderId="0" xfId="0" applyNumberFormat="1" applyFont="1" applyFill="1" applyBorder="1" applyAlignment="1">
      <x:alignment horizontal="right" vertical="center"/>
    </x:xf>
    <x:xf numFmtId="201" fontId="7" fillId="7" borderId="0" xfId="0" applyNumberFormat="1" applyFont="1" applyFill="1" applyBorder="1" applyAlignment="1">
      <x:alignment horizontal="right" vertical="center"/>
    </x:xf>
    <x:xf numFmtId="0" fontId="7" fillId="7" borderId="1" xfId="0" applyNumberFormat="1" applyFont="1" applyFill="1" applyBorder="1" applyAlignment="1">
      <x:alignment horizontal="left" vertical="center" wrapText="1"/>
    </x:xf>
    <x:xf numFmtId="0" fontId="1" fillId="7" borderId="1" xfId="0" applyNumberFormat="1" applyFont="1" applyFill="1" applyBorder="1" applyAlignment="1">
      <x:alignment vertical="center"/>
    </x:xf>
    <x:xf numFmtId="201" fontId="8" fillId="7" borderId="1" xfId="0" applyNumberFormat="1" applyFont="1" applyFill="1" applyBorder="1" applyAlignment="1">
      <x:alignment horizontal="right" vertical="center"/>
    </x:xf>
    <x:xf numFmtId="201" fontId="7" fillId="7" borderId="1" xfId="0" applyNumberFormat="1" applyFont="1" applyFill="1" applyBorder="1" applyAlignment="1">
      <x:alignment horizontal="right" vertical="center"/>
    </x:xf>
    <x:xf numFmtId="0" fontId="9" fillId="2" borderId="0" xfId="0" applyNumberFormat="1" applyFont="1" applyFill="1" applyBorder="1" applyAlignment="1">
      <x:alignment vertical="center"/>
    </x:xf>
    <x:xf numFmtId="0" fontId="9" fillId="2" borderId="0" xfId="0" applyNumberFormat="1" applyFont="1" applyFill="1" applyBorder="1" applyAlignment="1">
      <x:alignment vertical="center" wrapText="1"/>
    </x:xf>
    <x:xf numFmtId="0" fontId="9" fillId="2" borderId="0" xfId="0" applyNumberFormat="1" applyFont="1" applyFill="1" applyBorder="1" applyAlignment="1">
      <x:alignment horizontal="left" vertical="center" wrapText="1"/>
    </x:xf>
    <x:xf numFmtId="202" fontId="9" fillId="2" borderId="0" xfId="0" applyNumberFormat="1" applyFont="1" applyFill="1" applyBorder="1" applyAlignment="1">
      <x:alignment horizontal="left" vertical="center" wrapText="1"/>
    </x:xf>
    <x:xf numFmtId="203" fontId="1" fillId="2" borderId="0" xfId="0" applyNumberFormat="1" applyFont="1" applyFill="1" applyBorder="1" applyAlignment="1">
      <x:alignment vertical="center"/>
    </x:xf>
    <x:xf numFmtId="203" fontId="10" fillId="2" borderId="0" xfId="0" applyNumberFormat="1" applyFont="1" applyFill="1" applyBorder="1" applyAlignment="1">
      <x:alignment vertical="center"/>
    </x:xf>
    <x:xf numFmtId="203" fontId="10" fillId="2" borderId="0" xfId="0" applyNumberFormat="1" applyFont="1" applyFill="1" applyBorder="1" applyAlignment="1">
      <x:alignment horizontal="right" vertical="center"/>
    </x:xf>
    <x:xf numFmtId="203" fontId="11" fillId="2" borderId="0" xfId="0" applyNumberFormat="1" applyFont="1" applyFill="1" applyBorder="1" applyAlignment="1">
      <x:alignment horizontal="right" vertical="center"/>
    </x:xf>
    <x:xf numFmtId="203" fontId="9" fillId="2" borderId="0" xfId="0" applyNumberFormat="1" applyFont="1" applyFill="1" applyBorder="1" applyAlignment="1">
      <x:alignment horizontal="right" vertical="center"/>
    </x:xf>
    <x:xf numFmtId="0" fontId="12" fillId="2" borderId="0" xfId="0" applyNumberFormat="1" applyFont="1" applyFill="1" applyBorder="1" applyAlignment="1">
      <x:alignment vertical="center"/>
    </x:xf>
    <x:xf numFmtId="0" fontId="12" fillId="2" borderId="0" xfId="0" applyNumberFormat="1" applyFont="1" applyFill="1" applyBorder="1" applyAlignment="1">
      <x:alignment vertical="center" wrapText="1"/>
    </x:xf>
    <x:xf numFmtId="0" fontId="12" fillId="2" borderId="0" xfId="0" applyNumberFormat="1" applyFont="1" applyFill="1" applyBorder="1" applyAlignment="1">
      <x:alignment horizontal="left" vertical="center" wrapText="1"/>
    </x:xf>
    <x:xf numFmtId="201" fontId="13" fillId="2" borderId="0" xfId="0" applyNumberFormat="1" applyFont="1" applyFill="1" applyBorder="1" applyAlignment="1">
      <x:alignment vertical="center"/>
    </x:xf>
    <x:xf numFmtId="201" fontId="13" fillId="2" borderId="0" xfId="0" applyNumberFormat="1" applyFont="1" applyFill="1" applyBorder="1" applyAlignment="1">
      <x:alignment horizontal="right" vertical="center"/>
    </x:xf>
    <x:xf numFmtId="201" fontId="12" fillId="2" borderId="0" xfId="0" applyNumberFormat="1" applyFont="1" applyFill="1" applyBorder="1" applyAlignment="1">
      <x:alignment horizontal="right" vertical="center"/>
    </x:xf>
    <x:xf numFmtId="202" fontId="12" fillId="2" borderId="0" xfId="0" applyNumberFormat="1" applyFont="1" applyFill="1" applyBorder="1" applyAlignment="1">
      <x:alignment horizontal="left" vertical="center" wrapText="1"/>
    </x:xf>
    <x:xf numFmtId="204" fontId="1" fillId="2" borderId="0" xfId="0" applyNumberFormat="1" applyFont="1" applyFill="1" applyBorder="1" applyAlignment="1">
      <x:alignment vertical="center"/>
    </x:xf>
    <x:xf numFmtId="204" fontId="8" fillId="2" borderId="0" xfId="0" applyNumberFormat="1" applyFont="1" applyFill="1" applyBorder="1" applyAlignment="1">
      <x:alignment vertical="center"/>
    </x:xf>
    <x:xf numFmtId="204" fontId="8" fillId="2" borderId="0" xfId="0" applyNumberFormat="1" applyFont="1" applyFill="1" applyBorder="1" applyAlignment="1">
      <x:alignment horizontal="right" vertical="center"/>
    </x:xf>
    <x:xf numFmtId="204" fontId="8" fillId="7" borderId="0" xfId="0" applyNumberFormat="1" applyFont="1" applyFill="1" applyBorder="1" applyAlignment="1">
      <x:alignment horizontal="right" vertical="center"/>
    </x:xf>
    <x:xf numFmtId="204" fontId="8" fillId="7" borderId="1" xfId="0" applyNumberFormat="1" applyFont="1" applyFill="1" applyBorder="1" applyAlignment="1">
      <x:alignment horizontal="right" vertical="center"/>
    </x:xf>
    <x:xf numFmtId="204" fontId="12" fillId="2" borderId="0" xfId="0" applyNumberFormat="1" applyFont="1" applyFill="1" applyBorder="1" applyAlignment="1">
      <x:alignment horizontal="right" vertical="center"/>
    </x:xf>
    <x:xf numFmtId="204" fontId="13" fillId="2" borderId="0" xfId="0" applyNumberFormat="1" applyFont="1" applyFill="1" applyBorder="1" applyAlignment="1">
      <x:alignment horizontal="right" vertical="center"/>
    </x:xf>
    <x:xf numFmtId="201" fontId="14" fillId="2" borderId="0" xfId="0" applyNumberFormat="1" applyFont="1" applyFill="1" applyBorder="1" applyAlignment="1">
      <x:alignment horizontal="right" vertical="center"/>
    </x:xf>
    <x:xf numFmtId="204" fontId="14" fillId="2" borderId="0" xfId="0" applyNumberFormat="1" applyFont="1" applyFill="1" applyBorder="1" applyAlignment="1">
      <x:alignment horizontal="right" vertical="center"/>
    </x:xf>
    <x:xf numFmtId="0" fontId="15" fillId="2" borderId="0" xfId="0" applyNumberFormat="1" applyFont="1" applyFill="1" applyBorder="1" applyAlignment="1">
      <x:alignment vertical="center"/>
    </x:xf>
    <x:xf numFmtId="0" fontId="15" fillId="2" borderId="0" xfId="0" applyNumberFormat="1" applyFont="1" applyFill="1" applyBorder="1" applyAlignment="1">
      <x:alignment vertical="center" wrapText="1"/>
    </x:xf>
    <x:xf numFmtId="0" fontId="15" fillId="2" borderId="0" xfId="0" applyNumberFormat="1" applyFont="1" applyFill="1" applyBorder="1" applyAlignment="1">
      <x:alignment horizontal="left" vertical="center" wrapText="1"/>
    </x:xf>
    <x:xf numFmtId="203" fontId="16" fillId="2" borderId="0" xfId="0" applyNumberFormat="1" applyFont="1" applyFill="1" applyBorder="1" applyAlignment="1">
      <x:alignment vertical="center"/>
    </x:xf>
    <x:xf numFmtId="203" fontId="16" fillId="2" borderId="0" xfId="0" applyNumberFormat="1" applyFont="1" applyFill="1" applyBorder="1" applyAlignment="1">
      <x:alignment horizontal="right" vertical="center"/>
    </x:xf>
    <x:xf numFmtId="203" fontId="15" fillId="2" borderId="0" xfId="0" applyNumberFormat="1" applyFont="1" applyFill="1" applyBorder="1" applyAlignment="1">
      <x:alignment horizontal="right" vertical="center"/>
    </x:xf>
    <x:xf numFmtId="0" fontId="15" fillId="7" borderId="0" xfId="0" applyNumberFormat="1" applyFont="1" applyFill="1" applyBorder="1" applyAlignment="1">
      <x:alignment horizontal="left" vertical="center" wrapText="1"/>
    </x:xf>
    <x:xf numFmtId="203" fontId="15" fillId="7" borderId="0" xfId="0" applyNumberFormat="1" applyFont="1" applyFill="1" applyBorder="1" applyAlignment="1">
      <x:alignment horizontal="right" vertical="center"/>
    </x:xf>
    <x:xf numFmtId="203" fontId="16" fillId="7" borderId="0" xfId="0" applyNumberFormat="1" applyFont="1" applyFill="1" applyBorder="1" applyAlignment="1">
      <x:alignment horizontal="right" vertical="center"/>
    </x:xf>
    <x:xf numFmtId="0" fontId="15" fillId="7" borderId="1" xfId="0" applyNumberFormat="1" applyFont="1" applyFill="1" applyBorder="1" applyAlignment="1">
      <x:alignment horizontal="left" vertical="center" wrapText="1"/>
    </x:xf>
    <x:xf numFmtId="203" fontId="15" fillId="7" borderId="1" xfId="0" applyNumberFormat="1" applyFont="1" applyFill="1" applyBorder="1" applyAlignment="1">
      <x:alignment horizontal="right" vertical="center"/>
    </x:xf>
    <x:xf numFmtId="203" fontId="16" fillId="7" borderId="1" xfId="0" applyNumberFormat="1" applyFont="1" applyFill="1" applyBorder="1" applyAlignment="1">
      <x:alignment horizontal="right" vertical="center"/>
    </x:xf>
    <x:xf numFmtId="201" fontId="17" fillId="2" borderId="0" xfId="0" applyNumberFormat="1" applyFont="1" applyFill="1" applyBorder="1" applyAlignment="1">
      <x:alignment horizontal="right" vertical="center"/>
    </x:xf>
    <x:xf numFmtId="203" fontId="18" fillId="2" borderId="0" xfId="0" applyNumberFormat="1" applyFont="1" applyFill="1" applyBorder="1" applyAlignment="1">
      <x:alignment horizontal="right" vertical="center"/>
    </x:xf>
    <x:xf numFmtId="201" fontId="19" fillId="2" borderId="0" xfId="0" applyNumberFormat="1" applyFont="1" applyFill="1" applyBorder="1" applyAlignment="1">
      <x:alignment horizontal="right" vertical="center"/>
    </x:xf>
    <x:xf numFmtId="201" fontId="20" fillId="2" borderId="0" xfId="0" applyNumberFormat="1" applyFont="1" applyFill="1" applyBorder="1" applyAlignment="1">
      <x:alignment horizontal="right" vertical="center"/>
    </x:xf>
    <x:xf numFmtId="201" fontId="19" fillId="7" borderId="0" xfId="0" applyNumberFormat="1" applyFont="1" applyFill="1" applyBorder="1" applyAlignment="1">
      <x:alignment horizontal="right" vertical="center"/>
    </x:xf>
    <x:xf numFmtId="201" fontId="20" fillId="7" borderId="0" xfId="0" applyNumberFormat="1" applyFont="1" applyFill="1" applyBorder="1" applyAlignment="1">
      <x:alignment horizontal="right" vertical="center"/>
    </x:xf>
    <x:xf numFmtId="201" fontId="19" fillId="7" borderId="1" xfId="0" applyNumberFormat="1" applyFont="1" applyFill="1" applyBorder="1" applyAlignment="1">
      <x:alignment horizontal="right" vertical="center"/>
    </x:xf>
    <x:xf numFmtId="201" fontId="20" fillId="7" borderId="1" xfId="0" applyNumberFormat="1" applyFont="1" applyFill="1" applyBorder="1" applyAlignment="1">
      <x:alignment horizontal="right" vertical="center"/>
    </x:xf>
    <x:xf numFmtId="203" fontId="21" fillId="2" borderId="0" xfId="0" applyNumberFormat="1" applyFont="1" applyFill="1" applyBorder="1" applyAlignment="1">
      <x:alignment horizontal="right" vertical="center"/>
    </x:xf>
    <x:xf numFmtId="203" fontId="22" fillId="2" borderId="0" xfId="0" applyNumberFormat="1" applyFont="1" applyFill="1" applyBorder="1" applyAlignment="1">
      <x:alignment horizontal="right" vertical="center"/>
    </x:xf>
    <x:xf numFmtId="203" fontId="21" fillId="7" borderId="0" xfId="0" applyNumberFormat="1" applyFont="1" applyFill="1" applyBorder="1" applyAlignment="1">
      <x:alignment horizontal="right" vertical="center"/>
    </x:xf>
    <x:xf numFmtId="203" fontId="22" fillId="7" borderId="0" xfId="0" applyNumberFormat="1" applyFont="1" applyFill="1" applyBorder="1" applyAlignment="1">
      <x:alignment horizontal="right" vertical="center"/>
    </x:xf>
    <x:xf numFmtId="203" fontId="21" fillId="7" borderId="1" xfId="0" applyNumberFormat="1" applyFont="1" applyFill="1" applyBorder="1" applyAlignment="1">
      <x:alignment horizontal="right" vertical="center"/>
    </x:xf>
    <x:xf numFmtId="203" fontId="22" fillId="7" borderId="1" xfId="0" applyNumberFormat="1" applyFont="1" applyFill="1" applyBorder="1" applyAlignment="1">
      <x:alignment horizontal="right" vertical="center"/>
    </x:xf>
    <x:xf numFmtId="205" fontId="1" fillId="2" borderId="0" xfId="0" applyNumberFormat="1" applyFont="1" applyFill="1" applyBorder="1" applyAlignment="1">
      <x:alignment vertical="center"/>
    </x:xf>
    <x:xf numFmtId="205" fontId="10" fillId="2" borderId="0" xfId="0" applyNumberFormat="1" applyFont="1" applyFill="1" applyBorder="1" applyAlignment="1">
      <x:alignment vertical="center"/>
    </x:xf>
    <x:xf numFmtId="205" fontId="10" fillId="2" borderId="0" xfId="0" applyNumberFormat="1" applyFont="1" applyFill="1" applyBorder="1" applyAlignment="1">
      <x:alignment horizontal="right" vertical="center"/>
    </x:xf>
    <x:xf numFmtId="205" fontId="18" fillId="2" borderId="0" xfId="0" applyNumberFormat="1" applyFont="1" applyFill="1" applyBorder="1" applyAlignment="1">
      <x:alignment horizontal="right" vertical="center"/>
    </x:xf>
    <x:xf numFmtId="206" fontId="1" fillId="2" borderId="0" xfId="0" applyNumberFormat="1" applyFont="1" applyFill="1" applyBorder="1" applyAlignment="1">
      <x:alignment vertical="center"/>
    </x:xf>
    <x:xf numFmtId="206" fontId="13" fillId="2" borderId="0" xfId="0" applyNumberFormat="1" applyFont="1" applyFill="1" applyBorder="1" applyAlignment="1">
      <x:alignment vertical="center"/>
    </x:xf>
    <x:xf numFmtId="206" fontId="13" fillId="2" borderId="0" xfId="0" applyNumberFormat="1" applyFont="1" applyFill="1" applyBorder="1" applyAlignment="1">
      <x:alignment horizontal="right" vertical="center"/>
    </x:xf>
    <x:xf numFmtId="206" fontId="14" fillId="2" borderId="0" xfId="0" applyNumberFormat="1" applyFont="1" applyFill="1" applyBorder="1" applyAlignment="1">
      <x:alignment horizontal="right" vertical="center"/>
    </x:xf>
    <x:xf numFmtId="206" fontId="17" fillId="2" borderId="0" xfId="0" applyNumberFormat="1" applyFont="1" applyFill="1" applyBorder="1" applyAlignment="1">
      <x:alignment horizontal="right" vertical="center"/>
    </x:xf>
    <x:xf numFmtId="205" fontId="11" fillId="2" borderId="0" xfId="0" applyNumberFormat="1" applyFont="1" applyFill="1" applyBorder="1" applyAlignment="1">
      <x:alignment horizontal="right" vertical="center"/>
    </x:xf>
    <x:xf numFmtId="206" fontId="8" fillId="2" borderId="0" xfId="0" applyNumberFormat="1" applyFont="1" applyFill="1" applyBorder="1" applyAlignment="1">
      <x:alignment vertical="center"/>
    </x:xf>
    <x:xf numFmtId="206" fontId="8" fillId="2" borderId="0" xfId="0" applyNumberFormat="1" applyFont="1" applyFill="1" applyBorder="1" applyAlignment="1">
      <x:alignment horizontal="right" vertical="center"/>
    </x:xf>
    <x:xf numFmtId="206" fontId="8" fillId="7" borderId="0" xfId="0" applyNumberFormat="1" applyFont="1" applyFill="1" applyBorder="1" applyAlignment="1">
      <x:alignment horizontal="right" vertical="center"/>
    </x:xf>
    <x:xf numFmtId="206" fontId="8" fillId="7" borderId="1" xfId="0" applyNumberFormat="1" applyFont="1" applyFill="1" applyBorder="1" applyAlignment="1">
      <x:alignment horizontal="right" vertical="center"/>
    </x:xf>
    <x:xf numFmtId="204" fontId="13" fillId="2" borderId="0" xfId="0" applyNumberFormat="1" applyFont="1" applyFill="1" applyBorder="1" applyAlignment="1">
      <x:alignment vertical="center"/>
    </x:xf>
    <x:xf numFmtId="0" fontId="23"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24" fillId="2" borderId="0" xfId="0" applyNumberFormat="1" applyFont="1" applyFill="1" applyBorder="1" applyAlignment="1">
      <x:alignment vertical="center"/>
    </x:xf>
    <x:xf numFmtId="0" fontId="24" fillId="2" borderId="0" xfId="0" applyNumberFormat="1" applyFont="1" applyFill="1" applyBorder="1" applyAlignment="1">
      <x:alignment vertical="center" wrapText="1"/>
    </x:xf>
    <x:xf numFmtId="0" fontId="19" fillId="2" borderId="0" xfId="0" applyNumberFormat="1" applyFont="1" applyFill="1" applyBorder="1" applyAlignment="1">
      <x:alignment vertical="center"/>
    </x:xf>
    <x:xf numFmtId="0" fontId="1" fillId="2" borderId="0" xfId="0" applyNumberFormat="1" applyFont="1" applyFill="1" applyBorder="1" applyAlignment="1">
      <x:alignment vertical="center" wrapText="0"/>
    </x:xf>
    <x:xf numFmtId="0" fontId="3" fillId="2" borderId="0" xfId="0" applyNumberFormat="1" applyFont="1" applyFill="1" applyBorder="1" applyAlignment="1">
      <x:alignment vertical="center" wrapText="0"/>
    </x:xf>
  </x:cellXfs>
  <x:cellStyles count="1">
    <x:cellStyle name="Normal" xfId="0"/>
  </x:cellStyles>
  <x:dxfs count="48">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s>
</x:styleSheet>
</file>

<file path=xl/_rels/workbook.xml.rels><?xml version='1.0' encoding='utf-8'?>
<Relationships xmlns="http://schemas.openxmlformats.org/package/2006/relationships"><Relationship Type="http://schemas.openxmlformats.org/officeDocument/2006/relationships/styles" Target="/xl/styles.xml" Id="R3aab4d6d05d1485a" /><Relationship Type="http://schemas.openxmlformats.org/officeDocument/2006/relationships/theme" Target="/xl/theme/theme1.xml" Id="Raa8a881bc4e743ed" /><Relationship Type="http://schemas.openxmlformats.org/officeDocument/2006/relationships/sharedStrings" Target="/xl/sharedStrings.xml" Id="R625d68c166cd4f12" /><Relationship Type="http://schemas.openxmlformats.org/officeDocument/2006/relationships/worksheet" Target="/xl/worksheets/sheet1.xml" Id="R45b0f56021bd4b06" /><Relationship Type="http://schemas.openxmlformats.org/officeDocument/2006/relationships/worksheet" Target="/xl/worksheets/sheet2.xml" Id="R2e6d2ae703c44f8c" /><Relationship Type="http://schemas.openxmlformats.org/officeDocument/2006/relationships/worksheet" Target="/xl/worksheets/sheet3.xml" Id="Rdc21ec2c0c624379" /><Relationship Type="http://schemas.openxmlformats.org/officeDocument/2006/relationships/worksheet" Target="/xl/worksheets/sheet4.xml" Id="Ra754c2e473c4415b" /><Relationship Type="http://schemas.openxmlformats.org/officeDocument/2006/relationships/worksheet" Target="/xl/worksheets/sheet5.xml" Id="Rfc04af6ebf95476b" /><Relationship Type="http://schemas.openxmlformats.org/officeDocument/2006/relationships/worksheet" Target="/xl/worksheets/sheet6.xml" Id="Rf1541c2dc702494d" /><Relationship Type="http://schemas.openxmlformats.org/officeDocument/2006/relationships/worksheet" Target="/xl/worksheets/sheet7.xml" Id="R73b5557fa30e44dd" /><Relationship Type="http://schemas.openxmlformats.org/officeDocument/2006/relationships/worksheet" Target="/xl/worksheets/sheet8.xml" Id="R7be966a86da64d86" /><Relationship Type="http://schemas.openxmlformats.org/officeDocument/2006/relationships/worksheet" Target="/xl/worksheets/sheet9.xml" Id="R066f744423bb4766" /><Relationship Type="http://schemas.openxmlformats.org/officeDocument/2006/relationships/worksheet" Target="/xl/worksheets/sheet10.xml" Id="R5e5ae27ffdbb4650" /><Relationship Type="http://schemas.openxmlformats.org/officeDocument/2006/relationships/worksheet" Target="/xl/worksheets/sheet11.xml" Id="R230a3efaf3a444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 />
</file>

<file path=xl/worksheets/_rels/sheet3.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6.xml.rels><?xml version='1.0' encoding='utf-8'?>
<Relationships xmlns="http://schemas.openxmlformats.org/package/2006/relationships" />
</file>

<file path=xl/worksheets/_rels/sheet7.xml.rels><?xml version='1.0' encoding='utf-8'?>
<Relationships xmlns="http://schemas.openxmlformats.org/package/2006/relationships" />
</file>

<file path=xl/worksheets/_rels/sheet8.xml.rels><?xml version='1.0' encoding='utf-8'?>
<Relationships xmlns="http://schemas.openxmlformats.org/package/2006/relationships" />
</file>

<file path=xl/worksheets/_rels/sheet9.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11.xml.rels><?xml version='1.0' encoding='utf-8'?>
<Relationships xmlns="http://schemas.openxmlformats.org/package/2006/relationships" />
</file>

<file path=xl/worksheets/sheet1.xml><?xml version="1.0" encoding="utf-8"?>
<x:worksheet xmlns:x="http://schemas.openxmlformats.org/spreadsheetml/2006/main">
  <x:sheetPr>
    <x:tabColor rgb="FF64748B"/>
  </x:sheetPr>
  <x:sheetViews>
    <x:sheetView showGridLines="0" workbookViewId="0"/>
  </x:sheetViews>
  <x:sheetFormatPr defaultRowHeight="15"/>
  <x:cols>
    <x:col min="1" max="1" width="60" hidden="0" customWidth="1"/>
    <x:col min="2" max="2" width="2.2000000476837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 t="str">
        <x:v>Intel Corporation — Research workbook</x:v>
      </x:c>
      <x:c r="B1" s="6" t="str">
        <x:v>Intel Corporation — Research workbook</x:v>
      </x:c>
      <x:c r="C1" s="6" t="str">
        <x:v>Intel Corporation — Research workbook</x:v>
      </x:c>
      <x:c r="D1" s="6" t="str">
        <x:v>Intel Corporation — Research workbook</x:v>
      </x:c>
      <x:c r="E1" s="6" t="str">
        <x:v>Intel Corporation — Research workbook</x:v>
      </x:c>
      <x:c r="F1" s="6" t="str">
        <x:v>Intel Corporation — Research workbook</x:v>
      </x:c>
      <x:c r="G1" s="6" t="str">
        <x:v>Intel Corporation — Research workbook</x:v>
      </x:c>
      <x:c r="H1" s="6" t="str">
        <x:v>Intel Corporation — Research workbook</x:v>
      </x:c>
    </x:row>
    <x:row r="2" ht="18" customHeight="1">
      <x:c r="A2" s="7" t="str">
        <x:v>USD million unless stated otherwise; annual FY2016–FY2025; latest interim 27 June 2026.</x:v>
      </x:c>
      <x:c r="B2" s="7"/>
      <x:c r="C2" s="7"/>
      <x:c r="D2" s="7"/>
      <x:c r="E2" s="7"/>
      <x:c r="F2" s="7"/>
      <x:c r="G2" s="7"/>
      <x:c r="H2" s="7"/>
    </x:row>
    <x:row r="3" ht="22" customHeight="1">
      <x:c r="A3" s="3"/>
      <x:c r="B3" s="3"/>
      <x:c r="C3" s="3"/>
      <x:c r="D3" s="3"/>
      <x:c r="E3" s="3"/>
      <x:c r="F3" s="3"/>
      <x:c r="G3" s="3"/>
      <x:c r="H3" s="3"/>
    </x:row>
    <x:row r="4" ht="22" customHeight="1">
      <x:c r="A4" s="8" t="str">
        <x:v>Historical actuals and derived metrics</x:v>
      </x:c>
      <x:c r="B4" s="3"/>
      <x:c r="C4" s="3"/>
      <x:c r="D4" s="3"/>
      <x:c r="E4" s="3"/>
      <x:c r="F4" s="3"/>
      <x:c r="G4" s="3"/>
      <x:c r="H4" s="3"/>
    </x:row>
    <x:row r="5" ht="22" customHeight="1">
      <x:c r="A5" s="3"/>
      <x:c r="B5" s="3"/>
      <x:c r="C5" s="3"/>
      <x:c r="D5" s="3"/>
      <x:c r="E5" s="3"/>
      <x:c r="F5" s="3"/>
      <x:c r="G5" s="3"/>
      <x:c r="H5" s="3"/>
    </x:row>
    <x:row r="6" ht="22" customHeight="1">
      <x:c r="A6" s="109" t="str">
        <x:v>Segments</x:v>
      </x:c>
      <x:c r="B6" s="3"/>
      <x:c r="C6" s="110" t="str">
        <x:v>Segment revenue, profit and reporting frameworks</x:v>
      </x:c>
      <x:c r="D6" s="110"/>
      <x:c r="E6" s="110"/>
      <x:c r="F6" s="110"/>
      <x:c r="G6" s="110"/>
      <x:c r="H6" s="110"/>
    </x:row>
    <x:row r="7" ht="22" customHeight="1">
      <x:c r="A7" s="109" t="str">
        <x:v>Revenue &amp; Operations</x:v>
      </x:c>
      <x:c r="B7" s="3"/>
      <x:c r="C7" s="110" t="str">
        <x:v>Geography, customers, operating drivers and KPIs</x:v>
      </x:c>
      <x:c r="D7" s="110"/>
      <x:c r="E7" s="110"/>
      <x:c r="F7" s="110"/>
      <x:c r="G7" s="110"/>
      <x:c r="H7" s="110"/>
    </x:row>
    <x:row r="8" ht="22" customHeight="1">
      <x:c r="A8" s="109" t="str">
        <x:v>Income Statement</x:v>
      </x:c>
      <x:c r="B8" s="3"/>
      <x:c r="C8" s="110" t="str">
        <x:v>Consolidated profit, EPS and reconciliations</x:v>
      </x:c>
      <x:c r="D8" s="110"/>
      <x:c r="E8" s="110"/>
      <x:c r="F8" s="110"/>
      <x:c r="G8" s="110"/>
      <x:c r="H8" s="110"/>
    </x:row>
    <x:row r="9" ht="22" customHeight="1">
      <x:c r="A9" s="109" t="str">
        <x:v>Balance Sheet</x:v>
      </x:c>
      <x:c r="B9" s="3"/>
      <x:c r="C9" s="110" t="str">
        <x:v>Assets, liabilities and equity</x:v>
      </x:c>
      <x:c r="D9" s="110"/>
      <x:c r="E9" s="110"/>
      <x:c r="F9" s="110"/>
      <x:c r="G9" s="110"/>
      <x:c r="H9" s="110"/>
    </x:row>
    <x:row r="10" ht="22" customHeight="1">
      <x:c r="A10" s="109" t="str">
        <x:v>Cash Flow</x:v>
      </x:c>
      <x:c r="B10" s="3"/>
      <x:c r="C10" s="110" t="str">
        <x:v>YTD cash flows, capital expenditure and free cash flow</x:v>
      </x:c>
      <x:c r="D10" s="110"/>
      <x:c r="E10" s="110"/>
      <x:c r="F10" s="110"/>
      <x:c r="G10" s="110"/>
      <x:c r="H10" s="110"/>
    </x:row>
    <x:row r="11" ht="22" customHeight="1">
      <x:c r="A11" s="109" t="str">
        <x:v>Derivate Metrics</x:v>
      </x:c>
      <x:c r="B11" s="3"/>
      <x:c r="C11" s="110" t="str">
        <x:v>Profitability, working capital, net cash and operating ROIC</x:v>
      </x:c>
      <x:c r="D11" s="110"/>
      <x:c r="E11" s="110"/>
      <x:c r="F11" s="110"/>
      <x:c r="G11" s="110"/>
      <x:c r="H11" s="110"/>
    </x:row>
    <x:row r="12" ht="22" customHeight="1">
      <x:c r="A12" s="109" t="str">
        <x:v>Assets &amp; Investments</x:v>
      </x:c>
      <x:c r="B12" s="3"/>
      <x:c r="C12" s="110" t="str">
        <x:v>Investments, inventories, PP&amp;E, goodwill and intangibles</x:v>
      </x:c>
      <x:c r="D12" s="110"/>
      <x:c r="E12" s="110"/>
      <x:c r="F12" s="110"/>
      <x:c r="G12" s="110"/>
      <x:c r="H12" s="110"/>
    </x:row>
    <x:row r="13" ht="22" customHeight="1">
      <x:c r="A13" s="109" t="str">
        <x:v>Debt &amp; Leases</x:v>
      </x:c>
      <x:c r="B13" s="3"/>
      <x:c r="C13" s="110" t="str">
        <x:v>Borrowings, maturities, interest and lease disclosures</x:v>
      </x:c>
      <x:c r="D13" s="110"/>
      <x:c r="E13" s="110"/>
      <x:c r="F13" s="110"/>
      <x:c r="G13" s="110"/>
      <x:c r="H13" s="110"/>
    </x:row>
    <x:row r="14" ht="22" customHeight="1">
      <x:c r="A14" s="109" t="str">
        <x:v>Capital &amp; Shareholders</x:v>
      </x:c>
      <x:c r="B14" s="3"/>
      <x:c r="C14" s="110" t="str">
        <x:v>Equity, dividends, repurchases and share-based compensation</x:v>
      </x:c>
      <x:c r="D14" s="110"/>
      <x:c r="E14" s="110"/>
      <x:c r="F14" s="110"/>
      <x:c r="G14" s="110"/>
      <x:c r="H14" s="110"/>
    </x:row>
    <x:row r="15" ht="22" customHeight="1">
      <x:c r="A15" s="109" t="str">
        <x:v>Taxes &amp; Adjustments</x:v>
      </x:c>
      <x:c r="B15" s="3"/>
      <x:c r="C15" s="110" t="str">
        <x:v>Taxes, restructuring and company non-GAAP reconciliations</x:v>
      </x:c>
      <x:c r="D15" s="110"/>
      <x:c r="E15" s="110"/>
      <x:c r="F15" s="110"/>
      <x:c r="G15" s="110"/>
      <x:c r="H15" s="110"/>
    </x:row>
    <x:row r="16" ht="22" customHeight="1">
      <x:c r="A16" s="3"/>
      <x:c r="B16" s="3"/>
      <x:c r="C16" s="3"/>
      <x:c r="D16" s="3"/>
      <x:c r="E16" s="3"/>
      <x:c r="F16" s="3"/>
      <x:c r="G16" s="3"/>
      <x:c r="H16" s="3"/>
    </x:row>
    <x:row r="17" ht="22" customHeight="1">
      <x:c r="A17" s="3"/>
      <x:c r="B17" s="3"/>
      <x:c r="C17" s="3"/>
      <x:c r="D17" s="3"/>
      <x:c r="E17" s="3"/>
      <x:c r="F17" s="3"/>
      <x:c r="G17" s="3"/>
      <x:c r="H17" s="3"/>
    </x:row>
    <x:row r="18" ht="22" customHeight="1">
      <x:c r="A18" s="111" t="str">
        <x:v>Scope: FY2016–FY2025 and available quarters through Q2 2026. USD million unless stated.</x:v>
      </x:c>
      <x:c r="B18" s="111" t="str">
        <x:v>Scope: FY2016–FY2025 and available quarters through Q2 2026. USD million unless stated.</x:v>
      </x:c>
      <x:c r="C18" s="111" t="str">
        <x:v>Scope: FY2016–FY2025 and available quarters through Q2 2026. USD million unless stated.</x:v>
      </x:c>
      <x:c r="D18" s="111" t="str">
        <x:v>Scope: FY2016–FY2025 and available quarters through Q2 2026. USD million unless stated.</x:v>
      </x:c>
      <x:c r="E18" s="111" t="str">
        <x:v>Scope: FY2016–FY2025 and available quarters through Q2 2026. USD million unless stated.</x:v>
      </x:c>
      <x:c r="F18" s="111" t="str">
        <x:v>Scope: FY2016–FY2025 and available quarters through Q2 2026. USD million unless stated.</x:v>
      </x:c>
      <x:c r="G18" s="111" t="str">
        <x:v>Scope: FY2016–FY2025 and available quarters through Q2 2026. USD million unless stated.</x:v>
      </x:c>
      <x:c r="H18" s="111" t="str">
        <x:v>Scope: FY2016–FY2025 and available quarters through Q2 2026. USD million unless stated.</x:v>
      </x:c>
    </x:row>
    <x:row r="19" ht="22" customHeight="1">
      <x:c r="A19" s="111" t="str">
        <x:v>Cash Flow uses YTD; Derivate Metrics uses TTM flows. Balance-sheet data are period-end amounts.</x:v>
      </x:c>
      <x:c r="B19" s="111" t="str">
        <x:v>Cash Flow uses YTD; Derivate Metrics uses TTM flows. Balance-sheet data are period-end amounts.</x:v>
      </x:c>
      <x:c r="C19" s="111" t="str">
        <x:v>Cash Flow uses YTD; Derivate Metrics uses TTM flows. Balance-sheet data are period-end amounts.</x:v>
      </x:c>
      <x:c r="D19" s="111" t="str">
        <x:v>Cash Flow uses YTD; Derivate Metrics uses TTM flows. Balance-sheet data are period-end amounts.</x:v>
      </x:c>
      <x:c r="E19" s="111" t="str">
        <x:v>Cash Flow uses YTD; Derivate Metrics uses TTM flows. Balance-sheet data are period-end amounts.</x:v>
      </x:c>
      <x:c r="F19" s="111" t="str">
        <x:v>Cash Flow uses YTD; Derivate Metrics uses TTM flows. Balance-sheet data are period-end amounts.</x:v>
      </x:c>
      <x:c r="G19" s="111" t="str">
        <x:v>Cash Flow uses YTD; Derivate Metrics uses TTM flows. Balance-sheet data are period-end amounts.</x:v>
      </x:c>
      <x:c r="H19" s="111" t="str">
        <x:v>Cash Flow uses YTD; Derivate Metrics uses TTM flows. Balance-sheet data are period-end amounts.</x:v>
      </x:c>
    </x:row>
    <x:row r="20" ht="22" customHeight="1">
      <x:c r="A20" s="111" t="str">
        <x:v>Unavailable values are blank; n.m. marks rates that are not meaningful. Q1/Q2 2023 balance sheets were not supplied.</x:v>
      </x:c>
      <x:c r="B20" s="111" t="str">
        <x:v>Unavailable values are blank; n.m. marks rates that are not meaningful. Q1/Q2 2023 balance sheets were not supplied.</x:v>
      </x:c>
      <x:c r="C20" s="111" t="str">
        <x:v>Unavailable values are blank; n.m. marks rates that are not meaningful. Q1/Q2 2023 balance sheets were not supplied.</x:v>
      </x:c>
      <x:c r="D20" s="111" t="str">
        <x:v>Unavailable values are blank; n.m. marks rates that are not meaningful. Q1/Q2 2023 balance sheets were not supplied.</x:v>
      </x:c>
      <x:c r="E20" s="111" t="str">
        <x:v>Unavailable values are blank; n.m. marks rates that are not meaningful. Q1/Q2 2023 balance sheets were not supplied.</x:v>
      </x:c>
      <x:c r="F20" s="111" t="str">
        <x:v>Unavailable values are blank; n.m. marks rates that are not meaningful. Q1/Q2 2023 balance sheets were not supplied.</x:v>
      </x:c>
      <x:c r="G20" s="111" t="str">
        <x:v>Unavailable values are blank; n.m. marks rates that are not meaningful. Q1/Q2 2023 balance sheets were not supplied.</x:v>
      </x:c>
      <x:c r="H20" s="111" t="str">
        <x:v>Unavailable values are blank; n.m. marks rates that are not meaningful. Q1/Q2 2023 balance sheets were not supplied.</x:v>
      </x:c>
    </x:row>
    <x:row r="21" ht="22" customHeight="1">
      <x:c r="A21" s="111" t="str">
        <x:v>Source mappings and review records are retained outside this workbook.</x:v>
      </x:c>
      <x:c r="B21" s="111" t="str">
        <x:v>Source mappings and review records are retained outside this workbook.</x:v>
      </x:c>
      <x:c r="C21" s="111" t="str">
        <x:v>Source mappings and review records are retained outside this workbook.</x:v>
      </x:c>
      <x:c r="D21" s="111" t="str">
        <x:v>Source mappings and review records are retained outside this workbook.</x:v>
      </x:c>
      <x:c r="E21" s="111" t="str">
        <x:v>Source mappings and review records are retained outside this workbook.</x:v>
      </x:c>
      <x:c r="F21" s="111" t="str">
        <x:v>Source mappings and review records are retained outside this workbook.</x:v>
      </x:c>
      <x:c r="G21" s="111" t="str">
        <x:v>Source mappings and review records are retained outside this workbook.</x:v>
      </x:c>
      <x:c r="H21" s="111" t="str">
        <x:v>Source mappings and review records are retained outside this workbook.</x:v>
      </x:c>
    </x:row>
    <x:row r="22" ht="22" customHeight="1">
      <x:c r="A22" s="22"/>
      <x:c r="B22" s="22"/>
      <x:c r="C22" s="22"/>
      <x:c r="D22" s="22"/>
      <x:c r="E22" s="22"/>
      <x:c r="F22" s="22"/>
      <x:c r="G22" s="22"/>
      <x:c r="H22" s="22"/>
    </x:row>
    <x:row r="23" ht="22" customHeight="1">
      <x:c r="A23" s="22"/>
      <x:c r="B23" s="22"/>
      <x:c r="C23" s="22"/>
      <x:c r="D23" s="22"/>
      <x:c r="E23" s="22"/>
      <x:c r="F23" s="22"/>
      <x:c r="G23" s="22"/>
      <x:c r="H23" s="22"/>
    </x:row>
    <x:row r="24" ht="22" customHeight="1">
      <x:c r="A24" s="22"/>
      <x:c r="B24" s="22"/>
      <x:c r="C24" s="22"/>
      <x:c r="D24" s="22"/>
      <x:c r="E24" s="22"/>
      <x:c r="F24" s="22"/>
      <x:c r="G24" s="22"/>
      <x:c r="H24" s="22"/>
    </x:row>
    <x:row r="25" ht="22" customHeight="1">
      <x:c r="A25" s="22"/>
      <x:c r="B25" s="22"/>
      <x:c r="C25" s="22"/>
      <x:c r="D25" s="22"/>
      <x:c r="E25" s="22"/>
      <x:c r="F25" s="22"/>
      <x:c r="G25" s="22"/>
      <x:c r="H25" s="22"/>
    </x:row>
    <x:row r="26" ht="22" customHeight="1">
      <x:c r="A26" s="22"/>
      <x:c r="B26" s="22"/>
      <x:c r="C26" s="22"/>
      <x:c r="D26" s="22"/>
      <x:c r="E26" s="22"/>
      <x:c r="F26" s="22"/>
      <x:c r="G26" s="22"/>
      <x:c r="H26" s="22"/>
    </x:row>
    <x:row r="27" ht="22" customHeight="1">
      <x:c r="A27" s="22"/>
      <x:c r="B27" s="22"/>
      <x:c r="C27" s="22"/>
      <x:c r="D27" s="22"/>
      <x:c r="E27" s="22"/>
      <x:c r="F27" s="22"/>
      <x:c r="G27" s="22"/>
      <x:c r="H27" s="22"/>
    </x:row>
    <x:row r="28" ht="22" customHeight="1">
      <x:c r="A28" s="22"/>
      <x:c r="B28" s="22"/>
      <x:c r="C28" s="22"/>
      <x:c r="D28" s="22"/>
      <x:c r="E28" s="22"/>
      <x:c r="F28" s="22"/>
      <x:c r="G28" s="22"/>
      <x:c r="H28" s="22"/>
    </x:row>
    <x:row r="29" ht="22" customHeight="1">
      <x:c r="A29" s="3"/>
      <x:c r="B29" s="3"/>
      <x:c r="C29" s="3"/>
      <x:c r="D29" s="3"/>
      <x:c r="E29" s="3"/>
      <x:c r="F29" s="3"/>
      <x:c r="G29" s="3"/>
      <x:c r="H29" s="3"/>
    </x:row>
    <x:row r="30" ht="22" customHeight="1">
      <x:c r="A30" s="3"/>
      <x:c r="B30" s="3"/>
      <x:c r="C30" s="3"/>
      <x:c r="D30" s="3"/>
      <x:c r="E30" s="3"/>
      <x:c r="F30" s="3"/>
      <x:c r="G30" s="3"/>
      <x:c r="H30" s="3"/>
    </x:row>
    <x:row r="31" ht="22" customHeight="1">
      <x:c r="A31" s="3"/>
      <x:c r="B31" s="3"/>
      <x:c r="C31" s="3"/>
      <x:c r="D31" s="3"/>
      <x:c r="E31" s="3"/>
      <x:c r="F31" s="3"/>
      <x:c r="G31" s="3"/>
      <x:c r="H31" s="3"/>
    </x:row>
    <x:row r="32" ht="22" customHeight="1">
      <x:c r="A32" s="3"/>
      <x:c r="B32" s="3"/>
      <x:c r="C32" s="3"/>
      <x:c r="D32" s="3"/>
      <x:c r="E32" s="3"/>
      <x:c r="F32" s="3"/>
      <x:c r="G32" s="3"/>
      <x:c r="H32" s="3"/>
    </x:row>
    <x:row r="33" ht="22" customHeight="1">
      <x:c r="A33" s="3"/>
      <x:c r="B33" s="3"/>
      <x:c r="C33" s="3"/>
      <x:c r="D33" s="3"/>
      <x:c r="E33" s="3"/>
      <x:c r="F33" s="3"/>
      <x:c r="G33" s="3"/>
      <x:c r="H33" s="3"/>
    </x:row>
    <x:row r="34" ht="22" customHeight="1">
      <x:c r="A34" s="3"/>
      <x:c r="B34" s="3"/>
      <x:c r="C34" s="3"/>
      <x:c r="D34" s="3"/>
      <x:c r="E34" s="3"/>
      <x:c r="F34" s="3"/>
      <x:c r="G34" s="3"/>
      <x:c r="H34" s="3"/>
    </x:row>
    <x:row r="35" ht="22" customHeight="1">
      <x:c r="A35" s="3"/>
      <x:c r="B35" s="3"/>
      <x:c r="C35" s="3"/>
      <x:c r="D35" s="3"/>
      <x:c r="E35" s="3"/>
      <x:c r="F35" s="3"/>
      <x:c r="G35" s="3"/>
      <x:c r="H35" s="3"/>
    </x:row>
  </x:sheetData>
  <x:mergeCells>
    <x:mergeCell ref="A1:H1"/>
    <x:mergeCell ref="A2:H2"/>
    <x:mergeCell ref="C6:H6"/>
    <x:mergeCell ref="C7:H7"/>
    <x:mergeCell ref="C8:H8"/>
    <x:mergeCell ref="C9:H9"/>
    <x:mergeCell ref="C10:H10"/>
    <x:mergeCell ref="C11:H11"/>
    <x:mergeCell ref="C12:H12"/>
    <x:mergeCell ref="C13:H13"/>
    <x:mergeCell ref="C14:H14"/>
    <x:mergeCell ref="C15:H15"/>
    <x:mergeCell ref="A18:H18"/>
    <x:mergeCell ref="A19:H19"/>
    <x:mergeCell ref="A20:H20"/>
    <x:mergeCell ref="A21:H21"/>
  </x:mergeCells>
  <x:pageMargins left="0.7" right="0.7" top="0.75" bottom="0.75" header="0.3" footer="0.3"/>
</x:worksheet>
</file>

<file path=xl/worksheets/sheet2.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Income Statement</v>
      </c>
      <c r="B1" s="6" t="str">
        <v>Intel Corporation — Income Statement</v>
      </c>
      <c r="C1" s="6" t="str">
        <v>Intel Corporation — Income Statement</v>
      </c>
      <c r="D1" s="6" t="str">
        <v>Intel Corporation — Income Statement</v>
      </c>
      <c r="E1" s="6" t="str">
        <v>Intel Corporation — Income Statement</v>
      </c>
      <c r="F1" s="6" t="str">
        <v>Intel Corporation — Income Statement</v>
      </c>
      <c r="G1" s="6" t="str">
        <v>Intel Corporation — Income Statement</v>
      </c>
      <c r="H1" s="6" t="str">
        <v>Intel Corporation — Income Statement</v>
      </c>
      <c r="I1" s="6" t="str">
        <v>Intel Corporation — Income Statement</v>
      </c>
      <c r="J1" s="6" t="str">
        <v>Intel Corporation — Income Statement</v>
      </c>
      <c r="K1" s="6" t="str">
        <v>Intel Corporation — Income Statement</v>
      </c>
      <c r="L1" s="6" t="str">
        <v>Intel Corporation — Income Statement</v>
      </c>
      <c r="M1" s="6" t="str">
        <v>Intel Corporation — Income Statement</v>
      </c>
      <c r="N1" s="6" t="str">
        <v>Intel Corporation — Income Statement</v>
      </c>
      <c r="O1" s="6" t="str">
        <v>Intel Corporation — Income Statement</v>
      </c>
      <c r="P1" s="6" t="str">
        <v>Intel Corporation — Income Statement</v>
      </c>
      <c r="Q1" s="6" t="str">
        <v>Intel Corporation — Income Statement</v>
      </c>
      <c r="R1" s="6" t="str">
        <v>Intel Corporation — Income Statement</v>
      </c>
      <c r="S1" s="6" t="str">
        <v>Intel Corporation — Income Statement</v>
      </c>
      <c r="T1" s="6" t="str">
        <v>Intel Corporation — Income Statement</v>
      </c>
      <c r="U1" s="6" t="str">
        <v>Intel Corporation — Income Statement</v>
      </c>
      <c r="V1" s="6" t="str">
        <v>Intel Corporation — Income Statement</v>
      </c>
      <c r="W1" s="6" t="str">
        <v>Intel Corporation — Income Statement</v>
      </c>
      <c r="X1" s="6" t="str">
        <v>Intel Corporation — Income Statement</v>
      </c>
      <c r="Y1" s="6" t="str">
        <v>Intel Corporation — Income Statement</v>
      </c>
      <c r="Z1" s="6" t="str">
        <v>Intel Corporation — Income Statement</v>
      </c>
      <c r="AA1" s="6" t="str">
        <v>Intel Corporation — Income Statement</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Revenue and gross profit</v>
      </c>
      <c r="B7" s="21" t="str">
        <v>Revenue and gross profit</v>
      </c>
      <c r="C7" s="21" t="str">
        <v>Revenue and gross profit</v>
      </c>
      <c r="D7" s="21" t="str">
        <v>Revenue and gross profit</v>
      </c>
      <c r="E7" s="21" t="str">
        <v>Revenue and gross profit</v>
      </c>
      <c r="F7" s="21" t="str">
        <v>Revenue and gross profit</v>
      </c>
      <c r="G7" s="21" t="str">
        <v>Revenue and gross profit</v>
      </c>
      <c r="H7" s="21" t="str">
        <v>Revenue and gross profit</v>
      </c>
      <c r="I7" s="21" t="str">
        <v>Revenue and gross profit</v>
      </c>
      <c r="J7" s="21" t="str">
        <v>Revenue and gross profit</v>
      </c>
      <c r="K7" s="21" t="str">
        <v>Revenue and gross profit</v>
      </c>
      <c r="L7" s="21" t="str">
        <v>Revenue and gross profit</v>
      </c>
      <c r="M7" s="21" t="str">
        <v>Revenue and gross profit</v>
      </c>
      <c r="N7" s="21" t="str">
        <v>Revenue and gross profit</v>
      </c>
      <c r="O7" s="21" t="str">
        <v>Revenue and gross profit</v>
      </c>
      <c r="P7" s="21" t="str">
        <v>Revenue and gross profit</v>
      </c>
      <c r="Q7" s="21" t="str">
        <v>Revenue and gross profit</v>
      </c>
      <c r="R7" s="21" t="str">
        <v>Revenue and gross profit</v>
      </c>
      <c r="S7" s="21" t="str">
        <v>Revenue and gross profit</v>
      </c>
      <c r="T7" s="21" t="str">
        <v>Revenue and gross profit</v>
      </c>
      <c r="U7" s="21" t="str">
        <v>Revenue and gross profit</v>
      </c>
      <c r="V7" s="21" t="str">
        <v>Revenue and gross profit</v>
      </c>
      <c r="W7" s="21" t="str">
        <v>Revenue and gross profit</v>
      </c>
      <c r="X7" s="21" t="str">
        <v>Revenue and gross profit</v>
      </c>
      <c r="Y7" s="21" t="str">
        <v>Revenue and gross profit</v>
      </c>
      <c r="Z7" s="21" t="str">
        <v>Revenue and gross profit</v>
      </c>
      <c r="AA7" s="21" t="str">
        <v>Revenue and gross profit</v>
      </c>
    </row>
    <row r="8" ht="18" customHeight="1">
      <c r="A8" s="22" t="str">
        <v>USD million, except per-share figures and shares (million). Quarterly columns are discrete quarters; Q4 is derived only for additive flows.</v>
      </c>
      <c r="B8" s="22" t="str">
        <v>USD million, except per-share figures and shares (million). Quarterly columns are discrete quarters; Q4 is derived only for additive flows.</v>
      </c>
      <c r="C8" s="22" t="str">
        <v>USD million, except per-share figures and shares (million). Quarterly columns are discrete quarters; Q4 is derived only for additive flows.</v>
      </c>
      <c r="D8" s="22" t="str">
        <v>USD million, except per-share figures and shares (million). Quarterly columns are discrete quarters; Q4 is derived only for additive flows.</v>
      </c>
      <c r="E8" s="22" t="str">
        <v>USD million, except per-share figures and shares (million). Quarterly columns are discrete quarters; Q4 is derived only for additive flows.</v>
      </c>
      <c r="F8" s="22" t="str">
        <v>USD million, except per-share figures and shares (million). Quarterly columns are discrete quarters; Q4 is derived only for additive flows.</v>
      </c>
      <c r="G8" s="22" t="str">
        <v>USD million, except per-share figures and shares (million). Quarterly columns are discrete quarters; Q4 is derived only for additive flows.</v>
      </c>
      <c r="H8" s="22" t="str">
        <v>USD million, except per-share figures and shares (million). Quarterly columns are discrete quarters; Q4 is derived only for additive flows.</v>
      </c>
      <c r="I8" s="22" t="str">
        <v>USD million, except per-share figures and shares (million). Quarterly columns are discrete quarters; Q4 is derived only for additive flows.</v>
      </c>
      <c r="J8" s="22" t="str">
        <v>USD million, except per-share figures and shares (million). Quarterly columns are discrete quarters; Q4 is derived only for additive flows.</v>
      </c>
      <c r="K8" s="22" t="str">
        <v>USD million, except per-share figures and shares (million). Quarterly columns are discrete quarters; Q4 is derived only for additive flows.</v>
      </c>
      <c r="L8" s="22" t="str">
        <v>USD million, except per-share figures and shares (million). Quarterly columns are discrete quarters; Q4 is derived only for additive flows.</v>
      </c>
      <c r="M8" s="22" t="str">
        <v>USD million, except per-share figures and shares (million). Quarterly columns are discrete quarters; Q4 is derived only for additive flows.</v>
      </c>
      <c r="N8" s="22" t="str">
        <v>USD million, except per-share figures and shares (million). Quarterly columns are discrete quarters; Q4 is derived only for additive flows.</v>
      </c>
      <c r="O8" s="22" t="str">
        <v>USD million, except per-share figures and shares (million). Quarterly columns are discrete quarters; Q4 is derived only for additive flows.</v>
      </c>
      <c r="P8" s="22" t="str">
        <v>USD million, except per-share figures and shares (million). Quarterly columns are discrete quarters; Q4 is derived only for additive flows.</v>
      </c>
      <c r="Q8" s="22" t="str">
        <v>USD million, except per-share figures and shares (million). Quarterly columns are discrete quarters; Q4 is derived only for additive flows.</v>
      </c>
      <c r="R8" s="22" t="str">
        <v>USD million, except per-share figures and shares (million). Quarterly columns are discrete quarters; Q4 is derived only for additive flows.</v>
      </c>
      <c r="S8" s="22" t="str">
        <v>USD million, except per-share figures and shares (million). Quarterly columns are discrete quarters; Q4 is derived only for additive flows.</v>
      </c>
      <c r="T8" s="22" t="str">
        <v>USD million, except per-share figures and shares (million). Quarterly columns are discrete quarters; Q4 is derived only for additive flows.</v>
      </c>
      <c r="U8" s="22" t="str">
        <v>USD million, except per-share figures and shares (million). Quarterly columns are discrete quarters; Q4 is derived only for additive flows.</v>
      </c>
      <c r="V8" s="22" t="str">
        <v>USD million, except per-share figures and shares (million). Quarterly columns are discrete quarters; Q4 is derived only for additive flows.</v>
      </c>
      <c r="W8" s="22" t="str">
        <v>USD million, except per-share figures and shares (million). Quarterly columns are discrete quarters; Q4 is derived only for additive flows.</v>
      </c>
      <c r="X8" s="22" t="str">
        <v>USD million, except per-share figures and shares (million). Quarterly columns are discrete quarters; Q4 is derived only for additive flows.</v>
      </c>
      <c r="Y8" s="22" t="str">
        <v>USD million, except per-share figures and shares (million). Quarterly columns are discrete quarters; Q4 is derived only for additive flows.</v>
      </c>
      <c r="Z8" s="22" t="str">
        <v>USD million, except per-share figures and shares (million). Quarterly columns are discrete quarters; Q4 is derived only for additive flows.</v>
      </c>
      <c r="AA8" s="22" t="str">
        <v>USD million, except per-share figures and shares (million). Quarterly columns are discrete quarters; Q4 is derived only for additive flows.</v>
      </c>
    </row>
    <row r="9" ht="24" customHeight="1">
      <c r="A9" s="34" t="str">
        <v>Net revenue</v>
      </c>
      <c r="B9" s="35"/>
      <c r="C9" s="36" t="n">
        <v>59387</v>
      </c>
      <c r="D9" s="36" t="n">
        <v>62761</v>
      </c>
      <c r="E9" s="36" t="n">
        <v>70848</v>
      </c>
      <c r="F9" s="36" t="n">
        <v>71965</v>
      </c>
      <c r="G9" s="36" t="n">
        <v>77867</v>
      </c>
      <c r="H9" s="36" t="n">
        <v>79024</v>
      </c>
      <c r="I9" s="36" t="n">
        <v>63054</v>
      </c>
      <c r="J9" s="36" t="n">
        <v>54228</v>
      </c>
      <c r="K9" s="36" t="n">
        <v>53101</v>
      </c>
      <c r="L9" s="36" t="n">
        <v>52853</v>
      </c>
      <c r="M9" s="36"/>
      <c r="N9" s="36" t="n">
        <v>11715</v>
      </c>
      <c r="O9" s="36" t="n">
        <v>12949</v>
      </c>
      <c r="P9" s="36" t="n">
        <v>14158</v>
      </c>
      <c r="Q9" s="37" t="n">
        <f>IF(COUNT(J9,N9,O9,P9)=4,J9-N9-O9-P9,"")</f>
        <v>15406</v>
      </c>
      <c r="R9" s="36" t="n">
        <v>12724</v>
      </c>
      <c r="S9" s="36" t="n">
        <v>12833</v>
      </c>
      <c r="T9" s="36" t="n">
        <v>13284</v>
      </c>
      <c r="U9" s="37" t="n">
        <f>IF(COUNT(K9,R9,S9,T9)=4,K9-R9-S9-T9,"")</f>
        <v>14260</v>
      </c>
      <c r="V9" s="36" t="n">
        <v>12667</v>
      </c>
      <c r="W9" s="36" t="n">
        <v>12859</v>
      </c>
      <c r="X9" s="36" t="n">
        <v>13653</v>
      </c>
      <c r="Y9" s="37" t="n">
        <f>IF(COUNT(L9,V9,W9,X9)=4,L9-V9-W9-X9,"")</f>
        <v>13674</v>
      </c>
      <c r="Z9" s="36" t="n">
        <v>13577</v>
      </c>
      <c r="AA9" s="36" t="n">
        <v>16128</v>
      </c>
    </row>
    <row r="10" ht="20" customHeight="1">
      <c r="A10" s="41" t="str">
        <v>YoY growth</v>
      </c>
      <c r="B10" s="3"/>
      <c r="C10" s="45"/>
      <c r="D10" s="46" t="n">
        <f>IF(COUNT(D9,C9)=2,IF(C9&gt;0,D9/C9-1,"n.m."),"")</f>
        <v>0.056813780793776525</v>
      </c>
      <c r="E10" s="46" t="n">
        <f>IF(COUNT(E9,D9)=2,IF(D9&gt;0,E9/D9-1,"n.m."),"")</f>
        <v>0.1288539060881757</v>
      </c>
      <c r="F10" s="46" t="n">
        <f>IF(COUNT(F9,E9)=2,IF(E9&gt;0,F9/E9-1,"n.m."),"")</f>
        <v>0.01576614724480585</v>
      </c>
      <c r="G10" s="46" t="n">
        <f>IF(COUNT(G9,F9)=2,IF(F9&gt;0,G9/F9-1,"n.m."),"")</f>
        <v>0.08201208921003267</v>
      </c>
      <c r="H10" s="46" t="n">
        <f>IF(COUNT(H9,G9)=2,IF(G9&gt;0,H9/G9-1,"n.m."),"")</f>
        <v>0.014858669269395275</v>
      </c>
      <c r="I10" s="46" t="n">
        <f>IF(COUNT(I9,H9)=2,IF(H9&gt;0,I9/H9-1,"n.m."),"")</f>
        <v>-0.20209050415063778</v>
      </c>
      <c r="J10" s="46" t="n">
        <f>IF(COUNT(J9,I9)=2,IF(I9&gt;0,J9/I9-1,"n.m."),"")</f>
        <v>-0.13997525930155108</v>
      </c>
      <c r="K10" s="46" t="n">
        <f>IF(COUNT(K9,J9)=2,IF(J9&gt;0,K9/J9-1,"n.m."),"")</f>
        <v>-0.02078262152393595</v>
      </c>
      <c r="L10" s="46" t="n">
        <f>IF(COUNT(L9,K9)=2,IF(K9&gt;0,L9/K9-1,"n.m."),"")</f>
        <v>-0.004670345191239322</v>
      </c>
      <c r="M10" s="44"/>
      <c r="N10" s="45"/>
      <c r="O10" s="45"/>
      <c r="P10" s="45"/>
      <c r="Q10" s="45"/>
      <c r="R10" s="46" t="n">
        <f>IF(COUNT(R9,N9)=2,IF(N9&gt;0,R9/N9-1,"n.m."),"")</f>
        <v>0.08612889457959882</v>
      </c>
      <c r="S10" s="46" t="n">
        <f>IF(COUNT(S9,O9)=2,IF(O9&gt;0,S9/O9-1,"n.m."),"")</f>
        <v>-0.008958220712024123</v>
      </c>
      <c r="T10" s="46" t="n">
        <f>IF(COUNT(T9,P9)=2,IF(P9&gt;0,T9/P9-1,"n.m."),"")</f>
        <v>-0.06173188303432686</v>
      </c>
      <c r="U10" s="46" t="n">
        <f>IF(COUNT(U9,Q9)=2,IF(Q9&gt;0,U9/Q9-1,"n.m."),"")</f>
        <v>-0.07438660262235497</v>
      </c>
      <c r="V10" s="46" t="n">
        <f>IF(COUNT(V9,R9)=2,IF(R9&gt;0,V9/R9-1,"n.m."),"")</f>
        <v>-0.0044797233574347395</v>
      </c>
      <c r="W10" s="46" t="n">
        <f>IF(COUNT(W9,S9)=2,IF(S9&gt;0,W9/S9-1,"n.m."),"")</f>
        <v>0.0020260266500429225</v>
      </c>
      <c r="X10" s="46" t="n">
        <f>IF(COUNT(X9,T9)=2,IF(T9&gt;0,X9/T9-1,"n.m."),"")</f>
        <v>0.02777777777777768</v>
      </c>
      <c r="Y10" s="46" t="n">
        <f>IF(COUNT(Y9,U9)=2,IF(U9&gt;0,Y9/U9-1,"n.m."),"")</f>
        <v>-0.04109396914446006</v>
      </c>
      <c r="Z10" s="46" t="n">
        <f>IF(COUNT(Z9,V9)=2,IF(V9&gt;0,Z9/V9-1,"n.m."),"")</f>
        <v>0.07184021473119118</v>
      </c>
      <c r="AA10" s="46" t="n">
        <f>IF(COUNT(AA9,W9)=2,IF(W9&gt;0,AA9/W9-1,"n.m."),"")</f>
        <v>0.25421883505715837</v>
      </c>
    </row>
    <row r="11" ht="22" customHeight="1">
      <c r="A11" s="49" t="str">
        <v>Cost of sales</v>
      </c>
      <c r="B11" s="3"/>
      <c r="C11" s="51" t="n">
        <v>23196</v>
      </c>
      <c r="D11" s="51" t="n">
        <v>23692</v>
      </c>
      <c r="E11" s="51" t="n">
        <v>27111</v>
      </c>
      <c r="F11" s="51" t="n">
        <v>29825</v>
      </c>
      <c r="G11" s="51" t="n">
        <v>34255</v>
      </c>
      <c r="H11" s="51" t="n">
        <v>35209</v>
      </c>
      <c r="I11" s="51" t="n">
        <v>36188</v>
      </c>
      <c r="J11" s="51" t="n">
        <v>32517</v>
      </c>
      <c r="K11" s="51" t="n">
        <v>35756</v>
      </c>
      <c r="L11" s="51" t="n">
        <v>34478</v>
      </c>
      <c r="M11" s="51"/>
      <c r="N11" s="51" t="n">
        <v>7707</v>
      </c>
      <c r="O11" s="51" t="n">
        <v>8311</v>
      </c>
      <c r="P11" s="51" t="n">
        <v>8140</v>
      </c>
      <c r="Q11" s="52" t="n">
        <f>IF(COUNT(J11,N11,O11,P11)=4,J11-N11-O11-P11,"")</f>
        <v>8359</v>
      </c>
      <c r="R11" s="51" t="n">
        <v>7507</v>
      </c>
      <c r="S11" s="51" t="n">
        <v>8286</v>
      </c>
      <c r="T11" s="51" t="n">
        <v>11287</v>
      </c>
      <c r="U11" s="52" t="n">
        <f>IF(COUNT(K11,R11,S11,T11)=4,K11-R11-S11-T11,"")</f>
        <v>8676</v>
      </c>
      <c r="V11" s="51" t="n">
        <v>7995</v>
      </c>
      <c r="W11" s="51" t="n">
        <v>9317</v>
      </c>
      <c r="X11" s="51" t="n">
        <v>8435</v>
      </c>
      <c r="Y11" s="52" t="n">
        <f>IF(COUNT(L11,V11,W11,X11)=4,L11-V11-W11-X11,"")</f>
        <v>8731</v>
      </c>
      <c r="Z11" s="51" t="n">
        <v>8230</v>
      </c>
      <c r="AA11" s="51" t="n">
        <v>9619</v>
      </c>
    </row>
    <row r="12" ht="24" customHeight="1">
      <c r="A12" s="34" t="str">
        <v>Gross profit (earlier captioned 'Gross margin')</v>
      </c>
      <c r="B12" s="35"/>
      <c r="C12" s="36" t="n">
        <v>36191</v>
      </c>
      <c r="D12" s="36" t="n">
        <v>39069</v>
      </c>
      <c r="E12" s="36" t="n">
        <v>43737</v>
      </c>
      <c r="F12" s="36" t="n">
        <v>42140</v>
      </c>
      <c r="G12" s="36" t="n">
        <v>43612</v>
      </c>
      <c r="H12" s="36" t="n">
        <v>43815</v>
      </c>
      <c r="I12" s="36" t="n">
        <v>26866</v>
      </c>
      <c r="J12" s="36" t="n">
        <v>21711</v>
      </c>
      <c r="K12" s="36" t="n">
        <v>17345</v>
      </c>
      <c r="L12" s="36" t="n">
        <v>18375</v>
      </c>
      <c r="M12" s="36"/>
      <c r="N12" s="36" t="n">
        <v>4008</v>
      </c>
      <c r="O12" s="36" t="n">
        <v>4638</v>
      </c>
      <c r="P12" s="36" t="n">
        <v>6018</v>
      </c>
      <c r="Q12" s="37" t="n">
        <f>IF(COUNT(J12,N12,O12,P12)=4,J12-N12-O12-P12,"")</f>
        <v>7047</v>
      </c>
      <c r="R12" s="36" t="n">
        <v>5217</v>
      </c>
      <c r="S12" s="36" t="n">
        <v>4547</v>
      </c>
      <c r="T12" s="36" t="n">
        <v>1997</v>
      </c>
      <c r="U12" s="37" t="n">
        <f>IF(COUNT(K12,R12,S12,T12)=4,K12-R12-S12-T12,"")</f>
        <v>5584</v>
      </c>
      <c r="V12" s="36" t="n">
        <v>4672</v>
      </c>
      <c r="W12" s="36" t="n">
        <v>3542</v>
      </c>
      <c r="X12" s="36" t="n">
        <v>5218</v>
      </c>
      <c r="Y12" s="37" t="n">
        <f>IF(COUNT(L12,V12,W12,X12)=4,L12-V12-W12-X12,"")</f>
        <v>4943</v>
      </c>
      <c r="Z12" s="36" t="n">
        <v>5347</v>
      </c>
      <c r="AA12" s="36" t="n">
        <v>6509</v>
      </c>
    </row>
    <row r="13" ht="20" customHeight="1">
      <c r="A13" s="41" t="str">
        <v>Gross margin</v>
      </c>
      <c r="B13" s="3"/>
      <c r="C13" s="46" t="n">
        <f>IF(COUNT(C12,C9)=2,C12/C9,"")</f>
        <v>0.6094094667183053</v>
      </c>
      <c r="D13" s="46" t="n">
        <f>IF(COUNT(D12,D9)=2,D12/D9,"")</f>
        <v>0.6225044215356671</v>
      </c>
      <c r="E13" s="46" t="n">
        <f>IF(COUNT(E12,E9)=2,E12/E9,"")</f>
        <v>0.6173357046070461</v>
      </c>
      <c r="F13" s="46" t="n">
        <f>IF(COUNT(F12,F9)=2,F12/F9,"")</f>
        <v>0.5855624261793928</v>
      </c>
      <c r="G13" s="46" t="n">
        <f>IF(COUNT(G12,G9)=2,G12/G9,"")</f>
        <v>0.5600832188218372</v>
      </c>
      <c r="H13" s="46" t="n">
        <f>IF(COUNT(H12,H9)=2,H12/H9,"")</f>
        <v>0.5544518121077141</v>
      </c>
      <c r="I13" s="46" t="n">
        <f>IF(COUNT(I12,I9)=2,I12/I9,"")</f>
        <v>0.426079233672725</v>
      </c>
      <c r="J13" s="46" t="n">
        <f>IF(COUNT(J12,J9)=2,J12/J9,"")</f>
        <v>0.400365125027661</v>
      </c>
      <c r="K13" s="46" t="n">
        <f>IF(COUNT(K12,K9)=2,K12/K9,"")</f>
        <v>0.32664168283083184</v>
      </c>
      <c r="L13" s="46" t="n">
        <f>IF(COUNT(L12,L9)=2,L12/L9,"")</f>
        <v>0.34766238434904356</v>
      </c>
      <c r="M13" s="44"/>
      <c r="N13" s="46" t="n">
        <f>IF(COUNT(N12,N9)=2,N12/N9,"")</f>
        <v>0.3421254801536492</v>
      </c>
      <c r="O13" s="46" t="n">
        <f>IF(COUNT(O12,O9)=2,O12/O9,"")</f>
        <v>0.358174376399722</v>
      </c>
      <c r="P13" s="46" t="n">
        <f>IF(COUNT(P12,P9)=2,P12/P9,"")</f>
        <v>0.42506003672835146</v>
      </c>
      <c r="Q13" s="46" t="n">
        <f>IF(COUNT(Q12,Q9)=2,Q12/Q9,"")</f>
        <v>0.45741918732961184</v>
      </c>
      <c r="R13" s="46" t="n">
        <f>IF(COUNT(R12,R9)=2,R12/R9,"")</f>
        <v>0.410012574662056</v>
      </c>
      <c r="S13" s="46" t="n">
        <f>IF(COUNT(S12,S9)=2,S12/S9,"")</f>
        <v>0.354320891451726</v>
      </c>
      <c r="T13" s="46" t="n">
        <f>IF(COUNT(T12,T9)=2,T12/T9,"")</f>
        <v>0.15033122553447756</v>
      </c>
      <c r="U13" s="46" t="n">
        <f>IF(COUNT(U12,U9)=2,U12/U9,"")</f>
        <v>0.3915848527349229</v>
      </c>
      <c r="V13" s="46" t="n">
        <f>IF(COUNT(V12,V9)=2,V12/V9,"")</f>
        <v>0.36883239914739085</v>
      </c>
      <c r="W13" s="46" t="n">
        <f>IF(COUNT(W12,W9)=2,W12/W9,"")</f>
        <v>0.2754491017964072</v>
      </c>
      <c r="X13" s="46" t="n">
        <f>IF(COUNT(X12,X9)=2,X12/X9,"")</f>
        <v>0.3821870651138944</v>
      </c>
      <c r="Y13" s="46" t="n">
        <f>IF(COUNT(Y12,Y9)=2,Y12/Y9,"")</f>
        <v>0.3614889571449466</v>
      </c>
      <c r="Z13" s="46" t="n">
        <f>IF(COUNT(Z12,Z9)=2,Z12/Z9,"")</f>
        <v>0.39382779700964865</v>
      </c>
      <c r="AA13" s="46" t="n">
        <f>IF(COUNT(AA12,AA9)=2,AA12/AA9,"")</f>
        <v>0.40358382936507936</v>
      </c>
    </row>
    <row r="14" ht="8"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ht="22" customHeight="1">
      <c r="A15" s="21" t="str">
        <v>Operating expenses and operating profit</v>
      </c>
      <c r="B15" s="21" t="str">
        <v>Operating expenses and operating profit</v>
      </c>
      <c r="C15" s="21" t="str">
        <v>Operating expenses and operating profit</v>
      </c>
      <c r="D15" s="21" t="str">
        <v>Operating expenses and operating profit</v>
      </c>
      <c r="E15" s="21" t="str">
        <v>Operating expenses and operating profit</v>
      </c>
      <c r="F15" s="21" t="str">
        <v>Operating expenses and operating profit</v>
      </c>
      <c r="G15" s="21" t="str">
        <v>Operating expenses and operating profit</v>
      </c>
      <c r="H15" s="21" t="str">
        <v>Operating expenses and operating profit</v>
      </c>
      <c r="I15" s="21" t="str">
        <v>Operating expenses and operating profit</v>
      </c>
      <c r="J15" s="21" t="str">
        <v>Operating expenses and operating profit</v>
      </c>
      <c r="K15" s="21" t="str">
        <v>Operating expenses and operating profit</v>
      </c>
      <c r="L15" s="21" t="str">
        <v>Operating expenses and operating profit</v>
      </c>
      <c r="M15" s="21" t="str">
        <v>Operating expenses and operating profit</v>
      </c>
      <c r="N15" s="21" t="str">
        <v>Operating expenses and operating profit</v>
      </c>
      <c r="O15" s="21" t="str">
        <v>Operating expenses and operating profit</v>
      </c>
      <c r="P15" s="21" t="str">
        <v>Operating expenses and operating profit</v>
      </c>
      <c r="Q15" s="21" t="str">
        <v>Operating expenses and operating profit</v>
      </c>
      <c r="R15" s="21" t="str">
        <v>Operating expenses and operating profit</v>
      </c>
      <c r="S15" s="21" t="str">
        <v>Operating expenses and operating profit</v>
      </c>
      <c r="T15" s="21" t="str">
        <v>Operating expenses and operating profit</v>
      </c>
      <c r="U15" s="21" t="str">
        <v>Operating expenses and operating profit</v>
      </c>
      <c r="V15" s="21" t="str">
        <v>Operating expenses and operating profit</v>
      </c>
      <c r="W15" s="21" t="str">
        <v>Operating expenses and operating profit</v>
      </c>
      <c r="X15" s="21" t="str">
        <v>Operating expenses and operating profit</v>
      </c>
      <c r="Y15" s="21" t="str">
        <v>Operating expenses and operating profit</v>
      </c>
      <c r="Z15" s="21" t="str">
        <v>Operating expenses and operating profit</v>
      </c>
      <c r="AA15" s="21" t="str">
        <v>Operating expenses and operating profit</v>
      </c>
    </row>
    <row r="16" ht="18" customHeight="1">
      <c r="A16" s="22" t="str">
        <v>Historical annual figures are as originally filed. Pension presentation changed in 2018; acquisition amortization moved into functional costs in 2020. See source notes.</v>
      </c>
      <c r="B16" s="22" t="str">
        <v>Historical annual figures are as originally filed. Pension presentation changed in 2018; acquisition amortization moved into functional costs in 2020. See source notes.</v>
      </c>
      <c r="C16" s="22" t="str">
        <v>Historical annual figures are as originally filed. Pension presentation changed in 2018; acquisition amortization moved into functional costs in 2020. See source notes.</v>
      </c>
      <c r="D16" s="22" t="str">
        <v>Historical annual figures are as originally filed. Pension presentation changed in 2018; acquisition amortization moved into functional costs in 2020. See source notes.</v>
      </c>
      <c r="E16" s="22" t="str">
        <v>Historical annual figures are as originally filed. Pension presentation changed in 2018; acquisition amortization moved into functional costs in 2020. See source notes.</v>
      </c>
      <c r="F16" s="22" t="str">
        <v>Historical annual figures are as originally filed. Pension presentation changed in 2018; acquisition amortization moved into functional costs in 2020. See source notes.</v>
      </c>
      <c r="G16" s="22" t="str">
        <v>Historical annual figures are as originally filed. Pension presentation changed in 2018; acquisition amortization moved into functional costs in 2020. See source notes.</v>
      </c>
      <c r="H16" s="22" t="str">
        <v>Historical annual figures are as originally filed. Pension presentation changed in 2018; acquisition amortization moved into functional costs in 2020. See source notes.</v>
      </c>
      <c r="I16" s="22" t="str">
        <v>Historical annual figures are as originally filed. Pension presentation changed in 2018; acquisition amortization moved into functional costs in 2020. See source notes.</v>
      </c>
      <c r="J16" s="22" t="str">
        <v>Historical annual figures are as originally filed. Pension presentation changed in 2018; acquisition amortization moved into functional costs in 2020. See source notes.</v>
      </c>
      <c r="K16" s="22" t="str">
        <v>Historical annual figures are as originally filed. Pension presentation changed in 2018; acquisition amortization moved into functional costs in 2020. See source notes.</v>
      </c>
      <c r="L16" s="22" t="str">
        <v>Historical annual figures are as originally filed. Pension presentation changed in 2018; acquisition amortization moved into functional costs in 2020. See source notes.</v>
      </c>
      <c r="M16" s="22" t="str">
        <v>Historical annual figures are as originally filed. Pension presentation changed in 2018; acquisition amortization moved into functional costs in 2020. See source notes.</v>
      </c>
      <c r="N16" s="22" t="str">
        <v>Historical annual figures are as originally filed. Pension presentation changed in 2018; acquisition amortization moved into functional costs in 2020. See source notes.</v>
      </c>
      <c r="O16" s="22" t="str">
        <v>Historical annual figures are as originally filed. Pension presentation changed in 2018; acquisition amortization moved into functional costs in 2020. See source notes.</v>
      </c>
      <c r="P16" s="22" t="str">
        <v>Historical annual figures are as originally filed. Pension presentation changed in 2018; acquisition amortization moved into functional costs in 2020. See source notes.</v>
      </c>
      <c r="Q16" s="22" t="str">
        <v>Historical annual figures are as originally filed. Pension presentation changed in 2018; acquisition amortization moved into functional costs in 2020. See source notes.</v>
      </c>
      <c r="R16" s="22" t="str">
        <v>Historical annual figures are as originally filed. Pension presentation changed in 2018; acquisition amortization moved into functional costs in 2020. See source notes.</v>
      </c>
      <c r="S16" s="22" t="str">
        <v>Historical annual figures are as originally filed. Pension presentation changed in 2018; acquisition amortization moved into functional costs in 2020. See source notes.</v>
      </c>
      <c r="T16" s="22" t="str">
        <v>Historical annual figures are as originally filed. Pension presentation changed in 2018; acquisition amortization moved into functional costs in 2020. See source notes.</v>
      </c>
      <c r="U16" s="22" t="str">
        <v>Historical annual figures are as originally filed. Pension presentation changed in 2018; acquisition amortization moved into functional costs in 2020. See source notes.</v>
      </c>
      <c r="V16" s="22" t="str">
        <v>Historical annual figures are as originally filed. Pension presentation changed in 2018; acquisition amortization moved into functional costs in 2020. See source notes.</v>
      </c>
      <c r="W16" s="22" t="str">
        <v>Historical annual figures are as originally filed. Pension presentation changed in 2018; acquisition amortization moved into functional costs in 2020. See source notes.</v>
      </c>
      <c r="X16" s="22" t="str">
        <v>Historical annual figures are as originally filed. Pension presentation changed in 2018; acquisition amortization moved into functional costs in 2020. See source notes.</v>
      </c>
      <c r="Y16" s="22" t="str">
        <v>Historical annual figures are as originally filed. Pension presentation changed in 2018; acquisition amortization moved into functional costs in 2020. See source notes.</v>
      </c>
      <c r="Z16" s="22" t="str">
        <v>Historical annual figures are as originally filed. Pension presentation changed in 2018; acquisition amortization moved into functional costs in 2020. See source notes.</v>
      </c>
      <c r="AA16" s="22" t="str">
        <v>Historical annual figures are as originally filed. Pension presentation changed in 2018; acquisition amortization moved into functional costs in 2020. See source notes.</v>
      </c>
    </row>
    <row r="17" ht="22" customHeight="1">
      <c r="A17" s="53" t="str">
        <v>Research and development</v>
      </c>
      <c r="B17" s="3"/>
      <c r="C17" s="51" t="n">
        <v>12740</v>
      </c>
      <c r="D17" s="51" t="n">
        <v>13098</v>
      </c>
      <c r="E17" s="51" t="n">
        <v>13543</v>
      </c>
      <c r="F17" s="51" t="n">
        <v>13362</v>
      </c>
      <c r="G17" s="51" t="n">
        <v>13556</v>
      </c>
      <c r="H17" s="51" t="n">
        <v>15190</v>
      </c>
      <c r="I17" s="51" t="n">
        <v>17528</v>
      </c>
      <c r="J17" s="51" t="n">
        <v>16046</v>
      </c>
      <c r="K17" s="51" t="n">
        <v>16546</v>
      </c>
      <c r="L17" s="51" t="n">
        <v>13774</v>
      </c>
      <c r="M17" s="51"/>
      <c r="N17" s="51" t="n">
        <v>4109</v>
      </c>
      <c r="O17" s="51" t="n">
        <v>4080</v>
      </c>
      <c r="P17" s="51" t="n">
        <v>3870</v>
      </c>
      <c r="Q17" s="52" t="n">
        <f>IF(COUNT(J17,N17,O17,P17)=4,J17-N17-O17-P17,"")</f>
        <v>3987</v>
      </c>
      <c r="R17" s="51" t="n">
        <v>4382</v>
      </c>
      <c r="S17" s="51" t="n">
        <v>4239</v>
      </c>
      <c r="T17" s="51" t="n">
        <v>4049</v>
      </c>
      <c r="U17" s="52" t="n">
        <f>IF(COUNT(K17,R17,S17,T17)=4,K17-R17-S17-T17,"")</f>
        <v>3876</v>
      </c>
      <c r="V17" s="51" t="n">
        <v>3640</v>
      </c>
      <c r="W17" s="51" t="n">
        <v>3684</v>
      </c>
      <c r="X17" s="51" t="n">
        <v>3231</v>
      </c>
      <c r="Y17" s="52" t="n">
        <f>IF(COUNT(L17,V17,W17,X17)=4,L17-V17-W17-X17,"")</f>
        <v>3219</v>
      </c>
      <c r="Z17" s="51" t="n">
        <v>3375</v>
      </c>
      <c r="AA17" s="51" t="n">
        <v>3368</v>
      </c>
    </row>
    <row r="18" ht="22" customHeight="1">
      <c r="A18" s="53" t="str">
        <v>Marketing, general and administrative</v>
      </c>
      <c r="B18" s="3"/>
      <c r="C18" s="51" t="n">
        <v>8397</v>
      </c>
      <c r="D18" s="51" t="n">
        <v>7474</v>
      </c>
      <c r="E18" s="51" t="n">
        <v>6750</v>
      </c>
      <c r="F18" s="51" t="n">
        <v>6150</v>
      </c>
      <c r="G18" s="51" t="n">
        <v>6180</v>
      </c>
      <c r="H18" s="51" t="n">
        <v>6543</v>
      </c>
      <c r="I18" s="51" t="n">
        <v>7002</v>
      </c>
      <c r="J18" s="51" t="n">
        <v>5634</v>
      </c>
      <c r="K18" s="51" t="n">
        <v>5507</v>
      </c>
      <c r="L18" s="51" t="n">
        <v>4624</v>
      </c>
      <c r="M18" s="51"/>
      <c r="N18" s="51" t="n">
        <v>1303</v>
      </c>
      <c r="O18" s="51" t="n">
        <v>1374</v>
      </c>
      <c r="P18" s="51" t="n">
        <v>1340</v>
      </c>
      <c r="Q18" s="52" t="n">
        <f>IF(COUNT(J18,N18,O18,P18)=4,J18-N18-O18-P18,"")</f>
        <v>1617</v>
      </c>
      <c r="R18" s="51" t="n">
        <v>1556</v>
      </c>
      <c r="S18" s="51" t="n">
        <v>1329</v>
      </c>
      <c r="T18" s="51" t="n">
        <v>1383</v>
      </c>
      <c r="U18" s="52" t="n">
        <f>IF(COUNT(K18,R18,S18,T18)=4,K18-R18-S18-T18,"")</f>
        <v>1239</v>
      </c>
      <c r="V18" s="51" t="n">
        <v>1177</v>
      </c>
      <c r="W18" s="51" t="n">
        <v>1144</v>
      </c>
      <c r="X18" s="51" t="n">
        <v>1129</v>
      </c>
      <c r="Y18" s="52" t="n">
        <f>IF(COUNT(L18,V18,W18,X18)=4,L18-V18-W18-X18,"")</f>
        <v>1174</v>
      </c>
      <c r="Z18" s="51" t="n">
        <v>1038</v>
      </c>
      <c r="AA18" s="51" t="n">
        <v>1175</v>
      </c>
    </row>
    <row r="19" ht="22" customHeight="1">
      <c r="A19" s="53" t="str">
        <v>Restructuring and other charges</v>
      </c>
      <c r="B19" s="3"/>
      <c r="C19" s="51" t="n">
        <v>1886</v>
      </c>
      <c r="D19" s="51" t="n">
        <v>384</v>
      </c>
      <c r="E19" s="51" t="n">
        <v>-72</v>
      </c>
      <c r="F19" s="51" t="n">
        <v>393</v>
      </c>
      <c r="G19" s="51" t="n">
        <v>198</v>
      </c>
      <c r="H19" s="51" t="n">
        <v>2626</v>
      </c>
      <c r="I19" s="51" t="n">
        <v>2</v>
      </c>
      <c r="J19" s="51" t="n">
        <v>-62</v>
      </c>
      <c r="K19" s="51" t="n">
        <v>6970</v>
      </c>
      <c r="L19" s="51" t="n">
        <v>2191</v>
      </c>
      <c r="M19" s="51"/>
      <c r="N19" s="51" t="n">
        <v>64</v>
      </c>
      <c r="O19" s="51" t="n">
        <v>200</v>
      </c>
      <c r="P19" s="51" t="n">
        <v>816</v>
      </c>
      <c r="Q19" s="52" t="n">
        <f>IF(COUNT(J19,N19,O19,P19)=4,J19-N19-O19-P19,"")</f>
        <v>-1142</v>
      </c>
      <c r="R19" s="51" t="n">
        <v>348</v>
      </c>
      <c r="S19" s="51" t="n">
        <v>943</v>
      </c>
      <c r="T19" s="51" t="n">
        <v>5622</v>
      </c>
      <c r="U19" s="52" t="n">
        <f>IF(COUNT(K19,R19,S19,T19)=4,K19-R19-S19-T19,"")</f>
        <v>57</v>
      </c>
      <c r="V19" s="51" t="n">
        <v>156</v>
      </c>
      <c r="W19" s="51" t="n">
        <v>1890</v>
      </c>
      <c r="X19" s="51" t="n">
        <v>175</v>
      </c>
      <c r="Y19" s="52" t="n">
        <f>IF(COUNT(L19,V19,W19,X19)=4,L19-V19-W19-X19,"")</f>
        <v>-30</v>
      </c>
      <c r="Z19" s="51" t="n">
        <v>4070</v>
      </c>
      <c r="AA19" s="51" t="n">
        <v>170</v>
      </c>
    </row>
    <row r="20" ht="22" customHeight="1">
      <c r="A20" s="53" t="str">
        <v>Amortization of acquisition-related intangibles</v>
      </c>
      <c r="B20" s="3"/>
      <c r="C20" s="51" t="n">
        <v>294</v>
      </c>
      <c r="D20" s="51" t="n">
        <v>177</v>
      </c>
      <c r="E20" s="51" t="n">
        <v>200</v>
      </c>
      <c r="F20" s="51" t="n">
        <v>200</v>
      </c>
      <c r="G20" s="51"/>
      <c r="H20" s="51"/>
      <c r="I20" s="51"/>
      <c r="J20" s="51"/>
      <c r="K20" s="51"/>
      <c r="L20" s="51"/>
      <c r="M20" s="51"/>
      <c r="N20" s="51"/>
      <c r="O20" s="51"/>
      <c r="P20" s="51"/>
      <c r="Q20" s="52" t="str">
        <f>IF(COUNT(J20,N20,O20,P20)=4,J20-N20-O20-P20,"")</f>
      </c>
      <c r="R20" s="51"/>
      <c r="S20" s="51"/>
      <c r="T20" s="51"/>
      <c r="U20" s="52" t="str">
        <f>IF(COUNT(K20,R20,S20,T20)=4,K20-R20-S20-T20,"")</f>
      </c>
      <c r="V20" s="51"/>
      <c r="W20" s="51"/>
      <c r="X20" s="51"/>
      <c r="Y20" s="52" t="str">
        <f>IF(COUNT(L20,V20,W20,X20)=4,L20-V20-W20-X20,"")</f>
      </c>
      <c r="Z20" s="51"/>
      <c r="AA20" s="51"/>
    </row>
    <row r="21" ht="24" customHeight="1">
      <c r="A21" s="34" t="str">
        <v>Operating expenses</v>
      </c>
      <c r="B21" s="35"/>
      <c r="C21" s="36" t="n">
        <v>23317</v>
      </c>
      <c r="D21" s="36" t="n">
        <v>21133</v>
      </c>
      <c r="E21" s="36" t="n">
        <v>20421</v>
      </c>
      <c r="F21" s="36" t="n">
        <v>20105</v>
      </c>
      <c r="G21" s="36" t="n">
        <v>19934</v>
      </c>
      <c r="H21" s="36" t="n">
        <v>24359</v>
      </c>
      <c r="I21" s="36" t="n">
        <v>24532</v>
      </c>
      <c r="J21" s="36" t="n">
        <v>21618</v>
      </c>
      <c r="K21" s="36" t="n">
        <v>29023</v>
      </c>
      <c r="L21" s="36" t="n">
        <v>20589</v>
      </c>
      <c r="M21" s="36"/>
      <c r="N21" s="36" t="n">
        <v>5476</v>
      </c>
      <c r="O21" s="36" t="n">
        <v>5654</v>
      </c>
      <c r="P21" s="36" t="n">
        <v>6026</v>
      </c>
      <c r="Q21" s="37" t="n">
        <f>IF(COUNT(J21,N21,O21,P21)=4,J21-N21-O21-P21,"")</f>
        <v>4462</v>
      </c>
      <c r="R21" s="36" t="n">
        <v>6286</v>
      </c>
      <c r="S21" s="36" t="n">
        <v>6511</v>
      </c>
      <c r="T21" s="36" t="n">
        <v>11054</v>
      </c>
      <c r="U21" s="37" t="n">
        <f>IF(COUNT(K21,R21,S21,T21)=4,K21-R21-S21-T21,"")</f>
        <v>5172</v>
      </c>
      <c r="V21" s="36" t="n">
        <v>4973</v>
      </c>
      <c r="W21" s="36" t="n">
        <v>6718</v>
      </c>
      <c r="X21" s="36" t="n">
        <v>4535</v>
      </c>
      <c r="Y21" s="37" t="n">
        <f>IF(COUNT(L21,V21,W21,X21)=4,L21-V21-W21-X21,"")</f>
        <v>4363</v>
      </c>
      <c r="Z21" s="36" t="n">
        <v>8483</v>
      </c>
      <c r="AA21" s="36" t="n">
        <v>4713</v>
      </c>
    </row>
    <row r="22" ht="24" customHeight="1">
      <c r="A22" s="34" t="str">
        <v>Operating income (loss)</v>
      </c>
      <c r="B22" s="35"/>
      <c r="C22" s="36" t="n">
        <v>12874</v>
      </c>
      <c r="D22" s="36" t="n">
        <v>17936</v>
      </c>
      <c r="E22" s="36" t="n">
        <v>23316</v>
      </c>
      <c r="F22" s="36" t="n">
        <v>22035</v>
      </c>
      <c r="G22" s="36" t="n">
        <v>23678</v>
      </c>
      <c r="H22" s="36" t="n">
        <v>19456</v>
      </c>
      <c r="I22" s="36" t="n">
        <v>2334</v>
      </c>
      <c r="J22" s="36" t="n">
        <v>93</v>
      </c>
      <c r="K22" s="36" t="n">
        <v>-11678</v>
      </c>
      <c r="L22" s="36" t="n">
        <v>-2214</v>
      </c>
      <c r="M22" s="36"/>
      <c r="N22" s="36" t="n">
        <v>-1468</v>
      </c>
      <c r="O22" s="36" t="n">
        <v>-1016</v>
      </c>
      <c r="P22" s="36" t="n">
        <v>-8</v>
      </c>
      <c r="Q22" s="37" t="n">
        <f>IF(COUNT(J22,N22,O22,P22)=4,J22-N22-O22-P22,"")</f>
        <v>2585</v>
      </c>
      <c r="R22" s="36" t="n">
        <v>-1069</v>
      </c>
      <c r="S22" s="36" t="n">
        <v>-1964</v>
      </c>
      <c r="T22" s="36" t="n">
        <v>-9057</v>
      </c>
      <c r="U22" s="37" t="n">
        <f>IF(COUNT(K22,R22,S22,T22)=4,K22-R22-S22-T22,"")</f>
        <v>412</v>
      </c>
      <c r="V22" s="36" t="n">
        <v>-301</v>
      </c>
      <c r="W22" s="36" t="n">
        <v>-3176</v>
      </c>
      <c r="X22" s="36" t="n">
        <v>683</v>
      </c>
      <c r="Y22" s="37" t="n">
        <f>IF(COUNT(L22,V22,W22,X22)=4,L22-V22-W22-X22,"")</f>
        <v>580</v>
      </c>
      <c r="Z22" s="36" t="n">
        <v>-3136</v>
      </c>
      <c r="AA22" s="36" t="n">
        <v>1796</v>
      </c>
    </row>
    <row r="23" ht="20" customHeight="1">
      <c r="A23" s="40" t="str">
        <v>Operating income (loss) YoY</v>
      </c>
      <c r="B23" s="3"/>
      <c r="C23" s="45"/>
      <c r="D23" s="46" t="n">
        <f>IF(COUNT(D22,C22)=2,IF(C22&gt;0,D22/C22-1,"n.m."),"")</f>
        <v>0.3931955880068354</v>
      </c>
      <c r="E23" s="46" t="n">
        <f>IF(COUNT(E22,D22)=2,IF(D22&gt;0,E22/D22-1,"n.m."),"")</f>
        <v>0.2999553969669937</v>
      </c>
      <c r="F23" s="46" t="n">
        <f>IF(COUNT(F22,E22)=2,IF(E22&gt;0,F22/E22-1,"n.m."),"")</f>
        <v>-0.05494081317550181</v>
      </c>
      <c r="G23" s="46" t="n">
        <f>IF(COUNT(G22,F22)=2,IF(F22&gt;0,G22/F22-1,"n.m."),"")</f>
        <v>0.07456319491717722</v>
      </c>
      <c r="H23" s="46" t="n">
        <f>IF(COUNT(H22,G22)=2,IF(G22&gt;0,H22/G22-1,"n.m."),"")</f>
        <v>-0.17830897879888508</v>
      </c>
      <c r="I23" s="46" t="n">
        <f>IF(COUNT(I22,H22)=2,IF(H22&gt;0,I22/H22-1,"n.m."),"")</f>
        <v>-0.8800370065789473</v>
      </c>
      <c r="J23" s="46" t="n">
        <f>IF(COUNT(J22,I22)=2,IF(I22&gt;0,J22/I22-1,"n.m."),"")</f>
        <v>-0.9601542416452442</v>
      </c>
      <c r="K23" s="46" t="n">
        <f>IF(COUNT(K22,J22)=2,IF(J22&gt;0,K22/J22-1,"n.m."),"")</f>
        <v>-126.56989247311827</v>
      </c>
      <c r="L23" s="46" t="str">
        <f>IF(COUNT(L22,K22)=2,IF(K22&gt;0,L22/K22-1,"n.m."),"")</f>
        <v>n.m.</v>
      </c>
      <c r="M23" s="44"/>
      <c r="N23" s="45"/>
      <c r="O23" s="45"/>
      <c r="P23" s="45"/>
      <c r="Q23" s="45"/>
      <c r="R23" s="46" t="str">
        <f>IF(COUNT(R22,N22)=2,IF(N22&gt;0,R22/N22-1,"n.m."),"")</f>
        <v>n.m.</v>
      </c>
      <c r="S23" s="46" t="str">
        <f>IF(COUNT(S22,O22)=2,IF(O22&gt;0,S22/O22-1,"n.m."),"")</f>
        <v>n.m.</v>
      </c>
      <c r="T23" s="46" t="str">
        <f>IF(COUNT(T22,P22)=2,IF(P22&gt;0,T22/P22-1,"n.m."),"")</f>
        <v>n.m.</v>
      </c>
      <c r="U23" s="46" t="n">
        <f>IF(COUNT(U22,Q22)=2,IF(Q22&gt;0,U22/Q22-1,"n.m."),"")</f>
        <v>-0.8406189555125725</v>
      </c>
      <c r="V23" s="46" t="str">
        <f>IF(COUNT(V22,R22)=2,IF(R22&gt;0,V22/R22-1,"n.m."),"")</f>
        <v>n.m.</v>
      </c>
      <c r="W23" s="46" t="str">
        <f>IF(COUNT(W22,S22)=2,IF(S22&gt;0,W22/S22-1,"n.m."),"")</f>
        <v>n.m.</v>
      </c>
      <c r="X23" s="46" t="str">
        <f>IF(COUNT(X22,T22)=2,IF(T22&gt;0,X22/T22-1,"n.m."),"")</f>
        <v>n.m.</v>
      </c>
      <c r="Y23" s="46" t="n">
        <f>IF(COUNT(Y22,U22)=2,IF(U22&gt;0,Y22/U22-1,"n.m."),"")</f>
        <v>0.4077669902912622</v>
      </c>
      <c r="Z23" s="46" t="str">
        <f>IF(COUNT(Z22,V22)=2,IF(V22&gt;0,Z22/V22-1,"n.m."),"")</f>
        <v>n.m.</v>
      </c>
      <c r="AA23" s="46" t="str">
        <f>IF(COUNT(AA22,W22)=2,IF(W22&gt;0,AA22/W22-1,"n.m."),"")</f>
        <v>n.m.</v>
      </c>
    </row>
    <row r="24" ht="20" customHeight="1">
      <c r="A24" s="41" t="str">
        <v>Operating margin</v>
      </c>
      <c r="B24" s="3"/>
      <c r="C24" s="46" t="n">
        <f>IF(COUNT(C22,C9)=2,C22/C9,"")</f>
        <v>0.21678145048579656</v>
      </c>
      <c r="D24" s="46" t="n">
        <f>IF(COUNT(D22,D9)=2,D22/D9,"")</f>
        <v>0.285782571979414</v>
      </c>
      <c r="E24" s="46" t="n">
        <f>IF(COUNT(E22,E9)=2,E22/E9,"")</f>
        <v>0.3290989159891599</v>
      </c>
      <c r="F24" s="46" t="n">
        <f>IF(COUNT(F22,F9)=2,F22/F9,"")</f>
        <v>0.3061905092753422</v>
      </c>
      <c r="G24" s="46" t="n">
        <f>IF(COUNT(G22,G9)=2,G22/G9,"")</f>
        <v>0.30408260238611995</v>
      </c>
      <c r="H24" s="46" t="n">
        <f>IF(COUNT(H22,H9)=2,H22/H9,"")</f>
        <v>0.2462036849564689</v>
      </c>
      <c r="I24" s="46" t="n">
        <f>IF(COUNT(I22,I9)=2,I22/I9,"")</f>
        <v>0.03701589114092683</v>
      </c>
      <c r="J24" s="46" t="n">
        <f>IF(COUNT(J22,J9)=2,J22/J9,"")</f>
        <v>0.001714981190528878</v>
      </c>
      <c r="K24" s="46" t="n">
        <f>IF(COUNT(K22,K9)=2,K22/K9,"")</f>
        <v>-0.2199205288036007</v>
      </c>
      <c r="L24" s="46" t="n">
        <f>IF(COUNT(L22,L9)=2,L22/L9,"")</f>
        <v>-0.04188976973870925</v>
      </c>
      <c r="M24" s="44"/>
      <c r="N24" s="46" t="n">
        <f>IF(COUNT(N22,N9)=2,N22/N9,"")</f>
        <v>-0.12530943235168587</v>
      </c>
      <c r="O24" s="46" t="n">
        <f>IF(COUNT(O22,O9)=2,O22/O9,"")</f>
        <v>-0.07846165727083172</v>
      </c>
      <c r="P24" s="46" t="n">
        <f>IF(COUNT(P22,P9)=2,P22/P9,"")</f>
        <v>-0.0005650515609549371</v>
      </c>
      <c r="Q24" s="46" t="n">
        <f>IF(COUNT(Q22,Q9)=2,Q22/Q9,"")</f>
        <v>0.16779176944047774</v>
      </c>
      <c r="R24" s="46" t="n">
        <f>IF(COUNT(R22,R9)=2,R22/R9,"")</f>
        <v>-0.08401446086136435</v>
      </c>
      <c r="S24" s="46" t="n">
        <f>IF(COUNT(S22,S9)=2,S22/S9,"")</f>
        <v>-0.15304293618016052</v>
      </c>
      <c r="T24" s="46" t="n">
        <f>IF(COUNT(T22,T9)=2,T22/T9,"")</f>
        <v>-0.6817976513098465</v>
      </c>
      <c r="U24" s="46" t="n">
        <f>IF(COUNT(U22,U9)=2,U22/U9,"")</f>
        <v>0.028892005610098175</v>
      </c>
      <c r="V24" s="46" t="n">
        <f>IF(COUNT(V22,V9)=2,V22/V9,"")</f>
        <v>-0.023762532564932503</v>
      </c>
      <c r="W24" s="46" t="n">
        <f>IF(COUNT(W22,W9)=2,W22/W9,"")</f>
        <v>-0.246986546387744</v>
      </c>
      <c r="X24" s="46" t="n">
        <f>IF(COUNT(X22,X9)=2,X22/X9,"")</f>
        <v>0.05002563539148905</v>
      </c>
      <c r="Y24" s="46" t="n">
        <f>IF(COUNT(Y22,Y9)=2,Y22/Y9,"")</f>
        <v>0.04241626444346936</v>
      </c>
      <c r="Z24" s="46" t="n">
        <f>IF(COUNT(Z22,Z9)=2,Z22/Z9,"")</f>
        <v>-0.23097886130956766</v>
      </c>
      <c r="AA24" s="46" t="n">
        <f>IF(COUNT(AA22,AA9)=2,AA22/AA9,"")</f>
        <v>0.11135912698412699</v>
      </c>
    </row>
    <row r="25" ht="8"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22" customHeight="1">
      <c r="A26" s="21" t="str">
        <v>Non-operating items and net income</v>
      </c>
      <c r="B26" s="21" t="str">
        <v>Non-operating items and net income</v>
      </c>
      <c r="C26" s="21" t="str">
        <v>Non-operating items and net income</v>
      </c>
      <c r="D26" s="21" t="str">
        <v>Non-operating items and net income</v>
      </c>
      <c r="E26" s="21" t="str">
        <v>Non-operating items and net income</v>
      </c>
      <c r="F26" s="21" t="str">
        <v>Non-operating items and net income</v>
      </c>
      <c r="G26" s="21" t="str">
        <v>Non-operating items and net income</v>
      </c>
      <c r="H26" s="21" t="str">
        <v>Non-operating items and net income</v>
      </c>
      <c r="I26" s="21" t="str">
        <v>Non-operating items and net income</v>
      </c>
      <c r="J26" s="21" t="str">
        <v>Non-operating items and net income</v>
      </c>
      <c r="K26" s="21" t="str">
        <v>Non-operating items and net income</v>
      </c>
      <c r="L26" s="21" t="str">
        <v>Non-operating items and net income</v>
      </c>
      <c r="M26" s="21" t="str">
        <v>Non-operating items and net income</v>
      </c>
      <c r="N26" s="21" t="str">
        <v>Non-operating items and net income</v>
      </c>
      <c r="O26" s="21" t="str">
        <v>Non-operating items and net income</v>
      </c>
      <c r="P26" s="21" t="str">
        <v>Non-operating items and net income</v>
      </c>
      <c r="Q26" s="21" t="str">
        <v>Non-operating items and net income</v>
      </c>
      <c r="R26" s="21" t="str">
        <v>Non-operating items and net income</v>
      </c>
      <c r="S26" s="21" t="str">
        <v>Non-operating items and net income</v>
      </c>
      <c r="T26" s="21" t="str">
        <v>Non-operating items and net income</v>
      </c>
      <c r="U26" s="21" t="str">
        <v>Non-operating items and net income</v>
      </c>
      <c r="V26" s="21" t="str">
        <v>Non-operating items and net income</v>
      </c>
      <c r="W26" s="21" t="str">
        <v>Non-operating items and net income</v>
      </c>
      <c r="X26" s="21" t="str">
        <v>Non-operating items and net income</v>
      </c>
      <c r="Y26" s="21" t="str">
        <v>Non-operating items and net income</v>
      </c>
      <c r="Z26" s="21" t="str">
        <v>Non-operating items and net income</v>
      </c>
      <c r="AA26" s="21" t="str">
        <v>Non-operating items and net income</v>
      </c>
    </row>
    <row r="27" ht="22" customHeight="1">
      <c r="A27" s="49" t="str">
        <v>Gains (losses) on equity investments, net</v>
      </c>
      <c r="B27" s="3"/>
      <c r="C27" s="51" t="n">
        <v>506</v>
      </c>
      <c r="D27" s="51" t="n">
        <v>2651</v>
      </c>
      <c r="E27" s="51" t="n">
        <v>-125</v>
      </c>
      <c r="F27" s="51" t="n">
        <v>1539</v>
      </c>
      <c r="G27" s="51" t="n">
        <v>1904</v>
      </c>
      <c r="H27" s="51" t="n">
        <v>2729</v>
      </c>
      <c r="I27" s="51" t="n">
        <v>4268</v>
      </c>
      <c r="J27" s="51" t="n">
        <v>40</v>
      </c>
      <c r="K27" s="51" t="n">
        <v>242</v>
      </c>
      <c r="L27" s="51" t="n">
        <v>514</v>
      </c>
      <c r="M27" s="51"/>
      <c r="N27" s="51" t="n">
        <v>169</v>
      </c>
      <c r="O27" s="51" t="n">
        <v>-24</v>
      </c>
      <c r="P27" s="51" t="n">
        <v>-191</v>
      </c>
      <c r="Q27" s="52" t="n">
        <f>IF(COUNT(J27,N27,O27,P27)=4,J27-N27-O27-P27,"")</f>
        <v>86</v>
      </c>
      <c r="R27" s="51" t="n">
        <v>205</v>
      </c>
      <c r="S27" s="51" t="n">
        <v>-120</v>
      </c>
      <c r="T27" s="51" t="n">
        <v>-159</v>
      </c>
      <c r="U27" s="52" t="n">
        <f>IF(COUNT(K27,R27,S27,T27)=4,K27-R27-S27-T27,"")</f>
        <v>316</v>
      </c>
      <c r="V27" s="51" t="n">
        <v>-112</v>
      </c>
      <c r="W27" s="51" t="n">
        <v>502</v>
      </c>
      <c r="X27" s="51" t="n">
        <v>221</v>
      </c>
      <c r="Y27" s="52" t="n">
        <f>IF(COUNT(L27,V27,W27,X27)=4,L27-V27-W27-X27,"")</f>
        <v>-97</v>
      </c>
      <c r="Z27" s="51" t="n">
        <v>-72</v>
      </c>
      <c r="AA27" s="51" t="n">
        <v>-39</v>
      </c>
    </row>
    <row r="28" ht="22" customHeight="1">
      <c r="A28" s="49" t="str">
        <v>Interest and other, net</v>
      </c>
      <c r="B28" s="3"/>
      <c r="C28" s="51" t="n">
        <v>-444</v>
      </c>
      <c r="D28" s="51" t="n">
        <v>-235</v>
      </c>
      <c r="E28" s="51" t="n">
        <v>126</v>
      </c>
      <c r="F28" s="51" t="n">
        <v>484</v>
      </c>
      <c r="G28" s="51" t="n">
        <v>-504</v>
      </c>
      <c r="H28" s="51" t="n">
        <v>-482</v>
      </c>
      <c r="I28" s="51" t="n">
        <v>1166</v>
      </c>
      <c r="J28" s="51" t="n">
        <v>629</v>
      </c>
      <c r="K28" s="51" t="n">
        <v>226</v>
      </c>
      <c r="L28" s="51" t="n">
        <v>3257</v>
      </c>
      <c r="M28" s="51"/>
      <c r="N28" s="51" t="n">
        <v>141</v>
      </c>
      <c r="O28" s="51" t="n">
        <v>224</v>
      </c>
      <c r="P28" s="51" t="n">
        <v>147</v>
      </c>
      <c r="Q28" s="52" t="n">
        <f>IF(COUNT(J28,N28,O28,P28)=4,J28-N28-O28-P28,"")</f>
        <v>117</v>
      </c>
      <c r="R28" s="51" t="n">
        <v>145</v>
      </c>
      <c r="S28" s="51" t="n">
        <v>80</v>
      </c>
      <c r="T28" s="51" t="n">
        <v>130</v>
      </c>
      <c r="U28" s="52" t="n">
        <f>IF(COUNT(K28,R28,S28,T28)=4,K28-R28-S28-T28,"")</f>
        <v>-129</v>
      </c>
      <c r="V28" s="51" t="n">
        <v>-173</v>
      </c>
      <c r="W28" s="51" t="n">
        <v>-95</v>
      </c>
      <c r="X28" s="51" t="n">
        <v>3670</v>
      </c>
      <c r="Y28" s="52" t="n">
        <f>IF(COUNT(L28,V28,W28,X28)=4,L28-V28-W28-X28,"")</f>
        <v>-145</v>
      </c>
      <c r="Z28" s="51" t="n">
        <v>-738</v>
      </c>
      <c r="AA28" s="51" t="n">
        <v>-12576</v>
      </c>
    </row>
    <row r="29" ht="24" customHeight="1">
      <c r="A29" s="34" t="str">
        <v>Income (loss) before taxes</v>
      </c>
      <c r="B29" s="35"/>
      <c r="C29" s="36" t="n">
        <v>12936</v>
      </c>
      <c r="D29" s="36" t="n">
        <v>20352</v>
      </c>
      <c r="E29" s="36" t="n">
        <v>23317</v>
      </c>
      <c r="F29" s="36" t="n">
        <v>24058</v>
      </c>
      <c r="G29" s="36" t="n">
        <v>25078</v>
      </c>
      <c r="H29" s="36" t="n">
        <v>21703</v>
      </c>
      <c r="I29" s="36" t="n">
        <v>7768</v>
      </c>
      <c r="J29" s="36" t="n">
        <v>762</v>
      </c>
      <c r="K29" s="36" t="n">
        <v>-11210</v>
      </c>
      <c r="L29" s="36" t="n">
        <v>1557</v>
      </c>
      <c r="M29" s="36"/>
      <c r="N29" s="36" t="n">
        <v>-1158</v>
      </c>
      <c r="O29" s="36" t="n">
        <v>-816</v>
      </c>
      <c r="P29" s="36" t="n">
        <v>-52</v>
      </c>
      <c r="Q29" s="37" t="n">
        <f>IF(COUNT(J29,N29,O29,P29)=4,J29-N29-O29-P29,"")</f>
        <v>2788</v>
      </c>
      <c r="R29" s="36" t="n">
        <v>-719</v>
      </c>
      <c r="S29" s="36" t="n">
        <v>-2004</v>
      </c>
      <c r="T29" s="36" t="n">
        <v>-9086</v>
      </c>
      <c r="U29" s="37" t="n">
        <f>IF(COUNT(K29,R29,S29,T29)=4,K29-R29-S29-T29,"")</f>
        <v>599</v>
      </c>
      <c r="V29" s="36" t="n">
        <v>-586</v>
      </c>
      <c r="W29" s="36" t="n">
        <v>-2769</v>
      </c>
      <c r="X29" s="36" t="n">
        <v>4574</v>
      </c>
      <c r="Y29" s="37" t="n">
        <f>IF(COUNT(L29,V29,W29,X29)=4,L29-V29-W29-X29,"")</f>
        <v>338</v>
      </c>
      <c r="Z29" s="36" t="n">
        <v>-3946</v>
      </c>
      <c r="AA29" s="36" t="n">
        <v>-10819</v>
      </c>
    </row>
    <row r="30" ht="22" customHeight="1">
      <c r="A30" s="49" t="str">
        <v>Provision for (benefit from) taxes</v>
      </c>
      <c r="B30" s="3"/>
      <c r="C30" s="51" t="n">
        <v>2620</v>
      </c>
      <c r="D30" s="51" t="n">
        <v>10751</v>
      </c>
      <c r="E30" s="51" t="n">
        <v>2264</v>
      </c>
      <c r="F30" s="51" t="n">
        <v>3010</v>
      </c>
      <c r="G30" s="51" t="n">
        <v>4179</v>
      </c>
      <c r="H30" s="51" t="n">
        <v>1835</v>
      </c>
      <c r="I30" s="51" t="n">
        <v>-249</v>
      </c>
      <c r="J30" s="51" t="n">
        <v>-913</v>
      </c>
      <c r="K30" s="51" t="n">
        <v>8023</v>
      </c>
      <c r="L30" s="51" t="n">
        <v>1531</v>
      </c>
      <c r="M30" s="51"/>
      <c r="N30" s="51" t="n">
        <v>1610</v>
      </c>
      <c r="O30" s="51" t="n">
        <v>-2289</v>
      </c>
      <c r="P30" s="51" t="n">
        <v>-362</v>
      </c>
      <c r="Q30" s="52" t="n">
        <f>IF(COUNT(J30,N30,O30,P30)=4,J30-N30-O30-P30,"")</f>
        <v>128</v>
      </c>
      <c r="R30" s="51" t="n">
        <v>-282</v>
      </c>
      <c r="S30" s="51" t="n">
        <v>-350</v>
      </c>
      <c r="T30" s="51" t="n">
        <v>7903</v>
      </c>
      <c r="U30" s="52" t="n">
        <f>IF(COUNT(K30,R30,S30,T30)=4,K30-R30-S30-T30,"")</f>
        <v>752</v>
      </c>
      <c r="V30" s="51" t="n">
        <v>301</v>
      </c>
      <c r="W30" s="51" t="n">
        <v>255</v>
      </c>
      <c r="X30" s="51" t="n">
        <v>304</v>
      </c>
      <c r="Y30" s="52" t="n">
        <f>IF(COUNT(L30,V30,W30,X30)=4,L30-V30-W30-X30,"")</f>
        <v>671</v>
      </c>
      <c r="Z30" s="51" t="n">
        <v>335</v>
      </c>
      <c r="AA30" s="51" t="n">
        <v>29</v>
      </c>
    </row>
    <row r="31" ht="24" customHeight="1">
      <c r="A31" s="34" t="str">
        <v>Net income (loss)</v>
      </c>
      <c r="B31" s="35"/>
      <c r="C31" s="36" t="n">
        <v>10316</v>
      </c>
      <c r="D31" s="36" t="n">
        <v>9601</v>
      </c>
      <c r="E31" s="36" t="n">
        <v>21053</v>
      </c>
      <c r="F31" s="36" t="n">
        <v>21048</v>
      </c>
      <c r="G31" s="36" t="n">
        <v>20899</v>
      </c>
      <c r="H31" s="36" t="n">
        <v>19868</v>
      </c>
      <c r="I31" s="36" t="n">
        <v>8017</v>
      </c>
      <c r="J31" s="36" t="n">
        <v>1675</v>
      </c>
      <c r="K31" s="36" t="n">
        <v>-19233</v>
      </c>
      <c r="L31" s="36" t="n">
        <v>26</v>
      </c>
      <c r="M31" s="36"/>
      <c r="N31" s="36" t="n">
        <v>-2768</v>
      </c>
      <c r="O31" s="36" t="n">
        <v>1473</v>
      </c>
      <c r="P31" s="36" t="n">
        <v>310</v>
      </c>
      <c r="Q31" s="37" t="n">
        <f>IF(COUNT(J31,N31,O31,P31)=4,J31-N31-O31-P31,"")</f>
        <v>2660</v>
      </c>
      <c r="R31" s="36" t="n">
        <v>-437</v>
      </c>
      <c r="S31" s="36" t="n">
        <v>-1654</v>
      </c>
      <c r="T31" s="36" t="n">
        <v>-16989</v>
      </c>
      <c r="U31" s="37" t="n">
        <f>IF(COUNT(K31,R31,S31,T31)=4,K31-R31-S31-T31,"")</f>
        <v>-153</v>
      </c>
      <c r="V31" s="36" t="n">
        <v>-887</v>
      </c>
      <c r="W31" s="36" t="n">
        <v>-3024</v>
      </c>
      <c r="X31" s="36" t="n">
        <v>4270</v>
      </c>
      <c r="Y31" s="37" t="n">
        <f>IF(COUNT(L31,V31,W31,X31)=4,L31-V31-W31-X31,"")</f>
        <v>-333</v>
      </c>
      <c r="Z31" s="36" t="n">
        <v>-4281</v>
      </c>
      <c r="AA31" s="36" t="n">
        <v>-10848</v>
      </c>
    </row>
    <row r="32" ht="20" customHeight="1">
      <c r="A32" s="40" t="str">
        <v>Net income (loss) YoY</v>
      </c>
      <c r="B32" s="3"/>
      <c r="C32" s="45"/>
      <c r="D32" s="46" t="n">
        <f>IF(COUNT(D31,C31)=2,IF(C31&gt;0,D31/C31-1,"n.m."),"")</f>
        <v>-0.06930981000387748</v>
      </c>
      <c r="E32" s="46" t="n">
        <f>IF(COUNT(E31,D31)=2,IF(D31&gt;0,E31/D31-1,"n.m."),"")</f>
        <v>1.192792417456515</v>
      </c>
      <c r="F32" s="46" t="n">
        <f>IF(COUNT(F31,E31)=2,IF(E31&gt;0,F31/E31-1,"n.m."),"")</f>
        <v>-0.00023749584382271038</v>
      </c>
      <c r="G32" s="46" t="n">
        <f>IF(COUNT(G31,F31)=2,IF(F31&gt;0,G31/F31-1,"n.m."),"")</f>
        <v>-0.007079057392626376</v>
      </c>
      <c r="H32" s="46" t="n">
        <f>IF(COUNT(H31,G31)=2,IF(G31&gt;0,H31/G31-1,"n.m."),"")</f>
        <v>-0.04933250394755728</v>
      </c>
      <c r="I32" s="46" t="n">
        <f>IF(COUNT(I31,H31)=2,IF(H31&gt;0,I31/H31-1,"n.m."),"")</f>
        <v>-0.5964868129655727</v>
      </c>
      <c r="J32" s="46" t="n">
        <f>IF(COUNT(J31,I31)=2,IF(I31&gt;0,J31/I31-1,"n.m."),"")</f>
        <v>-0.7910689784208557</v>
      </c>
      <c r="K32" s="46" t="n">
        <f>IF(COUNT(K31,J31)=2,IF(J31&gt;0,K31/J31-1,"n.m."),"")</f>
        <v>-12.482388059701492</v>
      </c>
      <c r="L32" s="46" t="str">
        <f>IF(COUNT(L31,K31)=2,IF(K31&gt;0,L31/K31-1,"n.m."),"")</f>
        <v>n.m.</v>
      </c>
      <c r="M32" s="44"/>
      <c r="N32" s="45"/>
      <c r="O32" s="45"/>
      <c r="P32" s="45"/>
      <c r="Q32" s="45"/>
      <c r="R32" s="46" t="str">
        <f>IF(COUNT(R31,N31)=2,IF(N31&gt;0,R31/N31-1,"n.m."),"")</f>
        <v>n.m.</v>
      </c>
      <c r="S32" s="46" t="n">
        <f>IF(COUNT(S31,O31)=2,IF(O31&gt;0,S31/O31-1,"n.m."),"")</f>
        <v>-2.122878479293958</v>
      </c>
      <c r="T32" s="46" t="n">
        <f>IF(COUNT(T31,P31)=2,IF(P31&gt;0,T31/P31-1,"n.m."),"")</f>
        <v>-55.803225806451614</v>
      </c>
      <c r="U32" s="46" t="n">
        <f>IF(COUNT(U31,Q31)=2,IF(Q31&gt;0,U31/Q31-1,"n.m."),"")</f>
        <v>-1.0575187969924813</v>
      </c>
      <c r="V32" s="46" t="str">
        <f>IF(COUNT(V31,R31)=2,IF(R31&gt;0,V31/R31-1,"n.m."),"")</f>
        <v>n.m.</v>
      </c>
      <c r="W32" s="46" t="str">
        <f>IF(COUNT(W31,S31)=2,IF(S31&gt;0,W31/S31-1,"n.m."),"")</f>
        <v>n.m.</v>
      </c>
      <c r="X32" s="46" t="str">
        <f>IF(COUNT(X31,T31)=2,IF(T31&gt;0,X31/T31-1,"n.m."),"")</f>
        <v>n.m.</v>
      </c>
      <c r="Y32" s="46" t="str">
        <f>IF(COUNT(Y31,U31)=2,IF(U31&gt;0,Y31/U31-1,"n.m."),"")</f>
        <v>n.m.</v>
      </c>
      <c r="Z32" s="46" t="str">
        <f>IF(COUNT(Z31,V31)=2,IF(V31&gt;0,Z31/V31-1,"n.m."),"")</f>
        <v>n.m.</v>
      </c>
      <c r="AA32" s="46" t="str">
        <f>IF(COUNT(AA31,W31)=2,IF(W31&gt;0,AA31/W31-1,"n.m."),"")</f>
        <v>n.m.</v>
      </c>
    </row>
    <row r="33" ht="36" customHeight="1">
      <c r="A33" s="41" t="str">
        <v>Net margin (net income INCLUDING non-controlling interests / net revenue)</v>
      </c>
      <c r="B33" s="3"/>
      <c r="C33" s="46" t="n">
        <f>IF(COUNT(C31,C9)=2,C31/C9,"")</f>
        <v>0.17370805058346103</v>
      </c>
      <c r="D33" s="46" t="n">
        <f>IF(COUNT(D31,D9)=2,D31/D9,"")</f>
        <v>0.15297716734914996</v>
      </c>
      <c r="E33" s="46" t="n">
        <f>IF(COUNT(E31,E9)=2,E31/E9,"")</f>
        <v>0.2971572944896116</v>
      </c>
      <c r="F33" s="46" t="n">
        <f>IF(COUNT(F31,F9)=2,F31/F9,"")</f>
        <v>0.2924755089279511</v>
      </c>
      <c r="G33" s="46" t="n">
        <f>IF(COUNT(G31,G9)=2,G31/G9,"")</f>
        <v>0.26839354283586114</v>
      </c>
      <c r="H33" s="46" t="n">
        <f>IF(COUNT(H31,H9)=2,H31/H9,"")</f>
        <v>0.2514172909495849</v>
      </c>
      <c r="I33" s="46" t="n">
        <f>IF(COUNT(I31,I9)=2,I31/I9,"")</f>
        <v>0.12714498683667966</v>
      </c>
      <c r="J33" s="46" t="n">
        <f>IF(COUNT(J31,J9)=2,J31/J9,"")</f>
        <v>0.03088810208748248</v>
      </c>
      <c r="K33" s="46" t="n">
        <f>IF(COUNT(K31,K9)=2,K31/K9,"")</f>
        <v>-0.3621965688028474</v>
      </c>
      <c r="L33" s="46" t="n">
        <f>IF(COUNT(L31,L9)=2,L31/L9,"")</f>
        <v>0.0004919304486027283</v>
      </c>
      <c r="M33" s="44"/>
      <c r="N33" s="46" t="n">
        <f>IF(COUNT(N31,N9)=2,N31/N9,"")</f>
        <v>-0.23627827571489543</v>
      </c>
      <c r="O33" s="46" t="n">
        <f>IF(COUNT(O31,O9)=2,O31/O9,"")</f>
        <v>0.11375395783458182</v>
      </c>
      <c r="P33" s="46" t="n">
        <f>IF(COUNT(P31,P9)=2,P31/P9,"")</f>
        <v>0.021895747987003816</v>
      </c>
      <c r="Q33" s="46" t="n">
        <f>IF(COUNT(Q31,Q9)=2,Q31/Q9,"")</f>
        <v>0.17266000259639103</v>
      </c>
      <c r="R33" s="46" t="n">
        <f>IF(COUNT(R31,R9)=2,R31/R9,"")</f>
        <v>-0.03434454574033323</v>
      </c>
      <c r="S33" s="46" t="n">
        <f>IF(COUNT(S31,S9)=2,S31/S9,"")</f>
        <v>-0.12888646458349567</v>
      </c>
      <c r="T33" s="46" t="n">
        <f>IF(COUNT(T31,T9)=2,T31/T9,"")</f>
        <v>-1.278906955736224</v>
      </c>
      <c r="U33" s="46" t="n">
        <f>IF(COUNT(U31,U9)=2,U31/U9,"")</f>
        <v>-0.010729312762973352</v>
      </c>
      <c r="V33" s="46" t="n">
        <f>IF(COUNT(V31,V9)=2,V31/V9,"")</f>
        <v>-0.07002447304018315</v>
      </c>
      <c r="W33" s="46" t="n">
        <f>IF(COUNT(W31,W9)=2,W31/W9,"")</f>
        <v>-0.2351660315732172</v>
      </c>
      <c r="X33" s="46" t="n">
        <f>IF(COUNT(X31,X9)=2,X31/X9,"")</f>
        <v>0.3127517761664103</v>
      </c>
      <c r="Y33" s="46" t="n">
        <f>IF(COUNT(Y31,Y9)=2,Y31/Y9,"")</f>
        <v>-0.024352786309784994</v>
      </c>
      <c r="Z33" s="46" t="n">
        <f>IF(COUNT(Z31,Z9)=2,Z31/Z9,"")</f>
        <v>-0.31531266111806733</v>
      </c>
      <c r="AA33" s="46" t="n">
        <f>IF(COUNT(AA31,AA9)=2,AA31/AA9,"")</f>
        <v>-0.6726190476190477</v>
      </c>
    </row>
    <row r="34" ht="36" customHeight="1">
      <c r="A34" s="53" t="str">
        <v>Less: net income (loss) attributable to non-controlling interests</v>
      </c>
      <c r="B34" s="3"/>
      <c r="C34" s="51"/>
      <c r="D34" s="51"/>
      <c r="E34" s="51"/>
      <c r="F34" s="51"/>
      <c r="G34" s="51"/>
      <c r="H34" s="51"/>
      <c r="I34" s="51" t="n">
        <v>3</v>
      </c>
      <c r="J34" s="51" t="n">
        <v>-14</v>
      </c>
      <c r="K34" s="51" t="n">
        <v>-477</v>
      </c>
      <c r="L34" s="51" t="n">
        <v>293</v>
      </c>
      <c r="M34" s="51"/>
      <c r="N34" s="51" t="n">
        <v>-10</v>
      </c>
      <c r="O34" s="51" t="n">
        <v>-8</v>
      </c>
      <c r="P34" s="51" t="n">
        <v>13</v>
      </c>
      <c r="Q34" s="52" t="n">
        <f>IF(COUNT(J34,N34,O34,P34)=4,J34-N34-O34-P34,"")</f>
        <v>-9</v>
      </c>
      <c r="R34" s="51" t="n">
        <v>-56</v>
      </c>
      <c r="S34" s="51" t="n">
        <v>-44</v>
      </c>
      <c r="T34" s="51" t="n">
        <v>-350</v>
      </c>
      <c r="U34" s="52" t="n">
        <f>IF(COUNT(K34,R34,S34,T34)=4,K34-R34-S34-T34,"")</f>
        <v>-27</v>
      </c>
      <c r="V34" s="51" t="n">
        <v>-66</v>
      </c>
      <c r="W34" s="51" t="n">
        <v>-106</v>
      </c>
      <c r="X34" s="51" t="n">
        <v>207</v>
      </c>
      <c r="Y34" s="52" t="n">
        <f>IF(COUNT(L34,V34,W34,X34)=4,L34-V34-W34-X34,"")</f>
        <v>258</v>
      </c>
      <c r="Z34" s="51" t="n">
        <v>-553</v>
      </c>
      <c r="AA34" s="51" t="n">
        <v>185</v>
      </c>
    </row>
    <row r="35" ht="24" customHeight="1">
      <c r="A35" s="34" t="str">
        <v>Net income (loss) attributable to Intel</v>
      </c>
      <c r="B35" s="35"/>
      <c r="C35" s="36"/>
      <c r="D35" s="36"/>
      <c r="E35" s="36"/>
      <c r="F35" s="36"/>
      <c r="G35" s="36"/>
      <c r="H35" s="36"/>
      <c r="I35" s="36" t="n">
        <v>8014</v>
      </c>
      <c r="J35" s="36" t="n">
        <v>1689</v>
      </c>
      <c r="K35" s="36" t="n">
        <v>-18756</v>
      </c>
      <c r="L35" s="36" t="n">
        <v>-267</v>
      </c>
      <c r="M35" s="36"/>
      <c r="N35" s="36" t="n">
        <v>-2758</v>
      </c>
      <c r="O35" s="36" t="n">
        <v>1481</v>
      </c>
      <c r="P35" s="36" t="n">
        <v>297</v>
      </c>
      <c r="Q35" s="37" t="n">
        <f>IF(COUNT(J35,N35,O35,P35)=4,J35-N35-O35-P35,"")</f>
        <v>2669</v>
      </c>
      <c r="R35" s="36" t="n">
        <v>-381</v>
      </c>
      <c r="S35" s="36" t="n">
        <v>-1610</v>
      </c>
      <c r="T35" s="36" t="n">
        <v>-16639</v>
      </c>
      <c r="U35" s="37" t="n">
        <f>IF(COUNT(K35,R35,S35,T35)=4,K35-R35-S35-T35,"")</f>
        <v>-126</v>
      </c>
      <c r="V35" s="36" t="n">
        <v>-821</v>
      </c>
      <c r="W35" s="36" t="n">
        <v>-2918</v>
      </c>
      <c r="X35" s="36" t="n">
        <v>4063</v>
      </c>
      <c r="Y35" s="37" t="n">
        <f>IF(COUNT(L35,V35,W35,X35)=4,L35-V35-W35-X35,"")</f>
        <v>-591</v>
      </c>
      <c r="Z35" s="36" t="n">
        <v>-3728</v>
      </c>
      <c r="AA35" s="36" t="n">
        <v>-11033</v>
      </c>
    </row>
    <row r="36" ht="20" customHeight="1">
      <c r="A36" s="40" t="str">
        <v>Net income (loss) attributable to Intel YoY</v>
      </c>
      <c r="B36" s="3"/>
      <c r="C36" s="45"/>
      <c r="D36" s="46" t="str">
        <f>IF(COUNT(D35,C35)=2,IF(C35&gt;0,D35/C35-1,"n.m."),"")</f>
      </c>
      <c r="E36" s="46" t="str">
        <f>IF(COUNT(E35,D35)=2,IF(D35&gt;0,E35/D35-1,"n.m."),"")</f>
      </c>
      <c r="F36" s="46" t="str">
        <f>IF(COUNT(F35,E35)=2,IF(E35&gt;0,F35/E35-1,"n.m."),"")</f>
      </c>
      <c r="G36" s="46" t="str">
        <f>IF(COUNT(G35,F35)=2,IF(F35&gt;0,G35/F35-1,"n.m."),"")</f>
      </c>
      <c r="H36" s="46" t="str">
        <f>IF(COUNT(H35,G35)=2,IF(G35&gt;0,H35/G35-1,"n.m."),"")</f>
      </c>
      <c r="I36" s="46" t="str">
        <f>IF(COUNT(I35,H35)=2,IF(H35&gt;0,I35/H35-1,"n.m."),"")</f>
      </c>
      <c r="J36" s="46" t="n">
        <f>IF(COUNT(J35,I35)=2,IF(I35&gt;0,J35/I35-1,"n.m."),"")</f>
        <v>-0.789243823309209</v>
      </c>
      <c r="K36" s="46" t="n">
        <f>IF(COUNT(K35,J35)=2,IF(J35&gt;0,K35/J35-1,"n.m."),"")</f>
        <v>-12.104795737122558</v>
      </c>
      <c r="L36" s="46" t="str">
        <f>IF(COUNT(L35,K35)=2,IF(K35&gt;0,L35/K35-1,"n.m."),"")</f>
        <v>n.m.</v>
      </c>
      <c r="M36" s="44"/>
      <c r="N36" s="45"/>
      <c r="O36" s="45"/>
      <c r="P36" s="45"/>
      <c r="Q36" s="45"/>
      <c r="R36" s="46" t="str">
        <f>IF(COUNT(R35,N35)=2,IF(N35&gt;0,R35/N35-1,"n.m."),"")</f>
        <v>n.m.</v>
      </c>
      <c r="S36" s="46" t="n">
        <f>IF(COUNT(S35,O35)=2,IF(O35&gt;0,S35/O35-1,"n.m."),"")</f>
        <v>-2.087103308575287</v>
      </c>
      <c r="T36" s="46" t="n">
        <f>IF(COUNT(T35,P35)=2,IF(P35&gt;0,T35/P35-1,"n.m."),"")</f>
        <v>-57.023569023569024</v>
      </c>
      <c r="U36" s="46" t="n">
        <f>IF(COUNT(U35,Q35)=2,IF(Q35&gt;0,U35/Q35-1,"n.m."),"")</f>
        <v>-1.047208692394155</v>
      </c>
      <c r="V36" s="46" t="str">
        <f>IF(COUNT(V35,R35)=2,IF(R35&gt;0,V35/R35-1,"n.m."),"")</f>
        <v>n.m.</v>
      </c>
      <c r="W36" s="46" t="str">
        <f>IF(COUNT(W35,S35)=2,IF(S35&gt;0,W35/S35-1,"n.m."),"")</f>
        <v>n.m.</v>
      </c>
      <c r="X36" s="46" t="str">
        <f>IF(COUNT(X35,T35)=2,IF(T35&gt;0,X35/T35-1,"n.m."),"")</f>
        <v>n.m.</v>
      </c>
      <c r="Y36" s="46" t="str">
        <f>IF(COUNT(Y35,U35)=2,IF(U35&gt;0,Y35/U35-1,"n.m."),"")</f>
        <v>n.m.</v>
      </c>
      <c r="Z36" s="46" t="str">
        <f>IF(COUNT(Z35,V35)=2,IF(V35&gt;0,Z35/V35-1,"n.m."),"")</f>
        <v>n.m.</v>
      </c>
      <c r="AA36" s="46" t="str">
        <f>IF(COUNT(AA35,W35)=2,IF(W35&gt;0,AA35/W35-1,"n.m."),"")</f>
        <v>n.m.</v>
      </c>
    </row>
    <row r="37" ht="8"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22" customHeight="1">
      <c r="A38" s="21" t="str">
        <v>Earnings per share and weighted-average shares</v>
      </c>
      <c r="B38" s="21" t="str">
        <v>Earnings per share and weighted-average shares</v>
      </c>
      <c r="C38" s="21" t="str">
        <v>Earnings per share and weighted-average shares</v>
      </c>
      <c r="D38" s="21" t="str">
        <v>Earnings per share and weighted-average shares</v>
      </c>
      <c r="E38" s="21" t="str">
        <v>Earnings per share and weighted-average shares</v>
      </c>
      <c r="F38" s="21" t="str">
        <v>Earnings per share and weighted-average shares</v>
      </c>
      <c r="G38" s="21" t="str">
        <v>Earnings per share and weighted-average shares</v>
      </c>
      <c r="H38" s="21" t="str">
        <v>Earnings per share and weighted-average shares</v>
      </c>
      <c r="I38" s="21" t="str">
        <v>Earnings per share and weighted-average shares</v>
      </c>
      <c r="J38" s="21" t="str">
        <v>Earnings per share and weighted-average shares</v>
      </c>
      <c r="K38" s="21" t="str">
        <v>Earnings per share and weighted-average shares</v>
      </c>
      <c r="L38" s="21" t="str">
        <v>Earnings per share and weighted-average shares</v>
      </c>
      <c r="M38" s="21" t="str">
        <v>Earnings per share and weighted-average shares</v>
      </c>
      <c r="N38" s="21" t="str">
        <v>Earnings per share and weighted-average shares</v>
      </c>
      <c r="O38" s="21" t="str">
        <v>Earnings per share and weighted-average shares</v>
      </c>
      <c r="P38" s="21" t="str">
        <v>Earnings per share and weighted-average shares</v>
      </c>
      <c r="Q38" s="21" t="str">
        <v>Earnings per share and weighted-average shares</v>
      </c>
      <c r="R38" s="21" t="str">
        <v>Earnings per share and weighted-average shares</v>
      </c>
      <c r="S38" s="21" t="str">
        <v>Earnings per share and weighted-average shares</v>
      </c>
      <c r="T38" s="21" t="str">
        <v>Earnings per share and weighted-average shares</v>
      </c>
      <c r="U38" s="21" t="str">
        <v>Earnings per share and weighted-average shares</v>
      </c>
      <c r="V38" s="21" t="str">
        <v>Earnings per share and weighted-average shares</v>
      </c>
      <c r="W38" s="21" t="str">
        <v>Earnings per share and weighted-average shares</v>
      </c>
      <c r="X38" s="21" t="str">
        <v>Earnings per share and weighted-average shares</v>
      </c>
      <c r="Y38" s="21" t="str">
        <v>Earnings per share and weighted-average shares</v>
      </c>
      <c r="Z38" s="21" t="str">
        <v>Earnings per share and weighted-average shares</v>
      </c>
      <c r="AA38" s="21" t="str">
        <v>Earnings per share and weighted-average shares</v>
      </c>
    </row>
    <row r="39" ht="18" customHeight="1">
      <c r="A39" s="22" t="str">
        <v>Quarterly EPS and weighted-average shares are not calculated by subtracting annual and YTD figures.</v>
      </c>
      <c r="B39" s="22" t="str">
        <v>Quarterly EPS and weighted-average shares are not calculated by subtracting annual and YTD figures.</v>
      </c>
      <c r="C39" s="22" t="str">
        <v>Quarterly EPS and weighted-average shares are not calculated by subtracting annual and YTD figures.</v>
      </c>
      <c r="D39" s="22" t="str">
        <v>Quarterly EPS and weighted-average shares are not calculated by subtracting annual and YTD figures.</v>
      </c>
      <c r="E39" s="22" t="str">
        <v>Quarterly EPS and weighted-average shares are not calculated by subtracting annual and YTD figures.</v>
      </c>
      <c r="F39" s="22" t="str">
        <v>Quarterly EPS and weighted-average shares are not calculated by subtracting annual and YTD figures.</v>
      </c>
      <c r="G39" s="22" t="str">
        <v>Quarterly EPS and weighted-average shares are not calculated by subtracting annual and YTD figures.</v>
      </c>
      <c r="H39" s="22" t="str">
        <v>Quarterly EPS and weighted-average shares are not calculated by subtracting annual and YTD figures.</v>
      </c>
      <c r="I39" s="22" t="str">
        <v>Quarterly EPS and weighted-average shares are not calculated by subtracting annual and YTD figures.</v>
      </c>
      <c r="J39" s="22" t="str">
        <v>Quarterly EPS and weighted-average shares are not calculated by subtracting annual and YTD figures.</v>
      </c>
      <c r="K39" s="22" t="str">
        <v>Quarterly EPS and weighted-average shares are not calculated by subtracting annual and YTD figures.</v>
      </c>
      <c r="L39" s="22" t="str">
        <v>Quarterly EPS and weighted-average shares are not calculated by subtracting annual and YTD figures.</v>
      </c>
      <c r="M39" s="22" t="str">
        <v>Quarterly EPS and weighted-average shares are not calculated by subtracting annual and YTD figures.</v>
      </c>
      <c r="N39" s="22" t="str">
        <v>Quarterly EPS and weighted-average shares are not calculated by subtracting annual and YTD figures.</v>
      </c>
      <c r="O39" s="22" t="str">
        <v>Quarterly EPS and weighted-average shares are not calculated by subtracting annual and YTD figures.</v>
      </c>
      <c r="P39" s="22" t="str">
        <v>Quarterly EPS and weighted-average shares are not calculated by subtracting annual and YTD figures.</v>
      </c>
      <c r="Q39" s="22" t="str">
        <v>Quarterly EPS and weighted-average shares are not calculated by subtracting annual and YTD figures.</v>
      </c>
      <c r="R39" s="22" t="str">
        <v>Quarterly EPS and weighted-average shares are not calculated by subtracting annual and YTD figures.</v>
      </c>
      <c r="S39" s="22" t="str">
        <v>Quarterly EPS and weighted-average shares are not calculated by subtracting annual and YTD figures.</v>
      </c>
      <c r="T39" s="22" t="str">
        <v>Quarterly EPS and weighted-average shares are not calculated by subtracting annual and YTD figures.</v>
      </c>
      <c r="U39" s="22" t="str">
        <v>Quarterly EPS and weighted-average shares are not calculated by subtracting annual and YTD figures.</v>
      </c>
      <c r="V39" s="22" t="str">
        <v>Quarterly EPS and weighted-average shares are not calculated by subtracting annual and YTD figures.</v>
      </c>
      <c r="W39" s="22" t="str">
        <v>Quarterly EPS and weighted-average shares are not calculated by subtracting annual and YTD figures.</v>
      </c>
      <c r="X39" s="22" t="str">
        <v>Quarterly EPS and weighted-average shares are not calculated by subtracting annual and YTD figures.</v>
      </c>
      <c r="Y39" s="22" t="str">
        <v>Quarterly EPS and weighted-average shares are not calculated by subtracting annual and YTD figures.</v>
      </c>
      <c r="Z39" s="22" t="str">
        <v>Quarterly EPS and weighted-average shares are not calculated by subtracting annual and YTD figures.</v>
      </c>
      <c r="AA39" s="22" t="str">
        <v>Quarterly EPS and weighted-average shares are not calculated by subtracting annual and YTD figures.</v>
      </c>
    </row>
    <row r="40" ht="24" customHeight="1">
      <c r="A40" s="34" t="str">
        <v>Earnings (loss) per share - basic</v>
      </c>
      <c r="B40" s="35"/>
      <c r="C40" s="58" t="n">
        <v>2.18</v>
      </c>
      <c r="D40" s="58" t="n">
        <v>2.04</v>
      </c>
      <c r="E40" s="58" t="n">
        <v>4.57</v>
      </c>
      <c r="F40" s="58" t="n">
        <v>4.77</v>
      </c>
      <c r="G40" s="58" t="n">
        <v>4.98</v>
      </c>
      <c r="H40" s="58" t="n">
        <v>4.89</v>
      </c>
      <c r="I40" s="58" t="n">
        <v>1.95</v>
      </c>
      <c r="J40" s="58" t="n">
        <v>0.4</v>
      </c>
      <c r="K40" s="58" t="n">
        <v>-4.38</v>
      </c>
      <c r="L40" s="58" t="n">
        <v>-0.06</v>
      </c>
      <c r="M40" s="58"/>
      <c r="N40" s="58" t="n">
        <v>-0.66</v>
      </c>
      <c r="O40" s="58" t="n">
        <v>0.35</v>
      </c>
      <c r="P40" s="58" t="n">
        <v>0.07</v>
      </c>
      <c r="Q40" s="58"/>
      <c r="R40" s="58" t="n">
        <v>-0.09</v>
      </c>
      <c r="S40" s="58" t="n">
        <v>-0.38</v>
      </c>
      <c r="T40" s="58" t="n">
        <v>-3.88</v>
      </c>
      <c r="U40" s="58"/>
      <c r="V40" s="58" t="n">
        <v>-0.19</v>
      </c>
      <c r="W40" s="58" t="n">
        <v>-0.67</v>
      </c>
      <c r="X40" s="58" t="n">
        <v>0.9</v>
      </c>
      <c r="Y40" s="58"/>
      <c r="Z40" s="58" t="n">
        <v>-0.73</v>
      </c>
      <c r="AA40" s="58" t="n">
        <v>-2.16</v>
      </c>
    </row>
    <row r="41" ht="24" customHeight="1">
      <c r="A41" s="34" t="str">
        <v>Earnings (loss) per share - diluted</v>
      </c>
      <c r="B41" s="35"/>
      <c r="C41" s="58" t="n">
        <v>2.12</v>
      </c>
      <c r="D41" s="58" t="n">
        <v>1.99</v>
      </c>
      <c r="E41" s="58" t="n">
        <v>4.48</v>
      </c>
      <c r="F41" s="58" t="n">
        <v>4.71</v>
      </c>
      <c r="G41" s="58" t="n">
        <v>4.94</v>
      </c>
      <c r="H41" s="58" t="n">
        <v>4.86</v>
      </c>
      <c r="I41" s="58" t="n">
        <v>1.94</v>
      </c>
      <c r="J41" s="58" t="n">
        <v>0.4</v>
      </c>
      <c r="K41" s="58" t="n">
        <v>-4.38</v>
      </c>
      <c r="L41" s="58" t="n">
        <v>-0.06</v>
      </c>
      <c r="M41" s="58"/>
      <c r="N41" s="58" t="n">
        <v>-0.66</v>
      </c>
      <c r="O41" s="58" t="n">
        <v>0.35</v>
      </c>
      <c r="P41" s="58" t="n">
        <v>0.07</v>
      </c>
      <c r="Q41" s="58"/>
      <c r="R41" s="58" t="n">
        <v>-0.09</v>
      </c>
      <c r="S41" s="58" t="n">
        <v>-0.38</v>
      </c>
      <c r="T41" s="58" t="n">
        <v>-3.88</v>
      </c>
      <c r="U41" s="58"/>
      <c r="V41" s="58" t="n">
        <v>-0.19</v>
      </c>
      <c r="W41" s="58" t="n">
        <v>-0.67</v>
      </c>
      <c r="X41" s="58" t="n">
        <v>0.9</v>
      </c>
      <c r="Y41" s="58"/>
      <c r="Z41" s="58" t="n">
        <v>-0.73</v>
      </c>
      <c r="AA41" s="58" t="n">
        <v>-2.16</v>
      </c>
    </row>
    <row r="42" ht="22" customHeight="1">
      <c r="A42" s="53" t="str">
        <v>Weighted average shares - basic</v>
      </c>
      <c r="B42" s="3"/>
      <c r="C42" s="51" t="n">
        <v>4730</v>
      </c>
      <c r="D42" s="51" t="n">
        <v>4701</v>
      </c>
      <c r="E42" s="51" t="n">
        <v>4611</v>
      </c>
      <c r="F42" s="51" t="n">
        <v>4417</v>
      </c>
      <c r="G42" s="51" t="n">
        <v>4199</v>
      </c>
      <c r="H42" s="51" t="n">
        <v>4059</v>
      </c>
      <c r="I42" s="51" t="n">
        <v>4108</v>
      </c>
      <c r="J42" s="51" t="n">
        <v>4190</v>
      </c>
      <c r="K42" s="51" t="n">
        <v>4280</v>
      </c>
      <c r="L42" s="51" t="n">
        <v>4530</v>
      </c>
      <c r="M42" s="51"/>
      <c r="N42" s="51" t="n">
        <v>4154</v>
      </c>
      <c r="O42" s="51" t="n">
        <v>4182</v>
      </c>
      <c r="P42" s="51" t="n">
        <v>4202</v>
      </c>
      <c r="Q42" s="51"/>
      <c r="R42" s="51" t="n">
        <v>4242</v>
      </c>
      <c r="S42" s="51" t="n">
        <v>4267</v>
      </c>
      <c r="T42" s="51" t="n">
        <v>4292</v>
      </c>
      <c r="U42" s="51"/>
      <c r="V42" s="51" t="n">
        <v>4343</v>
      </c>
      <c r="W42" s="51" t="n">
        <v>4369</v>
      </c>
      <c r="X42" s="51" t="n">
        <v>4514</v>
      </c>
      <c r="Y42" s="51"/>
      <c r="Z42" s="51" t="n">
        <v>5083</v>
      </c>
      <c r="AA42" s="51" t="n">
        <v>5104</v>
      </c>
    </row>
    <row r="43" ht="22" customHeight="1">
      <c r="A43" s="53" t="str">
        <v>Weighted average shares - diluted</v>
      </c>
      <c r="B43" s="3"/>
      <c r="C43" s="51" t="n">
        <v>4875</v>
      </c>
      <c r="D43" s="51" t="n">
        <v>4835</v>
      </c>
      <c r="E43" s="51" t="n">
        <v>4701</v>
      </c>
      <c r="F43" s="51" t="n">
        <v>4473</v>
      </c>
      <c r="G43" s="51" t="n">
        <v>4232</v>
      </c>
      <c r="H43" s="51" t="n">
        <v>4090</v>
      </c>
      <c r="I43" s="51" t="n">
        <v>4123</v>
      </c>
      <c r="J43" s="51" t="n">
        <v>4212</v>
      </c>
      <c r="K43" s="51" t="n">
        <v>4280</v>
      </c>
      <c r="L43" s="51" t="n">
        <v>4530</v>
      </c>
      <c r="M43" s="51"/>
      <c r="N43" s="51" t="n">
        <v>4154</v>
      </c>
      <c r="O43" s="51" t="n">
        <v>4196</v>
      </c>
      <c r="P43" s="51" t="n">
        <v>4229</v>
      </c>
      <c r="Q43" s="51"/>
      <c r="R43" s="51" t="n">
        <v>4242</v>
      </c>
      <c r="S43" s="51" t="n">
        <v>4267</v>
      </c>
      <c r="T43" s="51" t="n">
        <v>4292</v>
      </c>
      <c r="U43" s="51"/>
      <c r="V43" s="51" t="n">
        <v>4343</v>
      </c>
      <c r="W43" s="51" t="n">
        <v>4369</v>
      </c>
      <c r="X43" s="51" t="n">
        <v>4531</v>
      </c>
      <c r="Y43" s="51"/>
      <c r="Z43" s="51" t="n">
        <v>5083</v>
      </c>
      <c r="AA43" s="51" t="n">
        <v>5104</v>
      </c>
    </row>
    <row r="44" ht="8"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22" customHeight="1">
      <c r="A45" s="21" t="str">
        <v>Income-statement reconciliations</v>
      </c>
      <c r="B45" s="21" t="str">
        <v>Income-statement reconciliations</v>
      </c>
      <c r="C45" s="21" t="str">
        <v>Income-statement reconciliations</v>
      </c>
      <c r="D45" s="21" t="str">
        <v>Income-statement reconciliations</v>
      </c>
      <c r="E45" s="21" t="str">
        <v>Income-statement reconciliations</v>
      </c>
      <c r="F45" s="21" t="str">
        <v>Income-statement reconciliations</v>
      </c>
      <c r="G45" s="21" t="str">
        <v>Income-statement reconciliations</v>
      </c>
      <c r="H45" s="21" t="str">
        <v>Income-statement reconciliations</v>
      </c>
      <c r="I45" s="21" t="str">
        <v>Income-statement reconciliations</v>
      </c>
      <c r="J45" s="21" t="str">
        <v>Income-statement reconciliations</v>
      </c>
      <c r="K45" s="21" t="str">
        <v>Income-statement reconciliations</v>
      </c>
      <c r="L45" s="21" t="str">
        <v>Income-statement reconciliations</v>
      </c>
      <c r="M45" s="21" t="str">
        <v>Income-statement reconciliations</v>
      </c>
      <c r="N45" s="21" t="str">
        <v>Income-statement reconciliations</v>
      </c>
      <c r="O45" s="21" t="str">
        <v>Income-statement reconciliations</v>
      </c>
      <c r="P45" s="21" t="str">
        <v>Income-statement reconciliations</v>
      </c>
      <c r="Q45" s="21" t="str">
        <v>Income-statement reconciliations</v>
      </c>
      <c r="R45" s="21" t="str">
        <v>Income-statement reconciliations</v>
      </c>
      <c r="S45" s="21" t="str">
        <v>Income-statement reconciliations</v>
      </c>
      <c r="T45" s="21" t="str">
        <v>Income-statement reconciliations</v>
      </c>
      <c r="U45" s="21" t="str">
        <v>Income-statement reconciliations</v>
      </c>
      <c r="V45" s="21" t="str">
        <v>Income-statement reconciliations</v>
      </c>
      <c r="W45" s="21" t="str">
        <v>Income-statement reconciliations</v>
      </c>
      <c r="X45" s="21" t="str">
        <v>Income-statement reconciliations</v>
      </c>
      <c r="Y45" s="21" t="str">
        <v>Income-statement reconciliations</v>
      </c>
      <c r="Z45" s="21" t="str">
        <v>Income-statement reconciliations</v>
      </c>
      <c r="AA45" s="21" t="str">
        <v>Income-statement reconciliations</v>
      </c>
    </row>
    <row r="46" ht="36" customHeight="1">
      <c r="A46" s="49" t="str">
        <v>Check: net revenue - cost of sales - gross profit (should be 0)</v>
      </c>
      <c r="B46" s="3"/>
      <c r="C46" s="59" t="n">
        <f>IF(COUNT(C9,C11,C12)=3,C9-C11-C12,"")</f>
        <v>0</v>
      </c>
      <c r="D46" s="59" t="n">
        <f>IF(COUNT(D9,D11,D12)=3,D9-D11-D12,"")</f>
        <v>0</v>
      </c>
      <c r="E46" s="59" t="n">
        <f>IF(COUNT(E9,E11,E12)=3,E9-E11-E12,"")</f>
        <v>0</v>
      </c>
      <c r="F46" s="59" t="n">
        <f>IF(COUNT(F9,F11,F12)=3,F9-F11-F12,"")</f>
        <v>0</v>
      </c>
      <c r="G46" s="59" t="n">
        <f>IF(COUNT(G9,G11,G12)=3,G9-G11-G12,"")</f>
        <v>0</v>
      </c>
      <c r="H46" s="59" t="n">
        <f>IF(COUNT(H9,H11,H12)=3,H9-H11-H12,"")</f>
        <v>0</v>
      </c>
      <c r="I46" s="59" t="n">
        <f>IF(COUNT(I9,I11,I12)=3,I9-I11-I12,"")</f>
        <v>0</v>
      </c>
      <c r="J46" s="59" t="n">
        <f>IF(COUNT(J9,J11,J12)=3,J9-J11-J12,"")</f>
        <v>0</v>
      </c>
      <c r="K46" s="59" t="n">
        <f>IF(COUNT(K9,K11,K12)=3,K9-K11-K12,"")</f>
        <v>0</v>
      </c>
      <c r="L46" s="59" t="n">
        <f>IF(COUNT(L9,L11,L12)=3,L9-L11-L12,"")</f>
        <v>0</v>
      </c>
      <c r="M46" s="59"/>
      <c r="N46" s="59" t="n">
        <f>IF(COUNT(N9,N11,N12)=3,N9-N11-N12,"")</f>
        <v>0</v>
      </c>
      <c r="O46" s="59" t="n">
        <f>IF(COUNT(O9,O11,O12)=3,O9-O11-O12,"")</f>
        <v>0</v>
      </c>
      <c r="P46" s="59" t="n">
        <f>IF(COUNT(P9,P11,P12)=3,P9-P11-P12,"")</f>
        <v>0</v>
      </c>
      <c r="Q46" s="59" t="n">
        <f>IF(COUNT(Q9,Q11,Q12)=3,Q9-Q11-Q12,"")</f>
        <v>0</v>
      </c>
      <c r="R46" s="59" t="n">
        <f>IF(COUNT(R9,R11,R12)=3,R9-R11-R12,"")</f>
        <v>0</v>
      </c>
      <c r="S46" s="59" t="n">
        <f>IF(COUNT(S9,S11,S12)=3,S9-S11-S12,"")</f>
        <v>0</v>
      </c>
      <c r="T46" s="59" t="n">
        <f>IF(COUNT(T9,T11,T12)=3,T9-T11-T12,"")</f>
        <v>0</v>
      </c>
      <c r="U46" s="59" t="n">
        <f>IF(COUNT(U9,U11,U12)=3,U9-U11-U12,"")</f>
        <v>0</v>
      </c>
      <c r="V46" s="59" t="n">
        <f>IF(COUNT(V9,V11,V12)=3,V9-V11-V12,"")</f>
        <v>0</v>
      </c>
      <c r="W46" s="59" t="n">
        <f>IF(COUNT(W9,W11,W12)=3,W9-W11-W12,"")</f>
        <v>0</v>
      </c>
      <c r="X46" s="59" t="n">
        <f>IF(COUNT(X9,X11,X12)=3,X9-X11-X12,"")</f>
        <v>0</v>
      </c>
      <c r="Y46" s="59" t="n">
        <f>IF(COUNT(Y9,Y11,Y12)=3,Y9-Y11-Y12,"")</f>
        <v>0</v>
      </c>
      <c r="Z46" s="59" t="n">
        <f>IF(COUNT(Z9,Z11,Z12)=3,Z9-Z11-Z12,"")</f>
        <v>0</v>
      </c>
      <c r="AA46" s="59" t="n">
        <f>IF(COUNT(AA9,AA11,AA12)=3,AA9-AA11-AA12,"")</f>
        <v>0</v>
      </c>
    </row>
    <row r="47" ht="36" customHeight="1">
      <c r="A47" s="49" t="str">
        <v>Check: R&amp;D + MG&amp;A + amortization + restructuring - operating expenses (should be 0)</v>
      </c>
      <c r="B47" s="3"/>
      <c r="C47" s="59" t="n">
        <f>IF(COUNT(C17,C18,C20,C19,C21)=5,C17+C18+C20+C19-C21,"")</f>
        <v>0</v>
      </c>
      <c r="D47" s="59" t="n">
        <f>IF(COUNT(D17,D18,D20,D19,D21)=5,D17+D18+D20+D19-D21,"")</f>
        <v>0</v>
      </c>
      <c r="E47" s="59" t="n">
        <f>IF(COUNT(E17,E18,E20,E19,E21)=5,E17+E18+E20+E19-E21,"")</f>
        <v>0</v>
      </c>
      <c r="F47" s="59" t="n">
        <f>IF(COUNT(F17,F18,F20,F19,F21)=5,F17+F18+F20+F19-F21,"")</f>
        <v>0</v>
      </c>
      <c r="G47" s="59" t="n">
        <f>IF(COUNT(G17,G18,G19,G21)=4,G17+G18+0+G19-G21,"")</f>
        <v>0</v>
      </c>
      <c r="H47" s="59" t="n">
        <f>IF(COUNT(H17,H18,H19,H21)=4,H17+H18+0+H19-H21,"")</f>
        <v>0</v>
      </c>
      <c r="I47" s="59" t="n">
        <f>IF(COUNT(I17,I18,I19,I21)=4,I17+I18+0+I19-I21,"")</f>
        <v>0</v>
      </c>
      <c r="J47" s="59" t="n">
        <f>IF(COUNT(J17,J18,J19,J21)=4,J17+J18+0+J19-J21,"")</f>
        <v>0</v>
      </c>
      <c r="K47" s="59" t="n">
        <f>IF(COUNT(K17,K18,K19,K21)=4,K17+K18+0+K19-K21,"")</f>
        <v>0</v>
      </c>
      <c r="L47" s="59" t="n">
        <f>IF(COUNT(L17,L18,L19,L21)=4,L17+L18+0+L19-L21,"")</f>
        <v>0</v>
      </c>
      <c r="M47" s="59"/>
      <c r="N47" s="59" t="n">
        <f>IF(COUNT(N17,N18,N19,N21)=4,N17+N18+0+N19-N21,"")</f>
        <v>0</v>
      </c>
      <c r="O47" s="59" t="n">
        <f>IF(COUNT(O17,O18,O19,O21)=4,O17+O18+0+O19-O21,"")</f>
        <v>0</v>
      </c>
      <c r="P47" s="59" t="n">
        <f>IF(COUNT(P17,P18,P19,P21)=4,P17+P18+0+P19-P21,"")</f>
        <v>0</v>
      </c>
      <c r="Q47" s="59" t="n">
        <f>IF(COUNT(Q17,Q18,Q19,Q21)=4,Q17+Q18+0+Q19-Q21,"")</f>
        <v>0</v>
      </c>
      <c r="R47" s="59" t="n">
        <f>IF(COUNT(R17,R18,R19,R21)=4,R17+R18+0+R19-R21,"")</f>
        <v>0</v>
      </c>
      <c r="S47" s="59" t="n">
        <f>IF(COUNT(S17,S18,S19,S21)=4,S17+S18+0+S19-S21,"")</f>
        <v>0</v>
      </c>
      <c r="T47" s="59" t="n">
        <f>IF(COUNT(T17,T18,T19,T21)=4,T17+T18+0+T19-T21,"")</f>
        <v>0</v>
      </c>
      <c r="U47" s="59" t="n">
        <f>IF(COUNT(U17,U18,U19,U21)=4,U17+U18+0+U19-U21,"")</f>
        <v>0</v>
      </c>
      <c r="V47" s="59" t="n">
        <f>IF(COUNT(V17,V18,V19,V21)=4,V17+V18+0+V19-V21,"")</f>
        <v>0</v>
      </c>
      <c r="W47" s="59" t="n">
        <f>IF(COUNT(W17,W18,W19,W21)=4,W17+W18+0+W19-W21,"")</f>
        <v>0</v>
      </c>
      <c r="X47" s="59" t="n">
        <f>IF(COUNT(X17,X18,X19,X21)=4,X17+X18+0+X19-X21,"")</f>
        <v>0</v>
      </c>
      <c r="Y47" s="59" t="n">
        <f>IF(COUNT(Y17,Y18,Y19,Y21)=4,Y17+Y18+0+Y19-Y21,"")</f>
        <v>0</v>
      </c>
      <c r="Z47" s="59" t="n">
        <f>IF(COUNT(Z17,Z18,Z19,Z21)=4,Z17+Z18+0+Z19-Z21,"")</f>
        <v>0</v>
      </c>
      <c r="AA47" s="59" t="n">
        <f>IF(COUNT(AA17,AA18,AA19,AA21)=4,AA17+AA18+0+AA19-AA21,"")</f>
        <v>0</v>
      </c>
    </row>
    <row r="48" ht="36" customHeight="1">
      <c r="A48" s="49" t="str">
        <v>Check: gross profit - operating expenses - operating income (should be 0)</v>
      </c>
      <c r="B48" s="3"/>
      <c r="C48" s="59" t="n">
        <f>IF(COUNT(C12,C21,C22)=3,C12-C21-C22,"")</f>
        <v>0</v>
      </c>
      <c r="D48" s="59" t="n">
        <f>IF(COUNT(D12,D21,D22)=3,D12-D21-D22,"")</f>
        <v>0</v>
      </c>
      <c r="E48" s="59" t="n">
        <f>IF(COUNT(E12,E21,E22)=3,E12-E21-E22,"")</f>
        <v>0</v>
      </c>
      <c r="F48" s="59" t="n">
        <f>IF(COUNT(F12,F21,F22)=3,F12-F21-F22,"")</f>
        <v>0</v>
      </c>
      <c r="G48" s="59" t="n">
        <f>IF(COUNT(G12,G21,G22)=3,G12-G21-G22,"")</f>
        <v>0</v>
      </c>
      <c r="H48" s="59" t="n">
        <f>IF(COUNT(H12,H21,H22)=3,H12-H21-H22,"")</f>
        <v>0</v>
      </c>
      <c r="I48" s="59" t="n">
        <f>IF(COUNT(I12,I21,I22)=3,I12-I21-I22,"")</f>
        <v>0</v>
      </c>
      <c r="J48" s="59" t="n">
        <f>IF(COUNT(J12,J21,J22)=3,J12-J21-J22,"")</f>
        <v>0</v>
      </c>
      <c r="K48" s="59" t="n">
        <f>IF(COUNT(K12,K21,K22)=3,K12-K21-K22,"")</f>
        <v>0</v>
      </c>
      <c r="L48" s="59" t="n">
        <f>IF(COUNT(L12,L21,L22)=3,L12-L21-L22,"")</f>
        <v>0</v>
      </c>
      <c r="M48" s="59"/>
      <c r="N48" s="59" t="n">
        <f>IF(COUNT(N12,N21,N22)=3,N12-N21-N22,"")</f>
        <v>0</v>
      </c>
      <c r="O48" s="59" t="n">
        <f>IF(COUNT(O12,O21,O22)=3,O12-O21-O22,"")</f>
        <v>0</v>
      </c>
      <c r="P48" s="59" t="n">
        <f>IF(COUNT(P12,P21,P22)=3,P12-P21-P22,"")</f>
        <v>0</v>
      </c>
      <c r="Q48" s="59" t="n">
        <f>IF(COUNT(Q12,Q21,Q22)=3,Q12-Q21-Q22,"")</f>
        <v>0</v>
      </c>
      <c r="R48" s="59" t="n">
        <f>IF(COUNT(R12,R21,R22)=3,R12-R21-R22,"")</f>
        <v>0</v>
      </c>
      <c r="S48" s="59" t="n">
        <f>IF(COUNT(S12,S21,S22)=3,S12-S21-S22,"")</f>
        <v>0</v>
      </c>
      <c r="T48" s="59" t="n">
        <f>IF(COUNT(T12,T21,T22)=3,T12-T21-T22,"")</f>
        <v>0</v>
      </c>
      <c r="U48" s="59" t="n">
        <f>IF(COUNT(U12,U21,U22)=3,U12-U21-U22,"")</f>
        <v>0</v>
      </c>
      <c r="V48" s="59" t="n">
        <f>IF(COUNT(V12,V21,V22)=3,V12-V21-V22,"")</f>
        <v>0</v>
      </c>
      <c r="W48" s="59" t="n">
        <f>IF(COUNT(W12,W21,W22)=3,W12-W21-W22,"")</f>
        <v>0</v>
      </c>
      <c r="X48" s="59" t="n">
        <f>IF(COUNT(X12,X21,X22)=3,X12-X21-X22,"")</f>
        <v>0</v>
      </c>
      <c r="Y48" s="59" t="n">
        <f>IF(COUNT(Y12,Y21,Y22)=3,Y12-Y21-Y22,"")</f>
        <v>0</v>
      </c>
      <c r="Z48" s="59" t="n">
        <f>IF(COUNT(Z12,Z21,Z22)=3,Z12-Z21-Z22,"")</f>
        <v>0</v>
      </c>
      <c r="AA48" s="59" t="n">
        <f>IF(COUNT(AA12,AA21,AA22)=3,AA12-AA21-AA22,"")</f>
        <v>0</v>
      </c>
    </row>
    <row r="49" ht="36" customHeight="1">
      <c r="A49" s="49" t="str">
        <v>Check: operating income + equity gains + interest and other - pretax income (should be 0)</v>
      </c>
      <c r="B49" s="3"/>
      <c r="C49" s="59" t="n">
        <f>IF(COUNT(C22,C27,C28,C29)=4,C22+C27+C28-C29,"")</f>
        <v>0</v>
      </c>
      <c r="D49" s="59" t="n">
        <f>IF(COUNT(D22,D27,D28,D29)=4,D22+D27+D28-D29,"")</f>
        <v>0</v>
      </c>
      <c r="E49" s="59" t="n">
        <f>IF(COUNT(E22,E27,E28,E29)=4,E22+E27+E28-E29,"")</f>
        <v>0</v>
      </c>
      <c r="F49" s="59" t="n">
        <f>IF(COUNT(F22,F27,F28,F29)=4,F22+F27+F28-F29,"")</f>
        <v>0</v>
      </c>
      <c r="G49" s="59" t="n">
        <f>IF(COUNT(G22,G27,G28,G29)=4,G22+G27+G28-G29,"")</f>
        <v>0</v>
      </c>
      <c r="H49" s="59" t="n">
        <f>IF(COUNT(H22,H27,H28,H29)=4,H22+H27+H28-H29,"")</f>
        <v>0</v>
      </c>
      <c r="I49" s="59" t="n">
        <f>IF(COUNT(I22,I27,I28,I29)=4,I22+I27+I28-I29,"")</f>
        <v>0</v>
      </c>
      <c r="J49" s="59" t="n">
        <f>IF(COUNT(J22,J27,J28,J29)=4,J22+J27+J28-J29,"")</f>
        <v>0</v>
      </c>
      <c r="K49" s="59" t="n">
        <f>IF(COUNT(K22,K27,K28,K29)=4,K22+K27+K28-K29,"")</f>
        <v>0</v>
      </c>
      <c r="L49" s="59" t="n">
        <f>IF(COUNT(L22,L27,L28,L29)=4,L22+L27+L28-L29,"")</f>
        <v>0</v>
      </c>
      <c r="M49" s="59"/>
      <c r="N49" s="59" t="n">
        <f>IF(COUNT(N22,N27,N28,N29)=4,N22+N27+N28-N29,"")</f>
        <v>0</v>
      </c>
      <c r="O49" s="59" t="n">
        <f>IF(COUNT(O22,O27,O28,O29)=4,O22+O27+O28-O29,"")</f>
        <v>0</v>
      </c>
      <c r="P49" s="59" t="n">
        <f>IF(COUNT(P22,P27,P28,P29)=4,P22+P27+P28-P29,"")</f>
        <v>0</v>
      </c>
      <c r="Q49" s="59" t="n">
        <f>IF(COUNT(Q22,Q27,Q28,Q29)=4,Q22+Q27+Q28-Q29,"")</f>
        <v>0</v>
      </c>
      <c r="R49" s="59" t="n">
        <f>IF(COUNT(R22,R27,R28,R29)=4,R22+R27+R28-R29,"")</f>
        <v>0</v>
      </c>
      <c r="S49" s="59" t="n">
        <f>IF(COUNT(S22,S27,S28,S29)=4,S22+S27+S28-S29,"")</f>
        <v>0</v>
      </c>
      <c r="T49" s="59" t="n">
        <f>IF(COUNT(T22,T27,T28,T29)=4,T22+T27+T28-T29,"")</f>
        <v>0</v>
      </c>
      <c r="U49" s="59" t="n">
        <f>IF(COUNT(U22,U27,U28,U29)=4,U22+U27+U28-U29,"")</f>
        <v>0</v>
      </c>
      <c r="V49" s="59" t="n">
        <f>IF(COUNT(V22,V27,V28,V29)=4,V22+V27+V28-V29,"")</f>
        <v>0</v>
      </c>
      <c r="W49" s="59" t="n">
        <f>IF(COUNT(W22,W27,W28,W29)=4,W22+W27+W28-W29,"")</f>
        <v>0</v>
      </c>
      <c r="X49" s="59" t="n">
        <f>IF(COUNT(X22,X27,X28,X29)=4,X22+X27+X28-X29,"")</f>
        <v>0</v>
      </c>
      <c r="Y49" s="59" t="n">
        <f>IF(COUNT(Y22,Y27,Y28,Y29)=4,Y22+Y27+Y28-Y29,"")</f>
        <v>0</v>
      </c>
      <c r="Z49" s="59" t="n">
        <f>IF(COUNT(Z22,Z27,Z28,Z29)=4,Z22+Z27+Z28-Z29,"")</f>
        <v>0</v>
      </c>
      <c r="AA49" s="59" t="n">
        <f>IF(COUNT(AA22,AA27,AA28,AA29)=4,AA22+AA27+AA28-AA29,"")</f>
        <v>0</v>
      </c>
    </row>
    <row r="50" ht="22" customHeight="1">
      <c r="A50" s="49" t="str">
        <v>Check: pretax income - taxes - net income (should be 0)</v>
      </c>
      <c r="B50" s="3"/>
      <c r="C50" s="59" t="n">
        <f>IF(COUNT(C29,C30,C31)=3,C29-C30-C31,"")</f>
        <v>0</v>
      </c>
      <c r="D50" s="59" t="n">
        <f>IF(COUNT(D29,D30,D31)=3,D29-D30-D31,"")</f>
        <v>0</v>
      </c>
      <c r="E50" s="59" t="n">
        <f>IF(COUNT(E29,E30,E31)=3,E29-E30-E31,"")</f>
        <v>0</v>
      </c>
      <c r="F50" s="59" t="n">
        <f>IF(COUNT(F29,F30,F31)=3,F29-F30-F31,"")</f>
        <v>0</v>
      </c>
      <c r="G50" s="59" t="n">
        <f>IF(COUNT(G29,G30,G31)=3,G29-G30-G31,"")</f>
        <v>0</v>
      </c>
      <c r="H50" s="59" t="n">
        <f>IF(COUNT(H29,H30,H31)=3,H29-H30-H31,"")</f>
        <v>0</v>
      </c>
      <c r="I50" s="59" t="n">
        <f>IF(COUNT(I29,I30,I31)=3,I29-I30-I31,"")</f>
        <v>0</v>
      </c>
      <c r="J50" s="59" t="n">
        <f>IF(COUNT(J29,J30,J31)=3,J29-J30-J31,"")</f>
        <v>0</v>
      </c>
      <c r="K50" s="59" t="n">
        <f>IF(COUNT(K29,K30,K31)=3,K29-K30-K31,"")</f>
        <v>0</v>
      </c>
      <c r="L50" s="59" t="n">
        <f>IF(COUNT(L29,L30,L31)=3,L29-L30-L31,"")</f>
        <v>0</v>
      </c>
      <c r="M50" s="59"/>
      <c r="N50" s="59" t="n">
        <f>IF(COUNT(N29,N30,N31)=3,N29-N30-N31,"")</f>
        <v>0</v>
      </c>
      <c r="O50" s="59" t="n">
        <f>IF(COUNT(O29,O30,O31)=3,O29-O30-O31,"")</f>
        <v>0</v>
      </c>
      <c r="P50" s="59" t="n">
        <f>IF(COUNT(P29,P30,P31)=3,P29-P30-P31,"")</f>
        <v>0</v>
      </c>
      <c r="Q50" s="59" t="n">
        <f>IF(COUNT(Q29,Q30,Q31)=3,Q29-Q30-Q31,"")</f>
        <v>0</v>
      </c>
      <c r="R50" s="59" t="n">
        <f>IF(COUNT(R29,R30,R31)=3,R29-R30-R31,"")</f>
        <v>0</v>
      </c>
      <c r="S50" s="59" t="n">
        <f>IF(COUNT(S29,S30,S31)=3,S29-S30-S31,"")</f>
        <v>0</v>
      </c>
      <c r="T50" s="59" t="n">
        <f>IF(COUNT(T29,T30,T31)=3,T29-T30-T31,"")</f>
        <v>0</v>
      </c>
      <c r="U50" s="59" t="n">
        <f>IF(COUNT(U29,U30,U31)=3,U29-U30-U31,"")</f>
        <v>0</v>
      </c>
      <c r="V50" s="59" t="n">
        <f>IF(COUNT(V29,V30,V31)=3,V29-V30-V31,"")</f>
        <v>0</v>
      </c>
      <c r="W50" s="59" t="n">
        <f>IF(COUNT(W29,W30,W31)=3,W29-W30-W31,"")</f>
        <v>0</v>
      </c>
      <c r="X50" s="59" t="n">
        <f>IF(COUNT(X29,X30,X31)=3,X29-X30-X31,"")</f>
        <v>0</v>
      </c>
      <c r="Y50" s="59" t="n">
        <f>IF(COUNT(Y29,Y30,Y31)=3,Y29-Y30-Y31,"")</f>
        <v>0</v>
      </c>
      <c r="Z50" s="59" t="n">
        <f>IF(COUNT(Z29,Z30,Z31)=3,Z29-Z30-Z31,"")</f>
        <v>0</v>
      </c>
      <c r="AA50" s="59" t="n">
        <f>IF(COUNT(AA29,AA30,AA31)=3,AA29-AA30-AA31,"")</f>
        <v>0</v>
      </c>
    </row>
    <row r="51" ht="36" customHeight="1">
      <c r="A51" s="49" t="str">
        <v>Check: net income - NCI - net income attributable to Intel (should be 0)</v>
      </c>
      <c r="B51" s="3"/>
      <c r="C51" s="59"/>
      <c r="D51" s="59"/>
      <c r="E51" s="59"/>
      <c r="F51" s="59"/>
      <c r="G51" s="59"/>
      <c r="H51" s="59"/>
      <c r="I51" s="59" t="n">
        <f>IF(COUNT(I31,I34,I35)=3,I31-I34-I35,"")</f>
        <v>0</v>
      </c>
      <c r="J51" s="59" t="n">
        <f>IF(COUNT(J31,J34,J35)=3,J31-J34-J35,"")</f>
        <v>0</v>
      </c>
      <c r="K51" s="59" t="n">
        <f>IF(COUNT(K31,K34,K35)=3,K31-K34-K35,"")</f>
        <v>0</v>
      </c>
      <c r="L51" s="59" t="n">
        <f>IF(COUNT(L31,L34,L35)=3,L31-L34-L35,"")</f>
        <v>0</v>
      </c>
      <c r="M51" s="59"/>
      <c r="N51" s="59" t="n">
        <f>IF(COUNT(N31,N34,N35)=3,N31-N34-N35,"")</f>
        <v>0</v>
      </c>
      <c r="O51" s="59" t="n">
        <f>IF(COUNT(O31,O34,O35)=3,O31-O34-O35,"")</f>
        <v>0</v>
      </c>
      <c r="P51" s="59" t="n">
        <f>IF(COUNT(P31,P34,P35)=3,P31-P34-P35,"")</f>
        <v>0</v>
      </c>
      <c r="Q51" s="59" t="n">
        <f>IF(COUNT(Q31,Q34,Q35)=3,Q31-Q34-Q35,"")</f>
        <v>0</v>
      </c>
      <c r="R51" s="59" t="n">
        <f>IF(COUNT(R31,R34,R35)=3,R31-R34-R35,"")</f>
        <v>0</v>
      </c>
      <c r="S51" s="59" t="n">
        <f>IF(COUNT(S31,S34,S35)=3,S31-S34-S35,"")</f>
        <v>0</v>
      </c>
      <c r="T51" s="59" t="n">
        <f>IF(COUNT(T31,T34,T35)=3,T31-T34-T35,"")</f>
        <v>0</v>
      </c>
      <c r="U51" s="59" t="n">
        <f>IF(COUNT(U31,U34,U35)=3,U31-U34-U35,"")</f>
        <v>0</v>
      </c>
      <c r="V51" s="59" t="n">
        <f>IF(COUNT(V31,V34,V35)=3,V31-V34-V35,"")</f>
        <v>0</v>
      </c>
      <c r="W51" s="59" t="n">
        <f>IF(COUNT(W31,W34,W35)=3,W31-W34-W35,"")</f>
        <v>0</v>
      </c>
      <c r="X51" s="59" t="n">
        <f>IF(COUNT(X31,X34,X35)=3,X31-X34-X35,"")</f>
        <v>0</v>
      </c>
      <c r="Y51" s="59" t="n">
        <f>IF(COUNT(Y31,Y34,Y35)=3,Y31-Y34-Y35,"")</f>
        <v>0</v>
      </c>
      <c r="Z51" s="59" t="n">
        <f>IF(COUNT(Z31,Z34,Z35)=3,Z31-Z34-Z35,"")</f>
        <v>0</v>
      </c>
      <c r="AA51" s="59" t="n">
        <f>IF(COUNT(AA31,AA34,AA35)=3,AA31-AA34-AA35,"")</f>
        <v>0</v>
      </c>
    </row>
    <row r="52" ht="8"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2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sheetData>
  <mergeCells>
    <mergeCell ref="A1:AA1"/>
    <mergeCell ref="A2:AA2"/>
    <mergeCell ref="A7:AA7"/>
    <mergeCell ref="A8:AA8"/>
    <mergeCell ref="A15:AA15"/>
    <mergeCell ref="A16:AA16"/>
    <mergeCell ref="A26:AA26"/>
    <mergeCell ref="A38:AA38"/>
    <mergeCell ref="A39:AA39"/>
    <mergeCell ref="A45:AA45"/>
  </mergeCells>
  <conditionalFormatting sqref="C46:AA46">
    <cfRule type="cellIs" dxfId="0" priority="1" operator="notBetween">
      <formula>-0.01</formula>
      <formula>0.01</formula>
    </cfRule>
  </conditionalFormatting>
  <conditionalFormatting sqref="C47:AA47">
    <cfRule type="cellIs" dxfId="1" priority="2" operator="notBetween">
      <formula>-0.01</formula>
      <formula>0.01</formula>
    </cfRule>
  </conditionalFormatting>
  <conditionalFormatting sqref="C48:AA48">
    <cfRule type="cellIs" dxfId="2" priority="3" operator="notBetween">
      <formula>-0.01</formula>
      <formula>0.01</formula>
    </cfRule>
  </conditionalFormatting>
  <conditionalFormatting sqref="C49:AA49">
    <cfRule type="cellIs" dxfId="3" priority="4" operator="notBetween">
      <formula>-0.01</formula>
      <formula>0.01</formula>
    </cfRule>
  </conditionalFormatting>
  <conditionalFormatting sqref="C50:AA50">
    <cfRule type="cellIs" dxfId="4" priority="5" operator="notBetween">
      <formula>-0.01</formula>
      <formula>0.01</formula>
    </cfRule>
  </conditionalFormatting>
  <conditionalFormatting sqref="C51:AA51">
    <cfRule type="cellIs" dxfId="5" priority="6" operator="notBetween">
      <formula>-0.01</formula>
      <formula>0.01</formula>
    </cfRule>
  </conditionalFormatting>
  <pageMargins left="0.7" right="0.7" top="0.75" bottom="0.75" header="0.3" footer="0.3"/>
</worksheet>
</file>

<file path=xl/worksheets/sheet3.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Balance Sheet</v>
      </c>
      <c r="B1" s="6" t="str">
        <v>Intel Corporation — Balance Sheet</v>
      </c>
      <c r="C1" s="6" t="str">
        <v>Intel Corporation — Balance Sheet</v>
      </c>
      <c r="D1" s="6" t="str">
        <v>Intel Corporation — Balance Sheet</v>
      </c>
      <c r="E1" s="6" t="str">
        <v>Intel Corporation — Balance Sheet</v>
      </c>
      <c r="F1" s="6" t="str">
        <v>Intel Corporation — Balance Sheet</v>
      </c>
      <c r="G1" s="6" t="str">
        <v>Intel Corporation — Balance Sheet</v>
      </c>
      <c r="H1" s="6" t="str">
        <v>Intel Corporation — Balance Sheet</v>
      </c>
      <c r="I1" s="6" t="str">
        <v>Intel Corporation — Balance Sheet</v>
      </c>
      <c r="J1" s="6" t="str">
        <v>Intel Corporation — Balance Sheet</v>
      </c>
      <c r="K1" s="6" t="str">
        <v>Intel Corporation — Balance Sheet</v>
      </c>
      <c r="L1" s="6" t="str">
        <v>Intel Corporation — Balance Sheet</v>
      </c>
      <c r="M1" s="6" t="str">
        <v>Intel Corporation — Balance Sheet</v>
      </c>
      <c r="N1" s="6" t="str">
        <v>Intel Corporation — Balance Sheet</v>
      </c>
      <c r="O1" s="6" t="str">
        <v>Intel Corporation — Balance Sheet</v>
      </c>
      <c r="P1" s="6" t="str">
        <v>Intel Corporation — Balance Sheet</v>
      </c>
      <c r="Q1" s="6" t="str">
        <v>Intel Corporation — Balance Sheet</v>
      </c>
      <c r="R1" s="6" t="str">
        <v>Intel Corporation — Balance Sheet</v>
      </c>
      <c r="S1" s="6" t="str">
        <v>Intel Corporation — Balance Sheet</v>
      </c>
      <c r="T1" s="6" t="str">
        <v>Intel Corporation — Balance Sheet</v>
      </c>
      <c r="U1" s="6" t="str">
        <v>Intel Corporation — Balance Sheet</v>
      </c>
      <c r="V1" s="6" t="str">
        <v>Intel Corporation — Balance Sheet</v>
      </c>
      <c r="W1" s="6" t="str">
        <v>Intel Corporation — Balance Sheet</v>
      </c>
      <c r="X1" s="6" t="str">
        <v>Intel Corporation — Balance Sheet</v>
      </c>
      <c r="Y1" s="6" t="str">
        <v>Intel Corporation — Balance Sheet</v>
      </c>
      <c r="Z1" s="6" t="str">
        <v>Intel Corporation — Balance Sheet</v>
      </c>
      <c r="AA1" s="6" t="str">
        <v>Intel Corporation — Balance Sheet</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Instant</v>
      </c>
      <c r="O5" s="16" t="str">
        <v>Instant</v>
      </c>
      <c r="P5" s="16" t="str">
        <v>Instant</v>
      </c>
      <c r="Q5" s="16" t="str">
        <v>Instant</v>
      </c>
      <c r="R5" s="16" t="str">
        <v>Instant</v>
      </c>
      <c r="S5" s="16" t="str">
        <v>Instant</v>
      </c>
      <c r="T5" s="16" t="str">
        <v>Instant</v>
      </c>
      <c r="U5" s="16" t="str">
        <v>Instant</v>
      </c>
      <c r="V5" s="16" t="str">
        <v>Instant</v>
      </c>
      <c r="W5" s="16" t="str">
        <v>Instant</v>
      </c>
      <c r="X5" s="16" t="str">
        <v>Instant</v>
      </c>
      <c r="Y5" s="16" t="str">
        <v>Instant</v>
      </c>
      <c r="Z5" s="16" t="str">
        <v>Instant</v>
      </c>
      <c r="AA5" s="16" t="str">
        <v>Instant</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Current assets</v>
      </c>
      <c r="B7" s="21" t="str">
        <v>Current assets</v>
      </c>
      <c r="C7" s="21" t="str">
        <v>Current assets</v>
      </c>
      <c r="D7" s="21" t="str">
        <v>Current assets</v>
      </c>
      <c r="E7" s="21" t="str">
        <v>Current assets</v>
      </c>
      <c r="F7" s="21" t="str">
        <v>Current assets</v>
      </c>
      <c r="G7" s="21" t="str">
        <v>Current assets</v>
      </c>
      <c r="H7" s="21" t="str">
        <v>Current assets</v>
      </c>
      <c r="I7" s="21" t="str">
        <v>Current assets</v>
      </c>
      <c r="J7" s="21" t="str">
        <v>Current assets</v>
      </c>
      <c r="K7" s="21" t="str">
        <v>Current assets</v>
      </c>
      <c r="L7" s="21" t="str">
        <v>Current assets</v>
      </c>
      <c r="M7" s="21" t="str">
        <v>Current assets</v>
      </c>
      <c r="N7" s="21" t="str">
        <v>Current assets</v>
      </c>
      <c r="O7" s="21" t="str">
        <v>Current assets</v>
      </c>
      <c r="P7" s="21" t="str">
        <v>Current assets</v>
      </c>
      <c r="Q7" s="21" t="str">
        <v>Current assets</v>
      </c>
      <c r="R7" s="21" t="str">
        <v>Current assets</v>
      </c>
      <c r="S7" s="21" t="str">
        <v>Current assets</v>
      </c>
      <c r="T7" s="21" t="str">
        <v>Current assets</v>
      </c>
      <c r="U7" s="21" t="str">
        <v>Current assets</v>
      </c>
      <c r="V7" s="21" t="str">
        <v>Current assets</v>
      </c>
      <c r="W7" s="21" t="str">
        <v>Current assets</v>
      </c>
      <c r="X7" s="21" t="str">
        <v>Current assets</v>
      </c>
      <c r="Y7" s="21" t="str">
        <v>Current assets</v>
      </c>
      <c r="Z7" s="21" t="str">
        <v>Current assets</v>
      </c>
      <c r="AA7" s="21" t="str">
        <v>Current assets</v>
      </c>
    </row>
    <row r="8" ht="22" customHeight="1">
      <c r="A8" s="49" t="str">
        <v>Cash and cash equivalents</v>
      </c>
      <c r="B8" s="3"/>
      <c r="C8" s="51" t="n">
        <v>5560</v>
      </c>
      <c r="D8" s="51" t="n">
        <v>3433</v>
      </c>
      <c r="E8" s="51" t="n">
        <v>3019</v>
      </c>
      <c r="F8" s="51" t="n">
        <v>4194</v>
      </c>
      <c r="G8" s="51" t="n">
        <v>5865</v>
      </c>
      <c r="H8" s="51" t="n">
        <v>4827</v>
      </c>
      <c r="I8" s="51" t="n">
        <v>11144</v>
      </c>
      <c r="J8" s="51" t="n">
        <v>7079</v>
      </c>
      <c r="K8" s="51" t="n">
        <v>8249</v>
      </c>
      <c r="L8" s="51" t="n">
        <v>14265</v>
      </c>
      <c r="M8" s="51"/>
      <c r="N8" s="51"/>
      <c r="O8" s="51"/>
      <c r="P8" s="51" t="n">
        <v>7621</v>
      </c>
      <c r="Q8" s="52" t="n">
        <f>IF(COUNT(J8)=1,J8,"")</f>
        <v>7079</v>
      </c>
      <c r="R8" s="51" t="n">
        <v>6923</v>
      </c>
      <c r="S8" s="51" t="n">
        <v>11287</v>
      </c>
      <c r="T8" s="51" t="n">
        <v>8785</v>
      </c>
      <c r="U8" s="52" t="n">
        <f>IF(COUNT(K8)=1,K8,"")</f>
        <v>8249</v>
      </c>
      <c r="V8" s="51" t="n">
        <v>8947</v>
      </c>
      <c r="W8" s="51" t="n">
        <v>9643</v>
      </c>
      <c r="X8" s="51" t="n">
        <v>11141</v>
      </c>
      <c r="Y8" s="52" t="n">
        <f>IF(COUNT(L8)=1,L8,"")</f>
        <v>14265</v>
      </c>
      <c r="Z8" s="51" t="n">
        <v>17247</v>
      </c>
      <c r="AA8" s="51" t="n">
        <v>12874</v>
      </c>
    </row>
    <row r="9" ht="22" customHeight="1">
      <c r="A9" s="49" t="str">
        <v>Short-term investments</v>
      </c>
      <c r="B9" s="3"/>
      <c r="C9" s="51" t="n">
        <v>3225</v>
      </c>
      <c r="D9" s="51" t="n">
        <v>1814</v>
      </c>
      <c r="E9" s="51" t="n">
        <v>2788</v>
      </c>
      <c r="F9" s="51" t="n">
        <v>1082</v>
      </c>
      <c r="G9" s="51" t="n">
        <v>2292</v>
      </c>
      <c r="H9" s="51" t="n">
        <v>2103</v>
      </c>
      <c r="I9" s="51" t="n">
        <v>17194</v>
      </c>
      <c r="J9" s="51" t="n">
        <v>17955</v>
      </c>
      <c r="K9" s="51" t="n">
        <v>13813</v>
      </c>
      <c r="L9" s="51" t="n">
        <v>23151</v>
      </c>
      <c r="M9" s="51"/>
      <c r="N9" s="51"/>
      <c r="O9" s="51"/>
      <c r="P9" s="51" t="n">
        <v>17409</v>
      </c>
      <c r="Q9" s="52" t="n">
        <f>IF(COUNT(J9)=1,J9,"")</f>
        <v>17955</v>
      </c>
      <c r="R9" s="51" t="n">
        <v>14388</v>
      </c>
      <c r="S9" s="51" t="n">
        <v>17986</v>
      </c>
      <c r="T9" s="51" t="n">
        <v>15301</v>
      </c>
      <c r="U9" s="52" t="n">
        <f>IF(COUNT(K9)=1,K9,"")</f>
        <v>13813</v>
      </c>
      <c r="V9" s="51" t="n">
        <v>12101</v>
      </c>
      <c r="W9" s="51" t="n">
        <v>11563</v>
      </c>
      <c r="X9" s="51" t="n">
        <v>19794</v>
      </c>
      <c r="Y9" s="52" t="n">
        <f>IF(COUNT(L9)=1,L9,"")</f>
        <v>23151</v>
      </c>
      <c r="Z9" s="51" t="n">
        <v>15542</v>
      </c>
      <c r="AA9" s="51" t="n">
        <v>16853</v>
      </c>
    </row>
    <row r="10" ht="22" customHeight="1">
      <c r="A10" s="49" t="str">
        <v>Trading assets</v>
      </c>
      <c r="B10" s="3"/>
      <c r="C10" s="51" t="n">
        <v>8314</v>
      </c>
      <c r="D10" s="51" t="n">
        <v>8755</v>
      </c>
      <c r="E10" s="51" t="n">
        <v>5843</v>
      </c>
      <c r="F10" s="51" t="n">
        <v>7847</v>
      </c>
      <c r="G10" s="51" t="n">
        <v>15738</v>
      </c>
      <c r="H10" s="51" t="n">
        <v>21483</v>
      </c>
      <c r="I10" s="51"/>
      <c r="J10" s="51"/>
      <c r="K10" s="51"/>
      <c r="L10" s="51"/>
      <c r="M10" s="51"/>
      <c r="N10" s="51"/>
      <c r="O10" s="51"/>
      <c r="P10" s="51"/>
      <c r="Q10" s="52" t="str">
        <f>IF(COUNT(J10)=1,J10,"")</f>
      </c>
      <c r="R10" s="51"/>
      <c r="S10" s="51"/>
      <c r="T10" s="51"/>
      <c r="U10" s="52" t="str">
        <f>IF(COUNT(K10)=1,K10,"")</f>
      </c>
      <c r="V10" s="51"/>
      <c r="W10" s="51"/>
      <c r="X10" s="51"/>
      <c r="Y10" s="52" t="str">
        <f>IF(COUNT(L10)=1,L10,"")</f>
      </c>
      <c r="Z10" s="51"/>
      <c r="AA10" s="51"/>
    </row>
    <row r="11" ht="22" customHeight="1">
      <c r="A11" s="49" t="str">
        <v>Accounts receivable, net</v>
      </c>
      <c r="B11" s="3"/>
      <c r="C11" s="51" t="n">
        <v>4690</v>
      </c>
      <c r="D11" s="51" t="n">
        <v>5607</v>
      </c>
      <c r="E11" s="51" t="n">
        <v>6722</v>
      </c>
      <c r="F11" s="51" t="n">
        <v>7659</v>
      </c>
      <c r="G11" s="51" t="n">
        <v>6782</v>
      </c>
      <c r="H11" s="51" t="n">
        <v>9457</v>
      </c>
      <c r="I11" s="51" t="n">
        <v>4133</v>
      </c>
      <c r="J11" s="51" t="n">
        <v>3402</v>
      </c>
      <c r="K11" s="51" t="n">
        <v>3478</v>
      </c>
      <c r="L11" s="51" t="n">
        <v>3839</v>
      </c>
      <c r="M11" s="51"/>
      <c r="N11" s="51"/>
      <c r="O11" s="51"/>
      <c r="P11" s="51" t="n">
        <v>2843</v>
      </c>
      <c r="Q11" s="52" t="n">
        <f>IF(COUNT(J11)=1,J11,"")</f>
        <v>3402</v>
      </c>
      <c r="R11" s="51" t="n">
        <v>3323</v>
      </c>
      <c r="S11" s="51" t="n">
        <v>3131</v>
      </c>
      <c r="T11" s="51" t="n">
        <v>3121</v>
      </c>
      <c r="U11" s="52" t="n">
        <f>IF(COUNT(K11)=1,K11,"")</f>
        <v>3478</v>
      </c>
      <c r="V11" s="51" t="n">
        <v>3064</v>
      </c>
      <c r="W11" s="51" t="n">
        <v>2360</v>
      </c>
      <c r="X11" s="51" t="n">
        <v>3202</v>
      </c>
      <c r="Y11" s="52" t="n">
        <f>IF(COUNT(L11)=1,L11,"")</f>
        <v>3839</v>
      </c>
      <c r="Z11" s="51" t="n">
        <v>4066</v>
      </c>
      <c r="AA11" s="51" t="n">
        <v>4033</v>
      </c>
    </row>
    <row r="12" ht="22" customHeight="1">
      <c r="A12" s="49" t="str">
        <v>Inventories</v>
      </c>
      <c r="B12" s="3"/>
      <c r="C12" s="51" t="n">
        <v>5553</v>
      </c>
      <c r="D12" s="51" t="n">
        <v>6983</v>
      </c>
      <c r="E12" s="51" t="n">
        <v>7253</v>
      </c>
      <c r="F12" s="51" t="n">
        <v>8744</v>
      </c>
      <c r="G12" s="51" t="n">
        <v>8427</v>
      </c>
      <c r="H12" s="51" t="n">
        <v>10776</v>
      </c>
      <c r="I12" s="51" t="n">
        <v>13224</v>
      </c>
      <c r="J12" s="51" t="n">
        <v>11127</v>
      </c>
      <c r="K12" s="51" t="n">
        <v>12198</v>
      </c>
      <c r="L12" s="51" t="n">
        <v>11618</v>
      </c>
      <c r="M12" s="51"/>
      <c r="N12" s="51"/>
      <c r="O12" s="51"/>
      <c r="P12" s="51" t="n">
        <v>11466</v>
      </c>
      <c r="Q12" s="52" t="n">
        <f>IF(COUNT(J12)=1,J12,"")</f>
        <v>11127</v>
      </c>
      <c r="R12" s="51" t="n">
        <v>11494</v>
      </c>
      <c r="S12" s="51" t="n">
        <v>11244</v>
      </c>
      <c r="T12" s="51" t="n">
        <v>12062</v>
      </c>
      <c r="U12" s="52" t="n">
        <f>IF(COUNT(K12)=1,K12,"")</f>
        <v>12198</v>
      </c>
      <c r="V12" s="51" t="n">
        <v>12281</v>
      </c>
      <c r="W12" s="51" t="n">
        <v>11377</v>
      </c>
      <c r="X12" s="51" t="n">
        <v>11489</v>
      </c>
      <c r="Y12" s="52" t="n">
        <f>IF(COUNT(L12)=1,L12,"")</f>
        <v>11618</v>
      </c>
      <c r="Z12" s="51" t="n">
        <v>12426</v>
      </c>
      <c r="AA12" s="51" t="n">
        <v>12492</v>
      </c>
    </row>
    <row r="13" ht="22" customHeight="1">
      <c r="A13" s="49" t="str">
        <v>Assets held for sale</v>
      </c>
      <c r="B13" s="3"/>
      <c r="C13" s="51" t="n">
        <v>5210</v>
      </c>
      <c r="D13" s="51" t="n">
        <v>0</v>
      </c>
      <c r="E13" s="51"/>
      <c r="F13" s="51"/>
      <c r="G13" s="51" t="n">
        <v>5400</v>
      </c>
      <c r="H13" s="51" t="n">
        <v>6942</v>
      </c>
      <c r="I13" s="51" t="n">
        <v>45</v>
      </c>
      <c r="J13" s="51"/>
      <c r="K13" s="51"/>
      <c r="L13" s="51"/>
      <c r="M13" s="51"/>
      <c r="N13" s="51"/>
      <c r="O13" s="51"/>
      <c r="P13" s="51"/>
      <c r="Q13" s="52" t="str">
        <f>IF(COUNT(J13)=1,J13,"")</f>
      </c>
      <c r="R13" s="51"/>
      <c r="S13" s="51"/>
      <c r="T13" s="51"/>
      <c r="U13" s="52" t="str">
        <f>IF(COUNT(K13)=1,K13,"")</f>
      </c>
      <c r="V13" s="51"/>
      <c r="W13" s="51"/>
      <c r="X13" s="51"/>
      <c r="Y13" s="52" t="str">
        <f>IF(COUNT(L13)=1,L13,"")</f>
      </c>
      <c r="Z13" s="51"/>
      <c r="AA13" s="51"/>
    </row>
    <row r="14" ht="22" customHeight="1">
      <c r="A14" s="49" t="str">
        <v>Other current assets</v>
      </c>
      <c r="B14" s="3"/>
      <c r="C14" s="51" t="n">
        <v>2956</v>
      </c>
      <c r="D14" s="51" t="n">
        <v>2908</v>
      </c>
      <c r="E14" s="51" t="n">
        <v>3162</v>
      </c>
      <c r="F14" s="51" t="n">
        <v>1713</v>
      </c>
      <c r="G14" s="51" t="n">
        <v>2745</v>
      </c>
      <c r="H14" s="51" t="n">
        <v>2130</v>
      </c>
      <c r="I14" s="51" t="n">
        <v>4667</v>
      </c>
      <c r="J14" s="51" t="n">
        <v>3706</v>
      </c>
      <c r="K14" s="51" t="n">
        <v>9586</v>
      </c>
      <c r="L14" s="51" t="n">
        <v>10815</v>
      </c>
      <c r="M14" s="51"/>
      <c r="N14" s="51"/>
      <c r="O14" s="51"/>
      <c r="P14" s="51" t="n">
        <v>4472</v>
      </c>
      <c r="Q14" s="52" t="n">
        <f>IF(COUNT(J14)=1,J14,"")</f>
        <v>3706</v>
      </c>
      <c r="R14" s="51" t="n">
        <v>6480</v>
      </c>
      <c r="S14" s="51" t="n">
        <v>7181</v>
      </c>
      <c r="T14" s="51" t="n">
        <v>6868</v>
      </c>
      <c r="U14" s="52" t="n">
        <f>IF(COUNT(K14)=1,K14,"")</f>
        <v>9586</v>
      </c>
      <c r="V14" s="51" t="n">
        <v>5741</v>
      </c>
      <c r="W14" s="51" t="n">
        <v>8432</v>
      </c>
      <c r="X14" s="51" t="n">
        <v>6105</v>
      </c>
      <c r="Y14" s="52" t="n">
        <f>IF(COUNT(L14)=1,L14,"")</f>
        <v>10815</v>
      </c>
      <c r="Z14" s="51" t="n">
        <v>12876</v>
      </c>
      <c r="AA14" s="51" t="n">
        <v>10961</v>
      </c>
    </row>
    <row r="15" ht="24" customHeight="1">
      <c r="A15" s="34" t="str">
        <v>Total current assets</v>
      </c>
      <c r="B15" s="35"/>
      <c r="C15" s="36" t="n">
        <v>35508</v>
      </c>
      <c r="D15" s="36" t="n">
        <v>29500</v>
      </c>
      <c r="E15" s="36" t="n">
        <v>28787</v>
      </c>
      <c r="F15" s="36" t="n">
        <v>31239</v>
      </c>
      <c r="G15" s="36" t="n">
        <v>47249</v>
      </c>
      <c r="H15" s="36" t="n">
        <v>57718</v>
      </c>
      <c r="I15" s="36" t="n">
        <v>50407</v>
      </c>
      <c r="J15" s="36" t="n">
        <v>43269</v>
      </c>
      <c r="K15" s="36" t="n">
        <v>47324</v>
      </c>
      <c r="L15" s="36" t="n">
        <v>63688</v>
      </c>
      <c r="M15" s="36"/>
      <c r="N15" s="36"/>
      <c r="O15" s="36"/>
      <c r="P15" s="36" t="n">
        <v>43811</v>
      </c>
      <c r="Q15" s="37" t="n">
        <f>IF(COUNT(J15)=1,J15,"")</f>
        <v>43269</v>
      </c>
      <c r="R15" s="36" t="n">
        <v>42608</v>
      </c>
      <c r="S15" s="36" t="n">
        <v>50829</v>
      </c>
      <c r="T15" s="36" t="n">
        <v>46137</v>
      </c>
      <c r="U15" s="37" t="n">
        <f>IF(COUNT(K15)=1,K15,"")</f>
        <v>47324</v>
      </c>
      <c r="V15" s="36" t="n">
        <v>42134</v>
      </c>
      <c r="W15" s="36" t="n">
        <v>43375</v>
      </c>
      <c r="X15" s="36" t="n">
        <v>51731</v>
      </c>
      <c r="Y15" s="37" t="n">
        <f>IF(COUNT(L15)=1,L15,"")</f>
        <v>63688</v>
      </c>
      <c r="Z15" s="36" t="n">
        <v>62157</v>
      </c>
      <c r="AA15" s="36" t="n">
        <v>57213</v>
      </c>
    </row>
    <row r="16" ht="8"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22" customHeight="1">
      <c r="A17" s="21" t="str">
        <v>Non-current assets</v>
      </c>
      <c r="B17" s="21" t="str">
        <v>Non-current assets</v>
      </c>
      <c r="C17" s="21" t="str">
        <v>Non-current assets</v>
      </c>
      <c r="D17" s="21" t="str">
        <v>Non-current assets</v>
      </c>
      <c r="E17" s="21" t="str">
        <v>Non-current assets</v>
      </c>
      <c r="F17" s="21" t="str">
        <v>Non-current assets</v>
      </c>
      <c r="G17" s="21" t="str">
        <v>Non-current assets</v>
      </c>
      <c r="H17" s="21" t="str">
        <v>Non-current assets</v>
      </c>
      <c r="I17" s="21" t="str">
        <v>Non-current assets</v>
      </c>
      <c r="J17" s="21" t="str">
        <v>Non-current assets</v>
      </c>
      <c r="K17" s="21" t="str">
        <v>Non-current assets</v>
      </c>
      <c r="L17" s="21" t="str">
        <v>Non-current assets</v>
      </c>
      <c r="M17" s="21" t="str">
        <v>Non-current assets</v>
      </c>
      <c r="N17" s="21" t="str">
        <v>Non-current assets</v>
      </c>
      <c r="O17" s="21" t="str">
        <v>Non-current assets</v>
      </c>
      <c r="P17" s="21" t="str">
        <v>Non-current assets</v>
      </c>
      <c r="Q17" s="21" t="str">
        <v>Non-current assets</v>
      </c>
      <c r="R17" s="21" t="str">
        <v>Non-current assets</v>
      </c>
      <c r="S17" s="21" t="str">
        <v>Non-current assets</v>
      </c>
      <c r="T17" s="21" t="str">
        <v>Non-current assets</v>
      </c>
      <c r="U17" s="21" t="str">
        <v>Non-current assets</v>
      </c>
      <c r="V17" s="21" t="str">
        <v>Non-current assets</v>
      </c>
      <c r="W17" s="21" t="str">
        <v>Non-current assets</v>
      </c>
      <c r="X17" s="21" t="str">
        <v>Non-current assets</v>
      </c>
      <c r="Y17" s="21" t="str">
        <v>Non-current assets</v>
      </c>
      <c r="Z17" s="21" t="str">
        <v>Non-current assets</v>
      </c>
      <c r="AA17" s="21" t="str">
        <v>Non-current assets</v>
      </c>
    </row>
    <row r="18" ht="22" customHeight="1">
      <c r="A18" s="49" t="str">
        <v>Property, plant and equipment, net</v>
      </c>
      <c r="B18" s="3"/>
      <c r="C18" s="51" t="n">
        <v>36171</v>
      </c>
      <c r="D18" s="51" t="n">
        <v>41109</v>
      </c>
      <c r="E18" s="51" t="n">
        <v>48976</v>
      </c>
      <c r="F18" s="51" t="n">
        <v>55386</v>
      </c>
      <c r="G18" s="51" t="n">
        <v>56584</v>
      </c>
      <c r="H18" s="51" t="n">
        <v>63245</v>
      </c>
      <c r="I18" s="51" t="n">
        <v>80860</v>
      </c>
      <c r="J18" s="51" t="n">
        <v>96647</v>
      </c>
      <c r="K18" s="51" t="n">
        <v>107919</v>
      </c>
      <c r="L18" s="51" t="n">
        <v>105414</v>
      </c>
      <c r="M18" s="51"/>
      <c r="N18" s="51"/>
      <c r="O18" s="51"/>
      <c r="P18" s="51" t="n">
        <v>93352</v>
      </c>
      <c r="Q18" s="52" t="n">
        <f>IF(COUNT(J18)=1,J18,"")</f>
        <v>96647</v>
      </c>
      <c r="R18" s="51" t="n">
        <v>99924</v>
      </c>
      <c r="S18" s="51" t="n">
        <v>103398</v>
      </c>
      <c r="T18" s="51" t="n">
        <v>104248</v>
      </c>
      <c r="U18" s="52" t="n">
        <f>IF(COUNT(K18)=1,K18,"")</f>
        <v>107919</v>
      </c>
      <c r="V18" s="51" t="n">
        <v>109763</v>
      </c>
      <c r="W18" s="51" t="n">
        <v>109510</v>
      </c>
      <c r="X18" s="51" t="n">
        <v>105047</v>
      </c>
      <c r="Y18" s="52" t="n">
        <f>IF(COUNT(L18)=1,L18,"")</f>
        <v>105414</v>
      </c>
      <c r="Z18" s="51" t="n">
        <v>104458</v>
      </c>
      <c r="AA18" s="51" t="n">
        <v>105741</v>
      </c>
    </row>
    <row r="19" ht="22" customHeight="1">
      <c r="A19" s="49" t="str">
        <v>Marketable equity securities</v>
      </c>
      <c r="B19" s="3"/>
      <c r="C19" s="51" t="n">
        <v>6180</v>
      </c>
      <c r="D19" s="51" t="n">
        <v>4192</v>
      </c>
      <c r="E19" s="51"/>
      <c r="F19" s="51"/>
      <c r="G19" s="51"/>
      <c r="H19" s="51"/>
      <c r="I19" s="51"/>
      <c r="J19" s="51"/>
      <c r="K19" s="51"/>
      <c r="L19" s="51"/>
      <c r="M19" s="51"/>
      <c r="N19" s="51"/>
      <c r="O19" s="51"/>
      <c r="P19" s="51"/>
      <c r="Q19" s="52" t="str">
        <f>IF(COUNT(J19)=1,J19,"")</f>
      </c>
      <c r="R19" s="51"/>
      <c r="S19" s="51"/>
      <c r="T19" s="51"/>
      <c r="U19" s="52" t="str">
        <f>IF(COUNT(K19)=1,K19,"")</f>
      </c>
      <c r="V19" s="51"/>
      <c r="W19" s="51"/>
      <c r="X19" s="51"/>
      <c r="Y19" s="52" t="str">
        <f>IF(COUNT(L19)=1,L19,"")</f>
      </c>
      <c r="Z19" s="51"/>
      <c r="AA19" s="51"/>
    </row>
    <row r="20" ht="22" customHeight="1">
      <c r="A20" s="49" t="str">
        <v>Equity investments</v>
      </c>
      <c r="B20" s="3"/>
      <c r="C20" s="51"/>
      <c r="D20" s="51"/>
      <c r="E20" s="51" t="n">
        <v>6042</v>
      </c>
      <c r="F20" s="51" t="n">
        <v>3967</v>
      </c>
      <c r="G20" s="51" t="n">
        <v>5152</v>
      </c>
      <c r="H20" s="51" t="n">
        <v>6298</v>
      </c>
      <c r="I20" s="51" t="n">
        <v>5912</v>
      </c>
      <c r="J20" s="51" t="n">
        <v>5829</v>
      </c>
      <c r="K20" s="51" t="n">
        <v>5383</v>
      </c>
      <c r="L20" s="51" t="n">
        <v>8512</v>
      </c>
      <c r="M20" s="51"/>
      <c r="N20" s="51"/>
      <c r="O20" s="51"/>
      <c r="P20" s="51" t="n">
        <v>5700</v>
      </c>
      <c r="Q20" s="52" t="n">
        <f>IF(COUNT(J20)=1,J20,"")</f>
        <v>5829</v>
      </c>
      <c r="R20" s="51" t="n">
        <v>6139</v>
      </c>
      <c r="S20" s="51" t="n">
        <v>5824</v>
      </c>
      <c r="T20" s="51" t="n">
        <v>5496</v>
      </c>
      <c r="U20" s="52" t="n">
        <f>IF(COUNT(K20)=1,K20,"")</f>
        <v>5383</v>
      </c>
      <c r="V20" s="51" t="n">
        <v>5027</v>
      </c>
      <c r="W20" s="51" t="n">
        <v>5383</v>
      </c>
      <c r="X20" s="51" t="n">
        <v>8667</v>
      </c>
      <c r="Y20" s="52" t="n">
        <f>IF(COUNT(L20)=1,L20,"")</f>
        <v>8512</v>
      </c>
      <c r="Z20" s="51" t="n">
        <v>8481</v>
      </c>
      <c r="AA20" s="51" t="n">
        <v>8410</v>
      </c>
    </row>
    <row r="21" ht="22" customHeight="1">
      <c r="A21" s="49" t="str">
        <v>Other long-term investments</v>
      </c>
      <c r="B21" s="3"/>
      <c r="C21" s="51" t="n">
        <v>4716</v>
      </c>
      <c r="D21" s="51" t="n">
        <v>3712</v>
      </c>
      <c r="E21" s="51" t="n">
        <v>3388</v>
      </c>
      <c r="F21" s="51" t="n">
        <v>3276</v>
      </c>
      <c r="G21" s="51" t="n">
        <v>2192</v>
      </c>
      <c r="H21" s="51" t="n">
        <v>840</v>
      </c>
      <c r="I21" s="51"/>
      <c r="J21" s="51"/>
      <c r="K21" s="51"/>
      <c r="L21" s="51"/>
      <c r="M21" s="51"/>
      <c r="N21" s="51"/>
      <c r="O21" s="51"/>
      <c r="P21" s="51"/>
      <c r="Q21" s="52" t="str">
        <f>IF(COUNT(J21)=1,J21,"")</f>
      </c>
      <c r="R21" s="51"/>
      <c r="S21" s="51"/>
      <c r="T21" s="51"/>
      <c r="U21" s="52" t="str">
        <f>IF(COUNT(K21)=1,K21,"")</f>
      </c>
      <c r="V21" s="51"/>
      <c r="W21" s="51"/>
      <c r="X21" s="51"/>
      <c r="Y21" s="52" t="str">
        <f>IF(COUNT(L21)=1,L21,"")</f>
      </c>
      <c r="Z21" s="51"/>
      <c r="AA21" s="51"/>
    </row>
    <row r="22" ht="22" customHeight="1">
      <c r="A22" s="49" t="str">
        <v>Goodwill</v>
      </c>
      <c r="B22" s="3"/>
      <c r="C22" s="51" t="n">
        <v>14099</v>
      </c>
      <c r="D22" s="51" t="n">
        <v>24389</v>
      </c>
      <c r="E22" s="51" t="n">
        <v>24513</v>
      </c>
      <c r="F22" s="51" t="n">
        <v>26276</v>
      </c>
      <c r="G22" s="51" t="n">
        <v>26971</v>
      </c>
      <c r="H22" s="51" t="n">
        <v>26963</v>
      </c>
      <c r="I22" s="51" t="n">
        <v>27591</v>
      </c>
      <c r="J22" s="51" t="n">
        <v>27591</v>
      </c>
      <c r="K22" s="51" t="n">
        <v>24693</v>
      </c>
      <c r="L22" s="51" t="n">
        <v>23912</v>
      </c>
      <c r="M22" s="51"/>
      <c r="N22" s="51"/>
      <c r="O22" s="51"/>
      <c r="P22" s="51" t="n">
        <v>27591</v>
      </c>
      <c r="Q22" s="52" t="n">
        <f>IF(COUNT(J22)=1,J22,"")</f>
        <v>27591</v>
      </c>
      <c r="R22" s="51" t="n">
        <v>27440</v>
      </c>
      <c r="S22" s="51" t="n">
        <v>27442</v>
      </c>
      <c r="T22" s="51" t="n">
        <v>24680</v>
      </c>
      <c r="U22" s="52" t="n">
        <f>IF(COUNT(K22)=1,K22,"")</f>
        <v>24693</v>
      </c>
      <c r="V22" s="51" t="n">
        <v>24693</v>
      </c>
      <c r="W22" s="51" t="n">
        <v>23912</v>
      </c>
      <c r="X22" s="51" t="n">
        <v>23912</v>
      </c>
      <c r="Y22" s="52" t="n">
        <f>IF(COUNT(L22)=1,L22,"")</f>
        <v>23912</v>
      </c>
      <c r="Z22" s="51" t="n">
        <v>20465</v>
      </c>
      <c r="AA22" s="51" t="n">
        <v>20465</v>
      </c>
    </row>
    <row r="23" ht="22" customHeight="1">
      <c r="A23" s="49" t="str">
        <v>Identified intangible assets, net</v>
      </c>
      <c r="B23" s="3"/>
      <c r="C23" s="51" t="n">
        <v>9494</v>
      </c>
      <c r="D23" s="51" t="n">
        <v>12745</v>
      </c>
      <c r="E23" s="51" t="n">
        <v>11836</v>
      </c>
      <c r="F23" s="51" t="n">
        <v>10827</v>
      </c>
      <c r="G23" s="51" t="n">
        <v>9026</v>
      </c>
      <c r="H23" s="51" t="n">
        <v>7270</v>
      </c>
      <c r="I23" s="51" t="n">
        <v>6018</v>
      </c>
      <c r="J23" s="51" t="n">
        <v>4589</v>
      </c>
      <c r="K23" s="51" t="n">
        <v>3691</v>
      </c>
      <c r="L23" s="51" t="n">
        <v>2772</v>
      </c>
      <c r="M23" s="51"/>
      <c r="N23" s="51"/>
      <c r="O23" s="51"/>
      <c r="P23" s="51" t="n">
        <v>4970</v>
      </c>
      <c r="Q23" s="52" t="n">
        <f>IF(COUNT(J23)=1,J23,"")</f>
        <v>4589</v>
      </c>
      <c r="R23" s="51" t="n">
        <v>4675</v>
      </c>
      <c r="S23" s="51" t="n">
        <v>4383</v>
      </c>
      <c r="T23" s="51" t="n">
        <v>3975</v>
      </c>
      <c r="U23" s="52" t="n">
        <f>IF(COUNT(K23)=1,K23,"")</f>
        <v>3691</v>
      </c>
      <c r="V23" s="51" t="n">
        <v>3568</v>
      </c>
      <c r="W23" s="51" t="n">
        <v>3057</v>
      </c>
      <c r="X23" s="51" t="n">
        <v>2877</v>
      </c>
      <c r="Y23" s="52" t="n">
        <f>IF(COUNT(L23)=1,L23,"")</f>
        <v>2772</v>
      </c>
      <c r="Z23" s="51" t="n">
        <v>2722</v>
      </c>
      <c r="AA23" s="51" t="n">
        <v>2545</v>
      </c>
    </row>
    <row r="24" ht="22" customHeight="1">
      <c r="A24" s="49" t="str">
        <v>Other long-term assets</v>
      </c>
      <c r="B24" s="3"/>
      <c r="C24" s="51" t="n">
        <v>7159</v>
      </c>
      <c r="D24" s="51" t="n">
        <v>7602</v>
      </c>
      <c r="E24" s="51" t="n">
        <v>4421</v>
      </c>
      <c r="F24" s="51" t="n">
        <v>5553</v>
      </c>
      <c r="G24" s="51" t="n">
        <v>5917</v>
      </c>
      <c r="H24" s="51" t="n">
        <v>6072</v>
      </c>
      <c r="I24" s="51" t="n">
        <v>11315</v>
      </c>
      <c r="J24" s="51" t="n">
        <v>13647</v>
      </c>
      <c r="K24" s="51" t="n">
        <v>7475</v>
      </c>
      <c r="L24" s="51" t="n">
        <v>7131</v>
      </c>
      <c r="M24" s="51"/>
      <c r="N24" s="51"/>
      <c r="O24" s="51"/>
      <c r="P24" s="51" t="n">
        <v>13413</v>
      </c>
      <c r="Q24" s="52" t="n">
        <f>IF(COUNT(J24)=1,J24,"")</f>
        <v>13647</v>
      </c>
      <c r="R24" s="51" t="n">
        <v>11947</v>
      </c>
      <c r="S24" s="51" t="n">
        <v>14329</v>
      </c>
      <c r="T24" s="51" t="n">
        <v>9006</v>
      </c>
      <c r="U24" s="52" t="n">
        <f>IF(COUNT(K24)=1,K24,"")</f>
        <v>7475</v>
      </c>
      <c r="V24" s="51" t="n">
        <v>7057</v>
      </c>
      <c r="W24" s="51" t="n">
        <v>7283</v>
      </c>
      <c r="X24" s="51" t="n">
        <v>12280</v>
      </c>
      <c r="Y24" s="52" t="n">
        <f>IF(COUNT(L24)=1,L24,"")</f>
        <v>7131</v>
      </c>
      <c r="Z24" s="51" t="n">
        <v>7049</v>
      </c>
      <c r="AA24" s="51" t="n">
        <v>8065</v>
      </c>
    </row>
    <row r="25" ht="24" customHeight="1">
      <c r="A25" s="34" t="str">
        <v>Total assets</v>
      </c>
      <c r="B25" s="35"/>
      <c r="C25" s="36" t="n">
        <v>113327</v>
      </c>
      <c r="D25" s="36" t="n">
        <v>123249</v>
      </c>
      <c r="E25" s="36" t="n">
        <v>127963</v>
      </c>
      <c r="F25" s="36" t="n">
        <v>136524</v>
      </c>
      <c r="G25" s="36" t="n">
        <v>153091</v>
      </c>
      <c r="H25" s="36" t="n">
        <v>168406</v>
      </c>
      <c r="I25" s="36" t="n">
        <v>182103</v>
      </c>
      <c r="J25" s="36" t="n">
        <v>191572</v>
      </c>
      <c r="K25" s="36" t="n">
        <v>196485</v>
      </c>
      <c r="L25" s="36" t="n">
        <v>211429</v>
      </c>
      <c r="M25" s="36"/>
      <c r="N25" s="36"/>
      <c r="O25" s="36"/>
      <c r="P25" s="36" t="n">
        <v>188837</v>
      </c>
      <c r="Q25" s="37" t="n">
        <f>IF(COUNT(J25)=1,J25,"")</f>
        <v>191572</v>
      </c>
      <c r="R25" s="36" t="n">
        <v>192733</v>
      </c>
      <c r="S25" s="36" t="n">
        <v>206205</v>
      </c>
      <c r="T25" s="36" t="n">
        <v>193542</v>
      </c>
      <c r="U25" s="37" t="n">
        <f>IF(COUNT(K25)=1,K25,"")</f>
        <v>196485</v>
      </c>
      <c r="V25" s="36" t="n">
        <v>192242</v>
      </c>
      <c r="W25" s="36" t="n">
        <v>192520</v>
      </c>
      <c r="X25" s="36" t="n">
        <v>204514</v>
      </c>
      <c r="Y25" s="37" t="n">
        <f>IF(COUNT(L25)=1,L25,"")</f>
        <v>211429</v>
      </c>
      <c r="Z25" s="36" t="n">
        <v>205332</v>
      </c>
      <c r="AA25" s="36" t="n">
        <v>202439</v>
      </c>
    </row>
    <row r="26" ht="8"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22" customHeight="1">
      <c r="A27" s="21" t="str">
        <v>Liabilities and temporary equity</v>
      </c>
      <c r="B27" s="21" t="str">
        <v>Liabilities and temporary equity</v>
      </c>
      <c r="C27" s="21" t="str">
        <v>Liabilities and temporary equity</v>
      </c>
      <c r="D27" s="21" t="str">
        <v>Liabilities and temporary equity</v>
      </c>
      <c r="E27" s="21" t="str">
        <v>Liabilities and temporary equity</v>
      </c>
      <c r="F27" s="21" t="str">
        <v>Liabilities and temporary equity</v>
      </c>
      <c r="G27" s="21" t="str">
        <v>Liabilities and temporary equity</v>
      </c>
      <c r="H27" s="21" t="str">
        <v>Liabilities and temporary equity</v>
      </c>
      <c r="I27" s="21" t="str">
        <v>Liabilities and temporary equity</v>
      </c>
      <c r="J27" s="21" t="str">
        <v>Liabilities and temporary equity</v>
      </c>
      <c r="K27" s="21" t="str">
        <v>Liabilities and temporary equity</v>
      </c>
      <c r="L27" s="21" t="str">
        <v>Liabilities and temporary equity</v>
      </c>
      <c r="M27" s="21" t="str">
        <v>Liabilities and temporary equity</v>
      </c>
      <c r="N27" s="21" t="str">
        <v>Liabilities and temporary equity</v>
      </c>
      <c r="O27" s="21" t="str">
        <v>Liabilities and temporary equity</v>
      </c>
      <c r="P27" s="21" t="str">
        <v>Liabilities and temporary equity</v>
      </c>
      <c r="Q27" s="21" t="str">
        <v>Liabilities and temporary equity</v>
      </c>
      <c r="R27" s="21" t="str">
        <v>Liabilities and temporary equity</v>
      </c>
      <c r="S27" s="21" t="str">
        <v>Liabilities and temporary equity</v>
      </c>
      <c r="T27" s="21" t="str">
        <v>Liabilities and temporary equity</v>
      </c>
      <c r="U27" s="21" t="str">
        <v>Liabilities and temporary equity</v>
      </c>
      <c r="V27" s="21" t="str">
        <v>Liabilities and temporary equity</v>
      </c>
      <c r="W27" s="21" t="str">
        <v>Liabilities and temporary equity</v>
      </c>
      <c r="X27" s="21" t="str">
        <v>Liabilities and temporary equity</v>
      </c>
      <c r="Y27" s="21" t="str">
        <v>Liabilities and temporary equity</v>
      </c>
      <c r="Z27" s="21" t="str">
        <v>Liabilities and temporary equity</v>
      </c>
      <c r="AA27" s="21" t="str">
        <v>Liabilities and temporary equity</v>
      </c>
    </row>
    <row r="28" ht="22" customHeight="1">
      <c r="A28" s="49" t="str">
        <v>Accounts payable</v>
      </c>
      <c r="B28" s="3"/>
      <c r="C28" s="51" t="n">
        <v>2475</v>
      </c>
      <c r="D28" s="51" t="n">
        <v>2928</v>
      </c>
      <c r="E28" s="51" t="n">
        <v>3824</v>
      </c>
      <c r="F28" s="51" t="n">
        <v>4128</v>
      </c>
      <c r="G28" s="51" t="n">
        <v>5581</v>
      </c>
      <c r="H28" s="51" t="n">
        <v>5747</v>
      </c>
      <c r="I28" s="51" t="n">
        <v>9595</v>
      </c>
      <c r="J28" s="51" t="n">
        <v>8578</v>
      </c>
      <c r="K28" s="51" t="n">
        <v>12556</v>
      </c>
      <c r="L28" s="51" t="n">
        <v>9882</v>
      </c>
      <c r="M28" s="51"/>
      <c r="N28" s="51"/>
      <c r="O28" s="51"/>
      <c r="P28" s="51" t="n">
        <v>8669</v>
      </c>
      <c r="Q28" s="52" t="n">
        <f>IF(COUNT(J28)=1,J28,"")</f>
        <v>8578</v>
      </c>
      <c r="R28" s="51" t="n">
        <v>8559</v>
      </c>
      <c r="S28" s="51" t="n">
        <v>9618</v>
      </c>
      <c r="T28" s="51" t="n">
        <v>11074</v>
      </c>
      <c r="U28" s="52" t="n">
        <f>IF(COUNT(K28)=1,K28,"")</f>
        <v>12556</v>
      </c>
      <c r="V28" s="51" t="n">
        <v>10896</v>
      </c>
      <c r="W28" s="51" t="n">
        <v>10666</v>
      </c>
      <c r="X28" s="51" t="n">
        <v>10268</v>
      </c>
      <c r="Y28" s="52" t="n">
        <f>IF(COUNT(L28)=1,L28,"")</f>
        <v>9882</v>
      </c>
      <c r="Z28" s="51" t="n">
        <v>7159</v>
      </c>
      <c r="AA28" s="51" t="n">
        <v>8756</v>
      </c>
    </row>
    <row r="29" ht="22" customHeight="1">
      <c r="A29" s="49" t="str">
        <v>Accrued compensation and benefits</v>
      </c>
      <c r="B29" s="3"/>
      <c r="C29" s="51" t="n">
        <v>3465</v>
      </c>
      <c r="D29" s="51" t="n">
        <v>3526</v>
      </c>
      <c r="E29" s="51" t="n">
        <v>3622</v>
      </c>
      <c r="F29" s="51" t="n">
        <v>3853</v>
      </c>
      <c r="G29" s="51" t="n">
        <v>3999</v>
      </c>
      <c r="H29" s="51" t="n">
        <v>4535</v>
      </c>
      <c r="I29" s="51" t="n">
        <v>4084</v>
      </c>
      <c r="J29" s="51" t="n">
        <v>3655</v>
      </c>
      <c r="K29" s="51" t="n">
        <v>3343</v>
      </c>
      <c r="L29" s="51" t="n">
        <v>3990</v>
      </c>
      <c r="M29" s="51"/>
      <c r="N29" s="51"/>
      <c r="O29" s="51"/>
      <c r="P29" s="51" t="n">
        <v>3115</v>
      </c>
      <c r="Q29" s="52" t="n">
        <f>IF(COUNT(J29)=1,J29,"")</f>
        <v>3655</v>
      </c>
      <c r="R29" s="51" t="n">
        <v>2506</v>
      </c>
      <c r="S29" s="51" t="n">
        <v>2651</v>
      </c>
      <c r="T29" s="51" t="n">
        <v>5015</v>
      </c>
      <c r="U29" s="52" t="n">
        <f>IF(COUNT(K29)=1,K29,"")</f>
        <v>3343</v>
      </c>
      <c r="V29" s="51" t="n">
        <v>2652</v>
      </c>
      <c r="W29" s="51" t="n">
        <v>4249</v>
      </c>
      <c r="X29" s="51" t="n">
        <v>3756</v>
      </c>
      <c r="Y29" s="52" t="n">
        <f>IF(COUNT(L29)=1,L29,"")</f>
        <v>3990</v>
      </c>
      <c r="Z29" s="51" t="n">
        <v>2824</v>
      </c>
      <c r="AA29" s="51" t="n">
        <v>3748</v>
      </c>
    </row>
    <row r="30" ht="22" customHeight="1">
      <c r="A30" s="49" t="str">
        <v>Accrued advertising</v>
      </c>
      <c r="B30" s="3"/>
      <c r="C30" s="51" t="n">
        <v>810</v>
      </c>
      <c r="D30" s="51"/>
      <c r="E30" s="51"/>
      <c r="F30" s="51"/>
      <c r="G30" s="51"/>
      <c r="H30" s="51"/>
      <c r="I30" s="51"/>
      <c r="J30" s="51"/>
      <c r="K30" s="51"/>
      <c r="L30" s="51"/>
      <c r="M30" s="51"/>
      <c r="N30" s="51"/>
      <c r="O30" s="51"/>
      <c r="P30" s="51"/>
      <c r="Q30" s="52" t="str">
        <f>IF(COUNT(J30)=1,J30,"")</f>
      </c>
      <c r="R30" s="51"/>
      <c r="S30" s="51"/>
      <c r="T30" s="51"/>
      <c r="U30" s="52" t="str">
        <f>IF(COUNT(K30)=1,K30,"")</f>
      </c>
      <c r="V30" s="51"/>
      <c r="W30" s="51"/>
      <c r="X30" s="51"/>
      <c r="Y30" s="52" t="str">
        <f>IF(COUNT(L30)=1,L30,"")</f>
      </c>
      <c r="Z30" s="51"/>
      <c r="AA30" s="51"/>
    </row>
    <row r="31" ht="22" customHeight="1">
      <c r="A31" s="49" t="str">
        <v>Deferred income</v>
      </c>
      <c r="B31" s="3"/>
      <c r="C31" s="51" t="n">
        <v>1718</v>
      </c>
      <c r="D31" s="51" t="n">
        <v>1656</v>
      </c>
      <c r="E31" s="51" t="n">
        <v>0</v>
      </c>
      <c r="F31" s="51"/>
      <c r="G31" s="51"/>
      <c r="H31" s="51"/>
      <c r="I31" s="51"/>
      <c r="J31" s="51"/>
      <c r="K31" s="51"/>
      <c r="L31" s="51"/>
      <c r="M31" s="51"/>
      <c r="N31" s="51"/>
      <c r="O31" s="51"/>
      <c r="P31" s="51"/>
      <c r="Q31" s="52" t="str">
        <f>IF(COUNT(J31)=1,J31,"")</f>
      </c>
      <c r="R31" s="51"/>
      <c r="S31" s="51"/>
      <c r="T31" s="51"/>
      <c r="U31" s="52" t="str">
        <f>IF(COUNT(K31)=1,K31,"")</f>
      </c>
      <c r="V31" s="51"/>
      <c r="W31" s="51"/>
      <c r="X31" s="51"/>
      <c r="Y31" s="52" t="str">
        <f>IF(COUNT(L31)=1,L31,"")</f>
      </c>
      <c r="Z31" s="51"/>
      <c r="AA31" s="51"/>
    </row>
    <row r="32" ht="22" customHeight="1">
      <c r="A32" s="49" t="str">
        <v>Liabilities held for sale</v>
      </c>
      <c r="B32" s="3"/>
      <c r="C32" s="51" t="n">
        <v>1920</v>
      </c>
      <c r="D32" s="51" t="n">
        <v>0</v>
      </c>
      <c r="E32" s="51"/>
      <c r="F32" s="51"/>
      <c r="G32" s="51"/>
      <c r="H32" s="51"/>
      <c r="I32" s="51"/>
      <c r="J32" s="51"/>
      <c r="K32" s="51"/>
      <c r="L32" s="51"/>
      <c r="M32" s="51"/>
      <c r="N32" s="51"/>
      <c r="O32" s="51"/>
      <c r="P32" s="51"/>
      <c r="Q32" s="52" t="str">
        <f>IF(COUNT(J32)=1,J32,"")</f>
      </c>
      <c r="R32" s="51"/>
      <c r="S32" s="51"/>
      <c r="T32" s="51"/>
      <c r="U32" s="52" t="str">
        <f>IF(COUNT(K32)=1,K32,"")</f>
      </c>
      <c r="V32" s="51"/>
      <c r="W32" s="51"/>
      <c r="X32" s="51"/>
      <c r="Y32" s="52" t="str">
        <f>IF(COUNT(L32)=1,L32,"")</f>
      </c>
      <c r="Z32" s="51"/>
      <c r="AA32" s="51"/>
    </row>
    <row r="33" ht="22" customHeight="1">
      <c r="A33" s="49" t="str">
        <v>Short-term debt</v>
      </c>
      <c r="B33" s="3"/>
      <c r="C33" s="51" t="n">
        <v>4634</v>
      </c>
      <c r="D33" s="51" t="n">
        <v>1776</v>
      </c>
      <c r="E33" s="51" t="n">
        <v>1261</v>
      </c>
      <c r="F33" s="51" t="n">
        <v>3693</v>
      </c>
      <c r="G33" s="51" t="n">
        <v>2504</v>
      </c>
      <c r="H33" s="51" t="n">
        <v>4591</v>
      </c>
      <c r="I33" s="51" t="n">
        <v>4367</v>
      </c>
      <c r="J33" s="51" t="n">
        <v>2288</v>
      </c>
      <c r="K33" s="51" t="n">
        <v>3729</v>
      </c>
      <c r="L33" s="51" t="n">
        <v>2499</v>
      </c>
      <c r="M33" s="51"/>
      <c r="N33" s="51"/>
      <c r="O33" s="51"/>
      <c r="P33" s="51" t="n">
        <v>2288</v>
      </c>
      <c r="Q33" s="52" t="n">
        <f>IF(COUNT(J33)=1,J33,"")</f>
        <v>2288</v>
      </c>
      <c r="R33" s="51" t="n">
        <v>4581</v>
      </c>
      <c r="S33" s="51" t="n">
        <v>4695</v>
      </c>
      <c r="T33" s="51" t="n">
        <v>3765</v>
      </c>
      <c r="U33" s="52" t="n">
        <f>IF(COUNT(K33)=1,K33,"")</f>
        <v>3729</v>
      </c>
      <c r="V33" s="51" t="n">
        <v>5240</v>
      </c>
      <c r="W33" s="51" t="n">
        <v>6731</v>
      </c>
      <c r="X33" s="51" t="n">
        <v>2496</v>
      </c>
      <c r="Y33" s="52" t="n">
        <f>IF(COUNT(L33)=1,L33,"")</f>
        <v>2499</v>
      </c>
      <c r="Z33" s="51" t="n">
        <v>2004</v>
      </c>
      <c r="AA33" s="51" t="n">
        <v>1988</v>
      </c>
    </row>
    <row r="34" ht="22" customHeight="1">
      <c r="A34" s="49" t="str">
        <v>Income taxes payable (current)</v>
      </c>
      <c r="B34" s="3"/>
      <c r="C34" s="51"/>
      <c r="D34" s="51"/>
      <c r="E34" s="51"/>
      <c r="F34" s="51"/>
      <c r="G34" s="51"/>
      <c r="H34" s="51"/>
      <c r="I34" s="51" t="n">
        <v>2251</v>
      </c>
      <c r="J34" s="51" t="n">
        <v>1107</v>
      </c>
      <c r="K34" s="51" t="n">
        <v>1756</v>
      </c>
      <c r="L34" s="51" t="n">
        <v>604</v>
      </c>
      <c r="M34" s="51"/>
      <c r="N34" s="51"/>
      <c r="O34" s="51"/>
      <c r="P34" s="51" t="n">
        <v>2112</v>
      </c>
      <c r="Q34" s="52" t="n">
        <f>IF(COUNT(J34)=1,J34,"")</f>
        <v>1107</v>
      </c>
      <c r="R34" s="51" t="n">
        <v>346</v>
      </c>
      <c r="S34" s="51" t="n">
        <v>1856</v>
      </c>
      <c r="T34" s="51" t="n">
        <v>2440</v>
      </c>
      <c r="U34" s="52" t="n">
        <f>IF(COUNT(K34)=1,K34,"")</f>
        <v>1756</v>
      </c>
      <c r="V34" s="51" t="n">
        <v>1873</v>
      </c>
      <c r="W34" s="51" t="n">
        <v>887</v>
      </c>
      <c r="X34" s="51" t="n">
        <v>825</v>
      </c>
      <c r="Y34" s="52" t="n">
        <f>IF(COUNT(L34)=1,L34,"")</f>
        <v>604</v>
      </c>
      <c r="Z34" s="51"/>
      <c r="AA34" s="51"/>
    </row>
    <row r="35" ht="22" customHeight="1">
      <c r="A35" s="49" t="str">
        <v>Other accrued liabilities</v>
      </c>
      <c r="B35" s="3"/>
      <c r="C35" s="51" t="n">
        <v>5280</v>
      </c>
      <c r="D35" s="51" t="n">
        <v>7535</v>
      </c>
      <c r="E35" s="51" t="n">
        <v>7919</v>
      </c>
      <c r="F35" s="51" t="n">
        <v>10636</v>
      </c>
      <c r="G35" s="51" t="n">
        <v>12670</v>
      </c>
      <c r="H35" s="51" t="n">
        <v>12589</v>
      </c>
      <c r="I35" s="51" t="n">
        <v>11858</v>
      </c>
      <c r="J35" s="51" t="n">
        <v>12425</v>
      </c>
      <c r="K35" s="51" t="n">
        <v>14282</v>
      </c>
      <c r="L35" s="51" t="n">
        <v>14600</v>
      </c>
      <c r="M35" s="51"/>
      <c r="N35" s="51"/>
      <c r="O35" s="51"/>
      <c r="P35" s="51" t="n">
        <v>12430</v>
      </c>
      <c r="Q35" s="52" t="n">
        <f>IF(COUNT(J35)=1,J35,"")</f>
        <v>12425</v>
      </c>
      <c r="R35" s="51" t="n">
        <v>11221</v>
      </c>
      <c r="S35" s="51" t="n">
        <v>13207</v>
      </c>
      <c r="T35" s="51" t="n">
        <v>12865</v>
      </c>
      <c r="U35" s="52" t="n">
        <f>IF(COUNT(K35)=1,K35,"")</f>
        <v>14282</v>
      </c>
      <c r="V35" s="51" t="n">
        <v>11513</v>
      </c>
      <c r="W35" s="51" t="n">
        <v>12433</v>
      </c>
      <c r="X35" s="51" t="n">
        <v>14952</v>
      </c>
      <c r="Y35" s="52" t="n">
        <f>IF(COUNT(L35)=1,L35,"")</f>
        <v>14600</v>
      </c>
      <c r="Z35" s="51" t="n">
        <v>14898</v>
      </c>
      <c r="AA35" s="51" t="n">
        <v>21178</v>
      </c>
    </row>
    <row r="36" ht="24" customHeight="1">
      <c r="A36" s="34" t="str">
        <v>Total current liabilities</v>
      </c>
      <c r="B36" s="35"/>
      <c r="C36" s="36" t="n">
        <v>20302</v>
      </c>
      <c r="D36" s="36" t="n">
        <v>17421</v>
      </c>
      <c r="E36" s="36" t="n">
        <v>16626</v>
      </c>
      <c r="F36" s="36" t="n">
        <v>22310</v>
      </c>
      <c r="G36" s="36" t="n">
        <v>24754</v>
      </c>
      <c r="H36" s="36" t="n">
        <v>27462</v>
      </c>
      <c r="I36" s="36" t="n">
        <v>32155</v>
      </c>
      <c r="J36" s="36" t="n">
        <v>28053</v>
      </c>
      <c r="K36" s="36" t="n">
        <v>35666</v>
      </c>
      <c r="L36" s="36" t="n">
        <v>31575</v>
      </c>
      <c r="M36" s="36"/>
      <c r="N36" s="36"/>
      <c r="O36" s="36"/>
      <c r="P36" s="36" t="n">
        <v>28614</v>
      </c>
      <c r="Q36" s="37" t="n">
        <f>IF(COUNT(J36)=1,J36,"")</f>
        <v>28053</v>
      </c>
      <c r="R36" s="36" t="n">
        <v>27213</v>
      </c>
      <c r="S36" s="36" t="n">
        <v>32027</v>
      </c>
      <c r="T36" s="36" t="n">
        <v>35159</v>
      </c>
      <c r="U36" s="37" t="n">
        <f>IF(COUNT(K36)=1,K36,"")</f>
        <v>35666</v>
      </c>
      <c r="V36" s="36" t="n">
        <v>32174</v>
      </c>
      <c r="W36" s="36" t="n">
        <v>34966</v>
      </c>
      <c r="X36" s="36" t="n">
        <v>32297</v>
      </c>
      <c r="Y36" s="37" t="n">
        <f>IF(COUNT(L36)=1,L36,"")</f>
        <v>31575</v>
      </c>
      <c r="Z36" s="36" t="n">
        <v>26885</v>
      </c>
      <c r="AA36" s="36" t="n">
        <v>35670</v>
      </c>
    </row>
    <row r="37" ht="36" customHeight="1">
      <c r="A37" s="49" t="str">
        <v>Debt (long-term; captioned 'Long-term debt' in FY2016-FY2017)</v>
      </c>
      <c r="B37" s="3"/>
      <c r="C37" s="51" t="n">
        <v>20649</v>
      </c>
      <c r="D37" s="51" t="n">
        <v>25037</v>
      </c>
      <c r="E37" s="51" t="n">
        <v>25098</v>
      </c>
      <c r="F37" s="51" t="n">
        <v>25308</v>
      </c>
      <c r="G37" s="51" t="n">
        <v>33897</v>
      </c>
      <c r="H37" s="51" t="n">
        <v>33510</v>
      </c>
      <c r="I37" s="51" t="n">
        <v>37684</v>
      </c>
      <c r="J37" s="51" t="n">
        <v>46978</v>
      </c>
      <c r="K37" s="51" t="n">
        <v>46282</v>
      </c>
      <c r="L37" s="51" t="n">
        <v>44086</v>
      </c>
      <c r="M37" s="51"/>
      <c r="N37" s="51"/>
      <c r="O37" s="51"/>
      <c r="P37" s="51" t="n">
        <v>46591</v>
      </c>
      <c r="Q37" s="52" t="n">
        <f>IF(COUNT(J37)=1,J37,"")</f>
        <v>46978</v>
      </c>
      <c r="R37" s="51" t="n">
        <v>47869</v>
      </c>
      <c r="S37" s="51" t="n">
        <v>48334</v>
      </c>
      <c r="T37" s="51" t="n">
        <v>46471</v>
      </c>
      <c r="U37" s="52" t="n">
        <f>IF(COUNT(K37)=1,K37,"")</f>
        <v>46282</v>
      </c>
      <c r="V37" s="51" t="n">
        <v>44911</v>
      </c>
      <c r="W37" s="51" t="n">
        <v>44026</v>
      </c>
      <c r="X37" s="51" t="n">
        <v>44057</v>
      </c>
      <c r="Y37" s="52" t="n">
        <f>IF(COUNT(L37)=1,L37,"")</f>
        <v>44086</v>
      </c>
      <c r="Z37" s="51" t="n">
        <v>43027</v>
      </c>
      <c r="AA37" s="51" t="n">
        <v>48549</v>
      </c>
    </row>
    <row r="38" ht="36" customHeight="1">
      <c r="A38" s="49" t="str">
        <v>Contract liabilities (non-current; presented after total current liabilities FY2018-FY2021)</v>
      </c>
      <c r="B38" s="3"/>
      <c r="C38" s="51"/>
      <c r="D38" s="51"/>
      <c r="E38" s="51" t="n">
        <v>2049</v>
      </c>
      <c r="F38" s="51" t="n">
        <v>1368</v>
      </c>
      <c r="G38" s="51" t="n">
        <v>1367</v>
      </c>
      <c r="H38" s="51" t="n">
        <v>185</v>
      </c>
      <c r="I38" s="51"/>
      <c r="J38" s="51"/>
      <c r="K38" s="51"/>
      <c r="L38" s="51"/>
      <c r="M38" s="51"/>
      <c r="N38" s="51"/>
      <c r="O38" s="51"/>
      <c r="P38" s="51"/>
      <c r="Q38" s="52" t="str">
        <f>IF(COUNT(J38)=1,J38,"")</f>
      </c>
      <c r="R38" s="51"/>
      <c r="S38" s="51"/>
      <c r="T38" s="51"/>
      <c r="U38" s="52" t="str">
        <f>IF(COUNT(K38)=1,K38,"")</f>
      </c>
      <c r="V38" s="51"/>
      <c r="W38" s="51"/>
      <c r="X38" s="51"/>
      <c r="Y38" s="52" t="str">
        <f>IF(COUNT(L38)=1,L38,"")</f>
      </c>
      <c r="Z38" s="51"/>
      <c r="AA38" s="51"/>
    </row>
    <row r="39" ht="36" customHeight="1">
      <c r="A39" s="49" t="str">
        <v>Long-term income taxes payable (FY2020-FY2021 captioned 'Income taxes payable', non-current)</v>
      </c>
      <c r="B39" s="3"/>
      <c r="C39" s="51"/>
      <c r="D39" s="51"/>
      <c r="E39" s="51" t="n">
        <v>4897</v>
      </c>
      <c r="F39" s="51" t="n">
        <v>4919</v>
      </c>
      <c r="G39" s="51" t="n">
        <v>4578</v>
      </c>
      <c r="H39" s="51" t="n">
        <v>4305</v>
      </c>
      <c r="I39" s="51" t="n">
        <v>3796</v>
      </c>
      <c r="J39" s="51"/>
      <c r="K39" s="51"/>
      <c r="L39" s="51"/>
      <c r="M39" s="51"/>
      <c r="N39" s="51"/>
      <c r="O39" s="51"/>
      <c r="P39" s="51"/>
      <c r="Q39" s="52" t="str">
        <f>IF(COUNT(J39)=1,J39,"")</f>
      </c>
      <c r="R39" s="51"/>
      <c r="S39" s="51"/>
      <c r="T39" s="51"/>
      <c r="U39" s="52" t="str">
        <f>IF(COUNT(K39)=1,K39,"")</f>
      </c>
      <c r="V39" s="51"/>
      <c r="W39" s="51"/>
      <c r="X39" s="51"/>
      <c r="Y39" s="52" t="str">
        <f>IF(COUNT(L39)=1,L39,"")</f>
      </c>
      <c r="Z39" s="51"/>
      <c r="AA39" s="51"/>
    </row>
    <row r="40" ht="22" customHeight="1">
      <c r="A40" s="49" t="str">
        <v>Deferred income taxes (liability)</v>
      </c>
      <c r="B40" s="3"/>
      <c r="C40" s="51" t="n">
        <v>1730</v>
      </c>
      <c r="D40" s="51" t="n">
        <v>3046</v>
      </c>
      <c r="E40" s="51" t="n">
        <v>1665</v>
      </c>
      <c r="F40" s="51" t="n">
        <v>2044</v>
      </c>
      <c r="G40" s="51" t="n">
        <v>3843</v>
      </c>
      <c r="H40" s="51" t="n">
        <v>2667</v>
      </c>
      <c r="I40" s="51" t="n">
        <v>202</v>
      </c>
      <c r="J40" s="51"/>
      <c r="K40" s="51"/>
      <c r="L40" s="51"/>
      <c r="M40" s="51"/>
      <c r="N40" s="51"/>
      <c r="O40" s="51"/>
      <c r="P40" s="51"/>
      <c r="Q40" s="52" t="str">
        <f>IF(COUNT(J40)=1,J40,"")</f>
      </c>
      <c r="R40" s="51"/>
      <c r="S40" s="51"/>
      <c r="T40" s="51"/>
      <c r="U40" s="52" t="str">
        <f>IF(COUNT(K40)=1,K40,"")</f>
      </c>
      <c r="V40" s="51"/>
      <c r="W40" s="51"/>
      <c r="X40" s="51"/>
      <c r="Y40" s="52" t="str">
        <f>IF(COUNT(L40)=1,L40,"")</f>
      </c>
      <c r="Z40" s="51"/>
      <c r="AA40" s="51"/>
    </row>
    <row r="41" ht="22" customHeight="1">
      <c r="A41" s="49" t="str">
        <v>Other long-term liabilities</v>
      </c>
      <c r="B41" s="3"/>
      <c r="C41" s="51" t="n">
        <v>3538</v>
      </c>
      <c r="D41" s="51" t="n">
        <v>7860</v>
      </c>
      <c r="E41" s="51" t="n">
        <v>2646</v>
      </c>
      <c r="F41" s="51" t="n">
        <v>2916</v>
      </c>
      <c r="G41" s="51" t="n">
        <v>3614</v>
      </c>
      <c r="H41" s="51" t="n">
        <v>4886</v>
      </c>
      <c r="I41" s="51" t="n">
        <v>4980</v>
      </c>
      <c r="J41" s="51" t="n">
        <v>6576</v>
      </c>
      <c r="K41" s="51" t="n">
        <v>9505</v>
      </c>
      <c r="L41" s="51" t="n">
        <v>9408</v>
      </c>
      <c r="M41" s="51"/>
      <c r="N41" s="51"/>
      <c r="O41" s="51"/>
      <c r="P41" s="51" t="n">
        <v>7946</v>
      </c>
      <c r="Q41" s="52" t="n">
        <f>IF(COUNT(J41)=1,J41,"")</f>
        <v>6576</v>
      </c>
      <c r="R41" s="51" t="n">
        <v>6895</v>
      </c>
      <c r="S41" s="51" t="n">
        <v>5410</v>
      </c>
      <c r="T41" s="51" t="n">
        <v>7048</v>
      </c>
      <c r="U41" s="52" t="n">
        <f>IF(COUNT(K41)=1,K41,"")</f>
        <v>9505</v>
      </c>
      <c r="V41" s="51" t="n">
        <v>8744</v>
      </c>
      <c r="W41" s="51" t="n">
        <v>7777</v>
      </c>
      <c r="X41" s="51" t="n">
        <v>11430</v>
      </c>
      <c r="Y41" s="52" t="n">
        <f>IF(COUNT(L41)=1,L41,"")</f>
        <v>9408</v>
      </c>
      <c r="Z41" s="51" t="n">
        <v>10431</v>
      </c>
      <c r="AA41" s="51" t="n">
        <v>15077</v>
      </c>
    </row>
    <row r="42" ht="22" customHeight="1">
      <c r="A42" s="49" t="str">
        <v>Temporary equity</v>
      </c>
      <c r="B42" s="3"/>
      <c r="C42" s="51" t="n">
        <v>882</v>
      </c>
      <c r="D42" s="51" t="n">
        <v>866</v>
      </c>
      <c r="E42" s="51" t="n">
        <v>419</v>
      </c>
      <c r="F42" s="51" t="n">
        <v>155</v>
      </c>
      <c r="G42" s="51" t="n">
        <v>0</v>
      </c>
      <c r="H42" s="51"/>
      <c r="I42" s="51"/>
      <c r="J42" s="51"/>
      <c r="K42" s="51"/>
      <c r="L42" s="51"/>
      <c r="M42" s="51"/>
      <c r="N42" s="51"/>
      <c r="O42" s="51"/>
      <c r="P42" s="51"/>
      <c r="Q42" s="52" t="str">
        <f>IF(COUNT(J42)=1,J42,"")</f>
      </c>
      <c r="R42" s="51"/>
      <c r="S42" s="51"/>
      <c r="T42" s="51"/>
      <c r="U42" s="52" t="str">
        <f>IF(COUNT(K42)=1,K42,"")</f>
      </c>
      <c r="V42" s="51"/>
      <c r="W42" s="51"/>
      <c r="X42" s="51"/>
      <c r="Y42" s="52" t="str">
        <f>IF(COUNT(L42)=1,L42,"")</f>
      </c>
      <c r="Z42" s="51"/>
      <c r="AA42" s="51"/>
    </row>
    <row r="43" ht="8"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22" customHeight="1">
      <c r="A44" s="21" t="str">
        <v>Equity</v>
      </c>
      <c r="B44" s="21" t="str">
        <v>Equity</v>
      </c>
      <c r="C44" s="21" t="str">
        <v>Equity</v>
      </c>
      <c r="D44" s="21" t="str">
        <v>Equity</v>
      </c>
      <c r="E44" s="21" t="str">
        <v>Equity</v>
      </c>
      <c r="F44" s="21" t="str">
        <v>Equity</v>
      </c>
      <c r="G44" s="21" t="str">
        <v>Equity</v>
      </c>
      <c r="H44" s="21" t="str">
        <v>Equity</v>
      </c>
      <c r="I44" s="21" t="str">
        <v>Equity</v>
      </c>
      <c r="J44" s="21" t="str">
        <v>Equity</v>
      </c>
      <c r="K44" s="21" t="str">
        <v>Equity</v>
      </c>
      <c r="L44" s="21" t="str">
        <v>Equity</v>
      </c>
      <c r="M44" s="21" t="str">
        <v>Equity</v>
      </c>
      <c r="N44" s="21" t="str">
        <v>Equity</v>
      </c>
      <c r="O44" s="21" t="str">
        <v>Equity</v>
      </c>
      <c r="P44" s="21" t="str">
        <v>Equity</v>
      </c>
      <c r="Q44" s="21" t="str">
        <v>Equity</v>
      </c>
      <c r="R44" s="21" t="str">
        <v>Equity</v>
      </c>
      <c r="S44" s="21" t="str">
        <v>Equity</v>
      </c>
      <c r="T44" s="21" t="str">
        <v>Equity</v>
      </c>
      <c r="U44" s="21" t="str">
        <v>Equity</v>
      </c>
      <c r="V44" s="21" t="str">
        <v>Equity</v>
      </c>
      <c r="W44" s="21" t="str">
        <v>Equity</v>
      </c>
      <c r="X44" s="21" t="str">
        <v>Equity</v>
      </c>
      <c r="Y44" s="21" t="str">
        <v>Equity</v>
      </c>
      <c r="Z44" s="21" t="str">
        <v>Equity</v>
      </c>
      <c r="AA44" s="21" t="str">
        <v>Equity</v>
      </c>
    </row>
    <row r="45" ht="22" customHeight="1">
      <c r="A45" s="49" t="str">
        <v>Preferred stock</v>
      </c>
      <c r="B45" s="3"/>
      <c r="C45" s="51" t="n">
        <v>0</v>
      </c>
      <c r="D45" s="51" t="n">
        <v>0</v>
      </c>
      <c r="E45" s="51" t="n">
        <v>0</v>
      </c>
      <c r="F45" s="51" t="n">
        <v>0</v>
      </c>
      <c r="G45" s="51" t="n">
        <v>0</v>
      </c>
      <c r="H45" s="51" t="n">
        <v>0</v>
      </c>
      <c r="I45" s="51" t="n">
        <v>0</v>
      </c>
      <c r="J45" s="51" t="n">
        <v>0</v>
      </c>
      <c r="K45" s="51" t="n">
        <v>0</v>
      </c>
      <c r="L45" s="51" t="n">
        <v>0</v>
      </c>
      <c r="M45" s="51"/>
      <c r="N45" s="51"/>
      <c r="O45" s="51"/>
      <c r="P45" s="51"/>
      <c r="Q45" s="52" t="n">
        <f>IF(COUNT(J45)=1,J45,"")</f>
        <v>0</v>
      </c>
      <c r="R45" s="51"/>
      <c r="S45" s="51"/>
      <c r="T45" s="51"/>
      <c r="U45" s="52" t="n">
        <f>IF(COUNT(K45)=1,K45,"")</f>
        <v>0</v>
      </c>
      <c r="V45" s="51"/>
      <c r="W45" s="51"/>
      <c r="X45" s="51"/>
      <c r="Y45" s="52" t="n">
        <f>IF(COUNT(L45)=1,L45,"")</f>
        <v>0</v>
      </c>
      <c r="Z45" s="51"/>
      <c r="AA45" s="51"/>
    </row>
    <row r="46" ht="22" customHeight="1">
      <c r="A46" s="49" t="str">
        <v>Common stock and capital in excess of par value</v>
      </c>
      <c r="B46" s="3"/>
      <c r="C46" s="51" t="n">
        <v>25373</v>
      </c>
      <c r="D46" s="51" t="n">
        <v>26074</v>
      </c>
      <c r="E46" s="51" t="n">
        <v>25365</v>
      </c>
      <c r="F46" s="51" t="n">
        <v>25261</v>
      </c>
      <c r="G46" s="51" t="n">
        <v>25556</v>
      </c>
      <c r="H46" s="51" t="n">
        <v>28006</v>
      </c>
      <c r="I46" s="51" t="n">
        <v>31580</v>
      </c>
      <c r="J46" s="51" t="n">
        <v>36649</v>
      </c>
      <c r="K46" s="51" t="n">
        <v>50949</v>
      </c>
      <c r="L46" s="51" t="n">
        <v>65185</v>
      </c>
      <c r="M46" s="51"/>
      <c r="N46" s="51"/>
      <c r="O46" s="51"/>
      <c r="P46" s="51" t="n">
        <v>35653</v>
      </c>
      <c r="Q46" s="52" t="n">
        <f>IF(COUNT(J46)=1,J46,"")</f>
        <v>36649</v>
      </c>
      <c r="R46" s="51" t="n">
        <v>38291</v>
      </c>
      <c r="S46" s="51" t="n">
        <v>49763</v>
      </c>
      <c r="T46" s="51" t="n">
        <v>50665</v>
      </c>
      <c r="U46" s="52" t="n">
        <f>IF(COUNT(K46)=1,K46,"")</f>
        <v>50949</v>
      </c>
      <c r="V46" s="51" t="n">
        <v>51920</v>
      </c>
      <c r="W46" s="51" t="n">
        <v>52334</v>
      </c>
      <c r="X46" s="51" t="n">
        <v>56755</v>
      </c>
      <c r="Y46" s="52" t="n">
        <f>IF(COUNT(L46)=1,L46,"")</f>
        <v>65185</v>
      </c>
      <c r="Z46" s="51" t="n">
        <v>66259</v>
      </c>
      <c r="AA46" s="51" t="n">
        <v>53780</v>
      </c>
    </row>
    <row r="47" ht="22" customHeight="1">
      <c r="A47" s="49" t="str">
        <v>Accumulated other comprehensive income (loss)</v>
      </c>
      <c r="B47" s="3"/>
      <c r="C47" s="51" t="n">
        <v>106</v>
      </c>
      <c r="D47" s="51" t="n">
        <v>862</v>
      </c>
      <c r="E47" s="51" t="n">
        <v>-974</v>
      </c>
      <c r="F47" s="51" t="n">
        <v>-1280</v>
      </c>
      <c r="G47" s="51" t="n">
        <v>-751</v>
      </c>
      <c r="H47" s="51" t="n">
        <v>-880</v>
      </c>
      <c r="I47" s="51" t="n">
        <v>-562</v>
      </c>
      <c r="J47" s="51" t="n">
        <v>-215</v>
      </c>
      <c r="K47" s="51" t="n">
        <v>-711</v>
      </c>
      <c r="L47" s="51" t="n">
        <v>113</v>
      </c>
      <c r="M47" s="51"/>
      <c r="N47" s="51"/>
      <c r="O47" s="51"/>
      <c r="P47" s="51" t="n">
        <v>-861</v>
      </c>
      <c r="Q47" s="52" t="n">
        <f>IF(COUNT(J47)=1,J47,"")</f>
        <v>-215</v>
      </c>
      <c r="R47" s="51" t="n">
        <v>-542</v>
      </c>
      <c r="S47" s="51" t="n">
        <v>-696</v>
      </c>
      <c r="T47" s="51" t="n">
        <v>-185</v>
      </c>
      <c r="U47" s="52" t="n">
        <f>IF(COUNT(K47)=1,K47,"")</f>
        <v>-711</v>
      </c>
      <c r="V47" s="51" t="n">
        <v>-486</v>
      </c>
      <c r="W47" s="51" t="n">
        <v>65</v>
      </c>
      <c r="X47" s="51" t="n">
        <v>19</v>
      </c>
      <c r="Y47" s="52" t="n">
        <f>IF(COUNT(L47)=1,L47,"")</f>
        <v>113</v>
      </c>
      <c r="Z47" s="51" t="n">
        <v>-44</v>
      </c>
      <c r="AA47" s="51" t="n">
        <v>-80</v>
      </c>
    </row>
    <row r="48" ht="22" customHeight="1">
      <c r="A48" s="49" t="str">
        <v>Retained earnings</v>
      </c>
      <c r="B48" s="3"/>
      <c r="C48" s="51" t="n">
        <v>40747</v>
      </c>
      <c r="D48" s="51" t="n">
        <v>42083</v>
      </c>
      <c r="E48" s="51" t="n">
        <v>50172</v>
      </c>
      <c r="F48" s="51" t="n">
        <v>53523</v>
      </c>
      <c r="G48" s="51" t="n">
        <v>56233</v>
      </c>
      <c r="H48" s="51" t="n">
        <v>68265</v>
      </c>
      <c r="I48" s="51" t="n">
        <v>70405</v>
      </c>
      <c r="J48" s="51" t="n">
        <v>69156</v>
      </c>
      <c r="K48" s="51" t="n">
        <v>49032</v>
      </c>
      <c r="L48" s="51" t="n">
        <v>48983</v>
      </c>
      <c r="M48" s="51"/>
      <c r="N48" s="51"/>
      <c r="O48" s="51"/>
      <c r="P48" s="51" t="n">
        <v>67021</v>
      </c>
      <c r="Q48" s="52" t="n">
        <f>IF(COUNT(J48)=1,J48,"")</f>
        <v>69156</v>
      </c>
      <c r="R48" s="51" t="n">
        <v>68224</v>
      </c>
      <c r="S48" s="51" t="n">
        <v>66162</v>
      </c>
      <c r="T48" s="51" t="n">
        <v>49052</v>
      </c>
      <c r="U48" s="52" t="n">
        <f>IF(COUNT(K48)=1,K48,"")</f>
        <v>49032</v>
      </c>
      <c r="V48" s="51" t="n">
        <v>48322</v>
      </c>
      <c r="W48" s="51" t="n">
        <v>45484</v>
      </c>
      <c r="X48" s="51" t="n">
        <v>49602</v>
      </c>
      <c r="Y48" s="52" t="n">
        <f>IF(COUNT(L48)=1,L48,"")</f>
        <v>48983</v>
      </c>
      <c r="Z48" s="51" t="n">
        <v>45179</v>
      </c>
      <c r="AA48" s="51" t="n">
        <v>33842</v>
      </c>
    </row>
    <row r="49" ht="24" customHeight="1">
      <c r="A49" s="34" t="str">
        <v>Total Intel stockholders' equity</v>
      </c>
      <c r="B49" s="35"/>
      <c r="C49" s="36"/>
      <c r="D49" s="36"/>
      <c r="E49" s="36"/>
      <c r="F49" s="36"/>
      <c r="G49" s="36"/>
      <c r="H49" s="36"/>
      <c r="I49" s="36" t="n">
        <v>101423</v>
      </c>
      <c r="J49" s="36" t="n">
        <v>105590</v>
      </c>
      <c r="K49" s="36" t="n">
        <v>99270</v>
      </c>
      <c r="L49" s="36" t="n">
        <v>114281</v>
      </c>
      <c r="M49" s="36"/>
      <c r="N49" s="36"/>
      <c r="O49" s="36"/>
      <c r="P49" s="36" t="n">
        <v>101813</v>
      </c>
      <c r="Q49" s="37" t="n">
        <f>IF(COUNT(J49)=1,J49,"")</f>
        <v>105590</v>
      </c>
      <c r="R49" s="36" t="n">
        <v>105973</v>
      </c>
      <c r="S49" s="36" t="n">
        <v>115229</v>
      </c>
      <c r="T49" s="36" t="n">
        <v>99532</v>
      </c>
      <c r="U49" s="37" t="n">
        <f>IF(COUNT(K49)=1,K49,"")</f>
        <v>99270</v>
      </c>
      <c r="V49" s="36" t="n">
        <v>99756</v>
      </c>
      <c r="W49" s="36" t="n">
        <v>97883</v>
      </c>
      <c r="X49" s="36" t="n">
        <v>106376</v>
      </c>
      <c r="Y49" s="37" t="n">
        <f>IF(COUNT(L49)=1,L49,"")</f>
        <v>114281</v>
      </c>
      <c r="Z49" s="36" t="n">
        <v>111394</v>
      </c>
      <c r="AA49" s="36" t="n">
        <v>87542</v>
      </c>
    </row>
    <row r="50" ht="22" customHeight="1">
      <c r="A50" s="49" t="str">
        <v>Non-controlling interests</v>
      </c>
      <c r="B50" s="3"/>
      <c r="C50" s="51"/>
      <c r="D50" s="51"/>
      <c r="E50" s="51"/>
      <c r="F50" s="51"/>
      <c r="G50" s="51"/>
      <c r="H50" s="51"/>
      <c r="I50" s="51" t="n">
        <v>1863</v>
      </c>
      <c r="J50" s="51" t="n">
        <v>4375</v>
      </c>
      <c r="K50" s="51" t="n">
        <v>5762</v>
      </c>
      <c r="L50" s="51" t="n">
        <v>12079</v>
      </c>
      <c r="M50" s="51"/>
      <c r="N50" s="51"/>
      <c r="O50" s="51"/>
      <c r="P50" s="51" t="n">
        <v>3873</v>
      </c>
      <c r="Q50" s="52" t="n">
        <f>IF(COUNT(J50)=1,J50,"")</f>
        <v>4375</v>
      </c>
      <c r="R50" s="51" t="n">
        <v>4783</v>
      </c>
      <c r="S50" s="51" t="n">
        <v>5205</v>
      </c>
      <c r="T50" s="51" t="n">
        <v>5332</v>
      </c>
      <c r="U50" s="52" t="n">
        <f>IF(COUNT(K50)=1,K50,"")</f>
        <v>5762</v>
      </c>
      <c r="V50" s="51" t="n">
        <v>6657</v>
      </c>
      <c r="W50" s="51" t="n">
        <v>7868</v>
      </c>
      <c r="X50" s="51" t="n">
        <v>10354</v>
      </c>
      <c r="Y50" s="52" t="n">
        <f>IF(COUNT(L50)=1,L50,"")</f>
        <v>12079</v>
      </c>
      <c r="Z50" s="51" t="n">
        <v>13595</v>
      </c>
      <c r="AA50" s="51" t="n">
        <v>15601</v>
      </c>
    </row>
    <row r="51" ht="24" customHeight="1">
      <c r="A51" s="34" t="str">
        <v>Total stockholders' equity</v>
      </c>
      <c r="B51" s="35"/>
      <c r="C51" s="36" t="n">
        <v>66226</v>
      </c>
      <c r="D51" s="36" t="n">
        <v>69019</v>
      </c>
      <c r="E51" s="36" t="n">
        <v>74563</v>
      </c>
      <c r="F51" s="36" t="n">
        <v>77504</v>
      </c>
      <c r="G51" s="36" t="n">
        <v>81038</v>
      </c>
      <c r="H51" s="36" t="n">
        <v>95391</v>
      </c>
      <c r="I51" s="36" t="n">
        <v>103286</v>
      </c>
      <c r="J51" s="36" t="n">
        <v>109965</v>
      </c>
      <c r="K51" s="36" t="n">
        <v>105032</v>
      </c>
      <c r="L51" s="36" t="n">
        <v>126360</v>
      </c>
      <c r="M51" s="36"/>
      <c r="N51" s="36"/>
      <c r="O51" s="36"/>
      <c r="P51" s="36" t="n">
        <v>105686</v>
      </c>
      <c r="Q51" s="37" t="n">
        <f>IF(COUNT(J51)=1,J51,"")</f>
        <v>109965</v>
      </c>
      <c r="R51" s="36" t="n">
        <v>110756</v>
      </c>
      <c r="S51" s="36" t="n">
        <v>120434</v>
      </c>
      <c r="T51" s="36" t="n">
        <v>104864</v>
      </c>
      <c r="U51" s="37" t="n">
        <f>IF(COUNT(K51)=1,K51,"")</f>
        <v>105032</v>
      </c>
      <c r="V51" s="36" t="n">
        <v>106413</v>
      </c>
      <c r="W51" s="36" t="n">
        <v>105751</v>
      </c>
      <c r="X51" s="36" t="n">
        <v>116730</v>
      </c>
      <c r="Y51" s="37" t="n">
        <f>IF(COUNT(L51)=1,L51,"")</f>
        <v>126360</v>
      </c>
      <c r="Z51" s="36" t="n">
        <v>124989</v>
      </c>
      <c r="AA51" s="36" t="n">
        <v>103143</v>
      </c>
    </row>
    <row r="52" ht="24" customHeight="1">
      <c r="A52" s="34" t="str">
        <v>Total liabilities and stockholders' equity</v>
      </c>
      <c r="B52" s="35"/>
      <c r="C52" s="36" t="n">
        <v>113327</v>
      </c>
      <c r="D52" s="36" t="n">
        <v>123249</v>
      </c>
      <c r="E52" s="36" t="n">
        <v>127963</v>
      </c>
      <c r="F52" s="36" t="n">
        <v>136524</v>
      </c>
      <c r="G52" s="36" t="n">
        <v>153091</v>
      </c>
      <c r="H52" s="36" t="n">
        <v>168406</v>
      </c>
      <c r="I52" s="36" t="n">
        <v>182103</v>
      </c>
      <c r="J52" s="36" t="n">
        <v>191572</v>
      </c>
      <c r="K52" s="36" t="n">
        <v>196485</v>
      </c>
      <c r="L52" s="36" t="n">
        <v>211429</v>
      </c>
      <c r="M52" s="36"/>
      <c r="N52" s="36"/>
      <c r="O52" s="36"/>
      <c r="P52" s="36" t="n">
        <v>188837</v>
      </c>
      <c r="Q52" s="37" t="n">
        <f>IF(COUNT(J52)=1,J52,"")</f>
        <v>191572</v>
      </c>
      <c r="R52" s="36" t="n">
        <v>192733</v>
      </c>
      <c r="S52" s="36" t="n">
        <v>206205</v>
      </c>
      <c r="T52" s="36" t="n">
        <v>193542</v>
      </c>
      <c r="U52" s="37" t="n">
        <f>IF(COUNT(K52)=1,K52,"")</f>
        <v>196485</v>
      </c>
      <c r="V52" s="36" t="n">
        <v>192242</v>
      </c>
      <c r="W52" s="36" t="n">
        <v>192520</v>
      </c>
      <c r="X52" s="36" t="n">
        <v>204514</v>
      </c>
      <c r="Y52" s="37" t="n">
        <f>IF(COUNT(L52)=1,L52,"")</f>
        <v>211429</v>
      </c>
      <c r="Z52" s="36" t="n">
        <v>205332</v>
      </c>
      <c r="AA52" s="36" t="n">
        <v>202439</v>
      </c>
    </row>
    <row r="53" ht="8"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22" customHeight="1">
      <c r="A54" s="21" t="str">
        <v>Balance-sheet reconciliations</v>
      </c>
      <c r="B54" s="21" t="str">
        <v>Balance-sheet reconciliations</v>
      </c>
      <c r="C54" s="21" t="str">
        <v>Balance-sheet reconciliations</v>
      </c>
      <c r="D54" s="21" t="str">
        <v>Balance-sheet reconciliations</v>
      </c>
      <c r="E54" s="21" t="str">
        <v>Balance-sheet reconciliations</v>
      </c>
      <c r="F54" s="21" t="str">
        <v>Balance-sheet reconciliations</v>
      </c>
      <c r="G54" s="21" t="str">
        <v>Balance-sheet reconciliations</v>
      </c>
      <c r="H54" s="21" t="str">
        <v>Balance-sheet reconciliations</v>
      </c>
      <c r="I54" s="21" t="str">
        <v>Balance-sheet reconciliations</v>
      </c>
      <c r="J54" s="21" t="str">
        <v>Balance-sheet reconciliations</v>
      </c>
      <c r="K54" s="21" t="str">
        <v>Balance-sheet reconciliations</v>
      </c>
      <c r="L54" s="21" t="str">
        <v>Balance-sheet reconciliations</v>
      </c>
      <c r="M54" s="21" t="str">
        <v>Balance-sheet reconciliations</v>
      </c>
      <c r="N54" s="21" t="str">
        <v>Balance-sheet reconciliations</v>
      </c>
      <c r="O54" s="21" t="str">
        <v>Balance-sheet reconciliations</v>
      </c>
      <c r="P54" s="21" t="str">
        <v>Balance-sheet reconciliations</v>
      </c>
      <c r="Q54" s="21" t="str">
        <v>Balance-sheet reconciliations</v>
      </c>
      <c r="R54" s="21" t="str">
        <v>Balance-sheet reconciliations</v>
      </c>
      <c r="S54" s="21" t="str">
        <v>Balance-sheet reconciliations</v>
      </c>
      <c r="T54" s="21" t="str">
        <v>Balance-sheet reconciliations</v>
      </c>
      <c r="U54" s="21" t="str">
        <v>Balance-sheet reconciliations</v>
      </c>
      <c r="V54" s="21" t="str">
        <v>Balance-sheet reconciliations</v>
      </c>
      <c r="W54" s="21" t="str">
        <v>Balance-sheet reconciliations</v>
      </c>
      <c r="X54" s="21" t="str">
        <v>Balance-sheet reconciliations</v>
      </c>
      <c r="Y54" s="21" t="str">
        <v>Balance-sheet reconciliations</v>
      </c>
      <c r="Z54" s="21" t="str">
        <v>Balance-sheet reconciliations</v>
      </c>
      <c r="AA54" s="21" t="str">
        <v>Balance-sheet reconciliations</v>
      </c>
    </row>
    <row r="55" ht="18" customHeight="1">
      <c r="A55" s="22" t="str">
        <v>Quarterly balances are period-end amounts; Q4 links the fiscal year end. Q1/Q2 2023 balance sheets are outside the supplied original filing set.</v>
      </c>
      <c r="B55" s="22" t="str">
        <v>Quarterly balances are period-end amounts; Q4 links the fiscal year end. Q1/Q2 2023 balance sheets are outside the supplied original filing set.</v>
      </c>
      <c r="C55" s="22" t="str">
        <v>Quarterly balances are period-end amounts; Q4 links the fiscal year end. Q1/Q2 2023 balance sheets are outside the supplied original filing set.</v>
      </c>
      <c r="D55" s="22" t="str">
        <v>Quarterly balances are period-end amounts; Q4 links the fiscal year end. Q1/Q2 2023 balance sheets are outside the supplied original filing set.</v>
      </c>
      <c r="E55" s="22" t="str">
        <v>Quarterly balances are period-end amounts; Q4 links the fiscal year end. Q1/Q2 2023 balance sheets are outside the supplied original filing set.</v>
      </c>
      <c r="F55" s="22" t="str">
        <v>Quarterly balances are period-end amounts; Q4 links the fiscal year end. Q1/Q2 2023 balance sheets are outside the supplied original filing set.</v>
      </c>
      <c r="G55" s="22" t="str">
        <v>Quarterly balances are period-end amounts; Q4 links the fiscal year end. Q1/Q2 2023 balance sheets are outside the supplied original filing set.</v>
      </c>
      <c r="H55" s="22" t="str">
        <v>Quarterly balances are period-end amounts; Q4 links the fiscal year end. Q1/Q2 2023 balance sheets are outside the supplied original filing set.</v>
      </c>
      <c r="I55" s="22" t="str">
        <v>Quarterly balances are period-end amounts; Q4 links the fiscal year end. Q1/Q2 2023 balance sheets are outside the supplied original filing set.</v>
      </c>
      <c r="J55" s="22" t="str">
        <v>Quarterly balances are period-end amounts; Q4 links the fiscal year end. Q1/Q2 2023 balance sheets are outside the supplied original filing set.</v>
      </c>
      <c r="K55" s="22" t="str">
        <v>Quarterly balances are period-end amounts; Q4 links the fiscal year end. Q1/Q2 2023 balance sheets are outside the supplied original filing set.</v>
      </c>
      <c r="L55" s="22" t="str">
        <v>Quarterly balances are period-end amounts; Q4 links the fiscal year end. Q1/Q2 2023 balance sheets are outside the supplied original filing set.</v>
      </c>
      <c r="M55" s="22" t="str">
        <v>Quarterly balances are period-end amounts; Q4 links the fiscal year end. Q1/Q2 2023 balance sheets are outside the supplied original filing set.</v>
      </c>
      <c r="N55" s="22" t="str">
        <v>Quarterly balances are period-end amounts; Q4 links the fiscal year end. Q1/Q2 2023 balance sheets are outside the supplied original filing set.</v>
      </c>
      <c r="O55" s="22" t="str">
        <v>Quarterly balances are period-end amounts; Q4 links the fiscal year end. Q1/Q2 2023 balance sheets are outside the supplied original filing set.</v>
      </c>
      <c r="P55" s="22" t="str">
        <v>Quarterly balances are period-end amounts; Q4 links the fiscal year end. Q1/Q2 2023 balance sheets are outside the supplied original filing set.</v>
      </c>
      <c r="Q55" s="22" t="str">
        <v>Quarterly balances are period-end amounts; Q4 links the fiscal year end. Q1/Q2 2023 balance sheets are outside the supplied original filing set.</v>
      </c>
      <c r="R55" s="22" t="str">
        <v>Quarterly balances are period-end amounts; Q4 links the fiscal year end. Q1/Q2 2023 balance sheets are outside the supplied original filing set.</v>
      </c>
      <c r="S55" s="22" t="str">
        <v>Quarterly balances are period-end amounts; Q4 links the fiscal year end. Q1/Q2 2023 balance sheets are outside the supplied original filing set.</v>
      </c>
      <c r="T55" s="22" t="str">
        <v>Quarterly balances are period-end amounts; Q4 links the fiscal year end. Q1/Q2 2023 balance sheets are outside the supplied original filing set.</v>
      </c>
      <c r="U55" s="22" t="str">
        <v>Quarterly balances are period-end amounts; Q4 links the fiscal year end. Q1/Q2 2023 balance sheets are outside the supplied original filing set.</v>
      </c>
      <c r="V55" s="22" t="str">
        <v>Quarterly balances are period-end amounts; Q4 links the fiscal year end. Q1/Q2 2023 balance sheets are outside the supplied original filing set.</v>
      </c>
      <c r="W55" s="22" t="str">
        <v>Quarterly balances are period-end amounts; Q4 links the fiscal year end. Q1/Q2 2023 balance sheets are outside the supplied original filing set.</v>
      </c>
      <c r="X55" s="22" t="str">
        <v>Quarterly balances are period-end amounts; Q4 links the fiscal year end. Q1/Q2 2023 balance sheets are outside the supplied original filing set.</v>
      </c>
      <c r="Y55" s="22" t="str">
        <v>Quarterly balances are period-end amounts; Q4 links the fiscal year end. Q1/Q2 2023 balance sheets are outside the supplied original filing set.</v>
      </c>
      <c r="Z55" s="22" t="str">
        <v>Quarterly balances are period-end amounts; Q4 links the fiscal year end. Q1/Q2 2023 balance sheets are outside the supplied original filing set.</v>
      </c>
      <c r="AA55" s="22" t="str">
        <v>Quarterly balances are period-end amounts; Q4 links the fiscal year end. Q1/Q2 2023 balance sheets are outside the supplied original filing set.</v>
      </c>
    </row>
    <row r="56" ht="36" customHeight="1">
      <c r="A56" s="49" t="str">
        <v>Check: current asset lines - total current assets (should be 0)</v>
      </c>
      <c r="B56" s="3"/>
      <c r="C56" s="59" t="n">
        <f>IF(COUNT(C8,C9,C10,C11,C12,C13,C14,C15)=8,C8+C9+C10+C11+C12+C13+C14-C15,"")</f>
        <v>0</v>
      </c>
      <c r="D56" s="59" t="n">
        <f>IF(COUNT(D8,D9,D10,D11,D12,D13,D14,D15)=8,D8+D9+D10+D11+D12+D13+D14-D15,"")</f>
        <v>0</v>
      </c>
      <c r="E56" s="59" t="n">
        <f>IF(COUNT(E8,E9,E10,E11,E12,E14,E15)=7,E8+E9+E10+E11+E12+0+E14-E15,"")</f>
        <v>0</v>
      </c>
      <c r="F56" s="59" t="n">
        <f>IF(COUNT(F8,F9,F10,F11,F12,F14,F15)=7,F8+F9+F10+F11+F12+0+F14-F15,"")</f>
        <v>0</v>
      </c>
      <c r="G56" s="59" t="n">
        <f>IF(COUNT(G8,G9,G10,G11,G12,G13,G14,G15)=8,G8+G9+G10+G11+G12+G13+G14-G15,"")</f>
        <v>0</v>
      </c>
      <c r="H56" s="59" t="n">
        <f>IF(COUNT(H8,H9,H10,H11,H12,H13,H14,H15)=8,H8+H9+H10+H11+H12+H13+H14-H15,"")</f>
        <v>0</v>
      </c>
      <c r="I56" s="59" t="n">
        <f>IF(COUNT(I8,I9,I11,I12,I13,I14,I15)=7,I8+I9+0+I11+I12+I13+I14-I15,"")</f>
        <v>0</v>
      </c>
      <c r="J56" s="59" t="n">
        <f>IF(COUNT(J8,J9,J11,J12,J14,J15)=6,J8+J9+0+J11+J12+0+J14-J15,"")</f>
        <v>0</v>
      </c>
      <c r="K56" s="59" t="n">
        <f>IF(COUNT(K8,K9,K11,K12,K14,K15)=6,K8+K9+0+K11+K12+0+K14-K15,"")</f>
        <v>0</v>
      </c>
      <c r="L56" s="59" t="n">
        <f>IF(COUNT(L8,L9,L11,L12,L14,L15)=6,L8+L9+0+L11+L12+0+L14-L15,"")</f>
        <v>0</v>
      </c>
      <c r="M56" s="59"/>
      <c r="N56" s="59"/>
      <c r="O56" s="59"/>
      <c r="P56" s="59" t="n">
        <f>IF(COUNT(P8,P9,P11,P12,P14,P15)=6,P8+P9+0+P11+P12+0+P14-P15,"")</f>
        <v>0</v>
      </c>
      <c r="Q56" s="59" t="n">
        <f>IF(COUNT(Q8,Q9,Q11,Q12,Q14,Q15)=6,Q8+Q9+0+Q11+Q12+0+Q14-Q15,"")</f>
        <v>0</v>
      </c>
      <c r="R56" s="59" t="n">
        <f>IF(COUNT(R8,R9,R11,R12,R14,R15)=6,R8+R9+0+R11+R12+0+R14-R15,"")</f>
        <v>0</v>
      </c>
      <c r="S56" s="59" t="n">
        <f>IF(COUNT(S8,S9,S11,S12,S14,S15)=6,S8+S9+0+S11+S12+0+S14-S15,"")</f>
        <v>0</v>
      </c>
      <c r="T56" s="59" t="n">
        <f>IF(COUNT(T8,T9,T11,T12,T14,T15)=6,T8+T9+0+T11+T12+0+T14-T15,"")</f>
        <v>0</v>
      </c>
      <c r="U56" s="59" t="n">
        <f>IF(COUNT(U8,U9,U11,U12,U14,U15)=6,U8+U9+0+U11+U12+0+U14-U15,"")</f>
        <v>0</v>
      </c>
      <c r="V56" s="59" t="n">
        <f>IF(COUNT(V8,V9,V11,V12,V14,V15)=6,V8+V9+0+V11+V12+0+V14-V15,"")</f>
        <v>0</v>
      </c>
      <c r="W56" s="59" t="n">
        <f>IF(COUNT(W8,W9,W11,W12,W14,W15)=6,W8+W9+0+W11+W12+0+W14-W15,"")</f>
        <v>0</v>
      </c>
      <c r="X56" s="59" t="n">
        <f>IF(COUNT(X8,X9,X11,X12,X14,X15)=6,X8+X9+0+X11+X12+0+X14-X15,"")</f>
        <v>0</v>
      </c>
      <c r="Y56" s="59" t="n">
        <f>IF(COUNT(Y8,Y9,Y11,Y12,Y14,Y15)=6,Y8+Y9+0+Y11+Y12+0+Y14-Y15,"")</f>
        <v>0</v>
      </c>
      <c r="Z56" s="59" t="n">
        <f>IF(COUNT(Z8,Z9,Z11,Z12,Z14,Z15)=6,Z8+Z9+0+Z11+Z12+0+Z14-Z15,"")</f>
        <v>0</v>
      </c>
      <c r="AA56" s="59" t="n">
        <f>IF(COUNT(AA8,AA9,AA11,AA12,AA14,AA15)=6,AA8+AA9+0+AA11+AA12+0+AA14-AA15,"")</f>
        <v>0</v>
      </c>
    </row>
    <row r="57" ht="22" customHeight="1">
      <c r="A57" s="49" t="str">
        <v>Check: asset lines - total assets (should be 0)</v>
      </c>
      <c r="B57" s="3"/>
      <c r="C57" s="59" t="n">
        <f>IF(COUNT(C15,C18,C19,C21,C22,C23,C24,C25)=8,C15+C18+C19+C21+0+C22+C23+C24-C25,"")</f>
        <v>0</v>
      </c>
      <c r="D57" s="59" t="n">
        <f>IF(COUNT(D15,D18,D19,D21,D22,D23,D24,D25)=8,D15+D18+D19+D21+0+D22+D23+D24-D25,"")</f>
        <v>0</v>
      </c>
      <c r="E57" s="59" t="n">
        <f>IF(COUNT(E15,E18,E21,E20,E22,E23,E24,E25)=8,E15+E18+0+E21+E20+E22+E23+E24-E25,"")</f>
        <v>0</v>
      </c>
      <c r="F57" s="59" t="n">
        <f>IF(COUNT(F15,F18,F21,F20,F22,F23,F24,F25)=8,F15+F18+0+F21+F20+F22+F23+F24-F25,"")</f>
        <v>0</v>
      </c>
      <c r="G57" s="59" t="n">
        <f>IF(COUNT(G15,G18,G21,G20,G22,G23,G24,G25)=8,G15+G18+0+G21+G20+G22+G23+G24-G25,"")</f>
        <v>0</v>
      </c>
      <c r="H57" s="59" t="n">
        <f>IF(COUNT(H15,H18,H21,H20,H22,H23,H24,H25)=8,H15+H18+0+H21+H20+H22+H23+H24-H25,"")</f>
        <v>0</v>
      </c>
      <c r="I57" s="59" t="n">
        <f>IF(COUNT(I15,I18,I20,I22,I23,I24,I25)=7,I15+I18+0+0+I20+I22+I23+I24-I25,"")</f>
        <v>0</v>
      </c>
      <c r="J57" s="59" t="n">
        <f>IF(COUNT(J15,J18,J20,J22,J23,J24,J25)=7,J15+J18+0+0+J20+J22+J23+J24-J25,"")</f>
        <v>0</v>
      </c>
      <c r="K57" s="59" t="n">
        <f>IF(COUNT(K15,K18,K20,K22,K23,K24,K25)=7,K15+K18+0+0+K20+K22+K23+K24-K25,"")</f>
        <v>0</v>
      </c>
      <c r="L57" s="59" t="n">
        <f>IF(COUNT(L15,L18,L20,L22,L23,L24,L25)=7,L15+L18+0+0+L20+L22+L23+L24-L25,"")</f>
        <v>0</v>
      </c>
      <c r="M57" s="59"/>
      <c r="N57" s="59"/>
      <c r="O57" s="59"/>
      <c r="P57" s="59" t="n">
        <f>IF(COUNT(P15,P18,P20,P22,P23,P24,P25)=7,P15+P18+0+0+P20+P22+P23+P24-P25,"")</f>
        <v>0</v>
      </c>
      <c r="Q57" s="59" t="n">
        <f>IF(COUNT(Q15,Q18,Q20,Q22,Q23,Q24,Q25)=7,Q15+Q18+0+0+Q20+Q22+Q23+Q24-Q25,"")</f>
        <v>0</v>
      </c>
      <c r="R57" s="59" t="n">
        <f>IF(COUNT(R15,R18,R20,R22,R23,R24,R25)=7,R15+R18+0+0+R20+R22+R23+R24-R25,"")</f>
        <v>0</v>
      </c>
      <c r="S57" s="59" t="n">
        <f>IF(COUNT(S15,S18,S20,S22,S23,S24,S25)=7,S15+S18+0+0+S20+S22+S23+S24-S25,"")</f>
        <v>0</v>
      </c>
      <c r="T57" s="59" t="n">
        <f>IF(COUNT(T15,T18,T20,T22,T23,T24,T25)=7,T15+T18+0+0+T20+T22+T23+T24-T25,"")</f>
        <v>0</v>
      </c>
      <c r="U57" s="59" t="n">
        <f>IF(COUNT(U15,U18,U20,U22,U23,U24,U25)=7,U15+U18+0+0+U20+U22+U23+U24-U25,"")</f>
        <v>0</v>
      </c>
      <c r="V57" s="59" t="n">
        <f>IF(COUNT(V15,V18,V20,V22,V23,V24,V25)=7,V15+V18+0+0+V20+V22+V23+V24-V25,"")</f>
        <v>0</v>
      </c>
      <c r="W57" s="59" t="n">
        <f>IF(COUNT(W15,W18,W20,W22,W23,W24,W25)=7,W15+W18+0+0+W20+W22+W23+W24-W25,"")</f>
        <v>0</v>
      </c>
      <c r="X57" s="59" t="n">
        <f>IF(COUNT(X15,X18,X20,X22,X23,X24,X25)=7,X15+X18+0+0+X20+X22+X23+X24-X25,"")</f>
        <v>0</v>
      </c>
      <c r="Y57" s="59" t="n">
        <f>IF(COUNT(Y15,Y18,Y20,Y22,Y23,Y24,Y25)=7,Y15+Y18+0+0+Y20+Y22+Y23+Y24-Y25,"")</f>
        <v>0</v>
      </c>
      <c r="Z57" s="59" t="n">
        <f>IF(COUNT(Z15,Z18,Z20,Z22,Z23,Z24,Z25)=7,Z15+Z18+0+0+Z20+Z22+Z23+Z24-Z25,"")</f>
        <v>0</v>
      </c>
      <c r="AA57" s="59" t="n">
        <f>IF(COUNT(AA15,AA18,AA20,AA22,AA23,AA24,AA25)=7,AA15+AA18+0+0+AA20+AA22+AA23+AA24-AA25,"")</f>
        <v>0</v>
      </c>
    </row>
    <row r="58" ht="36" customHeight="1">
      <c r="A58" s="49" t="str">
        <v>Check: current liability lines - total current liabilities (should be 0)</v>
      </c>
      <c r="B58" s="3"/>
      <c r="C58" s="59" t="n">
        <f>IF(COUNT(C33,C28,C29,C30,C31,C32,C35,C36)=8,C33+C28+C29+C30+C31+C32+0+C35-C36,"")</f>
        <v>0</v>
      </c>
      <c r="D58" s="59" t="n">
        <f>IF(COUNT(D33,D28,D29,D31,D32,D35,D36)=7,D33+D28+D29+0+D31+D32+0+D35-D36,"")</f>
        <v>0</v>
      </c>
      <c r="E58" s="59" t="n">
        <f>IF(COUNT(E33,E28,E29,E31,E35,E36)=6,E33+E28+E29+0+E31+0+0+E35-E36,"")</f>
        <v>0</v>
      </c>
      <c r="F58" s="59" t="n">
        <f>IF(COUNT(F33,F28,F29,F35,F36)=5,F33+F28+F29+0+0+0+0+F35-F36,"")</f>
        <v>0</v>
      </c>
      <c r="G58" s="59" t="n">
        <f>IF(COUNT(G33,G28,G29,G35,G36)=5,G33+G28+G29+0+0+0+0+G35-G36,"")</f>
        <v>0</v>
      </c>
      <c r="H58" s="59" t="n">
        <f>IF(COUNT(H33,H28,H29,H35,H36)=5,H33+H28+H29+0+0+0+0+H35-H36,"")</f>
        <v>0</v>
      </c>
      <c r="I58" s="59" t="n">
        <f>IF(COUNT(I33,I28,I29,I34,I35,I36)=6,I33+I28+I29+0+0+0+I34+I35-I36,"")</f>
        <v>0</v>
      </c>
      <c r="J58" s="59" t="n">
        <f>IF(COUNT(J33,J28,J29,J34,J35,J36)=6,J33+J28+J29+0+0+0+J34+J35-J36,"")</f>
        <v>0</v>
      </c>
      <c r="K58" s="59" t="n">
        <f>IF(COUNT(K33,K28,K29,K34,K35,K36)=6,K33+K28+K29+0+0+0+K34+K35-K36,"")</f>
        <v>0</v>
      </c>
      <c r="L58" s="59" t="n">
        <f>IF(COUNT(L33,L28,L29,L34,L35,L36)=6,L33+L28+L29+0+0+0+L34+L35-L36,"")</f>
        <v>0</v>
      </c>
      <c r="M58" s="59"/>
      <c r="N58" s="59"/>
      <c r="O58" s="59"/>
      <c r="P58" s="59" t="n">
        <f>IF(COUNT(P33,P28,P29,P34,P35,P36)=6,P33+P28+P29+0+0+0+P34+P35-P36,"")</f>
        <v>0</v>
      </c>
      <c r="Q58" s="59" t="n">
        <f>IF(COUNT(Q33,Q28,Q29,Q34,Q35,Q36)=6,Q33+Q28+Q29+0+0+0+Q34+Q35-Q36,"")</f>
        <v>0</v>
      </c>
      <c r="R58" s="59" t="n">
        <f>IF(COUNT(R33,R28,R29,R34,R35,R36)=6,R33+R28+R29+0+0+0+R34+R35-R36,"")</f>
        <v>0</v>
      </c>
      <c r="S58" s="59" t="n">
        <f>IF(COUNT(S33,S28,S29,S34,S35,S36)=6,S33+S28+S29+0+0+0+S34+S35-S36,"")</f>
        <v>0</v>
      </c>
      <c r="T58" s="59" t="n">
        <f>IF(COUNT(T33,T28,T29,T34,T35,T36)=6,T33+T28+T29+0+0+0+T34+T35-T36,"")</f>
        <v>0</v>
      </c>
      <c r="U58" s="59" t="n">
        <f>IF(COUNT(U33,U28,U29,U34,U35,U36)=6,U33+U28+U29+0+0+0+U34+U35-U36,"")</f>
        <v>0</v>
      </c>
      <c r="V58" s="59" t="n">
        <f>IF(COUNT(V33,V28,V29,V34,V35,V36)=6,V33+V28+V29+0+0+0+V34+V35-V36,"")</f>
        <v>0</v>
      </c>
      <c r="W58" s="59" t="n">
        <f>IF(COUNT(W33,W28,W29,W34,W35,W36)=6,W33+W28+W29+0+0+0+W34+W35-W36,"")</f>
        <v>0</v>
      </c>
      <c r="X58" s="59" t="n">
        <f>IF(COUNT(X33,X28,X29,X34,X35,X36)=6,X33+X28+X29+0+0+0+X34+X35-X36,"")</f>
        <v>0</v>
      </c>
      <c r="Y58" s="59" t="n">
        <f>IF(COUNT(Y33,Y28,Y29,Y34,Y35,Y36)=6,Y33+Y28+Y29+0+0+0+Y34+Y35-Y36,"")</f>
        <v>0</v>
      </c>
      <c r="Z58" s="59" t="n">
        <f>IF(COUNT(Z33,Z28,Z29,Z35,Z36)=5,Z33+Z28+Z29+0+0+0+0+Z35-Z36,"")</f>
        <v>0</v>
      </c>
      <c r="AA58" s="59" t="n">
        <f>IF(COUNT(AA33,AA28,AA29,AA35,AA36)=5,AA33+AA28+AA29+0+0+0+0+AA35-AA36,"")</f>
        <v>0</v>
      </c>
    </row>
    <row r="59" ht="36" customHeight="1">
      <c r="A59" s="49" t="str">
        <v>Check: liabilities, temporary equity and equity lines - total (should be 0)</v>
      </c>
      <c r="B59" s="3"/>
      <c r="C59" s="59" t="n">
        <f>IF(COUNT(C36,C37,C40,C41,C42,C51,C52)=7,C36+C37+0+0+C40+C41+C42+C51-C52,"")</f>
        <v>0</v>
      </c>
      <c r="D59" s="59" t="n">
        <f>IF(COUNT(D36,D37,D40,D41,D42,D51,D52)=7,D36+D37+0+0+D40+D41+D42+D51-D52,"")</f>
        <v>0</v>
      </c>
      <c r="E59" s="59" t="n">
        <f>IF(COUNT(E36,E37,E38,E39,E40,E41,E42,E51,E52)=9,E36+E37+E38+E39+E40+E41+E42+E51-E52,"")</f>
        <v>0</v>
      </c>
      <c r="F59" s="59" t="n">
        <f>IF(COUNT(F36,F37,F38,F39,F40,F41,F42,F51,F52)=9,F36+F37+F38+F39+F40+F41+F42+F51-F52,"")</f>
        <v>0</v>
      </c>
      <c r="G59" s="59" t="n">
        <f>IF(COUNT(G36,G37,G38,G39,G40,G41,G42,G51,G52)=9,G36+G37+G38+G39+G40+G41+G42+G51-G52,"")</f>
        <v>0</v>
      </c>
      <c r="H59" s="59" t="n">
        <f>IF(COUNT(H36,H37,H38,H39,H40,H41,H51,H52)=8,H36+H37+H38+H39+H40+H41+0+H51-H52,"")</f>
        <v>0</v>
      </c>
      <c r="I59" s="59" t="n">
        <f>IF(COUNT(I36,I37,I39,I40,I41,I51,I52)=7,I36+I37+0+I39+I40+I41+0+I51-I52,"")</f>
        <v>0</v>
      </c>
      <c r="J59" s="59" t="n">
        <f>IF(COUNT(J36,J37,J41,J51,J52)=5,J36+J37+0+0+0+J41+0+J51-J52,"")</f>
        <v>0</v>
      </c>
      <c r="K59" s="59" t="n">
        <f>IF(COUNT(K36,K37,K41,K51,K52)=5,K36+K37+0+0+0+K41+0+K51-K52,"")</f>
        <v>0</v>
      </c>
      <c r="L59" s="59" t="n">
        <f>IF(COUNT(L36,L37,L41,L51,L52)=5,L36+L37+0+0+0+L41+0+L51-L52,"")</f>
        <v>0</v>
      </c>
      <c r="M59" s="59"/>
      <c r="N59" s="59"/>
      <c r="O59" s="59"/>
      <c r="P59" s="59" t="n">
        <f>IF(COUNT(P36,P37,P41,P51,P52)=5,P36+P37+0+0+0+P41+0+P51-P52,"")</f>
        <v>0</v>
      </c>
      <c r="Q59" s="59" t="n">
        <f>IF(COUNT(Q36,Q37,Q41,Q51,Q52)=5,Q36+Q37+0+0+0+Q41+0+Q51-Q52,"")</f>
        <v>0</v>
      </c>
      <c r="R59" s="59" t="n">
        <f>IF(COUNT(R36,R37,R41,R51,R52)=5,R36+R37+0+0+0+R41+0+R51-R52,"")</f>
        <v>0</v>
      </c>
      <c r="S59" s="59" t="n">
        <f>IF(COUNT(S36,S37,S41,S51,S52)=5,S36+S37+0+0+0+S41+0+S51-S52,"")</f>
        <v>0</v>
      </c>
      <c r="T59" s="59" t="n">
        <f>IF(COUNT(T36,T37,T41,T51,T52)=5,T36+T37+0+0+0+T41+0+T51-T52,"")</f>
        <v>0</v>
      </c>
      <c r="U59" s="59" t="n">
        <f>IF(COUNT(U36,U37,U41,U51,U52)=5,U36+U37+0+0+0+U41+0+U51-U52,"")</f>
        <v>0</v>
      </c>
      <c r="V59" s="59" t="n">
        <f>IF(COUNT(V36,V37,V41,V51,V52)=5,V36+V37+0+0+0+V41+0+V51-V52,"")</f>
        <v>0</v>
      </c>
      <c r="W59" s="59" t="n">
        <f>IF(COUNT(W36,W37,W41,W51,W52)=5,W36+W37+0+0+0+W41+0+W51-W52,"")</f>
        <v>0</v>
      </c>
      <c r="X59" s="59" t="n">
        <f>IF(COUNT(X36,X37,X41,X51,X52)=5,X36+X37+0+0+0+X41+0+X51-X52,"")</f>
        <v>0</v>
      </c>
      <c r="Y59" s="59" t="n">
        <f>IF(COUNT(Y36,Y37,Y41,Y51,Y52)=5,Y36+Y37+0+0+0+Y41+0+Y51-Y52,"")</f>
        <v>0</v>
      </c>
      <c r="Z59" s="59" t="n">
        <f>IF(COUNT(Z36,Z37,Z41,Z51,Z52)=5,Z36+Z37+0+0+0+Z41+0+Z51-Z52,"")</f>
        <v>0</v>
      </c>
      <c r="AA59" s="59" t="n">
        <f>IF(COUNT(AA36,AA37,AA41,AA51,AA52)=5,AA36+AA37+0+0+0+AA41+0+AA51-AA52,"")</f>
        <v>0</v>
      </c>
    </row>
    <row r="60" ht="36" customHeight="1">
      <c r="A60" s="49" t="str">
        <v>Check: Intel equity components - Intel stockholders' equity (should be 0; FY2022+ presentation)</v>
      </c>
      <c r="B60" s="3"/>
      <c r="C60" s="59"/>
      <c r="D60" s="59"/>
      <c r="E60" s="59"/>
      <c r="F60" s="59"/>
      <c r="G60" s="59"/>
      <c r="H60" s="59"/>
      <c r="I60" s="59" t="n">
        <f>IF(COUNT(I45,I46,I47,I48,I49)=5,I45+I46+I47+I48-I49,"")</f>
        <v>0</v>
      </c>
      <c r="J60" s="59" t="n">
        <f>IF(COUNT(J45,J46,J47,J48,J49)=5,J45+J46+J47+J48-J49,"")</f>
        <v>0</v>
      </c>
      <c r="K60" s="59" t="n">
        <f>IF(COUNT(K45,K46,K47,K48,K49)=5,K45+K46+K47+K48-K49,"")</f>
        <v>0</v>
      </c>
      <c r="L60" s="59" t="n">
        <f>IF(COUNT(L45,L46,L47,L48,L49)=5,L45+L46+L47+L48-L49,"")</f>
        <v>0</v>
      </c>
      <c r="M60" s="59"/>
      <c r="N60" s="59"/>
      <c r="O60" s="59"/>
      <c r="P60" s="59" t="n">
        <f>IF(COUNT(P46,P47,P48,P49)=4,0+P46+P47+P48-P49,"")</f>
        <v>0</v>
      </c>
      <c r="Q60" s="59" t="n">
        <f>IF(COUNT(Q45,Q46,Q47,Q48,Q49)=5,Q45+Q46+Q47+Q48-Q49,"")</f>
        <v>0</v>
      </c>
      <c r="R60" s="59" t="n">
        <f>IF(COUNT(R46,R47,R48,R49)=4,0+R46+R47+R48-R49,"")</f>
        <v>0</v>
      </c>
      <c r="S60" s="59" t="n">
        <f>IF(COUNT(S46,S47,S48,S49)=4,0+S46+S47+S48-S49,"")</f>
        <v>0</v>
      </c>
      <c r="T60" s="59" t="n">
        <f>IF(COUNT(T46,T47,T48,T49)=4,0+T46+T47+T48-T49,"")</f>
        <v>0</v>
      </c>
      <c r="U60" s="59" t="n">
        <f>IF(COUNT(U45,U46,U47,U48,U49)=5,U45+U46+U47+U48-U49,"")</f>
        <v>0</v>
      </c>
      <c r="V60" s="59" t="n">
        <f>IF(COUNT(V46,V47,V48,V49)=4,0+V46+V47+V48-V49,"")</f>
        <v>0</v>
      </c>
      <c r="W60" s="59" t="n">
        <f>IF(COUNT(W46,W47,W48,W49)=4,0+W46+W47+W48-W49,"")</f>
        <v>0</v>
      </c>
      <c r="X60" s="59" t="n">
        <f>IF(COUNT(X46,X47,X48,X49)=4,0+X46+X47+X48-X49,"")</f>
        <v>0</v>
      </c>
      <c r="Y60" s="59" t="n">
        <f>IF(COUNT(Y45,Y46,Y47,Y48,Y49)=5,Y45+Y46+Y47+Y48-Y49,"")</f>
        <v>0</v>
      </c>
      <c r="Z60" s="59" t="n">
        <f>IF(COUNT(Z46,Z47,Z48,Z49)=4,0+Z46+Z47+Z48-Z49,"")</f>
        <v>0</v>
      </c>
      <c r="AA60" s="59" t="n">
        <f>IF(COUNT(AA46,AA47,AA48,AA49)=4,0+AA46+AA47+AA48-AA49,"")</f>
        <v>0</v>
      </c>
    </row>
    <row r="61" ht="36" customHeight="1">
      <c r="A61" s="49" t="str">
        <v>Check: Intel equity + NCI - total equity (should be 0; FY2022+)</v>
      </c>
      <c r="B61" s="3"/>
      <c r="C61" s="59"/>
      <c r="D61" s="59"/>
      <c r="E61" s="59"/>
      <c r="F61" s="59"/>
      <c r="G61" s="59"/>
      <c r="H61" s="59"/>
      <c r="I61" s="59" t="n">
        <f>IF(COUNT(I49,I50,I51)=3,I49+I50-I51,"")</f>
        <v>0</v>
      </c>
      <c r="J61" s="59" t="n">
        <f>IF(COUNT(J49,J50,J51)=3,J49+J50-J51,"")</f>
        <v>0</v>
      </c>
      <c r="K61" s="59" t="n">
        <f>IF(COUNT(K49,K50,K51)=3,K49+K50-K51,"")</f>
        <v>0</v>
      </c>
      <c r="L61" s="59" t="n">
        <f>IF(COUNT(L49,L50,L51)=3,L49+L50-L51,"")</f>
        <v>0</v>
      </c>
      <c r="M61" s="59"/>
      <c r="N61" s="59"/>
      <c r="O61" s="59"/>
      <c r="P61" s="59" t="n">
        <f>IF(COUNT(P49,P50,P51)=3,P49+P50-P51,"")</f>
        <v>0</v>
      </c>
      <c r="Q61" s="59" t="n">
        <f>IF(COUNT(Q49,Q50,Q51)=3,Q49+Q50-Q51,"")</f>
        <v>0</v>
      </c>
      <c r="R61" s="59" t="n">
        <f>IF(COUNT(R49,R50,R51)=3,R49+R50-R51,"")</f>
        <v>0</v>
      </c>
      <c r="S61" s="59" t="n">
        <f>IF(COUNT(S49,S50,S51)=3,S49+S50-S51,"")</f>
        <v>0</v>
      </c>
      <c r="T61" s="59" t="n">
        <f>IF(COUNT(T49,T50,T51)=3,T49+T50-T51,"")</f>
        <v>0</v>
      </c>
      <c r="U61" s="59" t="n">
        <f>IF(COUNT(U49,U50,U51)=3,U49+U50-U51,"")</f>
        <v>0</v>
      </c>
      <c r="V61" s="59" t="n">
        <f>IF(COUNT(V49,V50,V51)=3,V49+V50-V51,"")</f>
        <v>0</v>
      </c>
      <c r="W61" s="59" t="n">
        <f>IF(COUNT(W49,W50,W51)=3,W49+W50-W51,"")</f>
        <v>0</v>
      </c>
      <c r="X61" s="59" t="n">
        <f>IF(COUNT(X49,X50,X51)=3,X49+X50-X51,"")</f>
        <v>0</v>
      </c>
      <c r="Y61" s="59" t="n">
        <f>IF(COUNT(Y49,Y50,Y51)=3,Y49+Y50-Y51,"")</f>
        <v>0</v>
      </c>
      <c r="Z61" s="59" t="n">
        <f>IF(COUNT(Z49,Z50,Z51)=3,Z49+Z50-Z51,"")</f>
        <v>0</v>
      </c>
      <c r="AA61" s="59" t="n">
        <f>IF(COUNT(AA49,AA50,AA51)=3,AA49+AA50-AA51,"")</f>
        <v>0</v>
      </c>
    </row>
    <row r="62" ht="36" customHeight="1">
      <c r="A62" s="49" t="str">
        <v>Check: total assets - total liabilities and equity (should be 0)</v>
      </c>
      <c r="B62" s="3"/>
      <c r="C62" s="59" t="n">
        <f>IF(COUNT(C25,C52)=2,C25-C52,"")</f>
        <v>0</v>
      </c>
      <c r="D62" s="59" t="n">
        <f>IF(COUNT(D25,D52)=2,D25-D52,"")</f>
        <v>0</v>
      </c>
      <c r="E62" s="59" t="n">
        <f>IF(COUNT(E25,E52)=2,E25-E52,"")</f>
        <v>0</v>
      </c>
      <c r="F62" s="59" t="n">
        <f>IF(COUNT(F25,F52)=2,F25-F52,"")</f>
        <v>0</v>
      </c>
      <c r="G62" s="59" t="n">
        <f>IF(COUNT(G25,G52)=2,G25-G52,"")</f>
        <v>0</v>
      </c>
      <c r="H62" s="59" t="n">
        <f>IF(COUNT(H25,H52)=2,H25-H52,"")</f>
        <v>0</v>
      </c>
      <c r="I62" s="59" t="n">
        <f>IF(COUNT(I25,I52)=2,I25-I52,"")</f>
        <v>0</v>
      </c>
      <c r="J62" s="59" t="n">
        <f>IF(COUNT(J25,J52)=2,J25-J52,"")</f>
        <v>0</v>
      </c>
      <c r="K62" s="59" t="n">
        <f>IF(COUNT(K25,K52)=2,K25-K52,"")</f>
        <v>0</v>
      </c>
      <c r="L62" s="59" t="n">
        <f>IF(COUNT(L25,L52)=2,L25-L52,"")</f>
        <v>0</v>
      </c>
      <c r="M62" s="59"/>
      <c r="N62" s="59"/>
      <c r="O62" s="59"/>
      <c r="P62" s="59" t="n">
        <f>IF(COUNT(P25,P52)=2,P25-P52,"")</f>
        <v>0</v>
      </c>
      <c r="Q62" s="59" t="n">
        <f>IF(COUNT(Q25,Q52)=2,Q25-Q52,"")</f>
        <v>0</v>
      </c>
      <c r="R62" s="59" t="n">
        <f>IF(COUNT(R25,R52)=2,R25-R52,"")</f>
        <v>0</v>
      </c>
      <c r="S62" s="59" t="n">
        <f>IF(COUNT(S25,S52)=2,S25-S52,"")</f>
        <v>0</v>
      </c>
      <c r="T62" s="59" t="n">
        <f>IF(COUNT(T25,T52)=2,T25-T52,"")</f>
        <v>0</v>
      </c>
      <c r="U62" s="59" t="n">
        <f>IF(COUNT(U25,U52)=2,U25-U52,"")</f>
        <v>0</v>
      </c>
      <c r="V62" s="59" t="n">
        <f>IF(COUNT(V25,V52)=2,V25-V52,"")</f>
        <v>0</v>
      </c>
      <c r="W62" s="59" t="n">
        <f>IF(COUNT(W25,W52)=2,W25-W52,"")</f>
        <v>0</v>
      </c>
      <c r="X62" s="59" t="n">
        <f>IF(COUNT(X25,X52)=2,X25-X52,"")</f>
        <v>0</v>
      </c>
      <c r="Y62" s="59" t="n">
        <f>IF(COUNT(Y25,Y52)=2,Y25-Y52,"")</f>
        <v>0</v>
      </c>
      <c r="Z62" s="59" t="n">
        <f>IF(COUNT(Z25,Z52)=2,Z25-Z52,"")</f>
        <v>0</v>
      </c>
      <c r="AA62" s="59" t="n">
        <f>IF(COUNT(AA25,AA52)=2,AA25-AA52,"")</f>
        <v>0</v>
      </c>
    </row>
    <row r="63" ht="8"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22" customHeight="1">
      <c r="A64" s="21" t="str">
        <v>Opening-balance inputs: 26 December 2015</v>
      </c>
      <c r="B64" s="21" t="str">
        <v>Opening-balance inputs: 26 December 2015</v>
      </c>
      <c r="C64" s="21" t="str">
        <v>Opening-balance inputs: 26 December 2015</v>
      </c>
      <c r="D64" s="21" t="str">
        <v>Opening-balance inputs: 26 December 2015</v>
      </c>
      <c r="E64" s="21" t="str">
        <v>Opening-balance inputs: 26 December 2015</v>
      </c>
      <c r="F64" s="21" t="str">
        <v>Opening-balance inputs: 26 December 2015</v>
      </c>
      <c r="G64" s="21" t="str">
        <v>Opening-balance inputs: 26 December 2015</v>
      </c>
      <c r="H64" s="21" t="str">
        <v>Opening-balance inputs: 26 December 2015</v>
      </c>
      <c r="I64" s="21" t="str">
        <v>Opening-balance inputs: 26 December 2015</v>
      </c>
      <c r="J64" s="21" t="str">
        <v>Opening-balance inputs: 26 December 2015</v>
      </c>
      <c r="K64" s="21" t="str">
        <v>Opening-balance inputs: 26 December 2015</v>
      </c>
      <c r="L64" s="21" t="str">
        <v>Opening-balance inputs: 26 December 2015</v>
      </c>
      <c r="M64" s="21" t="str">
        <v>Opening-balance inputs: 26 December 2015</v>
      </c>
      <c r="N64" s="21" t="str">
        <v>Opening-balance inputs: 26 December 2015</v>
      </c>
      <c r="O64" s="21" t="str">
        <v>Opening-balance inputs: 26 December 2015</v>
      </c>
      <c r="P64" s="21" t="str">
        <v>Opening-balance inputs: 26 December 2015</v>
      </c>
      <c r="Q64" s="21" t="str">
        <v>Opening-balance inputs: 26 December 2015</v>
      </c>
      <c r="R64" s="21" t="str">
        <v>Opening-balance inputs: 26 December 2015</v>
      </c>
      <c r="S64" s="21" t="str">
        <v>Opening-balance inputs: 26 December 2015</v>
      </c>
      <c r="T64" s="21" t="str">
        <v>Opening-balance inputs: 26 December 2015</v>
      </c>
      <c r="U64" s="21" t="str">
        <v>Opening-balance inputs: 26 December 2015</v>
      </c>
      <c r="V64" s="21" t="str">
        <v>Opening-balance inputs: 26 December 2015</v>
      </c>
      <c r="W64" s="21" t="str">
        <v>Opening-balance inputs: 26 December 2015</v>
      </c>
      <c r="X64" s="21" t="str">
        <v>Opening-balance inputs: 26 December 2015</v>
      </c>
      <c r="Y64" s="21" t="str">
        <v>Opening-balance inputs: 26 December 2015</v>
      </c>
      <c r="Z64" s="21" t="str">
        <v>Opening-balance inputs: 26 December 2015</v>
      </c>
      <c r="AA64" s="21" t="str">
        <v>Opening-balance inputs: 26 December 2015</v>
      </c>
    </row>
    <row r="65" ht="18" customHeight="1">
      <c r="A65" s="22" t="str">
        <v>These explicitly dated opening inputs appear in the FY2016 column only; they are 26 December 2015 balances, not FY2016 closing values.</v>
      </c>
      <c r="B65" s="22" t="str">
        <v>These explicitly dated opening inputs appear in the FY2016 column only; they are 26 December 2015 balances, not FY2016 closing values.</v>
      </c>
      <c r="C65" s="22" t="str">
        <v>These explicitly dated opening inputs appear in the FY2016 column only; they are 26 December 2015 balances, not FY2016 closing values.</v>
      </c>
      <c r="D65" s="22" t="str">
        <v>These explicitly dated opening inputs appear in the FY2016 column only; they are 26 December 2015 balances, not FY2016 closing values.</v>
      </c>
      <c r="E65" s="22" t="str">
        <v>These explicitly dated opening inputs appear in the FY2016 column only; they are 26 December 2015 balances, not FY2016 closing values.</v>
      </c>
      <c r="F65" s="22" t="str">
        <v>These explicitly dated opening inputs appear in the FY2016 column only; they are 26 December 2015 balances, not FY2016 closing values.</v>
      </c>
      <c r="G65" s="22" t="str">
        <v>These explicitly dated opening inputs appear in the FY2016 column only; they are 26 December 2015 balances, not FY2016 closing values.</v>
      </c>
      <c r="H65" s="22" t="str">
        <v>These explicitly dated opening inputs appear in the FY2016 column only; they are 26 December 2015 balances, not FY2016 closing values.</v>
      </c>
      <c r="I65" s="22" t="str">
        <v>These explicitly dated opening inputs appear in the FY2016 column only; they are 26 December 2015 balances, not FY2016 closing values.</v>
      </c>
      <c r="J65" s="22" t="str">
        <v>These explicitly dated opening inputs appear in the FY2016 column only; they are 26 December 2015 balances, not FY2016 closing values.</v>
      </c>
      <c r="K65" s="22" t="str">
        <v>These explicitly dated opening inputs appear in the FY2016 column only; they are 26 December 2015 balances, not FY2016 closing values.</v>
      </c>
      <c r="L65" s="22" t="str">
        <v>These explicitly dated opening inputs appear in the FY2016 column only; they are 26 December 2015 balances, not FY2016 closing values.</v>
      </c>
      <c r="M65" s="22" t="str">
        <v>These explicitly dated opening inputs appear in the FY2016 column only; they are 26 December 2015 balances, not FY2016 closing values.</v>
      </c>
      <c r="N65" s="22" t="str">
        <v>These explicitly dated opening inputs appear in the FY2016 column only; they are 26 December 2015 balances, not FY2016 closing values.</v>
      </c>
      <c r="O65" s="22" t="str">
        <v>These explicitly dated opening inputs appear in the FY2016 column only; they are 26 December 2015 balances, not FY2016 closing values.</v>
      </c>
      <c r="P65" s="22" t="str">
        <v>These explicitly dated opening inputs appear in the FY2016 column only; they are 26 December 2015 balances, not FY2016 closing values.</v>
      </c>
      <c r="Q65" s="22" t="str">
        <v>These explicitly dated opening inputs appear in the FY2016 column only; they are 26 December 2015 balances, not FY2016 closing values.</v>
      </c>
      <c r="R65" s="22" t="str">
        <v>These explicitly dated opening inputs appear in the FY2016 column only; they are 26 December 2015 balances, not FY2016 closing values.</v>
      </c>
      <c r="S65" s="22" t="str">
        <v>These explicitly dated opening inputs appear in the FY2016 column only; they are 26 December 2015 balances, not FY2016 closing values.</v>
      </c>
      <c r="T65" s="22" t="str">
        <v>These explicitly dated opening inputs appear in the FY2016 column only; they are 26 December 2015 balances, not FY2016 closing values.</v>
      </c>
      <c r="U65" s="22" t="str">
        <v>These explicitly dated opening inputs appear in the FY2016 column only; they are 26 December 2015 balances, not FY2016 closing values.</v>
      </c>
      <c r="V65" s="22" t="str">
        <v>These explicitly dated opening inputs appear in the FY2016 column only; they are 26 December 2015 balances, not FY2016 closing values.</v>
      </c>
      <c r="W65" s="22" t="str">
        <v>These explicitly dated opening inputs appear in the FY2016 column only; they are 26 December 2015 balances, not FY2016 closing values.</v>
      </c>
      <c r="X65" s="22" t="str">
        <v>These explicitly dated opening inputs appear in the FY2016 column only; they are 26 December 2015 balances, not FY2016 closing values.</v>
      </c>
      <c r="Y65" s="22" t="str">
        <v>These explicitly dated opening inputs appear in the FY2016 column only; they are 26 December 2015 balances, not FY2016 closing values.</v>
      </c>
      <c r="Z65" s="22" t="str">
        <v>These explicitly dated opening inputs appear in the FY2016 column only; they are 26 December 2015 balances, not FY2016 closing values.</v>
      </c>
      <c r="AA65" s="22" t="str">
        <v>These explicitly dated opening inputs appear in the FY2016 column only; they are 26 December 2015 balances, not FY2016 closing values.</v>
      </c>
    </row>
    <row r="66" ht="22" customHeight="1">
      <c r="A66" s="49" t="str">
        <v>Opening 2016: Cash and cash equivalents</v>
      </c>
      <c r="B66" s="3"/>
      <c r="C66" s="51" t="n">
        <v>15308</v>
      </c>
      <c r="D66" s="51"/>
      <c r="E66" s="51"/>
      <c r="F66" s="51"/>
      <c r="G66" s="51"/>
      <c r="H66" s="51"/>
      <c r="I66" s="51"/>
      <c r="J66" s="51"/>
      <c r="K66" s="51"/>
      <c r="L66" s="51"/>
      <c r="M66" s="51"/>
      <c r="N66" s="51"/>
      <c r="O66" s="51"/>
      <c r="P66" s="51"/>
      <c r="Q66" s="51"/>
      <c r="R66" s="51"/>
      <c r="S66" s="51"/>
      <c r="T66" s="51"/>
      <c r="U66" s="51"/>
      <c r="V66" s="51"/>
      <c r="W66" s="51"/>
      <c r="X66" s="51"/>
      <c r="Y66" s="51"/>
      <c r="Z66" s="51"/>
      <c r="AA66" s="51"/>
    </row>
    <row r="67" ht="22" customHeight="1">
      <c r="A67" s="49" t="str">
        <v>Opening 2016: Short-term investments</v>
      </c>
      <c r="B67" s="3"/>
      <c r="C67" s="51" t="n">
        <v>2682</v>
      </c>
      <c r="D67" s="51"/>
      <c r="E67" s="51"/>
      <c r="F67" s="51"/>
      <c r="G67" s="51"/>
      <c r="H67" s="51"/>
      <c r="I67" s="51"/>
      <c r="J67" s="51"/>
      <c r="K67" s="51"/>
      <c r="L67" s="51"/>
      <c r="M67" s="51"/>
      <c r="N67" s="51"/>
      <c r="O67" s="51"/>
      <c r="P67" s="51"/>
      <c r="Q67" s="51"/>
      <c r="R67" s="51"/>
      <c r="S67" s="51"/>
      <c r="T67" s="51"/>
      <c r="U67" s="51"/>
      <c r="V67" s="51"/>
      <c r="W67" s="51"/>
      <c r="X67" s="51"/>
      <c r="Y67" s="51"/>
      <c r="Z67" s="51"/>
      <c r="AA67" s="51"/>
    </row>
    <row r="68" ht="22" customHeight="1">
      <c r="A68" s="49" t="str">
        <v>Opening 2016: Trading assets</v>
      </c>
      <c r="B68" s="3"/>
      <c r="C68" s="51" t="n">
        <v>7323</v>
      </c>
      <c r="D68" s="51"/>
      <c r="E68" s="51"/>
      <c r="F68" s="51"/>
      <c r="G68" s="51"/>
      <c r="H68" s="51"/>
      <c r="I68" s="51"/>
      <c r="J68" s="51"/>
      <c r="K68" s="51"/>
      <c r="L68" s="51"/>
      <c r="M68" s="51"/>
      <c r="N68" s="51"/>
      <c r="O68" s="51"/>
      <c r="P68" s="51"/>
      <c r="Q68" s="51"/>
      <c r="R68" s="51"/>
      <c r="S68" s="51"/>
      <c r="T68" s="51"/>
      <c r="U68" s="51"/>
      <c r="V68" s="51"/>
      <c r="W68" s="51"/>
      <c r="X68" s="51"/>
      <c r="Y68" s="51"/>
      <c r="Z68" s="51"/>
      <c r="AA68" s="51"/>
    </row>
    <row r="69" ht="22" customHeight="1">
      <c r="A69" s="49" t="str">
        <v>Opening 2016: Accounts receivable</v>
      </c>
      <c r="B69" s="3"/>
      <c r="C69" s="51" t="n">
        <v>4787</v>
      </c>
      <c r="D69" s="51"/>
      <c r="E69" s="51"/>
      <c r="F69" s="51"/>
      <c r="G69" s="51"/>
      <c r="H69" s="51"/>
      <c r="I69" s="51"/>
      <c r="J69" s="51"/>
      <c r="K69" s="51"/>
      <c r="L69" s="51"/>
      <c r="M69" s="51"/>
      <c r="N69" s="51"/>
      <c r="O69" s="51"/>
      <c r="P69" s="51"/>
      <c r="Q69" s="51"/>
      <c r="R69" s="51"/>
      <c r="S69" s="51"/>
      <c r="T69" s="51"/>
      <c r="U69" s="51"/>
      <c r="V69" s="51"/>
      <c r="W69" s="51"/>
      <c r="X69" s="51"/>
      <c r="Y69" s="51"/>
      <c r="Z69" s="51"/>
      <c r="AA69" s="51"/>
    </row>
    <row r="70" ht="22" customHeight="1">
      <c r="A70" s="49" t="str">
        <v>Opening 2016: Inventories</v>
      </c>
      <c r="B70" s="3"/>
      <c r="C70" s="51" t="n">
        <v>5167</v>
      </c>
      <c r="D70" s="51"/>
      <c r="E70" s="51"/>
      <c r="F70" s="51"/>
      <c r="G70" s="51"/>
      <c r="H70" s="51"/>
      <c r="I70" s="51"/>
      <c r="J70" s="51"/>
      <c r="K70" s="51"/>
      <c r="L70" s="51"/>
      <c r="M70" s="51"/>
      <c r="N70" s="51"/>
      <c r="O70" s="51"/>
      <c r="P70" s="51"/>
      <c r="Q70" s="51"/>
      <c r="R70" s="51"/>
      <c r="S70" s="51"/>
      <c r="T70" s="51"/>
      <c r="U70" s="51"/>
      <c r="V70" s="51"/>
      <c r="W70" s="51"/>
      <c r="X70" s="51"/>
      <c r="Y70" s="51"/>
      <c r="Z70" s="51"/>
      <c r="AA70" s="51"/>
    </row>
    <row r="71" ht="22" customHeight="1">
      <c r="A71" s="49" t="str">
        <v>Opening 2016: Total assets</v>
      </c>
      <c r="B71" s="3"/>
      <c r="C71" s="51" t="n">
        <v>101459</v>
      </c>
      <c r="D71" s="51"/>
      <c r="E71" s="51"/>
      <c r="F71" s="51"/>
      <c r="G71" s="51"/>
      <c r="H71" s="51"/>
      <c r="I71" s="51"/>
      <c r="J71" s="51"/>
      <c r="K71" s="51"/>
      <c r="L71" s="51"/>
      <c r="M71" s="51"/>
      <c r="N71" s="51"/>
      <c r="O71" s="51"/>
      <c r="P71" s="51"/>
      <c r="Q71" s="51"/>
      <c r="R71" s="51"/>
      <c r="S71" s="51"/>
      <c r="T71" s="51"/>
      <c r="U71" s="51"/>
      <c r="V71" s="51"/>
      <c r="W71" s="51"/>
      <c r="X71" s="51"/>
      <c r="Y71" s="51"/>
      <c r="Z71" s="51"/>
      <c r="AA71" s="51"/>
    </row>
    <row r="72" ht="22" customHeight="1">
      <c r="A72" s="49" t="str">
        <v>Opening 2016: Marketable equity securities</v>
      </c>
      <c r="B72" s="3"/>
      <c r="C72" s="51" t="n">
        <v>5960</v>
      </c>
      <c r="D72" s="51"/>
      <c r="E72" s="51"/>
      <c r="F72" s="51"/>
      <c r="G72" s="51"/>
      <c r="H72" s="51"/>
      <c r="I72" s="51"/>
      <c r="J72" s="51"/>
      <c r="K72" s="51"/>
      <c r="L72" s="51"/>
      <c r="M72" s="51"/>
      <c r="N72" s="51"/>
      <c r="O72" s="51"/>
      <c r="P72" s="51"/>
      <c r="Q72" s="51"/>
      <c r="R72" s="51"/>
      <c r="S72" s="51"/>
      <c r="T72" s="51"/>
      <c r="U72" s="51"/>
      <c r="V72" s="51"/>
      <c r="W72" s="51"/>
      <c r="X72" s="51"/>
      <c r="Y72" s="51"/>
      <c r="Z72" s="51"/>
      <c r="AA72" s="51"/>
    </row>
    <row r="73" ht="22" customHeight="1">
      <c r="A73" s="49" t="str">
        <v>Opening 2016: Other long-term investments</v>
      </c>
      <c r="B73" s="3"/>
      <c r="C73" s="51" t="n">
        <v>1891</v>
      </c>
      <c r="D73" s="51"/>
      <c r="E73" s="51"/>
      <c r="F73" s="51"/>
      <c r="G73" s="51"/>
      <c r="H73" s="51"/>
      <c r="I73" s="51"/>
      <c r="J73" s="51"/>
      <c r="K73" s="51"/>
      <c r="L73" s="51"/>
      <c r="M73" s="51"/>
      <c r="N73" s="51"/>
      <c r="O73" s="51"/>
      <c r="P73" s="51"/>
      <c r="Q73" s="51"/>
      <c r="R73" s="51"/>
      <c r="S73" s="51"/>
      <c r="T73" s="51"/>
      <c r="U73" s="51"/>
      <c r="V73" s="51"/>
      <c r="W73" s="51"/>
      <c r="X73" s="51"/>
      <c r="Y73" s="51"/>
      <c r="Z73" s="51"/>
      <c r="AA73" s="51"/>
    </row>
    <row r="74" ht="8"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22" customHeight="1">
      <c r="A75" s="21" t="str">
        <v>Opening financial-note inputs: 26 December 2015</v>
      </c>
      <c r="B75" s="21" t="str">
        <v>Opening financial-note inputs: 26 December 2015</v>
      </c>
      <c r="C75" s="21" t="str">
        <v>Opening financial-note inputs: 26 December 2015</v>
      </c>
      <c r="D75" s="21" t="str">
        <v>Opening financial-note inputs: 26 December 2015</v>
      </c>
      <c r="E75" s="21" t="str">
        <v>Opening financial-note inputs: 26 December 2015</v>
      </c>
      <c r="F75" s="21" t="str">
        <v>Opening financial-note inputs: 26 December 2015</v>
      </c>
      <c r="G75" s="21" t="str">
        <v>Opening financial-note inputs: 26 December 2015</v>
      </c>
      <c r="H75" s="21" t="str">
        <v>Opening financial-note inputs: 26 December 2015</v>
      </c>
      <c r="I75" s="21" t="str">
        <v>Opening financial-note inputs: 26 December 2015</v>
      </c>
      <c r="J75" s="21" t="str">
        <v>Opening financial-note inputs: 26 December 2015</v>
      </c>
      <c r="K75" s="21" t="str">
        <v>Opening financial-note inputs: 26 December 2015</v>
      </c>
      <c r="L75" s="21" t="str">
        <v>Opening financial-note inputs: 26 December 2015</v>
      </c>
      <c r="M75" s="21" t="str">
        <v>Opening financial-note inputs: 26 December 2015</v>
      </c>
      <c r="N75" s="21" t="str">
        <v>Opening financial-note inputs: 26 December 2015</v>
      </c>
      <c r="O75" s="21" t="str">
        <v>Opening financial-note inputs: 26 December 2015</v>
      </c>
      <c r="P75" s="21" t="str">
        <v>Opening financial-note inputs: 26 December 2015</v>
      </c>
      <c r="Q75" s="21" t="str">
        <v>Opening financial-note inputs: 26 December 2015</v>
      </c>
      <c r="R75" s="21" t="str">
        <v>Opening financial-note inputs: 26 December 2015</v>
      </c>
      <c r="S75" s="21" t="str">
        <v>Opening financial-note inputs: 26 December 2015</v>
      </c>
      <c r="T75" s="21" t="str">
        <v>Opening financial-note inputs: 26 December 2015</v>
      </c>
      <c r="U75" s="21" t="str">
        <v>Opening financial-note inputs: 26 December 2015</v>
      </c>
      <c r="V75" s="21" t="str">
        <v>Opening financial-note inputs: 26 December 2015</v>
      </c>
      <c r="W75" s="21" t="str">
        <v>Opening financial-note inputs: 26 December 2015</v>
      </c>
      <c r="X75" s="21" t="str">
        <v>Opening financial-note inputs: 26 December 2015</v>
      </c>
      <c r="Y75" s="21" t="str">
        <v>Opening financial-note inputs: 26 December 2015</v>
      </c>
      <c r="Z75" s="21" t="str">
        <v>Opening financial-note inputs: 26 December 2015</v>
      </c>
      <c r="AA75" s="21" t="str">
        <v>Opening financial-note inputs: 26 December 2015</v>
      </c>
    </row>
    <row r="76" ht="18" customHeight="1">
      <c r="A76" s="22" t="str">
        <v>Explicitly dated opening stocks, displayed in FY2016 column only. Operating hedges remain in IC; marketable equity is not counted again.</v>
      </c>
      <c r="B76" s="22" t="str">
        <v>Explicitly dated opening stocks, displayed in FY2016 column only. Operating hedges remain in IC; marketable equity is not counted again.</v>
      </c>
      <c r="C76" s="22" t="str">
        <v>Explicitly dated opening stocks, displayed in FY2016 column only. Operating hedges remain in IC; marketable equity is not counted again.</v>
      </c>
      <c r="D76" s="22" t="str">
        <v>Explicitly dated opening stocks, displayed in FY2016 column only. Operating hedges remain in IC; marketable equity is not counted again.</v>
      </c>
      <c r="E76" s="22" t="str">
        <v>Explicitly dated opening stocks, displayed in FY2016 column only. Operating hedges remain in IC; marketable equity is not counted again.</v>
      </c>
      <c r="F76" s="22" t="str">
        <v>Explicitly dated opening stocks, displayed in FY2016 column only. Operating hedges remain in IC; marketable equity is not counted again.</v>
      </c>
      <c r="G76" s="22" t="str">
        <v>Explicitly dated opening stocks, displayed in FY2016 column only. Operating hedges remain in IC; marketable equity is not counted again.</v>
      </c>
      <c r="H76" s="22" t="str">
        <v>Explicitly dated opening stocks, displayed in FY2016 column only. Operating hedges remain in IC; marketable equity is not counted again.</v>
      </c>
      <c r="I76" s="22" t="str">
        <v>Explicitly dated opening stocks, displayed in FY2016 column only. Operating hedges remain in IC; marketable equity is not counted again.</v>
      </c>
      <c r="J76" s="22" t="str">
        <v>Explicitly dated opening stocks, displayed in FY2016 column only. Operating hedges remain in IC; marketable equity is not counted again.</v>
      </c>
      <c r="K76" s="22" t="str">
        <v>Explicitly dated opening stocks, displayed in FY2016 column only. Operating hedges remain in IC; marketable equity is not counted again.</v>
      </c>
      <c r="L76" s="22" t="str">
        <v>Explicitly dated opening stocks, displayed in FY2016 column only. Operating hedges remain in IC; marketable equity is not counted again.</v>
      </c>
      <c r="M76" s="22" t="str">
        <v>Explicitly dated opening stocks, displayed in FY2016 column only. Operating hedges remain in IC; marketable equity is not counted again.</v>
      </c>
      <c r="N76" s="22" t="str">
        <v>Explicitly dated opening stocks, displayed in FY2016 column only. Operating hedges remain in IC; marketable equity is not counted again.</v>
      </c>
      <c r="O76" s="22" t="str">
        <v>Explicitly dated opening stocks, displayed in FY2016 column only. Operating hedges remain in IC; marketable equity is not counted again.</v>
      </c>
      <c r="P76" s="22" t="str">
        <v>Explicitly dated opening stocks, displayed in FY2016 column only. Operating hedges remain in IC; marketable equity is not counted again.</v>
      </c>
      <c r="Q76" s="22" t="str">
        <v>Explicitly dated opening stocks, displayed in FY2016 column only. Operating hedges remain in IC; marketable equity is not counted again.</v>
      </c>
      <c r="R76" s="22" t="str">
        <v>Explicitly dated opening stocks, displayed in FY2016 column only. Operating hedges remain in IC; marketable equity is not counted again.</v>
      </c>
      <c r="S76" s="22" t="str">
        <v>Explicitly dated opening stocks, displayed in FY2016 column only. Operating hedges remain in IC; marketable equity is not counted again.</v>
      </c>
      <c r="T76" s="22" t="str">
        <v>Explicitly dated opening stocks, displayed in FY2016 column only. Operating hedges remain in IC; marketable equity is not counted again.</v>
      </c>
      <c r="U76" s="22" t="str">
        <v>Explicitly dated opening stocks, displayed in FY2016 column only. Operating hedges remain in IC; marketable equity is not counted again.</v>
      </c>
      <c r="V76" s="22" t="str">
        <v>Explicitly dated opening stocks, displayed in FY2016 column only. Operating hedges remain in IC; marketable equity is not counted again.</v>
      </c>
      <c r="W76" s="22" t="str">
        <v>Explicitly dated opening stocks, displayed in FY2016 column only. Operating hedges remain in IC; marketable equity is not counted again.</v>
      </c>
      <c r="X76" s="22" t="str">
        <v>Explicitly dated opening stocks, displayed in FY2016 column only. Operating hedges remain in IC; marketable equity is not counted again.</v>
      </c>
      <c r="Y76" s="22" t="str">
        <v>Explicitly dated opening stocks, displayed in FY2016 column only. Operating hedges remain in IC; marketable equity is not counted again.</v>
      </c>
      <c r="Z76" s="22" t="str">
        <v>Explicitly dated opening stocks, displayed in FY2016 column only. Operating hedges remain in IC; marketable equity is not counted again.</v>
      </c>
      <c r="AA76" s="22" t="str">
        <v>Explicitly dated opening stocks, displayed in FY2016 column only. Operating hedges remain in IC; marketable equity is not counted again.</v>
      </c>
    </row>
    <row r="77" ht="22" customHeight="1">
      <c r="A77" s="49" t="str">
        <v>Opening 2016: Derivative assets: current</v>
      </c>
      <c r="B77" s="3"/>
      <c r="C77" s="51" t="n">
        <v>445</v>
      </c>
      <c r="D77" s="51"/>
      <c r="E77" s="51"/>
      <c r="F77" s="51"/>
      <c r="G77" s="51"/>
      <c r="H77" s="51"/>
      <c r="I77" s="51"/>
      <c r="J77" s="51"/>
      <c r="K77" s="51"/>
      <c r="L77" s="51"/>
      <c r="M77" s="51"/>
      <c r="N77" s="51"/>
      <c r="O77" s="51"/>
      <c r="P77" s="51"/>
      <c r="Q77" s="51"/>
      <c r="R77" s="51"/>
      <c r="S77" s="51"/>
      <c r="T77" s="51"/>
      <c r="U77" s="51"/>
      <c r="V77" s="51"/>
      <c r="W77" s="51"/>
      <c r="X77" s="51"/>
      <c r="Y77" s="51"/>
      <c r="Z77" s="51"/>
      <c r="AA77" s="51"/>
    </row>
    <row r="78" ht="22" customHeight="1">
      <c r="A78" s="49" t="str">
        <v>Opening 2016: Loans receivable: current</v>
      </c>
      <c r="B78" s="3"/>
      <c r="C78" s="51" t="n">
        <v>137</v>
      </c>
      <c r="D78" s="51"/>
      <c r="E78" s="51"/>
      <c r="F78" s="51"/>
      <c r="G78" s="51"/>
      <c r="H78" s="51"/>
      <c r="I78" s="51"/>
      <c r="J78" s="51"/>
      <c r="K78" s="51"/>
      <c r="L78" s="51"/>
      <c r="M78" s="51"/>
      <c r="N78" s="51"/>
      <c r="O78" s="51"/>
      <c r="P78" s="51"/>
      <c r="Q78" s="51"/>
      <c r="R78" s="51"/>
      <c r="S78" s="51"/>
      <c r="T78" s="51"/>
      <c r="U78" s="51"/>
      <c r="V78" s="51"/>
      <c r="W78" s="51"/>
      <c r="X78" s="51"/>
      <c r="Y78" s="51"/>
      <c r="Z78" s="51"/>
      <c r="AA78" s="51"/>
    </row>
    <row r="79" ht="22" customHeight="1">
      <c r="A79" s="49" t="str">
        <v>Opening 2016: Derivative assets: long-term</v>
      </c>
      <c r="B79" s="3"/>
      <c r="C79" s="51" t="n">
        <v>40</v>
      </c>
      <c r="D79" s="51"/>
      <c r="E79" s="51"/>
      <c r="F79" s="51"/>
      <c r="G79" s="51"/>
      <c r="H79" s="51"/>
      <c r="I79" s="51"/>
      <c r="J79" s="51"/>
      <c r="K79" s="51"/>
      <c r="L79" s="51"/>
      <c r="M79" s="51"/>
      <c r="N79" s="51"/>
      <c r="O79" s="51"/>
      <c r="P79" s="51"/>
      <c r="Q79" s="51"/>
      <c r="R79" s="51"/>
      <c r="S79" s="51"/>
      <c r="T79" s="51"/>
      <c r="U79" s="51"/>
      <c r="V79" s="51"/>
      <c r="W79" s="51"/>
      <c r="X79" s="51"/>
      <c r="Y79" s="51"/>
      <c r="Z79" s="51"/>
      <c r="AA79" s="51"/>
    </row>
    <row r="80" ht="22" customHeight="1">
      <c r="A80" s="49" t="str">
        <v>Opening 2016: Loans receivable: long-term</v>
      </c>
      <c r="B80" s="3"/>
      <c r="C80" s="51" t="n">
        <v>342</v>
      </c>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36" customHeight="1">
      <c r="A81" s="49" t="str">
        <v>Opening 2016: Equity method investments within other long-term assets</v>
      </c>
      <c r="B81" s="3"/>
      <c r="C81" s="51" t="n">
        <v>1590</v>
      </c>
      <c r="D81" s="51"/>
      <c r="E81" s="51"/>
      <c r="F81" s="51"/>
      <c r="G81" s="51"/>
      <c r="H81" s="51"/>
      <c r="I81" s="51"/>
      <c r="J81" s="51"/>
      <c r="K81" s="51"/>
      <c r="L81" s="51"/>
      <c r="M81" s="51"/>
      <c r="N81" s="51"/>
      <c r="O81" s="51"/>
      <c r="P81" s="51"/>
      <c r="Q81" s="51"/>
      <c r="R81" s="51"/>
      <c r="S81" s="51"/>
      <c r="T81" s="51"/>
      <c r="U81" s="51"/>
      <c r="V81" s="51"/>
      <c r="W81" s="51"/>
      <c r="X81" s="51"/>
      <c r="Y81" s="51"/>
      <c r="Z81" s="51"/>
      <c r="AA81" s="51"/>
    </row>
    <row r="82" ht="36" customHeight="1">
      <c r="A82" s="49" t="str">
        <v>Opening 2016: Non-marketable cost method investments within other long-term assets</v>
      </c>
      <c r="B82" s="3"/>
      <c r="C82" s="51" t="n">
        <v>2933</v>
      </c>
      <c r="D82" s="51"/>
      <c r="E82" s="51"/>
      <c r="F82" s="51"/>
      <c r="G82" s="51"/>
      <c r="H82" s="51"/>
      <c r="I82" s="51"/>
      <c r="J82" s="51"/>
      <c r="K82" s="51"/>
      <c r="L82" s="51"/>
      <c r="M82" s="51"/>
      <c r="N82" s="51"/>
      <c r="O82" s="51"/>
      <c r="P82" s="51"/>
      <c r="Q82" s="51"/>
      <c r="R82" s="51"/>
      <c r="S82" s="51"/>
      <c r="T82" s="51"/>
      <c r="U82" s="51"/>
      <c r="V82" s="51"/>
      <c r="W82" s="51"/>
      <c r="X82" s="51"/>
      <c r="Y82" s="51"/>
      <c r="Z82" s="51"/>
      <c r="AA82" s="51"/>
    </row>
    <row r="83" ht="22" customHeight="1">
      <c r="A83" s="49" t="str">
        <v>Opening 2016: Loans at cost: total (FV loans excluded)</v>
      </c>
      <c r="B83" s="3"/>
      <c r="C83" s="51" t="n">
        <v>315</v>
      </c>
      <c r="D83" s="51"/>
      <c r="E83" s="51"/>
      <c r="F83" s="51"/>
      <c r="G83" s="51"/>
      <c r="H83" s="51"/>
      <c r="I83" s="51"/>
      <c r="J83" s="51"/>
      <c r="K83" s="51"/>
      <c r="L83" s="51"/>
      <c r="M83" s="51"/>
      <c r="N83" s="51"/>
      <c r="O83" s="51"/>
      <c r="P83" s="51"/>
      <c r="Q83" s="51"/>
      <c r="R83" s="51"/>
      <c r="S83" s="51"/>
      <c r="T83" s="51"/>
      <c r="U83" s="51"/>
      <c r="V83" s="51"/>
      <c r="W83" s="51"/>
      <c r="X83" s="51"/>
      <c r="Y83" s="51"/>
      <c r="Z83" s="51"/>
      <c r="AA83" s="51"/>
    </row>
    <row r="84" ht="22" customHeight="1">
      <c r="A84" s="49" t="str">
        <v>Opening 2016: Reverse repos &gt;3 months</v>
      </c>
      <c r="B84" s="3"/>
      <c r="C84" s="51" t="n">
        <v>1000</v>
      </c>
      <c r="D84" s="51"/>
      <c r="E84" s="51"/>
      <c r="F84" s="51"/>
      <c r="G84" s="51"/>
      <c r="H84" s="51"/>
      <c r="I84" s="51"/>
      <c r="J84" s="51"/>
      <c r="K84" s="51"/>
      <c r="L84" s="51"/>
      <c r="M84" s="51"/>
      <c r="N84" s="51"/>
      <c r="O84" s="51"/>
      <c r="P84" s="51"/>
      <c r="Q84" s="51"/>
      <c r="R84" s="51"/>
      <c r="S84" s="51"/>
      <c r="T84" s="51"/>
      <c r="U84" s="51"/>
      <c r="V84" s="51"/>
      <c r="W84" s="51"/>
      <c r="X84" s="51"/>
      <c r="Y84" s="51"/>
      <c r="Z84" s="51"/>
      <c r="AA84" s="51"/>
    </row>
    <row r="85" ht="8"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22"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sheetData>
  <mergeCells>
    <mergeCell ref="A1:AA1"/>
    <mergeCell ref="A2:AA2"/>
    <mergeCell ref="A7:AA7"/>
    <mergeCell ref="A17:AA17"/>
    <mergeCell ref="A27:AA27"/>
    <mergeCell ref="A44:AA44"/>
    <mergeCell ref="A54:AA54"/>
    <mergeCell ref="A55:AA55"/>
    <mergeCell ref="A64:AA64"/>
    <mergeCell ref="A65:AA65"/>
    <mergeCell ref="A75:AA75"/>
    <mergeCell ref="A76:AA76"/>
  </mergeCells>
  <conditionalFormatting sqref="C56:AA56">
    <cfRule type="cellIs" dxfId="6" priority="1" operator="notBetween">
      <formula>-0.01</formula>
      <formula>0.01</formula>
    </cfRule>
  </conditionalFormatting>
  <conditionalFormatting sqref="C57:AA57">
    <cfRule type="cellIs" dxfId="7" priority="2" operator="notBetween">
      <formula>-0.01</formula>
      <formula>0.01</formula>
    </cfRule>
  </conditionalFormatting>
  <conditionalFormatting sqref="C58:AA58">
    <cfRule type="cellIs" dxfId="8" priority="3" operator="notBetween">
      <formula>-0.01</formula>
      <formula>0.01</formula>
    </cfRule>
  </conditionalFormatting>
  <conditionalFormatting sqref="C59:AA59">
    <cfRule type="cellIs" dxfId="9" priority="4" operator="notBetween">
      <formula>-0.01</formula>
      <formula>0.01</formula>
    </cfRule>
  </conditionalFormatting>
  <conditionalFormatting sqref="C60:AA60">
    <cfRule type="cellIs" dxfId="10" priority="5" operator="notBetween">
      <formula>-0.01</formula>
      <formula>0.01</formula>
    </cfRule>
  </conditionalFormatting>
  <conditionalFormatting sqref="C61:AA61">
    <cfRule type="cellIs" dxfId="11" priority="6" operator="notBetween">
      <formula>-0.01</formula>
      <formula>0.01</formula>
    </cfRule>
  </conditionalFormatting>
  <conditionalFormatting sqref="C62:AA62">
    <cfRule type="cellIs" dxfId="12" priority="7" operator="notBetween">
      <formula>-0.01</formula>
      <formula>0.01</formula>
    </cfRule>
  </conditionalFormatting>
  <pageMargins left="0.7" right="0.7" top="0.75" bottom="0.75" header="0.3" footer="0.3"/>
</worksheet>
</file>

<file path=xl/worksheets/sheet4.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Cash Flow</v>
      </c>
      <c r="B1" s="6" t="str">
        <v>Intel Corporation — Cash Flow</v>
      </c>
      <c r="C1" s="6" t="str">
        <v>Intel Corporation — Cash Flow</v>
      </c>
      <c r="D1" s="6" t="str">
        <v>Intel Corporation — Cash Flow</v>
      </c>
      <c r="E1" s="6" t="str">
        <v>Intel Corporation — Cash Flow</v>
      </c>
      <c r="F1" s="6" t="str">
        <v>Intel Corporation — Cash Flow</v>
      </c>
      <c r="G1" s="6" t="str">
        <v>Intel Corporation — Cash Flow</v>
      </c>
      <c r="H1" s="6" t="str">
        <v>Intel Corporation — Cash Flow</v>
      </c>
      <c r="I1" s="6" t="str">
        <v>Intel Corporation — Cash Flow</v>
      </c>
      <c r="J1" s="6" t="str">
        <v>Intel Corporation — Cash Flow</v>
      </c>
      <c r="K1" s="6" t="str">
        <v>Intel Corporation — Cash Flow</v>
      </c>
      <c r="L1" s="6" t="str">
        <v>Intel Corporation — Cash Flow</v>
      </c>
      <c r="M1" s="6" t="str">
        <v>Intel Corporation — Cash Flow</v>
      </c>
      <c r="N1" s="6" t="str">
        <v>Intel Corporation — Cash Flow</v>
      </c>
      <c r="O1" s="6" t="str">
        <v>Intel Corporation — Cash Flow</v>
      </c>
      <c r="P1" s="6" t="str">
        <v>Intel Corporation — Cash Flow</v>
      </c>
      <c r="Q1" s="6" t="str">
        <v>Intel Corporation — Cash Flow</v>
      </c>
      <c r="R1" s="6" t="str">
        <v>Intel Corporation — Cash Flow</v>
      </c>
      <c r="S1" s="6" t="str">
        <v>Intel Corporation — Cash Flow</v>
      </c>
      <c r="T1" s="6" t="str">
        <v>Intel Corporation — Cash Flow</v>
      </c>
      <c r="U1" s="6" t="str">
        <v>Intel Corporation — Cash Flow</v>
      </c>
      <c r="V1" s="6" t="str">
        <v>Intel Corporation — Cash Flow</v>
      </c>
      <c r="W1" s="6" t="str">
        <v>Intel Corporation — Cash Flow</v>
      </c>
      <c r="X1" s="6" t="str">
        <v>Intel Corporation — Cash Flow</v>
      </c>
      <c r="Y1" s="6" t="str">
        <v>Intel Corporation — Cash Flow</v>
      </c>
      <c r="Z1" s="6" t="str">
        <v>Intel Corporation — Cash Flow</v>
      </c>
      <c r="AA1" s="6" t="str">
        <v>Intel Corporation — Cash Flow</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Quarter columns: source YTD; see discrete section</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YTD</v>
      </c>
      <c r="O5" s="16" t="str">
        <v>YTD</v>
      </c>
      <c r="P5" s="16" t="str">
        <v>YTD</v>
      </c>
      <c r="Q5" s="16" t="str">
        <v>YTD</v>
      </c>
      <c r="R5" s="16" t="str">
        <v>YTD</v>
      </c>
      <c r="S5" s="16" t="str">
        <v>YTD</v>
      </c>
      <c r="T5" s="16" t="str">
        <v>YTD</v>
      </c>
      <c r="U5" s="16" t="str">
        <v>YTD</v>
      </c>
      <c r="V5" s="16" t="str">
        <v>YTD</v>
      </c>
      <c r="W5" s="16" t="str">
        <v>YTD</v>
      </c>
      <c r="X5" s="16" t="str">
        <v>YTD</v>
      </c>
      <c r="Y5" s="16" t="str">
        <v>YTD</v>
      </c>
      <c r="Z5" s="16" t="str">
        <v>YTD</v>
      </c>
      <c r="AA5" s="16" t="str">
        <v>YTD</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Operating cash flow</v>
      </c>
      <c r="B7" s="21" t="str">
        <v>Operating cash flow</v>
      </c>
      <c r="C7" s="21" t="str">
        <v>Operating cash flow</v>
      </c>
      <c r="D7" s="21" t="str">
        <v>Operating cash flow</v>
      </c>
      <c r="E7" s="21" t="str">
        <v>Operating cash flow</v>
      </c>
      <c r="F7" s="21" t="str">
        <v>Operating cash flow</v>
      </c>
      <c r="G7" s="21" t="str">
        <v>Operating cash flow</v>
      </c>
      <c r="H7" s="21" t="str">
        <v>Operating cash flow</v>
      </c>
      <c r="I7" s="21" t="str">
        <v>Operating cash flow</v>
      </c>
      <c r="J7" s="21" t="str">
        <v>Operating cash flow</v>
      </c>
      <c r="K7" s="21" t="str">
        <v>Operating cash flow</v>
      </c>
      <c r="L7" s="21" t="str">
        <v>Operating cash flow</v>
      </c>
      <c r="M7" s="21" t="str">
        <v>Operating cash flow</v>
      </c>
      <c r="N7" s="21" t="str">
        <v>Operating cash flow</v>
      </c>
      <c r="O7" s="21" t="str">
        <v>Operating cash flow</v>
      </c>
      <c r="P7" s="21" t="str">
        <v>Operating cash flow</v>
      </c>
      <c r="Q7" s="21" t="str">
        <v>Operating cash flow</v>
      </c>
      <c r="R7" s="21" t="str">
        <v>Operating cash flow</v>
      </c>
      <c r="S7" s="21" t="str">
        <v>Operating cash flow</v>
      </c>
      <c r="T7" s="21" t="str">
        <v>Operating cash flow</v>
      </c>
      <c r="U7" s="21" t="str">
        <v>Operating cash flow</v>
      </c>
      <c r="V7" s="21" t="str">
        <v>Operating cash flow</v>
      </c>
      <c r="W7" s="21" t="str">
        <v>Operating cash flow</v>
      </c>
      <c r="X7" s="21" t="str">
        <v>Operating cash flow</v>
      </c>
      <c r="Y7" s="21" t="str">
        <v>Operating cash flow</v>
      </c>
      <c r="Z7" s="21" t="str">
        <v>Operating cash flow</v>
      </c>
      <c r="AA7" s="21" t="str">
        <v>Operating cash flow</v>
      </c>
    </row>
    <row r="8" ht="18" customHeight="1">
      <c r="A8" s="22" t="str">
        <v>Quarterly columns are YTD: Q1=3 months, Q2=6 months, Q3=9 months, Q4=full year. Cash balances are instant amounts.</v>
      </c>
      <c r="B8" s="22" t="str">
        <v>Quarterly columns are YTD: Q1=3 months, Q2=6 months, Q3=9 months, Q4=full year. Cash balances are instant amounts.</v>
      </c>
      <c r="C8" s="22" t="str">
        <v>Quarterly columns are YTD: Q1=3 months, Q2=6 months, Q3=9 months, Q4=full year. Cash balances are instant amounts.</v>
      </c>
      <c r="D8" s="22" t="str">
        <v>Quarterly columns are YTD: Q1=3 months, Q2=6 months, Q3=9 months, Q4=full year. Cash balances are instant amounts.</v>
      </c>
      <c r="E8" s="22" t="str">
        <v>Quarterly columns are YTD: Q1=3 months, Q2=6 months, Q3=9 months, Q4=full year. Cash balances are instant amounts.</v>
      </c>
      <c r="F8" s="22" t="str">
        <v>Quarterly columns are YTD: Q1=3 months, Q2=6 months, Q3=9 months, Q4=full year. Cash balances are instant amounts.</v>
      </c>
      <c r="G8" s="22" t="str">
        <v>Quarterly columns are YTD: Q1=3 months, Q2=6 months, Q3=9 months, Q4=full year. Cash balances are instant amounts.</v>
      </c>
      <c r="H8" s="22" t="str">
        <v>Quarterly columns are YTD: Q1=3 months, Q2=6 months, Q3=9 months, Q4=full year. Cash balances are instant amounts.</v>
      </c>
      <c r="I8" s="22" t="str">
        <v>Quarterly columns are YTD: Q1=3 months, Q2=6 months, Q3=9 months, Q4=full year. Cash balances are instant amounts.</v>
      </c>
      <c r="J8" s="22" t="str">
        <v>Quarterly columns are YTD: Q1=3 months, Q2=6 months, Q3=9 months, Q4=full year. Cash balances are instant amounts.</v>
      </c>
      <c r="K8" s="22" t="str">
        <v>Quarterly columns are YTD: Q1=3 months, Q2=6 months, Q3=9 months, Q4=full year. Cash balances are instant amounts.</v>
      </c>
      <c r="L8" s="22" t="str">
        <v>Quarterly columns are YTD: Q1=3 months, Q2=6 months, Q3=9 months, Q4=full year. Cash balances are instant amounts.</v>
      </c>
      <c r="M8" s="22" t="str">
        <v>Quarterly columns are YTD: Q1=3 months, Q2=6 months, Q3=9 months, Q4=full year. Cash balances are instant amounts.</v>
      </c>
      <c r="N8" s="22" t="str">
        <v>Quarterly columns are YTD: Q1=3 months, Q2=6 months, Q3=9 months, Q4=full year. Cash balances are instant amounts.</v>
      </c>
      <c r="O8" s="22" t="str">
        <v>Quarterly columns are YTD: Q1=3 months, Q2=6 months, Q3=9 months, Q4=full year. Cash balances are instant amounts.</v>
      </c>
      <c r="P8" s="22" t="str">
        <v>Quarterly columns are YTD: Q1=3 months, Q2=6 months, Q3=9 months, Q4=full year. Cash balances are instant amounts.</v>
      </c>
      <c r="Q8" s="22" t="str">
        <v>Quarterly columns are YTD: Q1=3 months, Q2=6 months, Q3=9 months, Q4=full year. Cash balances are instant amounts.</v>
      </c>
      <c r="R8" s="22" t="str">
        <v>Quarterly columns are YTD: Q1=3 months, Q2=6 months, Q3=9 months, Q4=full year. Cash balances are instant amounts.</v>
      </c>
      <c r="S8" s="22" t="str">
        <v>Quarterly columns are YTD: Q1=3 months, Q2=6 months, Q3=9 months, Q4=full year. Cash balances are instant amounts.</v>
      </c>
      <c r="T8" s="22" t="str">
        <v>Quarterly columns are YTD: Q1=3 months, Q2=6 months, Q3=9 months, Q4=full year. Cash balances are instant amounts.</v>
      </c>
      <c r="U8" s="22" t="str">
        <v>Quarterly columns are YTD: Q1=3 months, Q2=6 months, Q3=9 months, Q4=full year. Cash balances are instant amounts.</v>
      </c>
      <c r="V8" s="22" t="str">
        <v>Quarterly columns are YTD: Q1=3 months, Q2=6 months, Q3=9 months, Q4=full year. Cash balances are instant amounts.</v>
      </c>
      <c r="W8" s="22" t="str">
        <v>Quarterly columns are YTD: Q1=3 months, Q2=6 months, Q3=9 months, Q4=full year. Cash balances are instant amounts.</v>
      </c>
      <c r="X8" s="22" t="str">
        <v>Quarterly columns are YTD: Q1=3 months, Q2=6 months, Q3=9 months, Q4=full year. Cash balances are instant amounts.</v>
      </c>
      <c r="Y8" s="22" t="str">
        <v>Quarterly columns are YTD: Q1=3 months, Q2=6 months, Q3=9 months, Q4=full year. Cash balances are instant amounts.</v>
      </c>
      <c r="Z8" s="22" t="str">
        <v>Quarterly columns are YTD: Q1=3 months, Q2=6 months, Q3=9 months, Q4=full year. Cash balances are instant amounts.</v>
      </c>
      <c r="AA8" s="22" t="str">
        <v>Quarterly columns are YTD: Q1=3 months, Q2=6 months, Q3=9 months, Q4=full year. Cash balances are instant amounts.</v>
      </c>
    </row>
    <row r="9" ht="24" customHeight="1">
      <c r="A9" s="34" t="str">
        <v>Net income (loss)</v>
      </c>
      <c r="B9" s="35"/>
      <c r="C9" s="36" t="n">
        <v>10316</v>
      </c>
      <c r="D9" s="36" t="n">
        <v>9601</v>
      </c>
      <c r="E9" s="36" t="n">
        <v>21053</v>
      </c>
      <c r="F9" s="36" t="n">
        <v>21048</v>
      </c>
      <c r="G9" s="36" t="n">
        <v>20899</v>
      </c>
      <c r="H9" s="36" t="n">
        <v>19868</v>
      </c>
      <c r="I9" s="36" t="n">
        <v>8017</v>
      </c>
      <c r="J9" s="36" t="n">
        <v>1675</v>
      </c>
      <c r="K9" s="36" t="n">
        <v>-19233</v>
      </c>
      <c r="L9" s="36" t="n">
        <v>26</v>
      </c>
      <c r="M9" s="36"/>
      <c r="N9" s="36" t="n">
        <v>-2768</v>
      </c>
      <c r="O9" s="36" t="n">
        <v>-1295</v>
      </c>
      <c r="P9" s="36" t="n">
        <v>-985</v>
      </c>
      <c r="Q9" s="37" t="n">
        <f>IF(COUNT(J9)=1,J9,"")</f>
        <v>1675</v>
      </c>
      <c r="R9" s="36" t="n">
        <v>-437</v>
      </c>
      <c r="S9" s="36" t="n">
        <v>-2091</v>
      </c>
      <c r="T9" s="36" t="n">
        <v>-19080</v>
      </c>
      <c r="U9" s="37" t="n">
        <f>IF(COUNT(K9)=1,K9,"")</f>
        <v>-19233</v>
      </c>
      <c r="V9" s="36" t="n">
        <v>-887</v>
      </c>
      <c r="W9" s="36" t="n">
        <v>-3911</v>
      </c>
      <c r="X9" s="36" t="n">
        <v>359</v>
      </c>
      <c r="Y9" s="37" t="n">
        <f>IF(COUNT(L9)=1,L9,"")</f>
        <v>26</v>
      </c>
      <c r="Z9" s="36" t="n">
        <v>-4281</v>
      </c>
      <c r="AA9" s="36" t="n">
        <v>-15129</v>
      </c>
    </row>
    <row r="10" ht="22" customHeight="1">
      <c r="A10" s="53" t="str">
        <v>Depreciation</v>
      </c>
      <c r="B10" s="3"/>
      <c r="C10" s="51" t="n">
        <v>6266</v>
      </c>
      <c r="D10" s="51" t="n">
        <v>6752</v>
      </c>
      <c r="E10" s="51" t="n">
        <v>7520</v>
      </c>
      <c r="F10" s="51" t="n">
        <v>9204</v>
      </c>
      <c r="G10" s="51" t="n">
        <v>10482</v>
      </c>
      <c r="H10" s="51" t="n">
        <v>9953</v>
      </c>
      <c r="I10" s="51" t="n">
        <v>11128</v>
      </c>
      <c r="J10" s="51" t="n">
        <v>7847</v>
      </c>
      <c r="K10" s="51" t="n">
        <v>9951</v>
      </c>
      <c r="L10" s="51" t="n">
        <v>10757</v>
      </c>
      <c r="M10" s="51"/>
      <c r="N10" s="51" t="n">
        <v>1901</v>
      </c>
      <c r="O10" s="51" t="n">
        <v>3733</v>
      </c>
      <c r="P10" s="51" t="n">
        <v>5753</v>
      </c>
      <c r="Q10" s="52" t="n">
        <f>IF(COUNT(J10)=1,J10,"")</f>
        <v>7847</v>
      </c>
      <c r="R10" s="51" t="n">
        <v>2200</v>
      </c>
      <c r="S10" s="51" t="n">
        <v>4403</v>
      </c>
      <c r="T10" s="51" t="n">
        <v>7651</v>
      </c>
      <c r="U10" s="52" t="n">
        <f>IF(COUNT(K10)=1,K10,"")</f>
        <v>9951</v>
      </c>
      <c r="V10" s="51" t="n">
        <v>2425</v>
      </c>
      <c r="W10" s="51" t="n">
        <v>5213</v>
      </c>
      <c r="X10" s="51" t="n">
        <v>7971</v>
      </c>
      <c r="Y10" s="52" t="n">
        <f>IF(COUNT(L10)=1,L10,"")</f>
        <v>10757</v>
      </c>
      <c r="Z10" s="51" t="n">
        <v>2902</v>
      </c>
      <c r="AA10" s="51" t="n">
        <v>5891</v>
      </c>
    </row>
    <row r="11" ht="22" customHeight="1">
      <c r="A11" s="53" t="str">
        <v>Share-based compensation</v>
      </c>
      <c r="B11" s="3"/>
      <c r="C11" s="51" t="n">
        <v>1444</v>
      </c>
      <c r="D11" s="51" t="n">
        <v>1358</v>
      </c>
      <c r="E11" s="51" t="n">
        <v>1546</v>
      </c>
      <c r="F11" s="51" t="n">
        <v>1705</v>
      </c>
      <c r="G11" s="51" t="n">
        <v>1854</v>
      </c>
      <c r="H11" s="51" t="n">
        <v>2036</v>
      </c>
      <c r="I11" s="51" t="n">
        <v>3128</v>
      </c>
      <c r="J11" s="51" t="n">
        <v>3229</v>
      </c>
      <c r="K11" s="51" t="n">
        <v>3410</v>
      </c>
      <c r="L11" s="51" t="n">
        <v>2434</v>
      </c>
      <c r="M11" s="51"/>
      <c r="N11" s="51" t="n">
        <v>739</v>
      </c>
      <c r="O11" s="51" t="n">
        <v>1661</v>
      </c>
      <c r="P11" s="51" t="n">
        <v>2433</v>
      </c>
      <c r="Q11" s="52" t="n">
        <f>IF(COUNT(J11)=1,J11,"")</f>
        <v>3229</v>
      </c>
      <c r="R11" s="51" t="n">
        <v>1179</v>
      </c>
      <c r="S11" s="51" t="n">
        <v>1959</v>
      </c>
      <c r="T11" s="51" t="n">
        <v>2759</v>
      </c>
      <c r="U11" s="52" t="n">
        <f>IF(COUNT(K11)=1,K11,"")</f>
        <v>3410</v>
      </c>
      <c r="V11" s="51" t="n">
        <v>684</v>
      </c>
      <c r="W11" s="51" t="n">
        <v>1348</v>
      </c>
      <c r="X11" s="51" t="n">
        <v>1896</v>
      </c>
      <c r="Y11" s="52" t="n">
        <f>IF(COUNT(L11)=1,L11,"")</f>
        <v>2434</v>
      </c>
      <c r="Z11" s="51" t="n">
        <v>621</v>
      </c>
      <c r="AA11" s="51" t="n">
        <v>1307</v>
      </c>
    </row>
    <row r="12" ht="36" customHeight="1">
      <c r="A12" s="53" t="str">
        <v>Excess tax benefit from share-based payment arrangements (operating section)</v>
      </c>
      <c r="B12" s="3"/>
      <c r="C12" s="51" t="n">
        <v>-121</v>
      </c>
      <c r="D12" s="51"/>
      <c r="E12" s="51"/>
      <c r="F12" s="51"/>
      <c r="G12" s="51"/>
      <c r="H12" s="51"/>
      <c r="I12" s="51"/>
      <c r="J12" s="51"/>
      <c r="K12" s="51"/>
      <c r="L12" s="51"/>
      <c r="M12" s="51"/>
      <c r="N12" s="51"/>
      <c r="O12" s="51"/>
      <c r="P12" s="51"/>
      <c r="Q12" s="52" t="str">
        <f>IF(COUNT(J12)=1,J12,"")</f>
      </c>
      <c r="R12" s="51"/>
      <c r="S12" s="51"/>
      <c r="T12" s="51"/>
      <c r="U12" s="52" t="str">
        <f>IF(COUNT(K12)=1,K12,"")</f>
      </c>
      <c r="V12" s="51"/>
      <c r="W12" s="51"/>
      <c r="X12" s="51"/>
      <c r="Y12" s="52" t="str">
        <f>IF(COUNT(L12)=1,L12,"")</f>
      </c>
      <c r="Z12" s="51"/>
      <c r="AA12" s="51"/>
    </row>
    <row r="13" ht="22" customHeight="1">
      <c r="A13" s="53" t="str">
        <v>Restructuring and other charges</v>
      </c>
      <c r="B13" s="3"/>
      <c r="C13" s="51" t="n">
        <v>1886</v>
      </c>
      <c r="D13" s="51" t="n">
        <v>384</v>
      </c>
      <c r="E13" s="51"/>
      <c r="F13" s="51"/>
      <c r="G13" s="51"/>
      <c r="H13" s="51" t="n">
        <v>2626</v>
      </c>
      <c r="I13" s="51" t="n">
        <v>1074</v>
      </c>
      <c r="J13" s="51" t="n">
        <v>-424</v>
      </c>
      <c r="K13" s="51" t="n">
        <v>3491</v>
      </c>
      <c r="L13" s="51" t="n">
        <v>476</v>
      </c>
      <c r="M13" s="51"/>
      <c r="N13" s="51" t="n">
        <v>55</v>
      </c>
      <c r="O13" s="51" t="n">
        <v>255</v>
      </c>
      <c r="P13" s="51" t="n">
        <v>718</v>
      </c>
      <c r="Q13" s="52" t="n">
        <f>IF(COUNT(J13)=1,J13,"")</f>
        <v>-424</v>
      </c>
      <c r="R13" s="51" t="n">
        <v>348</v>
      </c>
      <c r="S13" s="51" t="n">
        <v>1291</v>
      </c>
      <c r="T13" s="51" t="n">
        <v>3626</v>
      </c>
      <c r="U13" s="52" t="n">
        <f>IF(COUNT(K13)=1,K13,"")</f>
        <v>3491</v>
      </c>
      <c r="V13" s="51"/>
      <c r="W13" s="51" t="n">
        <v>382</v>
      </c>
      <c r="X13" s="51" t="n">
        <v>372</v>
      </c>
      <c r="Y13" s="52" t="n">
        <f>IF(COUNT(L13)=1,L13,"")</f>
        <v>476</v>
      </c>
      <c r="Z13" s="51" t="n">
        <v>3965</v>
      </c>
      <c r="AA13" s="51" t="n">
        <v>3967</v>
      </c>
    </row>
    <row r="14" ht="22" customHeight="1">
      <c r="A14" s="53" t="str">
        <v>Amortization of intangibles</v>
      </c>
      <c r="B14" s="3"/>
      <c r="C14" s="51" t="n">
        <v>1524</v>
      </c>
      <c r="D14" s="51" t="n">
        <v>1377</v>
      </c>
      <c r="E14" s="51" t="n">
        <v>1565</v>
      </c>
      <c r="F14" s="51" t="n">
        <v>1622</v>
      </c>
      <c r="G14" s="51" t="n">
        <v>1757</v>
      </c>
      <c r="H14" s="51" t="n">
        <v>1839</v>
      </c>
      <c r="I14" s="51" t="n">
        <v>1907</v>
      </c>
      <c r="J14" s="51" t="n">
        <v>1755</v>
      </c>
      <c r="K14" s="51" t="n">
        <v>1428</v>
      </c>
      <c r="L14" s="51" t="n">
        <v>949</v>
      </c>
      <c r="M14" s="51"/>
      <c r="N14" s="51" t="n">
        <v>465</v>
      </c>
      <c r="O14" s="51" t="n">
        <v>909</v>
      </c>
      <c r="P14" s="51" t="n">
        <v>1336</v>
      </c>
      <c r="Q14" s="52" t="n">
        <f>IF(COUNT(J14)=1,J14,"")</f>
        <v>1755</v>
      </c>
      <c r="R14" s="51" t="n">
        <v>351</v>
      </c>
      <c r="S14" s="51" t="n">
        <v>717</v>
      </c>
      <c r="T14" s="51" t="n">
        <v>1081</v>
      </c>
      <c r="U14" s="52" t="n">
        <f>IF(COUNT(K14)=1,K14,"")</f>
        <v>1428</v>
      </c>
      <c r="V14" s="51" t="n">
        <v>249</v>
      </c>
      <c r="W14" s="51" t="n">
        <v>474</v>
      </c>
      <c r="X14" s="51" t="n">
        <v>708</v>
      </c>
      <c r="Y14" s="52" t="n">
        <f>IF(COUNT(L14)=1,L14,"")</f>
        <v>949</v>
      </c>
      <c r="Z14" s="51" t="n">
        <v>234</v>
      </c>
      <c r="AA14" s="51" t="n">
        <v>469</v>
      </c>
    </row>
    <row r="15" ht="22" customHeight="1">
      <c r="A15" s="53" t="str">
        <v>(Gains) losses on equity investments, net</v>
      </c>
      <c r="B15" s="3"/>
      <c r="C15" s="51" t="n">
        <v>-432</v>
      </c>
      <c r="D15" s="51" t="n">
        <v>-2583</v>
      </c>
      <c r="E15" s="51" t="n">
        <v>155</v>
      </c>
      <c r="F15" s="51" t="n">
        <v>-892</v>
      </c>
      <c r="G15" s="51" t="n">
        <v>-1757</v>
      </c>
      <c r="H15" s="51" t="n">
        <v>-1458</v>
      </c>
      <c r="I15" s="51" t="n">
        <v>-4254</v>
      </c>
      <c r="J15" s="51" t="n">
        <v>-42</v>
      </c>
      <c r="K15" s="51" t="n">
        <v>-246</v>
      </c>
      <c r="L15" s="51" t="n">
        <v>-514</v>
      </c>
      <c r="M15" s="51"/>
      <c r="N15" s="51" t="n">
        <v>-167</v>
      </c>
      <c r="O15" s="51" t="n">
        <v>-146</v>
      </c>
      <c r="P15" s="51" t="n">
        <v>47</v>
      </c>
      <c r="Q15" s="52" t="n">
        <f>IF(COUNT(J15)=1,J15,"")</f>
        <v>-42</v>
      </c>
      <c r="R15" s="51" t="n">
        <v>-208</v>
      </c>
      <c r="S15" s="51" t="n">
        <v>-84</v>
      </c>
      <c r="T15" s="51" t="n">
        <v>75</v>
      </c>
      <c r="U15" s="52" t="n">
        <f>IF(COUNT(K15)=1,K15,"")</f>
        <v>-246</v>
      </c>
      <c r="V15" s="51" t="n">
        <v>112</v>
      </c>
      <c r="W15" s="51" t="n">
        <v>-390</v>
      </c>
      <c r="X15" s="51" t="n">
        <v>-611</v>
      </c>
      <c r="Y15" s="52" t="n">
        <f>IF(COUNT(L15)=1,L15,"")</f>
        <v>-514</v>
      </c>
      <c r="Z15" s="51" t="n">
        <v>72</v>
      </c>
      <c r="AA15" s="51" t="n">
        <v>111</v>
      </c>
    </row>
    <row r="16" ht="22" customHeight="1">
      <c r="A16" s="53" t="str">
        <v>Loss on debt conversion and extinguishment</v>
      </c>
      <c r="B16" s="3"/>
      <c r="C16" s="51"/>
      <c r="D16" s="51" t="n">
        <v>476</v>
      </c>
      <c r="E16" s="51" t="n">
        <v>260</v>
      </c>
      <c r="F16" s="51"/>
      <c r="G16" s="51"/>
      <c r="H16" s="51"/>
      <c r="I16" s="51"/>
      <c r="J16" s="51"/>
      <c r="K16" s="51"/>
      <c r="L16" s="51"/>
      <c r="M16" s="51"/>
      <c r="N16" s="51"/>
      <c r="O16" s="51"/>
      <c r="P16" s="51"/>
      <c r="Q16" s="52" t="str">
        <f>IF(COUNT(J16)=1,J16,"")</f>
      </c>
      <c r="R16" s="51"/>
      <c r="S16" s="51"/>
      <c r="T16" s="51"/>
      <c r="U16" s="52" t="str">
        <f>IF(COUNT(K16)=1,K16,"")</f>
      </c>
      <c r="V16" s="51"/>
      <c r="W16" s="51"/>
      <c r="X16" s="51"/>
      <c r="Y16" s="52" t="str">
        <f>IF(COUNT(L16)=1,L16,"")</f>
      </c>
      <c r="Z16" s="51"/>
      <c r="AA16" s="51"/>
    </row>
    <row r="17" ht="36" customHeight="1">
      <c r="A17" s="53" t="str">
        <v>Mark-to-market (gains) losses on Escrowed Shares / obligation to issue Escrowed Shares</v>
      </c>
      <c r="B17" s="3"/>
      <c r="C17" s="51"/>
      <c r="D17" s="51"/>
      <c r="E17" s="51"/>
      <c r="F17" s="51"/>
      <c r="G17" s="51"/>
      <c r="H17" s="51"/>
      <c r="I17" s="51"/>
      <c r="J17" s="51"/>
      <c r="K17" s="51"/>
      <c r="L17" s="51" t="n">
        <v>1796</v>
      </c>
      <c r="M17" s="51"/>
      <c r="N17" s="51"/>
      <c r="O17" s="51"/>
      <c r="P17" s="51"/>
      <c r="Q17" s="52" t="str">
        <f>IF(COUNT(J17)=1,J17,"")</f>
      </c>
      <c r="R17" s="51"/>
      <c r="S17" s="51"/>
      <c r="T17" s="51"/>
      <c r="U17" s="52" t="str">
        <f>IF(COUNT(K17)=1,K17,"")</f>
      </c>
      <c r="V17" s="51"/>
      <c r="W17" s="51"/>
      <c r="X17" s="51" t="n">
        <v>1687</v>
      </c>
      <c r="Y17" s="52" t="n">
        <f>IF(COUNT(L17)=1,L17,"")</f>
        <v>1796</v>
      </c>
      <c r="Z17" s="51" t="n">
        <v>1090</v>
      </c>
      <c r="AA17" s="51" t="n">
        <v>13619</v>
      </c>
    </row>
    <row r="18" ht="22" customHeight="1">
      <c r="A18" s="53" t="str">
        <v>(Gains) losses on divestitures</v>
      </c>
      <c r="B18" s="3"/>
      <c r="C18" s="51"/>
      <c r="D18" s="51" t="n">
        <v>-387</v>
      </c>
      <c r="E18" s="51" t="n">
        <v>-497</v>
      </c>
      <c r="F18" s="51" t="n">
        <v>-690</v>
      </c>
      <c r="G18" s="51" t="n">
        <v>-30</v>
      </c>
      <c r="H18" s="51"/>
      <c r="I18" s="51" t="n">
        <v>-1059</v>
      </c>
      <c r="J18" s="51" t="n">
        <v>0</v>
      </c>
      <c r="K18" s="51" t="n">
        <v>0</v>
      </c>
      <c r="L18" s="51" t="n">
        <v>-5323</v>
      </c>
      <c r="M18" s="51"/>
      <c r="N18" s="51"/>
      <c r="O18" s="51"/>
      <c r="P18" s="51" t="n">
        <v>0</v>
      </c>
      <c r="Q18" s="52" t="n">
        <f>IF(COUNT(J18)=1,J18,"")</f>
        <v>0</v>
      </c>
      <c r="R18" s="51"/>
      <c r="S18" s="51"/>
      <c r="T18" s="51"/>
      <c r="U18" s="52" t="n">
        <f>IF(COUNT(K18)=1,K18,"")</f>
        <v>0</v>
      </c>
      <c r="V18" s="51"/>
      <c r="W18" s="51"/>
      <c r="X18" s="51" t="n">
        <v>-5355</v>
      </c>
      <c r="Y18" s="52" t="n">
        <f>IF(COUNT(L18)=1,L18,"")</f>
        <v>-5323</v>
      </c>
      <c r="Z18" s="51"/>
      <c r="AA18" s="51"/>
    </row>
    <row r="19" ht="22" customHeight="1">
      <c r="A19" s="53" t="str">
        <v>Deferred taxes</v>
      </c>
      <c r="B19" s="3"/>
      <c r="C19" s="51" t="n">
        <v>257</v>
      </c>
      <c r="D19" s="51" t="n">
        <v>1548</v>
      </c>
      <c r="E19" s="51" t="n">
        <v>-1749</v>
      </c>
      <c r="F19" s="51"/>
      <c r="G19" s="51"/>
      <c r="H19" s="51"/>
      <c r="I19" s="51"/>
      <c r="J19" s="51"/>
      <c r="K19" s="51" t="n">
        <v>6132</v>
      </c>
      <c r="L19" s="51" t="n">
        <v>328</v>
      </c>
      <c r="M19" s="51"/>
      <c r="N19" s="51"/>
      <c r="O19" s="51"/>
      <c r="P19" s="51"/>
      <c r="Q19" s="52" t="str">
        <f>IF(COUNT(J19)=1,J19,"")</f>
      </c>
      <c r="R19" s="51"/>
      <c r="S19" s="51"/>
      <c r="T19" s="51" t="n">
        <v>6368</v>
      </c>
      <c r="U19" s="52" t="n">
        <f>IF(COUNT(K19)=1,K19,"")</f>
        <v>6132</v>
      </c>
      <c r="V19" s="51" t="n">
        <v>19</v>
      </c>
      <c r="W19" s="51" t="n">
        <v>106</v>
      </c>
      <c r="X19" s="51" t="n">
        <v>123</v>
      </c>
      <c r="Y19" s="52" t="n">
        <f>IF(COUNT(L19)=1,L19,"")</f>
        <v>328</v>
      </c>
      <c r="Z19" s="51" t="n">
        <v>-9</v>
      </c>
      <c r="AA19" s="51" t="n">
        <v>-27</v>
      </c>
    </row>
    <row r="20" ht="36" customHeight="1">
      <c r="A20" s="53" t="str">
        <v>Impairments and net (gain) loss on retirement of property, plant and equipment</v>
      </c>
      <c r="B20" s="3"/>
      <c r="C20" s="51"/>
      <c r="D20" s="51"/>
      <c r="E20" s="51"/>
      <c r="F20" s="51"/>
      <c r="G20" s="51"/>
      <c r="H20" s="51"/>
      <c r="I20" s="51"/>
      <c r="J20" s="51"/>
      <c r="K20" s="51" t="n">
        <v>2252</v>
      </c>
      <c r="L20" s="51" t="n">
        <v>515</v>
      </c>
      <c r="M20" s="51"/>
      <c r="N20" s="51"/>
      <c r="O20" s="51"/>
      <c r="P20" s="51"/>
      <c r="Q20" s="52" t="str">
        <f>IF(COUNT(J20)=1,J20,"")</f>
      </c>
      <c r="R20" s="51"/>
      <c r="S20" s="51"/>
      <c r="T20" s="51" t="n">
        <v>2290</v>
      </c>
      <c r="U20" s="52" t="n">
        <f>IF(COUNT(K20)=1,K20,"")</f>
        <v>2252</v>
      </c>
      <c r="V20" s="51"/>
      <c r="W20" s="51" t="n">
        <v>482</v>
      </c>
      <c r="X20" s="51" t="n">
        <v>465</v>
      </c>
      <c r="Y20" s="52" t="n">
        <f>IF(COUNT(L20)=1,L20,"")</f>
        <v>515</v>
      </c>
      <c r="Z20" s="51"/>
      <c r="AA20" s="51" t="n">
        <v>165</v>
      </c>
    </row>
    <row r="21" ht="22" customHeight="1">
      <c r="A21" s="53" t="str">
        <v>Accounts receivable</v>
      </c>
      <c r="B21" s="3"/>
      <c r="C21" s="51" t="n">
        <v>65</v>
      </c>
      <c r="D21" s="51" t="n">
        <v>-781</v>
      </c>
      <c r="E21" s="51" t="n">
        <v>-1714</v>
      </c>
      <c r="F21" s="51" t="n">
        <v>-935</v>
      </c>
      <c r="G21" s="51" t="n">
        <v>883</v>
      </c>
      <c r="H21" s="51" t="n">
        <v>-2674</v>
      </c>
      <c r="I21" s="51" t="n">
        <v>5327</v>
      </c>
      <c r="J21" s="51" t="n">
        <v>731</v>
      </c>
      <c r="K21" s="51" t="n">
        <v>-75</v>
      </c>
      <c r="L21" s="51" t="n">
        <v>-449</v>
      </c>
      <c r="M21" s="51"/>
      <c r="N21" s="51" t="n">
        <v>286</v>
      </c>
      <c r="O21" s="51" t="n">
        <v>1137</v>
      </c>
      <c r="P21" s="51" t="n">
        <v>1290</v>
      </c>
      <c r="Q21" s="52" t="n">
        <f>IF(COUNT(J21)=1,J21,"")</f>
        <v>731</v>
      </c>
      <c r="R21" s="51" t="n">
        <v>80</v>
      </c>
      <c r="S21" s="51" t="n">
        <v>272</v>
      </c>
      <c r="T21" s="51" t="n">
        <v>282</v>
      </c>
      <c r="U21" s="52" t="n">
        <f>IF(COUNT(K21)=1,K21,"")</f>
        <v>-75</v>
      </c>
      <c r="V21" s="51" t="n">
        <v>414</v>
      </c>
      <c r="W21" s="51" t="n">
        <v>1004</v>
      </c>
      <c r="X21" s="51" t="n">
        <v>162</v>
      </c>
      <c r="Y21" s="52" t="n">
        <f>IF(COUNT(L21)=1,L21,"")</f>
        <v>-449</v>
      </c>
      <c r="Z21" s="51" t="n">
        <v>-217</v>
      </c>
      <c r="AA21" s="51" t="n">
        <v>-221</v>
      </c>
    </row>
    <row r="22" ht="22" customHeight="1">
      <c r="A22" s="53" t="str">
        <v>Inventories</v>
      </c>
      <c r="B22" s="3"/>
      <c r="C22" s="51" t="n">
        <v>119</v>
      </c>
      <c r="D22" s="51" t="n">
        <v>-1300</v>
      </c>
      <c r="E22" s="51" t="n">
        <v>-214</v>
      </c>
      <c r="F22" s="51" t="n">
        <v>-1481</v>
      </c>
      <c r="G22" s="51" t="n">
        <v>-687</v>
      </c>
      <c r="H22" s="51" t="n">
        <v>-2339</v>
      </c>
      <c r="I22" s="51" t="n">
        <v>-2436</v>
      </c>
      <c r="J22" s="51" t="n">
        <v>2097</v>
      </c>
      <c r="K22" s="51" t="n">
        <v>-1105</v>
      </c>
      <c r="L22" s="51" t="n">
        <v>-138</v>
      </c>
      <c r="M22" s="51"/>
      <c r="N22" s="51" t="n">
        <v>231</v>
      </c>
      <c r="O22" s="51" t="n">
        <v>1240</v>
      </c>
      <c r="P22" s="51" t="n">
        <v>1758</v>
      </c>
      <c r="Q22" s="52" t="n">
        <f>IF(COUNT(J22)=1,J22,"")</f>
        <v>2097</v>
      </c>
      <c r="R22" s="51" t="n">
        <v>-366</v>
      </c>
      <c r="S22" s="51" t="n">
        <v>-116</v>
      </c>
      <c r="T22" s="51" t="n">
        <v>-969</v>
      </c>
      <c r="U22" s="52" t="n">
        <f>IF(COUNT(K22)=1,K22,"")</f>
        <v>-1105</v>
      </c>
      <c r="V22" s="51" t="n">
        <v>-83</v>
      </c>
      <c r="W22" s="51" t="n">
        <v>99</v>
      </c>
      <c r="X22" s="51" t="n">
        <v>-9</v>
      </c>
      <c r="Y22" s="52" t="n">
        <f>IF(COUNT(L22)=1,L22,"")</f>
        <v>-138</v>
      </c>
      <c r="Z22" s="51" t="n">
        <v>-808</v>
      </c>
      <c r="AA22" s="51" t="n">
        <v>-874</v>
      </c>
    </row>
    <row r="23" ht="22" customHeight="1">
      <c r="A23" s="53" t="str">
        <v>Accounts payable</v>
      </c>
      <c r="B23" s="3"/>
      <c r="C23" s="51" t="n">
        <v>182</v>
      </c>
      <c r="D23" s="51" t="n">
        <v>191</v>
      </c>
      <c r="E23" s="51" t="n">
        <v>211</v>
      </c>
      <c r="F23" s="51" t="n">
        <v>696</v>
      </c>
      <c r="G23" s="51" t="n">
        <v>412</v>
      </c>
      <c r="H23" s="51" t="n">
        <v>1190</v>
      </c>
      <c r="I23" s="51" t="n">
        <v>-29</v>
      </c>
      <c r="J23" s="51" t="n">
        <v>-801</v>
      </c>
      <c r="K23" s="51" t="n">
        <v>634</v>
      </c>
      <c r="L23" s="51" t="n">
        <v>297</v>
      </c>
      <c r="M23" s="51"/>
      <c r="N23" s="51" t="n">
        <v>-771</v>
      </c>
      <c r="O23" s="51" t="n">
        <v>-1102</v>
      </c>
      <c r="P23" s="51" t="n">
        <v>-1082</v>
      </c>
      <c r="Q23" s="52" t="n">
        <f>IF(COUNT(J23)=1,J23,"")</f>
        <v>-801</v>
      </c>
      <c r="R23" s="51" t="n">
        <v>-386</v>
      </c>
      <c r="S23" s="51" t="n">
        <v>184</v>
      </c>
      <c r="T23" s="51" t="n">
        <v>566</v>
      </c>
      <c r="U23" s="52" t="n">
        <f>IF(COUNT(K23)=1,K23,"")</f>
        <v>634</v>
      </c>
      <c r="V23" s="51" t="n">
        <v>-240</v>
      </c>
      <c r="W23" s="51" t="n">
        <v>114</v>
      </c>
      <c r="X23" s="51" t="n">
        <v>-281</v>
      </c>
      <c r="Y23" s="52" t="n">
        <f>IF(COUNT(L23)=1,L23,"")</f>
        <v>297</v>
      </c>
      <c r="Z23" s="51" t="n">
        <v>-142</v>
      </c>
      <c r="AA23" s="51" t="n">
        <v>310</v>
      </c>
    </row>
    <row r="24" ht="22" customHeight="1">
      <c r="A24" s="53" t="str">
        <v>Accrued compensation and benefits</v>
      </c>
      <c r="B24" s="3"/>
      <c r="C24" s="51" t="n">
        <v>-1595</v>
      </c>
      <c r="D24" s="51" t="n">
        <v>-73</v>
      </c>
      <c r="E24" s="51" t="n">
        <v>-260</v>
      </c>
      <c r="F24" s="51" t="n">
        <v>91</v>
      </c>
      <c r="G24" s="51" t="n">
        <v>463</v>
      </c>
      <c r="H24" s="51" t="n">
        <v>515</v>
      </c>
      <c r="I24" s="51" t="n">
        <v>-1533</v>
      </c>
      <c r="J24" s="51" t="n">
        <v>-614</v>
      </c>
      <c r="K24" s="51" t="n">
        <v>-218</v>
      </c>
      <c r="L24" s="51" t="n">
        <v>788</v>
      </c>
      <c r="M24" s="51"/>
      <c r="N24" s="51" t="n">
        <v>-1560</v>
      </c>
      <c r="O24" s="51" t="n">
        <v>-1340</v>
      </c>
      <c r="P24" s="51" t="n">
        <v>-1171</v>
      </c>
      <c r="Q24" s="52" t="n">
        <f>IF(COUNT(J24)=1,J24,"")</f>
        <v>-614</v>
      </c>
      <c r="R24" s="51" t="n">
        <v>-1289</v>
      </c>
      <c r="S24" s="51" t="n">
        <v>-1309</v>
      </c>
      <c r="T24" s="51" t="n">
        <v>1384</v>
      </c>
      <c r="U24" s="52" t="n">
        <f>IF(COUNT(K24)=1,K24,"")</f>
        <v>-218</v>
      </c>
      <c r="V24" s="51" t="n">
        <v>-741</v>
      </c>
      <c r="W24" s="51" t="n">
        <v>1022</v>
      </c>
      <c r="X24" s="51" t="n">
        <v>541</v>
      </c>
      <c r="Y24" s="52" t="n">
        <f>IF(COUNT(L24)=1,L24,"")</f>
        <v>788</v>
      </c>
      <c r="Z24" s="51" t="n">
        <v>-1175</v>
      </c>
      <c r="AA24" s="51" t="n">
        <v>-372</v>
      </c>
    </row>
    <row r="25" ht="50" customHeight="1">
      <c r="A25" s="53" t="str">
        <v>Prepaid supply agreements (FY2018-19 captioned: Customer deposits and prepaid supply agreements; FY2021-23: Prepaid customer supply agreements)</v>
      </c>
      <c r="B25" s="3"/>
      <c r="C25" s="51"/>
      <c r="D25" s="51"/>
      <c r="E25" s="51" t="n">
        <v>1367</v>
      </c>
      <c r="F25" s="51" t="n">
        <v>-782</v>
      </c>
      <c r="G25" s="51" t="n">
        <v>-181</v>
      </c>
      <c r="H25" s="51" t="n">
        <v>-1583</v>
      </c>
      <c r="I25" s="51" t="n">
        <v>-24</v>
      </c>
      <c r="J25" s="51" t="n">
        <v>0</v>
      </c>
      <c r="K25" s="51"/>
      <c r="L25" s="51"/>
      <c r="M25" s="51"/>
      <c r="N25" s="51"/>
      <c r="O25" s="51"/>
      <c r="P25" s="51"/>
      <c r="Q25" s="52" t="n">
        <f>IF(COUNT(J25)=1,J25,"")</f>
        <v>0</v>
      </c>
      <c r="R25" s="51"/>
      <c r="S25" s="51"/>
      <c r="T25" s="51"/>
      <c r="U25" s="52" t="str">
        <f>IF(COUNT(K25)=1,K25,"")</f>
      </c>
      <c r="V25" s="51"/>
      <c r="W25" s="51"/>
      <c r="X25" s="51"/>
      <c r="Y25" s="52" t="str">
        <f>IF(COUNT(L25)=1,L25,"")</f>
      </c>
      <c r="Z25" s="51"/>
      <c r="AA25" s="51"/>
    </row>
    <row r="26" ht="22" customHeight="1">
      <c r="A26" s="53" t="str">
        <v>Income taxes payable and receivable / Income taxes</v>
      </c>
      <c r="B26" s="3"/>
      <c r="C26" s="51" t="n">
        <v>1382</v>
      </c>
      <c r="D26" s="51" t="n">
        <v>5230</v>
      </c>
      <c r="E26" s="51" t="n">
        <v>148</v>
      </c>
      <c r="F26" s="51" t="n">
        <v>885</v>
      </c>
      <c r="G26" s="51" t="n">
        <v>1620</v>
      </c>
      <c r="H26" s="51" t="n">
        <v>-441</v>
      </c>
      <c r="I26" s="51" t="n">
        <v>-4535</v>
      </c>
      <c r="J26" s="51" t="n">
        <v>-3531</v>
      </c>
      <c r="K26" s="51" t="n">
        <v>-356</v>
      </c>
      <c r="L26" s="51" t="n">
        <v>-995</v>
      </c>
      <c r="M26" s="51"/>
      <c r="N26" s="51" t="n">
        <v>1344</v>
      </c>
      <c r="O26" s="51" t="n">
        <v>-2186</v>
      </c>
      <c r="P26" s="51" t="n">
        <v>-2676</v>
      </c>
      <c r="Q26" s="52" t="n">
        <f>IF(COUNT(J26)=1,J26,"")</f>
        <v>-3531</v>
      </c>
      <c r="R26" s="51" t="n">
        <v>-591</v>
      </c>
      <c r="S26" s="51" t="n">
        <v>-2174</v>
      </c>
      <c r="T26" s="51" t="n">
        <v>-930</v>
      </c>
      <c r="U26" s="52" t="n">
        <f>IF(COUNT(K26)=1,K26,"")</f>
        <v>-356</v>
      </c>
      <c r="V26" s="51" t="n">
        <v>67</v>
      </c>
      <c r="W26" s="51" t="n">
        <v>-1338</v>
      </c>
      <c r="X26" s="51" t="n">
        <v>-1196</v>
      </c>
      <c r="Y26" s="52" t="n">
        <f>IF(COUNT(L26)=1,L26,"")</f>
        <v>-995</v>
      </c>
      <c r="Z26" s="51" t="n">
        <v>169</v>
      </c>
      <c r="AA26" s="51" t="n">
        <v>-477</v>
      </c>
    </row>
    <row r="27" ht="22" customHeight="1">
      <c r="A27" s="53" t="str">
        <v>Other assets and liabilities</v>
      </c>
      <c r="B27" s="3"/>
      <c r="C27" s="51" t="n">
        <v>515</v>
      </c>
      <c r="D27" s="51" t="n">
        <v>317</v>
      </c>
      <c r="E27" s="51" t="n">
        <v>41</v>
      </c>
      <c r="F27" s="51" t="n">
        <v>2674</v>
      </c>
      <c r="G27" s="51" t="n">
        <v>-331</v>
      </c>
      <c r="H27" s="51" t="n">
        <v>459</v>
      </c>
      <c r="I27" s="51" t="n">
        <v>-1278</v>
      </c>
      <c r="J27" s="51" t="n">
        <v>-451</v>
      </c>
      <c r="K27" s="51" t="n">
        <v>2223</v>
      </c>
      <c r="L27" s="51" t="n">
        <v>-1250</v>
      </c>
      <c r="M27" s="51"/>
      <c r="N27" s="51" t="n">
        <v>-1540</v>
      </c>
      <c r="O27" s="51" t="n">
        <v>-1843</v>
      </c>
      <c r="P27" s="51" t="n">
        <v>-574</v>
      </c>
      <c r="Q27" s="52" t="n">
        <f>IF(COUNT(J27)=1,J27,"")</f>
        <v>-451</v>
      </c>
      <c r="R27" s="51" t="n">
        <v>-2104</v>
      </c>
      <c r="S27" s="51" t="n">
        <v>-1983</v>
      </c>
      <c r="T27" s="51" t="n">
        <v>20</v>
      </c>
      <c r="U27" s="52" t="n">
        <f>IF(COUNT(K27)=1,K27,"")</f>
        <v>2223</v>
      </c>
      <c r="V27" s="51" t="n">
        <v>-1206</v>
      </c>
      <c r="W27" s="51" t="n">
        <v>-1742</v>
      </c>
      <c r="X27" s="51" t="n">
        <v>-1423</v>
      </c>
      <c r="Y27" s="52" t="n">
        <f>IF(COUNT(L27)=1,L27,"")</f>
        <v>-1250</v>
      </c>
      <c r="Z27" s="51" t="n">
        <v>-1325</v>
      </c>
      <c r="AA27" s="51" t="n">
        <v>-637</v>
      </c>
    </row>
    <row r="28" ht="24" customHeight="1">
      <c r="A28" s="34" t="str">
        <v>Total adjustments</v>
      </c>
      <c r="B28" s="35"/>
      <c r="C28" s="36" t="n">
        <v>11492</v>
      </c>
      <c r="D28" s="36" t="n">
        <v>12509</v>
      </c>
      <c r="E28" s="36" t="n">
        <v>8379</v>
      </c>
      <c r="F28" s="36" t="n">
        <v>12097</v>
      </c>
      <c r="G28" s="36" t="n">
        <v>14485</v>
      </c>
      <c r="H28" s="36" t="n">
        <v>10123</v>
      </c>
      <c r="I28" s="36" t="n">
        <v>7416</v>
      </c>
      <c r="J28" s="36" t="n">
        <v>9796</v>
      </c>
      <c r="K28" s="36" t="n">
        <v>27521</v>
      </c>
      <c r="L28" s="36" t="n">
        <v>9671</v>
      </c>
      <c r="M28" s="36"/>
      <c r="N28" s="36" t="n">
        <v>983</v>
      </c>
      <c r="O28" s="36" t="n">
        <v>2318</v>
      </c>
      <c r="P28" s="36" t="n">
        <v>7832</v>
      </c>
      <c r="Q28" s="37" t="n">
        <f>IF(COUNT(J28)=1,J28,"")</f>
        <v>9796</v>
      </c>
      <c r="R28" s="36" t="n">
        <v>-786</v>
      </c>
      <c r="S28" s="36" t="n">
        <v>3160</v>
      </c>
      <c r="T28" s="36" t="n">
        <v>24203</v>
      </c>
      <c r="U28" s="37" t="n">
        <f>IF(COUNT(K28)=1,K28,"")</f>
        <v>27521</v>
      </c>
      <c r="V28" s="36" t="n">
        <v>1700</v>
      </c>
      <c r="W28" s="36" t="n">
        <v>6774</v>
      </c>
      <c r="X28" s="36" t="n">
        <v>5050</v>
      </c>
      <c r="Y28" s="37" t="n">
        <f>IF(COUNT(L28)=1,L28,"")</f>
        <v>9671</v>
      </c>
      <c r="Z28" s="36" t="n">
        <v>5377</v>
      </c>
      <c r="AA28" s="36" t="n">
        <v>23231</v>
      </c>
    </row>
    <row r="29" ht="24" customHeight="1">
      <c r="A29" s="34" t="str">
        <v>Net cash provided by (used for) operating activities</v>
      </c>
      <c r="B29" s="35"/>
      <c r="C29" s="36" t="n">
        <v>21808</v>
      </c>
      <c r="D29" s="36" t="n">
        <v>22110</v>
      </c>
      <c r="E29" s="36" t="n">
        <v>29432</v>
      </c>
      <c r="F29" s="36" t="n">
        <v>33145</v>
      </c>
      <c r="G29" s="36" t="n">
        <v>35384</v>
      </c>
      <c r="H29" s="36" t="n">
        <v>29991</v>
      </c>
      <c r="I29" s="36" t="n">
        <v>15433</v>
      </c>
      <c r="J29" s="36" t="n">
        <v>11471</v>
      </c>
      <c r="K29" s="36" t="n">
        <v>8288</v>
      </c>
      <c r="L29" s="36" t="n">
        <v>9697</v>
      </c>
      <c r="M29" s="36"/>
      <c r="N29" s="36" t="n">
        <v>-1785</v>
      </c>
      <c r="O29" s="36" t="n">
        <v>1023</v>
      </c>
      <c r="P29" s="36" t="n">
        <v>6847</v>
      </c>
      <c r="Q29" s="37" t="n">
        <f>IF(COUNT(J29)=1,J29,"")</f>
        <v>11471</v>
      </c>
      <c r="R29" s="36" t="n">
        <v>-1223</v>
      </c>
      <c r="S29" s="36" t="n">
        <v>1069</v>
      </c>
      <c r="T29" s="36" t="n">
        <v>5123</v>
      </c>
      <c r="U29" s="37" t="n">
        <f>IF(COUNT(K29)=1,K29,"")</f>
        <v>8288</v>
      </c>
      <c r="V29" s="36" t="n">
        <v>813</v>
      </c>
      <c r="W29" s="36" t="n">
        <v>2863</v>
      </c>
      <c r="X29" s="36" t="n">
        <v>5409</v>
      </c>
      <c r="Y29" s="37" t="n">
        <f>IF(COUNT(L29)=1,L29,"")</f>
        <v>9697</v>
      </c>
      <c r="Z29" s="36" t="n">
        <v>1096</v>
      </c>
      <c r="AA29" s="36" t="n">
        <v>8102</v>
      </c>
    </row>
    <row r="30" ht="8"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22" customHeight="1">
      <c r="A31" s="21" t="str">
        <v>Investing cash flow</v>
      </c>
      <c r="B31" s="21" t="str">
        <v>Investing cash flow</v>
      </c>
      <c r="C31" s="21" t="str">
        <v>Investing cash flow</v>
      </c>
      <c r="D31" s="21" t="str">
        <v>Investing cash flow</v>
      </c>
      <c r="E31" s="21" t="str">
        <v>Investing cash flow</v>
      </c>
      <c r="F31" s="21" t="str">
        <v>Investing cash flow</v>
      </c>
      <c r="G31" s="21" t="str">
        <v>Investing cash flow</v>
      </c>
      <c r="H31" s="21" t="str">
        <v>Investing cash flow</v>
      </c>
      <c r="I31" s="21" t="str">
        <v>Investing cash flow</v>
      </c>
      <c r="J31" s="21" t="str">
        <v>Investing cash flow</v>
      </c>
      <c r="K31" s="21" t="str">
        <v>Investing cash flow</v>
      </c>
      <c r="L31" s="21" t="str">
        <v>Investing cash flow</v>
      </c>
      <c r="M31" s="21" t="str">
        <v>Investing cash flow</v>
      </c>
      <c r="N31" s="21" t="str">
        <v>Investing cash flow</v>
      </c>
      <c r="O31" s="21" t="str">
        <v>Investing cash flow</v>
      </c>
      <c r="P31" s="21" t="str">
        <v>Investing cash flow</v>
      </c>
      <c r="Q31" s="21" t="str">
        <v>Investing cash flow</v>
      </c>
      <c r="R31" s="21" t="str">
        <v>Investing cash flow</v>
      </c>
      <c r="S31" s="21" t="str">
        <v>Investing cash flow</v>
      </c>
      <c r="T31" s="21" t="str">
        <v>Investing cash flow</v>
      </c>
      <c r="U31" s="21" t="str">
        <v>Investing cash flow</v>
      </c>
      <c r="V31" s="21" t="str">
        <v>Investing cash flow</v>
      </c>
      <c r="W31" s="21" t="str">
        <v>Investing cash flow</v>
      </c>
      <c r="X31" s="21" t="str">
        <v>Investing cash flow</v>
      </c>
      <c r="Y31" s="21" t="str">
        <v>Investing cash flow</v>
      </c>
      <c r="Z31" s="21" t="str">
        <v>Investing cash flow</v>
      </c>
      <c r="AA31" s="21" t="str">
        <v>Investing cash flow</v>
      </c>
    </row>
    <row r="32" ht="22" customHeight="1">
      <c r="A32" s="53" t="str">
        <v>Additions to property, plant and equipment</v>
      </c>
      <c r="B32" s="3"/>
      <c r="C32" s="51" t="n">
        <v>-9625</v>
      </c>
      <c r="D32" s="51" t="n">
        <v>-11778</v>
      </c>
      <c r="E32" s="51" t="n">
        <v>-15181</v>
      </c>
      <c r="F32" s="51" t="n">
        <v>-16213</v>
      </c>
      <c r="G32" s="51" t="n">
        <v>-14259</v>
      </c>
      <c r="H32" s="51" t="n">
        <v>-18733</v>
      </c>
      <c r="I32" s="51" t="n">
        <v>-24844</v>
      </c>
      <c r="J32" s="51" t="n">
        <v>-25750</v>
      </c>
      <c r="K32" s="51" t="n">
        <v>-23944</v>
      </c>
      <c r="L32" s="51" t="n">
        <v>-14646</v>
      </c>
      <c r="M32" s="51"/>
      <c r="N32" s="51" t="n">
        <v>-7413</v>
      </c>
      <c r="O32" s="51" t="n">
        <v>-13301</v>
      </c>
      <c r="P32" s="51" t="n">
        <v>-19054</v>
      </c>
      <c r="Q32" s="52" t="n">
        <f>IF(COUNT(J32)=1,J32,"")</f>
        <v>-25750</v>
      </c>
      <c r="R32" s="51" t="n">
        <v>-5970</v>
      </c>
      <c r="S32" s="51" t="n">
        <v>-11652</v>
      </c>
      <c r="T32" s="51" t="n">
        <v>-18110</v>
      </c>
      <c r="U32" s="52" t="n">
        <f>IF(COUNT(K32)=1,K32,"")</f>
        <v>-23944</v>
      </c>
      <c r="V32" s="51" t="n">
        <v>-5183</v>
      </c>
      <c r="W32" s="51" t="n">
        <v>-8733</v>
      </c>
      <c r="X32" s="51" t="n">
        <v>-11158</v>
      </c>
      <c r="Y32" s="52" t="n">
        <f>IF(COUNT(L32)=1,L32,"")</f>
        <v>-14646</v>
      </c>
      <c r="Z32" s="51" t="n">
        <v>-3636</v>
      </c>
      <c r="AA32" s="51" t="n">
        <v>-6192</v>
      </c>
    </row>
    <row r="33" ht="36" customHeight="1">
      <c r="A33" s="53" t="str">
        <v>Additions to held for sale NAND property, plant and equipment</v>
      </c>
      <c r="B33" s="3"/>
      <c r="C33" s="51"/>
      <c r="D33" s="51"/>
      <c r="E33" s="51"/>
      <c r="F33" s="51"/>
      <c r="G33" s="51" t="n">
        <v>-194</v>
      </c>
      <c r="H33" s="51" t="n">
        <v>-1596</v>
      </c>
      <c r="I33" s="51" t="n">
        <v>-206</v>
      </c>
      <c r="J33" s="51" t="n">
        <v>0</v>
      </c>
      <c r="K33" s="51"/>
      <c r="L33" s="51"/>
      <c r="M33" s="51"/>
      <c r="N33" s="51"/>
      <c r="O33" s="51"/>
      <c r="P33" s="51"/>
      <c r="Q33" s="52" t="n">
        <f>IF(COUNT(J33)=1,J33,"")</f>
        <v>0</v>
      </c>
      <c r="R33" s="51"/>
      <c r="S33" s="51"/>
      <c r="T33" s="51"/>
      <c r="U33" s="52" t="str">
        <f>IF(COUNT(K33)=1,K33,"")</f>
      </c>
      <c r="V33" s="51"/>
      <c r="W33" s="51"/>
      <c r="X33" s="51"/>
      <c r="Y33" s="52" t="str">
        <f>IF(COUNT(L33)=1,L33,"")</f>
      </c>
      <c r="Z33" s="51"/>
      <c r="AA33" s="51"/>
    </row>
    <row r="34" ht="22" customHeight="1">
      <c r="A34" s="53" t="str">
        <v>Proceeds from capital-related government incentives</v>
      </c>
      <c r="B34" s="3"/>
      <c r="C34" s="51"/>
      <c r="D34" s="51"/>
      <c r="E34" s="51"/>
      <c r="F34" s="51"/>
      <c r="G34" s="51"/>
      <c r="H34" s="51"/>
      <c r="I34" s="51"/>
      <c r="J34" s="51" t="n">
        <v>1011</v>
      </c>
      <c r="K34" s="51" t="n">
        <v>1936</v>
      </c>
      <c r="L34" s="51" t="n">
        <v>1577</v>
      </c>
      <c r="M34" s="51"/>
      <c r="N34" s="51" t="n">
        <v>0</v>
      </c>
      <c r="O34" s="51" t="n">
        <v>49</v>
      </c>
      <c r="P34" s="51"/>
      <c r="Q34" s="52" t="n">
        <f>IF(COUNT(J34)=1,J34,"")</f>
        <v>1011</v>
      </c>
      <c r="R34" s="51" t="n">
        <v>592</v>
      </c>
      <c r="S34" s="51" t="n">
        <v>699</v>
      </c>
      <c r="T34" s="51" t="n">
        <v>725</v>
      </c>
      <c r="U34" s="52" t="n">
        <f>IF(COUNT(K34)=1,K34,"")</f>
        <v>1936</v>
      </c>
      <c r="V34" s="51" t="n">
        <v>803</v>
      </c>
      <c r="W34" s="51" t="n">
        <v>964</v>
      </c>
      <c r="X34" s="51" t="n">
        <v>1018</v>
      </c>
      <c r="Y34" s="52" t="n">
        <f>IF(COUNT(L34)=1,L34,"")</f>
        <v>1577</v>
      </c>
      <c r="Z34" s="51" t="n">
        <v>107</v>
      </c>
      <c r="AA34" s="51" t="n">
        <v>167</v>
      </c>
    </row>
    <row r="35" ht="22" customHeight="1">
      <c r="A35" s="53" t="str">
        <v>Acquisitions, net of cash acquired</v>
      </c>
      <c r="B35" s="3"/>
      <c r="C35" s="51" t="n">
        <v>-15470</v>
      </c>
      <c r="D35" s="51" t="n">
        <v>-14499</v>
      </c>
      <c r="E35" s="51" t="n">
        <v>-190</v>
      </c>
      <c r="F35" s="51" t="n">
        <v>-1958</v>
      </c>
      <c r="G35" s="51" t="n">
        <v>-837</v>
      </c>
      <c r="H35" s="51" t="n">
        <v>-209</v>
      </c>
      <c r="I35" s="51"/>
      <c r="J35" s="51"/>
      <c r="K35" s="51" t="n">
        <v>-82</v>
      </c>
      <c r="L35" s="51"/>
      <c r="M35" s="51"/>
      <c r="N35" s="51"/>
      <c r="O35" s="51"/>
      <c r="P35" s="51"/>
      <c r="Q35" s="52" t="str">
        <f>IF(COUNT(J35)=1,J35,"")</f>
      </c>
      <c r="R35" s="51"/>
      <c r="S35" s="51"/>
      <c r="T35" s="51"/>
      <c r="U35" s="52" t="n">
        <f>IF(COUNT(K35)=1,K35,"")</f>
        <v>-82</v>
      </c>
      <c r="V35" s="51"/>
      <c r="W35" s="51"/>
      <c r="X35" s="51"/>
      <c r="Y35" s="52" t="str">
        <f>IF(COUNT(L35)=1,L35,"")</f>
      </c>
      <c r="Z35" s="51" t="n">
        <v>-596</v>
      </c>
      <c r="AA35" s="51" t="n">
        <v>-596</v>
      </c>
    </row>
    <row r="36" ht="36" customHeight="1">
      <c r="A36" s="53" t="str">
        <v>Purchases of available-for-sale investments / debt investments</v>
      </c>
      <c r="B36" s="3"/>
      <c r="C36" s="51" t="n">
        <v>-9269</v>
      </c>
      <c r="D36" s="51" t="n">
        <v>-2764</v>
      </c>
      <c r="E36" s="51" t="n">
        <v>-3843</v>
      </c>
      <c r="F36" s="51" t="n">
        <v>-2268</v>
      </c>
      <c r="G36" s="51" t="n">
        <v>-6862</v>
      </c>
      <c r="H36" s="51" t="n">
        <v>-5051</v>
      </c>
      <c r="I36" s="51"/>
      <c r="J36" s="51"/>
      <c r="K36" s="51"/>
      <c r="L36" s="51"/>
      <c r="M36" s="51"/>
      <c r="N36" s="51"/>
      <c r="O36" s="51"/>
      <c r="P36" s="51"/>
      <c r="Q36" s="52" t="str">
        <f>IF(COUNT(J36)=1,J36,"")</f>
      </c>
      <c r="R36" s="51"/>
      <c r="S36" s="51"/>
      <c r="T36" s="51"/>
      <c r="U36" s="52" t="str">
        <f>IF(COUNT(K36)=1,K36,"")</f>
      </c>
      <c r="V36" s="51"/>
      <c r="W36" s="51"/>
      <c r="X36" s="51"/>
      <c r="Y36" s="52" t="str">
        <f>IF(COUNT(L36)=1,L36,"")</f>
      </c>
      <c r="Z36" s="51"/>
      <c r="AA36" s="51"/>
    </row>
    <row r="37" ht="22" customHeight="1">
      <c r="A37" s="53" t="str">
        <v>Sales of available-for-sale investments / debt investments</v>
      </c>
      <c r="B37" s="3"/>
      <c r="C37" s="51" t="n">
        <v>3852</v>
      </c>
      <c r="D37" s="51" t="n">
        <v>6978</v>
      </c>
      <c r="E37" s="51" t="n">
        <v>195</v>
      </c>
      <c r="F37" s="51" t="n">
        <v>238</v>
      </c>
      <c r="G37" s="51"/>
      <c r="H37" s="51"/>
      <c r="I37" s="51"/>
      <c r="J37" s="51"/>
      <c r="K37" s="51"/>
      <c r="L37" s="51"/>
      <c r="M37" s="51"/>
      <c r="N37" s="51"/>
      <c r="O37" s="51"/>
      <c r="P37" s="51"/>
      <c r="Q37" s="52" t="str">
        <f>IF(COUNT(J37)=1,J37,"")</f>
      </c>
      <c r="R37" s="51"/>
      <c r="S37" s="51"/>
      <c r="T37" s="51"/>
      <c r="U37" s="52" t="str">
        <f>IF(COUNT(K37)=1,K37,"")</f>
      </c>
      <c r="V37" s="51"/>
      <c r="W37" s="51"/>
      <c r="X37" s="51"/>
      <c r="Y37" s="52" t="str">
        <f>IF(COUNT(L37)=1,L37,"")</f>
      </c>
      <c r="Z37" s="51"/>
      <c r="AA37" s="51"/>
    </row>
    <row r="38" ht="36" customHeight="1">
      <c r="A38" s="53" t="str">
        <v>Maturities of available-for-sale investments / debt investments</v>
      </c>
      <c r="B38" s="3"/>
      <c r="C38" s="51" t="n">
        <v>5654</v>
      </c>
      <c r="D38" s="51" t="n">
        <v>3687</v>
      </c>
      <c r="E38" s="51" t="n">
        <v>2968</v>
      </c>
      <c r="F38" s="51" t="n">
        <v>3988</v>
      </c>
      <c r="G38" s="51"/>
      <c r="H38" s="51"/>
      <c r="I38" s="51"/>
      <c r="J38" s="51"/>
      <c r="K38" s="51"/>
      <c r="L38" s="51"/>
      <c r="M38" s="51"/>
      <c r="N38" s="51"/>
      <c r="O38" s="51"/>
      <c r="P38" s="51"/>
      <c r="Q38" s="52" t="str">
        <f>IF(COUNT(J38)=1,J38,"")</f>
      </c>
      <c r="R38" s="51"/>
      <c r="S38" s="51"/>
      <c r="T38" s="51"/>
      <c r="U38" s="52" t="str">
        <f>IF(COUNT(K38)=1,K38,"")</f>
      </c>
      <c r="V38" s="51"/>
      <c r="W38" s="51"/>
      <c r="X38" s="51"/>
      <c r="Y38" s="52" t="str">
        <f>IF(COUNT(L38)=1,L38,"")</f>
      </c>
      <c r="Z38" s="51"/>
      <c r="AA38" s="51"/>
    </row>
    <row r="39" ht="36" customHeight="1">
      <c r="A39" s="53" t="str">
        <v>Maturities and sales of available-for-sale debt investments</v>
      </c>
      <c r="B39" s="3"/>
      <c r="C39" s="51"/>
      <c r="D39" s="51"/>
      <c r="E39" s="51"/>
      <c r="F39" s="51"/>
      <c r="G39" s="51" t="n">
        <v>6781</v>
      </c>
      <c r="H39" s="51" t="n">
        <v>6467</v>
      </c>
      <c r="I39" s="51"/>
      <c r="J39" s="51"/>
      <c r="K39" s="51"/>
      <c r="L39" s="51"/>
      <c r="M39" s="51"/>
      <c r="N39" s="51"/>
      <c r="O39" s="51"/>
      <c r="P39" s="51"/>
      <c r="Q39" s="52" t="str">
        <f>IF(COUNT(J39)=1,J39,"")</f>
      </c>
      <c r="R39" s="51"/>
      <c r="S39" s="51"/>
      <c r="T39" s="51"/>
      <c r="U39" s="52" t="str">
        <f>IF(COUNT(K39)=1,K39,"")</f>
      </c>
      <c r="V39" s="51"/>
      <c r="W39" s="51"/>
      <c r="X39" s="51"/>
      <c r="Y39" s="52" t="str">
        <f>IF(COUNT(L39)=1,L39,"")</f>
      </c>
      <c r="Z39" s="51"/>
      <c r="AA39" s="51"/>
    </row>
    <row r="40" ht="22" customHeight="1">
      <c r="A40" s="53" t="str">
        <v>Purchases of trading assets</v>
      </c>
      <c r="B40" s="3"/>
      <c r="C40" s="51" t="n">
        <v>-12237</v>
      </c>
      <c r="D40" s="51" t="n">
        <v>-13700</v>
      </c>
      <c r="E40" s="51" t="n">
        <v>-9503</v>
      </c>
      <c r="F40" s="51" t="n">
        <v>-9162</v>
      </c>
      <c r="G40" s="51" t="n">
        <v>-22377</v>
      </c>
      <c r="H40" s="51" t="n">
        <v>-35503</v>
      </c>
      <c r="I40" s="51"/>
      <c r="J40" s="51"/>
      <c r="K40" s="51"/>
      <c r="L40" s="51"/>
      <c r="M40" s="51"/>
      <c r="N40" s="51"/>
      <c r="O40" s="51"/>
      <c r="P40" s="51"/>
      <c r="Q40" s="52" t="str">
        <f>IF(COUNT(J40)=1,J40,"")</f>
      </c>
      <c r="R40" s="51"/>
      <c r="S40" s="51"/>
      <c r="T40" s="51"/>
      <c r="U40" s="52" t="str">
        <f>IF(COUNT(K40)=1,K40,"")</f>
      </c>
      <c r="V40" s="51"/>
      <c r="W40" s="51"/>
      <c r="X40" s="51"/>
      <c r="Y40" s="52" t="str">
        <f>IF(COUNT(L40)=1,L40,"")</f>
      </c>
      <c r="Z40" s="51"/>
      <c r="AA40" s="51"/>
    </row>
    <row r="41" ht="22" customHeight="1">
      <c r="A41" s="53" t="str">
        <v>Maturities and sales of trading assets</v>
      </c>
      <c r="B41" s="3"/>
      <c r="C41" s="51" t="n">
        <v>10907</v>
      </c>
      <c r="D41" s="51" t="n">
        <v>13975</v>
      </c>
      <c r="E41" s="51" t="n">
        <v>12111</v>
      </c>
      <c r="F41" s="51" t="n">
        <v>7178</v>
      </c>
      <c r="G41" s="51" t="n">
        <v>15377</v>
      </c>
      <c r="H41" s="51" t="n">
        <v>28832</v>
      </c>
      <c r="I41" s="51"/>
      <c r="J41" s="51"/>
      <c r="K41" s="51"/>
      <c r="L41" s="51"/>
      <c r="M41" s="51"/>
      <c r="N41" s="51"/>
      <c r="O41" s="51"/>
      <c r="P41" s="51"/>
      <c r="Q41" s="52" t="str">
        <f>IF(COUNT(J41)=1,J41,"")</f>
      </c>
      <c r="R41" s="51"/>
      <c r="S41" s="51"/>
      <c r="T41" s="51"/>
      <c r="U41" s="52" t="str">
        <f>IF(COUNT(K41)=1,K41,"")</f>
      </c>
      <c r="V41" s="51"/>
      <c r="W41" s="51"/>
      <c r="X41" s="51"/>
      <c r="Y41" s="52" t="str">
        <f>IF(COUNT(L41)=1,L41,"")</f>
      </c>
      <c r="Z41" s="51"/>
      <c r="AA41" s="51"/>
    </row>
    <row r="42" ht="36" customHeight="1">
      <c r="A42" s="53" t="str">
        <v>Investments in loans receivable and reverse repurchase agreements</v>
      </c>
      <c r="B42" s="3"/>
      <c r="C42" s="51" t="n">
        <v>-223</v>
      </c>
      <c r="D42" s="51"/>
      <c r="E42" s="51"/>
      <c r="F42" s="51"/>
      <c r="G42" s="51"/>
      <c r="H42" s="51"/>
      <c r="I42" s="51"/>
      <c r="J42" s="51"/>
      <c r="K42" s="51"/>
      <c r="L42" s="51"/>
      <c r="M42" s="51"/>
      <c r="N42" s="51"/>
      <c r="O42" s="51"/>
      <c r="P42" s="51"/>
      <c r="Q42" s="52" t="str">
        <f>IF(COUNT(J42)=1,J42,"")</f>
      </c>
      <c r="R42" s="51"/>
      <c r="S42" s="51"/>
      <c r="T42" s="51"/>
      <c r="U42" s="52" t="str">
        <f>IF(COUNT(K42)=1,K42,"")</f>
      </c>
      <c r="V42" s="51"/>
      <c r="W42" s="51"/>
      <c r="X42" s="51"/>
      <c r="Y42" s="52" t="str">
        <f>IF(COUNT(L42)=1,L42,"")</f>
      </c>
      <c r="Z42" s="51"/>
      <c r="AA42" s="51"/>
    </row>
    <row r="43" ht="36" customHeight="1">
      <c r="A43" s="53" t="str">
        <v>Collection of loans receivable and reverse repurchase agreements</v>
      </c>
      <c r="B43" s="3"/>
      <c r="C43" s="51" t="n">
        <v>911</v>
      </c>
      <c r="D43" s="51"/>
      <c r="E43" s="51"/>
      <c r="F43" s="51"/>
      <c r="G43" s="51"/>
      <c r="H43" s="51"/>
      <c r="I43" s="51"/>
      <c r="J43" s="51"/>
      <c r="K43" s="51"/>
      <c r="L43" s="51"/>
      <c r="M43" s="51"/>
      <c r="N43" s="51"/>
      <c r="O43" s="51"/>
      <c r="P43" s="51"/>
      <c r="Q43" s="52" t="str">
        <f>IF(COUNT(J43)=1,J43,"")</f>
      </c>
      <c r="R43" s="51"/>
      <c r="S43" s="51"/>
      <c r="T43" s="51"/>
      <c r="U43" s="52" t="str">
        <f>IF(COUNT(K43)=1,K43,"")</f>
      </c>
      <c r="V43" s="51"/>
      <c r="W43" s="51"/>
      <c r="X43" s="51"/>
      <c r="Y43" s="52" t="str">
        <f>IF(COUNT(L43)=1,L43,"")</f>
      </c>
      <c r="Z43" s="51"/>
      <c r="AA43" s="51"/>
    </row>
    <row r="44" ht="22" customHeight="1">
      <c r="A44" s="53" t="str">
        <v>Investments in non-marketable equity investments</v>
      </c>
      <c r="B44" s="3"/>
      <c r="C44" s="51" t="n">
        <v>-963</v>
      </c>
      <c r="D44" s="51" t="n">
        <v>-1601</v>
      </c>
      <c r="E44" s="51"/>
      <c r="F44" s="51"/>
      <c r="G44" s="51"/>
      <c r="H44" s="51"/>
      <c r="I44" s="51"/>
      <c r="J44" s="51"/>
      <c r="K44" s="51"/>
      <c r="L44" s="51"/>
      <c r="M44" s="51"/>
      <c r="N44" s="51"/>
      <c r="O44" s="51"/>
      <c r="P44" s="51"/>
      <c r="Q44" s="52" t="str">
        <f>IF(COUNT(J44)=1,J44,"")</f>
      </c>
      <c r="R44" s="51"/>
      <c r="S44" s="51"/>
      <c r="T44" s="51"/>
      <c r="U44" s="52" t="str">
        <f>IF(COUNT(K44)=1,K44,"")</f>
      </c>
      <c r="V44" s="51"/>
      <c r="W44" s="51"/>
      <c r="X44" s="51"/>
      <c r="Y44" s="52" t="str">
        <f>IF(COUNT(L44)=1,L44,"")</f>
      </c>
      <c r="Z44" s="51"/>
      <c r="AA44" s="51"/>
    </row>
    <row r="45" ht="22" customHeight="1">
      <c r="A45" s="53" t="str">
        <v>Purchases of short-term investments</v>
      </c>
      <c r="B45" s="3"/>
      <c r="C45" s="51"/>
      <c r="D45" s="51"/>
      <c r="E45" s="51"/>
      <c r="F45" s="51"/>
      <c r="G45" s="51"/>
      <c r="H45" s="51"/>
      <c r="I45" s="51" t="n">
        <v>-43647</v>
      </c>
      <c r="J45" s="51" t="n">
        <v>-44414</v>
      </c>
      <c r="K45" s="51" t="n">
        <v>-37940</v>
      </c>
      <c r="L45" s="51" t="n">
        <v>-24319</v>
      </c>
      <c r="M45" s="51"/>
      <c r="N45" s="51" t="n">
        <v>-16132</v>
      </c>
      <c r="O45" s="51" t="n">
        <v>-25696</v>
      </c>
      <c r="P45" s="51" t="n">
        <v>-37287</v>
      </c>
      <c r="Q45" s="52" t="n">
        <f>IF(COUNT(J45)=1,J45,"")</f>
        <v>-44414</v>
      </c>
      <c r="R45" s="51" t="n">
        <v>-6460</v>
      </c>
      <c r="S45" s="51" t="n">
        <v>-17634</v>
      </c>
      <c r="T45" s="51" t="n">
        <v>-31519</v>
      </c>
      <c r="U45" s="52" t="n">
        <f>IF(COUNT(K45)=1,K45,"")</f>
        <v>-37940</v>
      </c>
      <c r="V45" s="51" t="n">
        <v>-3386</v>
      </c>
      <c r="W45" s="51" t="n">
        <v>-5730</v>
      </c>
      <c r="X45" s="51" t="n">
        <v>-16401</v>
      </c>
      <c r="Y45" s="52" t="n">
        <f>IF(COUNT(L45)=1,L45,"")</f>
        <v>-24319</v>
      </c>
      <c r="Z45" s="51" t="n">
        <v>-7190</v>
      </c>
      <c r="AA45" s="51" t="n">
        <v>-12737</v>
      </c>
    </row>
    <row r="46" ht="22" customHeight="1">
      <c r="A46" s="53" t="str">
        <v>Sales of short-term investments (10-Q presentation)</v>
      </c>
      <c r="B46" s="3"/>
      <c r="C46" s="51"/>
      <c r="D46" s="51"/>
      <c r="E46" s="51"/>
      <c r="F46" s="51"/>
      <c r="G46" s="51"/>
      <c r="H46" s="51"/>
      <c r="I46" s="51"/>
      <c r="J46" s="51"/>
      <c r="K46" s="51"/>
      <c r="L46" s="51"/>
      <c r="M46" s="51"/>
      <c r="N46" s="51"/>
      <c r="O46" s="51"/>
      <c r="P46" s="51"/>
      <c r="Q46" s="52" t="str">
        <f>IF(COUNT(J46)=1,J46,"")</f>
      </c>
      <c r="R46" s="51"/>
      <c r="S46" s="51"/>
      <c r="T46" s="51"/>
      <c r="U46" s="52" t="str">
        <f>IF(COUNT(K46)=1,K46,"")</f>
      </c>
      <c r="V46" s="51"/>
      <c r="W46" s="51"/>
      <c r="X46" s="51"/>
      <c r="Y46" s="52" t="str">
        <f>IF(COUNT(L46)=1,L46,"")</f>
      </c>
      <c r="Z46" s="51" t="n">
        <v>9221</v>
      </c>
      <c r="AA46" s="51" t="n">
        <v>11009</v>
      </c>
    </row>
    <row r="47" ht="22" customHeight="1">
      <c r="A47" s="53" t="str">
        <v>Maturities of short-term investments (10-Q presentation)</v>
      </c>
      <c r="B47" s="3"/>
      <c r="C47" s="51"/>
      <c r="D47" s="51"/>
      <c r="E47" s="51"/>
      <c r="F47" s="51"/>
      <c r="G47" s="51"/>
      <c r="H47" s="51"/>
      <c r="I47" s="51"/>
      <c r="J47" s="51"/>
      <c r="K47" s="51"/>
      <c r="L47" s="51"/>
      <c r="M47" s="51"/>
      <c r="N47" s="51"/>
      <c r="O47" s="51"/>
      <c r="P47" s="51"/>
      <c r="Q47" s="52" t="str">
        <f>IF(COUNT(J47)=1,J47,"")</f>
      </c>
      <c r="R47" s="51"/>
      <c r="S47" s="51"/>
      <c r="T47" s="51"/>
      <c r="U47" s="52" t="str">
        <f>IF(COUNT(K47)=1,K47,"")</f>
      </c>
      <c r="V47" s="51"/>
      <c r="W47" s="51"/>
      <c r="X47" s="51"/>
      <c r="Y47" s="52" t="str">
        <f>IF(COUNT(L47)=1,L47,"")</f>
      </c>
      <c r="Z47" s="51" t="n">
        <v>5227</v>
      </c>
      <c r="AA47" s="51" t="n">
        <v>7724</v>
      </c>
    </row>
    <row r="48" ht="22" customHeight="1">
      <c r="A48" s="53" t="str">
        <v>Maturities and sales of short-term investments</v>
      </c>
      <c r="B48" s="3"/>
      <c r="C48" s="51"/>
      <c r="D48" s="51"/>
      <c r="E48" s="51"/>
      <c r="F48" s="51"/>
      <c r="G48" s="51"/>
      <c r="H48" s="51"/>
      <c r="I48" s="51" t="n">
        <v>48730</v>
      </c>
      <c r="J48" s="51" t="n">
        <v>44077</v>
      </c>
      <c r="K48" s="51" t="n">
        <v>41463</v>
      </c>
      <c r="L48" s="51" t="n">
        <v>15387</v>
      </c>
      <c r="M48" s="51"/>
      <c r="N48" s="51" t="n">
        <v>14173</v>
      </c>
      <c r="O48" s="51" t="n">
        <v>26957</v>
      </c>
      <c r="P48" s="51" t="n">
        <v>36725</v>
      </c>
      <c r="Q48" s="52" t="n">
        <f>IF(COUNT(J48)=1,J48,"")</f>
        <v>44077</v>
      </c>
      <c r="R48" s="51" t="n">
        <v>9598</v>
      </c>
      <c r="S48" s="51" t="n">
        <v>17214</v>
      </c>
      <c r="T48" s="51" t="n">
        <v>34268</v>
      </c>
      <c r="U48" s="52" t="n">
        <f>IF(COUNT(K48)=1,K48,"")</f>
        <v>41463</v>
      </c>
      <c r="V48" s="51" t="n">
        <v>5327</v>
      </c>
      <c r="W48" s="51" t="n">
        <v>8575</v>
      </c>
      <c r="X48" s="51" t="n">
        <v>10964</v>
      </c>
      <c r="Y48" s="52" t="n">
        <f>IF(COUNT(L48)=1,L48,"")</f>
        <v>15387</v>
      </c>
      <c r="Z48" s="51"/>
      <c r="AA48" s="51"/>
    </row>
    <row r="49" ht="22" customHeight="1">
      <c r="A49" s="53" t="str">
        <v>Purchases of equity investments</v>
      </c>
      <c r="B49" s="3"/>
      <c r="C49" s="51"/>
      <c r="D49" s="51"/>
      <c r="E49" s="51" t="n">
        <v>-874</v>
      </c>
      <c r="F49" s="51" t="n">
        <v>-522</v>
      </c>
      <c r="G49" s="51" t="n">
        <v>-720</v>
      </c>
      <c r="H49" s="51" t="n">
        <v>-613</v>
      </c>
      <c r="I49" s="51" t="n">
        <v>-510</v>
      </c>
      <c r="J49" s="51" t="n">
        <v>-399</v>
      </c>
      <c r="K49" s="51"/>
      <c r="L49" s="51"/>
      <c r="M49" s="51"/>
      <c r="N49" s="51"/>
      <c r="O49" s="51"/>
      <c r="P49" s="51"/>
      <c r="Q49" s="52" t="n">
        <f>IF(COUNT(J49)=1,J49,"")</f>
        <v>-399</v>
      </c>
      <c r="R49" s="51"/>
      <c r="S49" s="51"/>
      <c r="T49" s="51"/>
      <c r="U49" s="52" t="str">
        <f>IF(COUNT(K49)=1,K49,"")</f>
      </c>
      <c r="V49" s="51"/>
      <c r="W49" s="51"/>
      <c r="X49" s="51"/>
      <c r="Y49" s="52" t="str">
        <f>IF(COUNT(L49)=1,L49,"")</f>
      </c>
      <c r="Z49" s="51"/>
      <c r="AA49" s="51"/>
    </row>
    <row r="50" ht="22" customHeight="1">
      <c r="A50" s="53" t="str">
        <v>Sales of equity investments</v>
      </c>
      <c r="B50" s="3"/>
      <c r="C50" s="51"/>
      <c r="D50" s="51"/>
      <c r="E50" s="51" t="n">
        <v>2802</v>
      </c>
      <c r="F50" s="51" t="n">
        <v>2688</v>
      </c>
      <c r="G50" s="51" t="n">
        <v>910</v>
      </c>
      <c r="H50" s="51" t="n">
        <v>581</v>
      </c>
      <c r="I50" s="51" t="n">
        <v>4961</v>
      </c>
      <c r="J50" s="51" t="n">
        <v>472</v>
      </c>
      <c r="K50" s="51" t="n">
        <v>1047</v>
      </c>
      <c r="L50" s="51" t="n">
        <v>671</v>
      </c>
      <c r="M50" s="51"/>
      <c r="N50" s="51"/>
      <c r="O50" s="51"/>
      <c r="P50" s="51" t="n">
        <v>375</v>
      </c>
      <c r="Q50" s="52" t="n">
        <f>IF(COUNT(J50)=1,J50,"")</f>
        <v>472</v>
      </c>
      <c r="R50" s="51"/>
      <c r="S50" s="51"/>
      <c r="T50" s="51"/>
      <c r="U50" s="52" t="n">
        <f>IF(COUNT(K50)=1,K50,"")</f>
        <v>1047</v>
      </c>
      <c r="V50" s="51"/>
      <c r="W50" s="51"/>
      <c r="X50" s="51" t="n">
        <v>642</v>
      </c>
      <c r="Y50" s="52" t="n">
        <f>IF(COUNT(L50)=1,L50,"")</f>
        <v>671</v>
      </c>
      <c r="Z50" s="51"/>
      <c r="AA50" s="51"/>
    </row>
    <row r="51" ht="22" customHeight="1">
      <c r="A51" s="53" t="str">
        <v>Proceeds from divestitures (net)</v>
      </c>
      <c r="B51" s="3"/>
      <c r="C51" s="51"/>
      <c r="D51" s="51" t="n">
        <v>3124</v>
      </c>
      <c r="E51" s="51" t="n">
        <v>548</v>
      </c>
      <c r="F51" s="51" t="n">
        <v>911</v>
      </c>
      <c r="G51" s="51" t="n">
        <v>123</v>
      </c>
      <c r="H51" s="51"/>
      <c r="I51" s="51" t="n">
        <v>6579</v>
      </c>
      <c r="J51" s="51" t="n">
        <v>0</v>
      </c>
      <c r="K51" s="51" t="n">
        <v>0</v>
      </c>
      <c r="L51" s="51" t="n">
        <v>6157</v>
      </c>
      <c r="M51" s="51"/>
      <c r="N51" s="51"/>
      <c r="O51" s="51"/>
      <c r="P51" s="51" t="n">
        <v>0</v>
      </c>
      <c r="Q51" s="52" t="n">
        <f>IF(COUNT(J51)=1,J51,"")</f>
        <v>0</v>
      </c>
      <c r="R51" s="51"/>
      <c r="S51" s="51"/>
      <c r="T51" s="51"/>
      <c r="U51" s="52" t="n">
        <f>IF(COUNT(K51)=1,K51,"")</f>
        <v>0</v>
      </c>
      <c r="V51" s="51" t="n">
        <v>1935</v>
      </c>
      <c r="W51" s="51" t="n">
        <v>1935</v>
      </c>
      <c r="X51" s="51" t="n">
        <v>6186</v>
      </c>
      <c r="Y51" s="52" t="n">
        <f>IF(COUNT(L51)=1,L51,"")</f>
        <v>6157</v>
      </c>
      <c r="Z51" s="51" t="n">
        <v>0</v>
      </c>
      <c r="AA51" s="51" t="n">
        <v>0</v>
      </c>
    </row>
    <row r="52" ht="22" customHeight="1">
      <c r="A52" s="53" t="str">
        <v>Other investing</v>
      </c>
      <c r="B52" s="3"/>
      <c r="C52" s="51" t="n">
        <v>646</v>
      </c>
      <c r="D52" s="51" t="n">
        <v>816</v>
      </c>
      <c r="E52" s="51" t="n">
        <v>-272</v>
      </c>
      <c r="F52" s="51" t="n">
        <v>715</v>
      </c>
      <c r="G52" s="51" t="n">
        <v>1262</v>
      </c>
      <c r="H52" s="51" t="n">
        <v>658</v>
      </c>
      <c r="I52" s="51" t="n">
        <v>-1540</v>
      </c>
      <c r="J52" s="51" t="n">
        <v>962</v>
      </c>
      <c r="K52" s="51" t="n">
        <v>-736</v>
      </c>
      <c r="L52" s="51" t="n">
        <v>352</v>
      </c>
      <c r="M52" s="51"/>
      <c r="N52" s="51" t="n">
        <v>851</v>
      </c>
      <c r="O52" s="51" t="n">
        <v>662</v>
      </c>
      <c r="P52" s="51" t="n">
        <v>518</v>
      </c>
      <c r="Q52" s="52" t="n">
        <f>IF(COUNT(J52)=1,J52,"")</f>
        <v>962</v>
      </c>
      <c r="R52" s="51" t="n">
        <v>-323</v>
      </c>
      <c r="S52" s="51" t="n">
        <v>-355</v>
      </c>
      <c r="T52" s="51" t="n">
        <v>144</v>
      </c>
      <c r="U52" s="52" t="n">
        <f>IF(COUNT(K52)=1,K52,"")</f>
        <v>-736</v>
      </c>
      <c r="V52" s="51" t="n">
        <v>585</v>
      </c>
      <c r="W52" s="51" t="n">
        <v>984</v>
      </c>
      <c r="X52" s="51" t="n">
        <v>494</v>
      </c>
      <c r="Y52" s="52" t="n">
        <f>IF(COUNT(L52)=1,L52,"")</f>
        <v>352</v>
      </c>
      <c r="Z52" s="51" t="n">
        <v>-40</v>
      </c>
      <c r="AA52" s="51" t="n">
        <v>-44</v>
      </c>
    </row>
    <row r="53" ht="24" customHeight="1">
      <c r="A53" s="34" t="str">
        <v>Net cash provided by (used for) investing activities</v>
      </c>
      <c r="B53" s="35"/>
      <c r="C53" s="36" t="n">
        <v>-25817</v>
      </c>
      <c r="D53" s="36" t="n">
        <v>-15762</v>
      </c>
      <c r="E53" s="36" t="n">
        <v>-11239</v>
      </c>
      <c r="F53" s="36" t="n">
        <v>-14405</v>
      </c>
      <c r="G53" s="36" t="n">
        <v>-20796</v>
      </c>
      <c r="H53" s="36" t="n">
        <v>-25167</v>
      </c>
      <c r="I53" s="36" t="n">
        <v>-10477</v>
      </c>
      <c r="J53" s="36" t="n">
        <v>-24041</v>
      </c>
      <c r="K53" s="36" t="n">
        <v>-18256</v>
      </c>
      <c r="L53" s="36" t="n">
        <v>-14821</v>
      </c>
      <c r="M53" s="36"/>
      <c r="N53" s="36" t="n">
        <v>-8521</v>
      </c>
      <c r="O53" s="36" t="n">
        <v>-11329</v>
      </c>
      <c r="P53" s="36" t="n">
        <v>-18723</v>
      </c>
      <c r="Q53" s="37" t="n">
        <f>IF(COUNT(J53)=1,J53,"")</f>
        <v>-24041</v>
      </c>
      <c r="R53" s="36" t="n">
        <v>-2563</v>
      </c>
      <c r="S53" s="36" t="n">
        <v>-11728</v>
      </c>
      <c r="T53" s="36" t="n">
        <v>-14492</v>
      </c>
      <c r="U53" s="37" t="n">
        <f>IF(COUNT(K53)=1,K53,"")</f>
        <v>-18256</v>
      </c>
      <c r="V53" s="36" t="n">
        <v>81</v>
      </c>
      <c r="W53" s="36" t="n">
        <v>-2005</v>
      </c>
      <c r="X53" s="36" t="n">
        <v>-8255</v>
      </c>
      <c r="Y53" s="37" t="n">
        <f>IF(COUNT(L53)=1,L53,"")</f>
        <v>-14821</v>
      </c>
      <c r="Z53" s="36" t="n">
        <v>3093</v>
      </c>
      <c r="AA53" s="36" t="n">
        <v>-669</v>
      </c>
    </row>
    <row r="54" ht="8"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22" customHeight="1">
      <c r="A55" s="21" t="str">
        <v>Financing cash flow</v>
      </c>
      <c r="B55" s="21" t="str">
        <v>Financing cash flow</v>
      </c>
      <c r="C55" s="21" t="str">
        <v>Financing cash flow</v>
      </c>
      <c r="D55" s="21" t="str">
        <v>Financing cash flow</v>
      </c>
      <c r="E55" s="21" t="str">
        <v>Financing cash flow</v>
      </c>
      <c r="F55" s="21" t="str">
        <v>Financing cash flow</v>
      </c>
      <c r="G55" s="21" t="str">
        <v>Financing cash flow</v>
      </c>
      <c r="H55" s="21" t="str">
        <v>Financing cash flow</v>
      </c>
      <c r="I55" s="21" t="str">
        <v>Financing cash flow</v>
      </c>
      <c r="J55" s="21" t="str">
        <v>Financing cash flow</v>
      </c>
      <c r="K55" s="21" t="str">
        <v>Financing cash flow</v>
      </c>
      <c r="L55" s="21" t="str">
        <v>Financing cash flow</v>
      </c>
      <c r="M55" s="21" t="str">
        <v>Financing cash flow</v>
      </c>
      <c r="N55" s="21" t="str">
        <v>Financing cash flow</v>
      </c>
      <c r="O55" s="21" t="str">
        <v>Financing cash flow</v>
      </c>
      <c r="P55" s="21" t="str">
        <v>Financing cash flow</v>
      </c>
      <c r="Q55" s="21" t="str">
        <v>Financing cash flow</v>
      </c>
      <c r="R55" s="21" t="str">
        <v>Financing cash flow</v>
      </c>
      <c r="S55" s="21" t="str">
        <v>Financing cash flow</v>
      </c>
      <c r="T55" s="21" t="str">
        <v>Financing cash flow</v>
      </c>
      <c r="U55" s="21" t="str">
        <v>Financing cash flow</v>
      </c>
      <c r="V55" s="21" t="str">
        <v>Financing cash flow</v>
      </c>
      <c r="W55" s="21" t="str">
        <v>Financing cash flow</v>
      </c>
      <c r="X55" s="21" t="str">
        <v>Financing cash flow</v>
      </c>
      <c r="Y55" s="21" t="str">
        <v>Financing cash flow</v>
      </c>
      <c r="Z55" s="21" t="str">
        <v>Financing cash flow</v>
      </c>
      <c r="AA55" s="21" t="str">
        <v>Financing cash flow</v>
      </c>
    </row>
    <row r="56" ht="22" customHeight="1">
      <c r="A56" s="53" t="str">
        <v>Increase (decrease) in short-term debt, net</v>
      </c>
      <c r="B56" s="3"/>
      <c r="C56" s="51" t="n">
        <v>-15</v>
      </c>
      <c r="D56" s="51"/>
      <c r="E56" s="51" t="n">
        <v>460</v>
      </c>
      <c r="F56" s="51"/>
      <c r="G56" s="51"/>
      <c r="H56" s="51"/>
      <c r="I56" s="51"/>
      <c r="J56" s="51"/>
      <c r="K56" s="51"/>
      <c r="L56" s="51"/>
      <c r="M56" s="51"/>
      <c r="N56" s="51"/>
      <c r="O56" s="51"/>
      <c r="P56" s="51"/>
      <c r="Q56" s="52" t="str">
        <f>IF(COUNT(J56)=1,J56,"")</f>
      </c>
      <c r="R56" s="51"/>
      <c r="S56" s="51"/>
      <c r="T56" s="51"/>
      <c r="U56" s="52" t="str">
        <f>IF(COUNT(K56)=1,K56,"")</f>
      </c>
      <c r="V56" s="51"/>
      <c r="W56" s="51"/>
      <c r="X56" s="51"/>
      <c r="Y56" s="52" t="str">
        <f>IF(COUNT(L56)=1,L56,"")</f>
      </c>
      <c r="Z56" s="51"/>
      <c r="AA56" s="51"/>
    </row>
    <row r="57" ht="36" customHeight="1">
      <c r="A57" s="53" t="str">
        <v>Excess tax benefit from share-based payment arrangements (financing section)</v>
      </c>
      <c r="B57" s="3"/>
      <c r="C57" s="51" t="n">
        <v>121</v>
      </c>
      <c r="D57" s="51"/>
      <c r="E57" s="51"/>
      <c r="F57" s="51"/>
      <c r="G57" s="51"/>
      <c r="H57" s="51"/>
      <c r="I57" s="51"/>
      <c r="J57" s="51"/>
      <c r="K57" s="51"/>
      <c r="L57" s="51"/>
      <c r="M57" s="51"/>
      <c r="N57" s="51"/>
      <c r="O57" s="51"/>
      <c r="P57" s="51"/>
      <c r="Q57" s="52" t="str">
        <f>IF(COUNT(J57)=1,J57,"")</f>
      </c>
      <c r="R57" s="51"/>
      <c r="S57" s="51"/>
      <c r="T57" s="51"/>
      <c r="U57" s="52" t="str">
        <f>IF(COUNT(K57)=1,K57,"")</f>
      </c>
      <c r="V57" s="51"/>
      <c r="W57" s="51"/>
      <c r="X57" s="51"/>
      <c r="Y57" s="52" t="str">
        <f>IF(COUNT(L57)=1,L57,"")</f>
      </c>
      <c r="Z57" s="51"/>
      <c r="AA57" s="51"/>
    </row>
    <row r="58" ht="22" customHeight="1">
      <c r="A58" s="53" t="str">
        <v>Issuance of commercial paper, net of issuance costs</v>
      </c>
      <c r="B58" s="3"/>
      <c r="C58" s="51"/>
      <c r="D58" s="51"/>
      <c r="E58" s="51"/>
      <c r="F58" s="51"/>
      <c r="G58" s="51"/>
      <c r="H58" s="51"/>
      <c r="I58" s="51" t="n">
        <v>3945</v>
      </c>
      <c r="J58" s="51" t="n">
        <v>0</v>
      </c>
      <c r="K58" s="51" t="n">
        <v>7349</v>
      </c>
      <c r="L58" s="51" t="n">
        <v>3493</v>
      </c>
      <c r="M58" s="51"/>
      <c r="N58" s="51" t="n">
        <v>0</v>
      </c>
      <c r="O58" s="51" t="n">
        <v>0</v>
      </c>
      <c r="P58" s="51"/>
      <c r="Q58" s="52" t="n">
        <f>IF(COUNT(J58)=1,J58,"")</f>
        <v>0</v>
      </c>
      <c r="R58" s="51" t="n">
        <v>793</v>
      </c>
      <c r="S58" s="51" t="n">
        <v>5804</v>
      </c>
      <c r="T58" s="51" t="n">
        <v>7349</v>
      </c>
      <c r="U58" s="52" t="n">
        <f>IF(COUNT(K58)=1,K58,"")</f>
        <v>7349</v>
      </c>
      <c r="V58" s="51" t="n">
        <v>1496</v>
      </c>
      <c r="W58" s="51" t="n">
        <v>3493</v>
      </c>
      <c r="X58" s="51" t="n">
        <v>3493</v>
      </c>
      <c r="Y58" s="52" t="n">
        <f>IF(COUNT(L58)=1,L58,"")</f>
        <v>3493</v>
      </c>
      <c r="Z58" s="51" t="n">
        <v>0</v>
      </c>
      <c r="AA58" s="51" t="n">
        <v>0</v>
      </c>
    </row>
    <row r="59" ht="22" customHeight="1">
      <c r="A59" s="53" t="str">
        <v>Repayment of commercial paper</v>
      </c>
      <c r="B59" s="3"/>
      <c r="C59" s="51"/>
      <c r="D59" s="51"/>
      <c r="E59" s="51"/>
      <c r="F59" s="51"/>
      <c r="G59" s="51"/>
      <c r="H59" s="51"/>
      <c r="I59" s="51"/>
      <c r="J59" s="51" t="n">
        <v>-3944</v>
      </c>
      <c r="K59" s="51" t="n">
        <v>-7349</v>
      </c>
      <c r="L59" s="51" t="n">
        <v>-3493</v>
      </c>
      <c r="M59" s="51"/>
      <c r="N59" s="51" t="n">
        <v>-2930</v>
      </c>
      <c r="O59" s="51" t="n">
        <v>-3944</v>
      </c>
      <c r="P59" s="51" t="n">
        <v>-3944</v>
      </c>
      <c r="Q59" s="52" t="n">
        <f>IF(COUNT(J59)=1,J59,"")</f>
        <v>-3944</v>
      </c>
      <c r="R59" s="51" t="n">
        <v>0</v>
      </c>
      <c r="S59" s="51" t="n">
        <v>-2609</v>
      </c>
      <c r="T59" s="51" t="n">
        <v>-7349</v>
      </c>
      <c r="U59" s="52" t="n">
        <f>IF(COUNT(K59)=1,K59,"")</f>
        <v>-7349</v>
      </c>
      <c r="V59" s="51"/>
      <c r="W59" s="51" t="n">
        <v>-1496</v>
      </c>
      <c r="X59" s="51" t="n">
        <v>-3493</v>
      </c>
      <c r="Y59" s="52" t="n">
        <f>IF(COUNT(L59)=1,L59,"")</f>
        <v>-3493</v>
      </c>
      <c r="Z59" s="51"/>
      <c r="AA59" s="51" t="n">
        <v>0</v>
      </c>
    </row>
    <row r="60" ht="22" customHeight="1">
      <c r="A60" s="53" t="str">
        <v>Payments on finance leases</v>
      </c>
      <c r="B60" s="3"/>
      <c r="C60" s="51"/>
      <c r="D60" s="51"/>
      <c r="E60" s="51"/>
      <c r="F60" s="51"/>
      <c r="G60" s="51"/>
      <c r="H60" s="51"/>
      <c r="I60" s="51" t="n">
        <v>-345</v>
      </c>
      <c r="J60" s="51" t="n">
        <v>-96</v>
      </c>
      <c r="K60" s="51"/>
      <c r="L60" s="51"/>
      <c r="M60" s="51"/>
      <c r="N60" s="51" t="n">
        <v>-15</v>
      </c>
      <c r="O60" s="51" t="n">
        <v>-96</v>
      </c>
      <c r="P60" s="51" t="n">
        <v>-96</v>
      </c>
      <c r="Q60" s="52" t="n">
        <f>IF(COUNT(J60)=1,J60,"")</f>
        <v>-96</v>
      </c>
      <c r="R60" s="51" t="n">
        <v>0</v>
      </c>
      <c r="S60" s="51" t="n">
        <v>0</v>
      </c>
      <c r="T60" s="51" t="n">
        <v>0</v>
      </c>
      <c r="U60" s="52" t="str">
        <f>IF(COUNT(K60)=1,K60,"")</f>
      </c>
      <c r="V60" s="51"/>
      <c r="W60" s="51"/>
      <c r="X60" s="51"/>
      <c r="Y60" s="52" t="str">
        <f>IF(COUNT(L60)=1,L60,"")</f>
      </c>
      <c r="Z60" s="51"/>
      <c r="AA60" s="51" t="n">
        <v>-832</v>
      </c>
    </row>
    <row r="61" ht="22" customHeight="1">
      <c r="A61" s="53" t="str">
        <v>Partner contributions</v>
      </c>
      <c r="B61" s="3"/>
      <c r="C61" s="51"/>
      <c r="D61" s="51"/>
      <c r="E61" s="51"/>
      <c r="F61" s="51"/>
      <c r="G61" s="51"/>
      <c r="H61" s="51"/>
      <c r="I61" s="51" t="n">
        <v>874</v>
      </c>
      <c r="J61" s="51" t="n">
        <v>1511</v>
      </c>
      <c r="K61" s="51" t="n">
        <v>12714</v>
      </c>
      <c r="L61" s="51" t="n">
        <v>5108</v>
      </c>
      <c r="M61" s="51"/>
      <c r="N61" s="51" t="n">
        <v>449</v>
      </c>
      <c r="O61" s="51" t="n">
        <v>834</v>
      </c>
      <c r="P61" s="51" t="n">
        <v>1106</v>
      </c>
      <c r="Q61" s="52" t="n">
        <f>IF(COUNT(J61)=1,J61,"")</f>
        <v>1511</v>
      </c>
      <c r="R61" s="51" t="n">
        <v>423</v>
      </c>
      <c r="S61" s="51" t="n">
        <v>11861</v>
      </c>
      <c r="T61" s="51" t="n">
        <v>12278</v>
      </c>
      <c r="U61" s="52" t="n">
        <f>IF(COUNT(K61)=1,K61,"")</f>
        <v>12714</v>
      </c>
      <c r="V61" s="51" t="n">
        <v>955</v>
      </c>
      <c r="W61" s="51" t="n">
        <v>2238</v>
      </c>
      <c r="X61" s="51" t="n">
        <v>3652</v>
      </c>
      <c r="Y61" s="52" t="n">
        <f>IF(COUNT(L61)=1,L61,"")</f>
        <v>5108</v>
      </c>
      <c r="Z61" s="51" t="n">
        <v>2064</v>
      </c>
      <c r="AA61" s="51" t="n">
        <v>4082</v>
      </c>
    </row>
    <row r="62" ht="22" customHeight="1">
      <c r="A62" s="53" t="str">
        <v>Partner distributions</v>
      </c>
      <c r="B62" s="3"/>
      <c r="C62" s="51"/>
      <c r="D62" s="51"/>
      <c r="E62" s="51"/>
      <c r="F62" s="51"/>
      <c r="G62" s="51"/>
      <c r="H62" s="51"/>
      <c r="I62" s="51"/>
      <c r="J62" s="51"/>
      <c r="K62" s="51"/>
      <c r="L62" s="51"/>
      <c r="M62" s="51"/>
      <c r="N62" s="51"/>
      <c r="O62" s="51"/>
      <c r="P62" s="51"/>
      <c r="Q62" s="52" t="str">
        <f>IF(COUNT(J62)=1,J62,"")</f>
      </c>
      <c r="R62" s="51"/>
      <c r="S62" s="51"/>
      <c r="T62" s="51"/>
      <c r="U62" s="52" t="str">
        <f>IF(COUNT(K62)=1,K62,"")</f>
      </c>
      <c r="V62" s="51"/>
      <c r="W62" s="51"/>
      <c r="X62" s="51"/>
      <c r="Y62" s="52" t="str">
        <f>IF(COUNT(L62)=1,L62,"")</f>
      </c>
      <c r="Z62" s="51"/>
      <c r="AA62" s="51" t="n">
        <v>-14339</v>
      </c>
    </row>
    <row r="63" ht="22" customHeight="1">
      <c r="A63" s="53" t="str">
        <v>Proceeds from Mobileye IPO</v>
      </c>
      <c r="B63" s="3"/>
      <c r="C63" s="51"/>
      <c r="D63" s="51"/>
      <c r="E63" s="51"/>
      <c r="F63" s="51"/>
      <c r="G63" s="51"/>
      <c r="H63" s="51"/>
      <c r="I63" s="51" t="n">
        <v>1032</v>
      </c>
      <c r="J63" s="51"/>
      <c r="K63" s="51"/>
      <c r="L63" s="51"/>
      <c r="M63" s="51"/>
      <c r="N63" s="51"/>
      <c r="O63" s="51"/>
      <c r="P63" s="51"/>
      <c r="Q63" s="52" t="str">
        <f>IF(COUNT(J63)=1,J63,"")</f>
      </c>
      <c r="R63" s="51"/>
      <c r="S63" s="51"/>
      <c r="T63" s="51"/>
      <c r="U63" s="52" t="str">
        <f>IF(COUNT(K63)=1,K63,"")</f>
      </c>
      <c r="V63" s="51"/>
      <c r="W63" s="51"/>
      <c r="X63" s="51"/>
      <c r="Y63" s="52" t="str">
        <f>IF(COUNT(L63)=1,L63,"")</f>
      </c>
      <c r="Z63" s="51"/>
      <c r="AA63" s="51"/>
    </row>
    <row r="64" ht="22" customHeight="1">
      <c r="A64" s="53" t="str">
        <v>Proceeds from sales of subsidiary shares</v>
      </c>
      <c r="B64" s="3"/>
      <c r="C64" s="51"/>
      <c r="D64" s="51"/>
      <c r="E64" s="51"/>
      <c r="F64" s="51"/>
      <c r="G64" s="51"/>
      <c r="H64" s="51"/>
      <c r="I64" s="51"/>
      <c r="J64" s="51" t="n">
        <v>2959</v>
      </c>
      <c r="K64" s="51" t="n">
        <v>0</v>
      </c>
      <c r="L64" s="51" t="n">
        <v>921</v>
      </c>
      <c r="M64" s="51"/>
      <c r="N64" s="51"/>
      <c r="O64" s="51" t="n">
        <v>1573</v>
      </c>
      <c r="P64" s="51" t="n">
        <v>2423</v>
      </c>
      <c r="Q64" s="52" t="n">
        <f>IF(COUNT(J64)=1,J64,"")</f>
        <v>2959</v>
      </c>
      <c r="R64" s="51"/>
      <c r="S64" s="51" t="n">
        <v>0</v>
      </c>
      <c r="T64" s="51" t="n">
        <v>0</v>
      </c>
      <c r="U64" s="52" t="n">
        <f>IF(COUNT(K64)=1,K64,"")</f>
        <v>0</v>
      </c>
      <c r="V64" s="51"/>
      <c r="W64" s="51"/>
      <c r="X64" s="51" t="n">
        <v>922</v>
      </c>
      <c r="Y64" s="52" t="n">
        <f>IF(COUNT(L64)=1,L64,"")</f>
        <v>921</v>
      </c>
      <c r="Z64" s="51"/>
      <c r="AA64" s="51"/>
    </row>
    <row r="65" ht="22" customHeight="1">
      <c r="A65" s="53" t="str">
        <v>PP&amp;E cash payments reported in financing activities</v>
      </c>
      <c r="B65" s="3"/>
      <c r="C65" s="51"/>
      <c r="D65" s="51"/>
      <c r="E65" s="51"/>
      <c r="F65" s="51"/>
      <c r="G65" s="51"/>
      <c r="H65" s="51"/>
      <c r="I65" s="51"/>
      <c r="J65" s="51"/>
      <c r="K65" s="51" t="n">
        <v>-1178</v>
      </c>
      <c r="L65" s="51" t="n">
        <v>-3026</v>
      </c>
      <c r="M65" s="51"/>
      <c r="N65" s="51"/>
      <c r="O65" s="51"/>
      <c r="P65" s="51"/>
      <c r="Q65" s="52" t="str">
        <f>IF(COUNT(J65)=1,J65,"")</f>
      </c>
      <c r="R65" s="51"/>
      <c r="S65" s="51"/>
      <c r="T65" s="51"/>
      <c r="U65" s="52" t="n">
        <f>IF(COUNT(K65)=1,K65,"")</f>
        <v>-1178</v>
      </c>
      <c r="V65" s="51" t="n">
        <v>-1020</v>
      </c>
      <c r="W65" s="51" t="n">
        <v>-1962</v>
      </c>
      <c r="X65" s="51" t="n">
        <v>-2493</v>
      </c>
      <c r="Y65" s="52" t="n">
        <f>IF(COUNT(L65)=1,L65,"")</f>
        <v>-3026</v>
      </c>
      <c r="Z65" s="51" t="n">
        <v>-1327</v>
      </c>
      <c r="AA65" s="51" t="n">
        <v>-1423</v>
      </c>
    </row>
    <row r="66" ht="22" customHeight="1">
      <c r="A66" s="53" t="str">
        <v>Issuance of long-term / term debt, net of issuance costs</v>
      </c>
      <c r="B66" s="3"/>
      <c r="C66" s="51" t="n">
        <v>2734</v>
      </c>
      <c r="D66" s="51" t="n">
        <v>7716</v>
      </c>
      <c r="E66" s="51" t="n">
        <v>423</v>
      </c>
      <c r="F66" s="51" t="n">
        <v>3392</v>
      </c>
      <c r="G66" s="51" t="n">
        <v>10247</v>
      </c>
      <c r="H66" s="51" t="n">
        <v>4974</v>
      </c>
      <c r="I66" s="51" t="n">
        <v>6548</v>
      </c>
      <c r="J66" s="51" t="n">
        <v>11391</v>
      </c>
      <c r="K66" s="51" t="n">
        <v>2975</v>
      </c>
      <c r="L66" s="51" t="n">
        <v>0</v>
      </c>
      <c r="M66" s="51"/>
      <c r="N66" s="51" t="n">
        <v>10968</v>
      </c>
      <c r="O66" s="51" t="n">
        <v>10968</v>
      </c>
      <c r="P66" s="51" t="n">
        <v>11391</v>
      </c>
      <c r="Q66" s="52" t="n">
        <f>IF(COUNT(J66)=1,J66,"")</f>
        <v>11391</v>
      </c>
      <c r="R66" s="51" t="n">
        <v>2537</v>
      </c>
      <c r="S66" s="51" t="n">
        <v>2975</v>
      </c>
      <c r="T66" s="51" t="n">
        <v>2975</v>
      </c>
      <c r="U66" s="52" t="n">
        <f>IF(COUNT(K66)=1,K66,"")</f>
        <v>2975</v>
      </c>
      <c r="V66" s="51" t="n">
        <v>0</v>
      </c>
      <c r="W66" s="51" t="n">
        <v>0</v>
      </c>
      <c r="X66" s="51" t="n">
        <v>0</v>
      </c>
      <c r="Y66" s="52" t="n">
        <f>IF(COUNT(L66)=1,L66,"")</f>
        <v>0</v>
      </c>
      <c r="Z66" s="51"/>
      <c r="AA66" s="51" t="n">
        <v>13000</v>
      </c>
    </row>
    <row r="67" ht="22" customHeight="1">
      <c r="A67" s="53" t="str">
        <v>Repayment of debt / term debt (incl. debt conversions)</v>
      </c>
      <c r="B67" s="3"/>
      <c r="C67" s="51" t="n">
        <v>-1500</v>
      </c>
      <c r="D67" s="51" t="n">
        <v>-8080</v>
      </c>
      <c r="E67" s="51" t="n">
        <v>-3026</v>
      </c>
      <c r="F67" s="51" t="n">
        <v>-2627</v>
      </c>
      <c r="G67" s="51" t="n">
        <v>-4525</v>
      </c>
      <c r="H67" s="51" t="n">
        <v>-2500</v>
      </c>
      <c r="I67" s="51" t="n">
        <v>-4984</v>
      </c>
      <c r="J67" s="51" t="n">
        <v>-423</v>
      </c>
      <c r="K67" s="51" t="n">
        <v>-2288</v>
      </c>
      <c r="L67" s="51" t="n">
        <v>-3750</v>
      </c>
      <c r="M67" s="51"/>
      <c r="N67" s="51"/>
      <c r="O67" s="51" t="n">
        <v>0</v>
      </c>
      <c r="P67" s="51" t="n">
        <v>-423</v>
      </c>
      <c r="Q67" s="52" t="n">
        <f>IF(COUNT(J67)=1,J67,"")</f>
        <v>-423</v>
      </c>
      <c r="R67" s="51"/>
      <c r="S67" s="51" t="n">
        <v>-2288</v>
      </c>
      <c r="T67" s="51" t="n">
        <v>-2288</v>
      </c>
      <c r="U67" s="52" t="n">
        <f>IF(COUNT(K67)=1,K67,"")</f>
        <v>-2288</v>
      </c>
      <c r="V67" s="51" t="n">
        <v>-1500</v>
      </c>
      <c r="W67" s="51" t="n">
        <v>-1500</v>
      </c>
      <c r="X67" s="51" t="n">
        <v>-3750</v>
      </c>
      <c r="Y67" s="52" t="n">
        <f>IF(COUNT(L67)=1,L67,"")</f>
        <v>-3750</v>
      </c>
      <c r="Z67" s="51" t="n">
        <v>-1500</v>
      </c>
      <c r="AA67" s="51" t="n">
        <v>-9000</v>
      </c>
    </row>
    <row r="68" ht="36" customHeight="1">
      <c r="A68" s="53" t="str">
        <v>Proceeds from sales of common stock through employee equity incentive plans</v>
      </c>
      <c r="B68" s="3"/>
      <c r="C68" s="51" t="n">
        <v>1108</v>
      </c>
      <c r="D68" s="51" t="n">
        <v>770</v>
      </c>
      <c r="E68" s="51" t="n">
        <v>555</v>
      </c>
      <c r="F68" s="51" t="n">
        <v>750</v>
      </c>
      <c r="G68" s="51" t="n">
        <v>897</v>
      </c>
      <c r="H68" s="51" t="n">
        <v>1020</v>
      </c>
      <c r="I68" s="51" t="n">
        <v>977</v>
      </c>
      <c r="J68" s="51" t="n">
        <v>1042</v>
      </c>
      <c r="K68" s="51" t="n">
        <v>987</v>
      </c>
      <c r="L68" s="51" t="n">
        <v>771</v>
      </c>
      <c r="M68" s="51"/>
      <c r="N68" s="51" t="n">
        <v>659</v>
      </c>
      <c r="O68" s="51" t="n">
        <v>665</v>
      </c>
      <c r="P68" s="51"/>
      <c r="Q68" s="52" t="n">
        <f>IF(COUNT(J68)=1,J68,"")</f>
        <v>1042</v>
      </c>
      <c r="R68" s="51" t="n">
        <v>626</v>
      </c>
      <c r="S68" s="51" t="n">
        <v>631</v>
      </c>
      <c r="T68" s="51" t="n">
        <v>986</v>
      </c>
      <c r="U68" s="52" t="n">
        <f>IF(COUNT(K68)=1,K68,"")</f>
        <v>987</v>
      </c>
      <c r="V68" s="51" t="n">
        <v>491</v>
      </c>
      <c r="W68" s="51" t="n">
        <v>491</v>
      </c>
      <c r="X68" s="51" t="n">
        <v>777</v>
      </c>
      <c r="Y68" s="52" t="n">
        <f>IF(COUNT(L68)=1,L68,"")</f>
        <v>771</v>
      </c>
      <c r="Z68" s="51" t="n">
        <v>427</v>
      </c>
      <c r="AA68" s="51" t="n">
        <v>427</v>
      </c>
    </row>
    <row r="69" ht="22" customHeight="1">
      <c r="A69" s="53" t="str">
        <v>Repurchase of common stock</v>
      </c>
      <c r="B69" s="3"/>
      <c r="C69" s="51" t="n">
        <v>-2587</v>
      </c>
      <c r="D69" s="51" t="n">
        <v>-3615</v>
      </c>
      <c r="E69" s="51" t="n">
        <v>-10730</v>
      </c>
      <c r="F69" s="51" t="n">
        <v>-13576</v>
      </c>
      <c r="G69" s="51" t="n">
        <v>-14229</v>
      </c>
      <c r="H69" s="51" t="n">
        <v>-2415</v>
      </c>
      <c r="I69" s="51" t="n">
        <v>0</v>
      </c>
      <c r="J69" s="51" t="n">
        <v>0</v>
      </c>
      <c r="K69" s="51"/>
      <c r="L69" s="51"/>
      <c r="M69" s="51"/>
      <c r="N69" s="51"/>
      <c r="O69" s="51"/>
      <c r="P69" s="51"/>
      <c r="Q69" s="52" t="n">
        <f>IF(COUNT(J69)=1,J69,"")</f>
        <v>0</v>
      </c>
      <c r="R69" s="51"/>
      <c r="S69" s="51"/>
      <c r="T69" s="51"/>
      <c r="U69" s="52" t="str">
        <f>IF(COUNT(K69)=1,K69,"")</f>
      </c>
      <c r="V69" s="51"/>
      <c r="W69" s="51"/>
      <c r="X69" s="51"/>
      <c r="Y69" s="52" t="str">
        <f>IF(COUNT(L69)=1,L69,"")</f>
      </c>
      <c r="Z69" s="51"/>
      <c r="AA69" s="51"/>
    </row>
    <row r="70" ht="36" customHeight="1">
      <c r="A70" s="53" t="str">
        <v>Net proceeds attributed to common stock and warrants issued (FY2025 10-K: ... and Escrowed Shares)</v>
      </c>
      <c r="B70" s="3"/>
      <c r="C70" s="51"/>
      <c r="D70" s="51"/>
      <c r="E70" s="51"/>
      <c r="F70" s="51"/>
      <c r="G70" s="51"/>
      <c r="H70" s="51"/>
      <c r="I70" s="51"/>
      <c r="J70" s="51"/>
      <c r="K70" s="51"/>
      <c r="L70" s="51" t="n">
        <v>12706</v>
      </c>
      <c r="M70" s="51"/>
      <c r="N70" s="51"/>
      <c r="O70" s="51"/>
      <c r="P70" s="51"/>
      <c r="Q70" s="52" t="str">
        <f>IF(COUNT(J70)=1,J70,"")</f>
      </c>
      <c r="R70" s="51"/>
      <c r="S70" s="51"/>
      <c r="T70" s="51"/>
      <c r="U70" s="52" t="str">
        <f>IF(COUNT(K70)=1,K70,"")</f>
      </c>
      <c r="V70" s="51"/>
      <c r="W70" s="51"/>
      <c r="X70" s="51" t="n">
        <v>3737</v>
      </c>
      <c r="Y70" s="52" t="n">
        <f>IF(COUNT(L70)=1,L70,"")</f>
        <v>12706</v>
      </c>
      <c r="Z70" s="51"/>
      <c r="AA70" s="51"/>
    </row>
    <row r="71" ht="36" customHeight="1">
      <c r="A71" s="53" t="str">
        <v>Net proceeds attributed to obligation to issue Escrowed Shares (10-Q presentation)</v>
      </c>
      <c r="B71" s="3"/>
      <c r="C71" s="51"/>
      <c r="D71" s="51"/>
      <c r="E71" s="51"/>
      <c r="F71" s="51"/>
      <c r="G71" s="51"/>
      <c r="H71" s="51"/>
      <c r="I71" s="51"/>
      <c r="J71" s="51"/>
      <c r="K71" s="51"/>
      <c r="L71" s="51"/>
      <c r="M71" s="51"/>
      <c r="N71" s="51"/>
      <c r="O71" s="51"/>
      <c r="P71" s="51"/>
      <c r="Q71" s="52" t="str">
        <f>IF(COUNT(J71)=1,J71,"")</f>
      </c>
      <c r="R71" s="51"/>
      <c r="S71" s="51"/>
      <c r="T71" s="51"/>
      <c r="U71" s="52" t="str">
        <f>IF(COUNT(K71)=1,K71,"")</f>
      </c>
      <c r="V71" s="51"/>
      <c r="W71" s="51"/>
      <c r="X71" s="51" t="n">
        <v>3945</v>
      </c>
      <c r="Y71" s="52" t="str">
        <f>IF(COUNT(L71)=1,L71,"")</f>
      </c>
      <c r="Z71" s="51"/>
      <c r="AA71" s="51"/>
    </row>
    <row r="72" ht="22" customHeight="1">
      <c r="A72" s="53" t="str">
        <v>Restricted stock unit withholdings</v>
      </c>
      <c r="B72" s="3"/>
      <c r="C72" s="51" t="n">
        <v>-464</v>
      </c>
      <c r="D72" s="51"/>
      <c r="E72" s="51"/>
      <c r="F72" s="51"/>
      <c r="G72" s="51"/>
      <c r="H72" s="51"/>
      <c r="I72" s="51"/>
      <c r="J72" s="51"/>
      <c r="K72" s="51" t="n">
        <v>-631</v>
      </c>
      <c r="L72" s="51" t="n">
        <v>-423</v>
      </c>
      <c r="M72" s="51"/>
      <c r="N72" s="51"/>
      <c r="O72" s="51"/>
      <c r="P72" s="51"/>
      <c r="Q72" s="52" t="str">
        <f>IF(COUNT(J72)=1,J72,"")</f>
      </c>
      <c r="R72" s="51"/>
      <c r="S72" s="51"/>
      <c r="T72" s="51"/>
      <c r="U72" s="52" t="n">
        <f>IF(COUNT(K72)=1,K72,"")</f>
        <v>-631</v>
      </c>
      <c r="V72" s="51"/>
      <c r="W72" s="51"/>
      <c r="X72" s="51"/>
      <c r="Y72" s="52" t="n">
        <f>IF(COUNT(L72)=1,L72,"")</f>
        <v>-423</v>
      </c>
      <c r="Z72" s="51"/>
      <c r="AA72" s="51" t="n">
        <v>-617</v>
      </c>
    </row>
    <row r="73" ht="22" customHeight="1">
      <c r="A73" s="53" t="str">
        <v>Payment of dividends to stockholders</v>
      </c>
      <c r="B73" s="3"/>
      <c r="C73" s="51" t="n">
        <v>-4925</v>
      </c>
      <c r="D73" s="51" t="n">
        <v>-5072</v>
      </c>
      <c r="E73" s="51" t="n">
        <v>-5541</v>
      </c>
      <c r="F73" s="51" t="n">
        <v>-5576</v>
      </c>
      <c r="G73" s="51" t="n">
        <v>-5568</v>
      </c>
      <c r="H73" s="51" t="n">
        <v>-5644</v>
      </c>
      <c r="I73" s="51" t="n">
        <v>-5997</v>
      </c>
      <c r="J73" s="51" t="n">
        <v>-3088</v>
      </c>
      <c r="K73" s="51" t="n">
        <v>-1599</v>
      </c>
      <c r="L73" s="51" t="n">
        <v>0</v>
      </c>
      <c r="M73" s="51"/>
      <c r="N73" s="51" t="n">
        <v>-1512</v>
      </c>
      <c r="O73" s="51" t="n">
        <v>-2036</v>
      </c>
      <c r="P73" s="51" t="n">
        <v>-2561</v>
      </c>
      <c r="Q73" s="52" t="n">
        <f>IF(COUNT(J73)=1,J73,"")</f>
        <v>-3088</v>
      </c>
      <c r="R73" s="51" t="n">
        <v>-529</v>
      </c>
      <c r="S73" s="51" t="n">
        <v>-1063</v>
      </c>
      <c r="T73" s="51" t="n">
        <v>-1599</v>
      </c>
      <c r="U73" s="52" t="n">
        <f>IF(COUNT(K73)=1,K73,"")</f>
        <v>-1599</v>
      </c>
      <c r="V73" s="51" t="n">
        <v>0</v>
      </c>
      <c r="W73" s="51" t="n">
        <v>0</v>
      </c>
      <c r="X73" s="51" t="n">
        <v>0</v>
      </c>
      <c r="Y73" s="52" t="n">
        <f>IF(COUNT(L73)=1,L73,"")</f>
        <v>0</v>
      </c>
      <c r="Z73" s="51"/>
      <c r="AA73" s="51"/>
    </row>
    <row r="74" ht="22" customHeight="1">
      <c r="A74" s="53" t="str">
        <v>Collateral associated with repurchase of common stock</v>
      </c>
      <c r="B74" s="3"/>
      <c r="C74" s="51" t="n">
        <v>0</v>
      </c>
      <c r="D74" s="51"/>
      <c r="E74" s="51"/>
      <c r="F74" s="51"/>
      <c r="G74" s="51"/>
      <c r="H74" s="51"/>
      <c r="I74" s="51"/>
      <c r="J74" s="51"/>
      <c r="K74" s="51"/>
      <c r="L74" s="51"/>
      <c r="M74" s="51"/>
      <c r="N74" s="51"/>
      <c r="O74" s="51"/>
      <c r="P74" s="51"/>
      <c r="Q74" s="52" t="str">
        <f>IF(COUNT(J74)=1,J74,"")</f>
      </c>
      <c r="R74" s="51"/>
      <c r="S74" s="51"/>
      <c r="T74" s="51"/>
      <c r="U74" s="52" t="str">
        <f>IF(COUNT(K74)=1,K74,"")</f>
      </c>
      <c r="V74" s="51"/>
      <c r="W74" s="51"/>
      <c r="X74" s="51"/>
      <c r="Y74" s="52" t="str">
        <f>IF(COUNT(L74)=1,L74,"")</f>
      </c>
      <c r="Z74" s="51"/>
      <c r="AA74" s="51"/>
    </row>
    <row r="75" ht="36" customHeight="1">
      <c r="A75" s="53" t="str">
        <v>Increase (decrease) in liability due to collateral associated with repurchase of common stock</v>
      </c>
      <c r="B75" s="3"/>
      <c r="C75" s="51" t="n">
        <v>0</v>
      </c>
      <c r="D75" s="51"/>
      <c r="E75" s="51"/>
      <c r="F75" s="51"/>
      <c r="G75" s="51"/>
      <c r="H75" s="51"/>
      <c r="I75" s="51"/>
      <c r="J75" s="51"/>
      <c r="K75" s="51"/>
      <c r="L75" s="51"/>
      <c r="M75" s="51"/>
      <c r="N75" s="51"/>
      <c r="O75" s="51"/>
      <c r="P75" s="51"/>
      <c r="Q75" s="52" t="str">
        <f>IF(COUNT(J75)=1,J75,"")</f>
      </c>
      <c r="R75" s="51"/>
      <c r="S75" s="51"/>
      <c r="T75" s="51"/>
      <c r="U75" s="52" t="str">
        <f>IF(COUNT(K75)=1,K75,"")</f>
      </c>
      <c r="V75" s="51"/>
      <c r="W75" s="51"/>
      <c r="X75" s="51"/>
      <c r="Y75" s="52" t="str">
        <f>IF(COUNT(L75)=1,L75,"")</f>
      </c>
      <c r="Z75" s="51"/>
      <c r="AA75" s="51"/>
    </row>
    <row r="76" ht="22" customHeight="1">
      <c r="A76" s="53" t="str">
        <v>Other financing</v>
      </c>
      <c r="B76" s="3"/>
      <c r="C76" s="51" t="n">
        <v>-211</v>
      </c>
      <c r="D76" s="51" t="n">
        <v>-194</v>
      </c>
      <c r="E76" s="51" t="n">
        <v>-748</v>
      </c>
      <c r="F76" s="51" t="n">
        <v>72</v>
      </c>
      <c r="G76" s="51" t="n">
        <v>261</v>
      </c>
      <c r="H76" s="51" t="n">
        <v>-1297</v>
      </c>
      <c r="I76" s="51" t="n">
        <v>-689</v>
      </c>
      <c r="J76" s="51" t="n">
        <v>-847</v>
      </c>
      <c r="K76" s="51" t="n">
        <v>158</v>
      </c>
      <c r="L76" s="51" t="n">
        <v>-720</v>
      </c>
      <c r="M76" s="51"/>
      <c r="N76" s="51" t="n">
        <v>-225</v>
      </c>
      <c r="O76" s="51" t="n">
        <v>-453</v>
      </c>
      <c r="P76" s="51" t="n">
        <v>457</v>
      </c>
      <c r="Q76" s="52" t="n">
        <f>IF(COUNT(J76)=1,J76,"")</f>
        <v>-847</v>
      </c>
      <c r="R76" s="51" t="n">
        <v>-220</v>
      </c>
      <c r="S76" s="51" t="n">
        <v>-444</v>
      </c>
      <c r="T76" s="51" t="n">
        <v>-1277</v>
      </c>
      <c r="U76" s="52" t="n">
        <f>IF(COUNT(K76)=1,K76,"")</f>
        <v>158</v>
      </c>
      <c r="V76" s="51" t="n">
        <v>-618</v>
      </c>
      <c r="W76" s="51" t="n">
        <v>-678</v>
      </c>
      <c r="X76" s="51" t="n">
        <v>-1052</v>
      </c>
      <c r="Y76" s="52" t="n">
        <f>IF(COUNT(L76)=1,L76,"")</f>
        <v>-720</v>
      </c>
      <c r="Z76" s="51" t="n">
        <v>-870</v>
      </c>
      <c r="AA76" s="51" t="n">
        <v>154</v>
      </c>
    </row>
    <row r="77" ht="24" customHeight="1">
      <c r="A77" s="34" t="str">
        <v>Net cash provided by (used for) financing activities</v>
      </c>
      <c r="B77" s="35"/>
      <c r="C77" s="36" t="n">
        <v>-5739</v>
      </c>
      <c r="D77" s="36" t="n">
        <v>-8475</v>
      </c>
      <c r="E77" s="36" t="n">
        <v>-18607</v>
      </c>
      <c r="F77" s="36" t="n">
        <v>-17565</v>
      </c>
      <c r="G77" s="36" t="n">
        <v>-12917</v>
      </c>
      <c r="H77" s="36" t="n">
        <v>-5862</v>
      </c>
      <c r="I77" s="36" t="n">
        <v>1361</v>
      </c>
      <c r="J77" s="36" t="n">
        <v>8505</v>
      </c>
      <c r="K77" s="36" t="n">
        <v>11138</v>
      </c>
      <c r="L77" s="36" t="n">
        <v>11587</v>
      </c>
      <c r="M77" s="36"/>
      <c r="N77" s="36" t="n">
        <v>7394</v>
      </c>
      <c r="O77" s="36" t="n">
        <v>7511</v>
      </c>
      <c r="P77" s="36" t="n">
        <v>8353</v>
      </c>
      <c r="Q77" s="37" t="n">
        <f>IF(COUNT(J77)=1,J77,"")</f>
        <v>8505</v>
      </c>
      <c r="R77" s="36" t="n">
        <v>3630</v>
      </c>
      <c r="S77" s="36" t="n">
        <v>14867</v>
      </c>
      <c r="T77" s="36" t="n">
        <v>11075</v>
      </c>
      <c r="U77" s="37" t="n">
        <f>IF(COUNT(K77)=1,K77,"")</f>
        <v>11138</v>
      </c>
      <c r="V77" s="36" t="n">
        <v>-196</v>
      </c>
      <c r="W77" s="36" t="n">
        <v>586</v>
      </c>
      <c r="X77" s="36" t="n">
        <v>5738</v>
      </c>
      <c r="Y77" s="37" t="n">
        <f>IF(COUNT(L77)=1,L77,"")</f>
        <v>11587</v>
      </c>
      <c r="Z77" s="36" t="n">
        <v>-1206</v>
      </c>
      <c r="AA77" s="36" t="n">
        <v>-8548</v>
      </c>
    </row>
    <row r="78" ht="8"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22" customHeight="1">
      <c r="A79" s="21" t="str">
        <v>Cash reconciliation</v>
      </c>
      <c r="B79" s="21" t="str">
        <v>Cash reconciliation</v>
      </c>
      <c r="C79" s="21" t="str">
        <v>Cash reconciliation</v>
      </c>
      <c r="D79" s="21" t="str">
        <v>Cash reconciliation</v>
      </c>
      <c r="E79" s="21" t="str">
        <v>Cash reconciliation</v>
      </c>
      <c r="F79" s="21" t="str">
        <v>Cash reconciliation</v>
      </c>
      <c r="G79" s="21" t="str">
        <v>Cash reconciliation</v>
      </c>
      <c r="H79" s="21" t="str">
        <v>Cash reconciliation</v>
      </c>
      <c r="I79" s="21" t="str">
        <v>Cash reconciliation</v>
      </c>
      <c r="J79" s="21" t="str">
        <v>Cash reconciliation</v>
      </c>
      <c r="K79" s="21" t="str">
        <v>Cash reconciliation</v>
      </c>
      <c r="L79" s="21" t="str">
        <v>Cash reconciliation</v>
      </c>
      <c r="M79" s="21" t="str">
        <v>Cash reconciliation</v>
      </c>
      <c r="N79" s="21" t="str">
        <v>Cash reconciliation</v>
      </c>
      <c r="O79" s="21" t="str">
        <v>Cash reconciliation</v>
      </c>
      <c r="P79" s="21" t="str">
        <v>Cash reconciliation</v>
      </c>
      <c r="Q79" s="21" t="str">
        <v>Cash reconciliation</v>
      </c>
      <c r="R79" s="21" t="str">
        <v>Cash reconciliation</v>
      </c>
      <c r="S79" s="21" t="str">
        <v>Cash reconciliation</v>
      </c>
      <c r="T79" s="21" t="str">
        <v>Cash reconciliation</v>
      </c>
      <c r="U79" s="21" t="str">
        <v>Cash reconciliation</v>
      </c>
      <c r="V79" s="21" t="str">
        <v>Cash reconciliation</v>
      </c>
      <c r="W79" s="21" t="str">
        <v>Cash reconciliation</v>
      </c>
      <c r="X79" s="21" t="str">
        <v>Cash reconciliation</v>
      </c>
      <c r="Y79" s="21" t="str">
        <v>Cash reconciliation</v>
      </c>
      <c r="Z79" s="21" t="str">
        <v>Cash reconciliation</v>
      </c>
      <c r="AA79" s="21" t="str">
        <v>Cash reconciliation</v>
      </c>
    </row>
    <row r="80" ht="36" customHeight="1">
      <c r="A80" s="34" t="str">
        <v>Cash and cash equivalents, beginning of period (FY2025+ incl. restricted cash)</v>
      </c>
      <c r="B80" s="35"/>
      <c r="C80" s="36" t="n">
        <v>15308</v>
      </c>
      <c r="D80" s="36" t="n">
        <v>5560</v>
      </c>
      <c r="E80" s="36" t="n">
        <v>3433</v>
      </c>
      <c r="F80" s="36" t="n">
        <v>3019</v>
      </c>
      <c r="G80" s="36" t="n">
        <v>4194</v>
      </c>
      <c r="H80" s="36" t="n">
        <v>5865</v>
      </c>
      <c r="I80" s="36" t="n">
        <v>4827</v>
      </c>
      <c r="J80" s="36" t="n">
        <v>11144</v>
      </c>
      <c r="K80" s="36" t="n">
        <v>7079</v>
      </c>
      <c r="L80" s="36" t="n">
        <v>8249</v>
      </c>
      <c r="M80" s="36"/>
      <c r="N80" s="36" t="n">
        <v>11144</v>
      </c>
      <c r="O80" s="36" t="n">
        <v>11144</v>
      </c>
      <c r="P80" s="36" t="n">
        <v>11144</v>
      </c>
      <c r="Q80" s="37" t="n">
        <f>IF(COUNT(J80)=1,J80,"")</f>
        <v>11144</v>
      </c>
      <c r="R80" s="36" t="n">
        <v>7079</v>
      </c>
      <c r="S80" s="36" t="n">
        <v>7079</v>
      </c>
      <c r="T80" s="36" t="n">
        <v>7079</v>
      </c>
      <c r="U80" s="37" t="n">
        <f>IF(COUNT(K80)=1,K80,"")</f>
        <v>7079</v>
      </c>
      <c r="V80" s="36" t="n">
        <v>8249</v>
      </c>
      <c r="W80" s="36" t="n">
        <v>8249</v>
      </c>
      <c r="X80" s="36" t="n">
        <v>8249</v>
      </c>
      <c r="Y80" s="37" t="n">
        <f>IF(COUNT(L80)=1,L80,"")</f>
        <v>8249</v>
      </c>
      <c r="Z80" s="36" t="n">
        <v>14712</v>
      </c>
      <c r="AA80" s="36" t="n">
        <v>14712</v>
      </c>
    </row>
    <row r="81" ht="36" customHeight="1">
      <c r="A81" s="49" t="str">
        <v>Effect of exchange rate fluctuations on cash and cash equivalents</v>
      </c>
      <c r="B81" s="3"/>
      <c r="C81" s="51" t="n">
        <v>0</v>
      </c>
      <c r="D81" s="51"/>
      <c r="E81" s="51"/>
      <c r="F81" s="51"/>
      <c r="G81" s="51"/>
      <c r="H81" s="51"/>
      <c r="I81" s="51"/>
      <c r="J81" s="51"/>
      <c r="K81" s="51"/>
      <c r="L81" s="51"/>
      <c r="M81" s="51"/>
      <c r="N81" s="51"/>
      <c r="O81" s="51"/>
      <c r="P81" s="51"/>
      <c r="Q81" s="52" t="str">
        <f>IF(COUNT(J81)=1,J81,"")</f>
      </c>
      <c r="R81" s="51"/>
      <c r="S81" s="51"/>
      <c r="T81" s="51"/>
      <c r="U81" s="52" t="str">
        <f>IF(COUNT(K81)=1,K81,"")</f>
      </c>
      <c r="V81" s="51"/>
      <c r="W81" s="51"/>
      <c r="X81" s="51"/>
      <c r="Y81" s="52" t="str">
        <f>IF(COUNT(L81)=1,L81,"")</f>
      </c>
      <c r="Z81" s="51"/>
      <c r="AA81" s="51"/>
    </row>
    <row r="82" ht="36" customHeight="1">
      <c r="A82" s="34" t="str">
        <v>Net increase (decrease) in cash and cash equivalents (incl. restricted cash from FY2025)</v>
      </c>
      <c r="B82" s="35"/>
      <c r="C82" s="36" t="n">
        <v>-9748</v>
      </c>
      <c r="D82" s="36" t="n">
        <v>-2127</v>
      </c>
      <c r="E82" s="36" t="n">
        <v>-414</v>
      </c>
      <c r="F82" s="36" t="n">
        <v>1175</v>
      </c>
      <c r="G82" s="36" t="n">
        <v>1671</v>
      </c>
      <c r="H82" s="36" t="n">
        <v>-1038</v>
      </c>
      <c r="I82" s="36" t="n">
        <v>6317</v>
      </c>
      <c r="J82" s="36" t="n">
        <v>-4065</v>
      </c>
      <c r="K82" s="36" t="n">
        <v>1170</v>
      </c>
      <c r="L82" s="36" t="n">
        <v>6463</v>
      </c>
      <c r="M82" s="36"/>
      <c r="N82" s="36" t="n">
        <v>-2912</v>
      </c>
      <c r="O82" s="36" t="n">
        <v>-2795</v>
      </c>
      <c r="P82" s="36" t="n">
        <v>-3523</v>
      </c>
      <c r="Q82" s="37" t="n">
        <f>IF(COUNT(J82)=1,J82,"")</f>
        <v>-4065</v>
      </c>
      <c r="R82" s="36" t="n">
        <v>-156</v>
      </c>
      <c r="S82" s="36" t="n">
        <v>4208</v>
      </c>
      <c r="T82" s="36" t="n">
        <v>1706</v>
      </c>
      <c r="U82" s="37" t="n">
        <f>IF(COUNT(K82)=1,K82,"")</f>
        <v>1170</v>
      </c>
      <c r="V82" s="36" t="n">
        <v>698</v>
      </c>
      <c r="W82" s="36" t="n">
        <v>1444</v>
      </c>
      <c r="X82" s="36" t="n">
        <v>2892</v>
      </c>
      <c r="Y82" s="37" t="n">
        <f>IF(COUNT(L82)=1,L82,"")</f>
        <v>6463</v>
      </c>
      <c r="Z82" s="36" t="n">
        <v>2983</v>
      </c>
      <c r="AA82" s="36" t="n">
        <v>-1115</v>
      </c>
    </row>
    <row r="83" ht="36" customHeight="1">
      <c r="A83" s="34" t="str">
        <v>Cash and cash equivalents, end of period (FY2025+ incl. restricted cash)</v>
      </c>
      <c r="B83" s="35"/>
      <c r="C83" s="36" t="n">
        <v>5560</v>
      </c>
      <c r="D83" s="36" t="n">
        <v>3433</v>
      </c>
      <c r="E83" s="36" t="n">
        <v>3019</v>
      </c>
      <c r="F83" s="36" t="n">
        <v>4194</v>
      </c>
      <c r="G83" s="36" t="n">
        <v>5865</v>
      </c>
      <c r="H83" s="36" t="n">
        <v>4827</v>
      </c>
      <c r="I83" s="36" t="n">
        <v>11144</v>
      </c>
      <c r="J83" s="36" t="n">
        <v>7079</v>
      </c>
      <c r="K83" s="36" t="n">
        <v>8249</v>
      </c>
      <c r="L83" s="36" t="n">
        <v>14712</v>
      </c>
      <c r="M83" s="36"/>
      <c r="N83" s="36" t="n">
        <v>8232</v>
      </c>
      <c r="O83" s="36" t="n">
        <v>8349</v>
      </c>
      <c r="P83" s="36" t="n">
        <v>7621</v>
      </c>
      <c r="Q83" s="37" t="n">
        <f>IF(COUNT(J83)=1,J83,"")</f>
        <v>7079</v>
      </c>
      <c r="R83" s="36" t="n">
        <v>6923</v>
      </c>
      <c r="S83" s="36" t="n">
        <v>11287</v>
      </c>
      <c r="T83" s="36" t="n">
        <v>8785</v>
      </c>
      <c r="U83" s="37" t="n">
        <f>IF(COUNT(K83)=1,K83,"")</f>
        <v>8249</v>
      </c>
      <c r="V83" s="36" t="n">
        <v>8947</v>
      </c>
      <c r="W83" s="36" t="n">
        <v>9693</v>
      </c>
      <c r="X83" s="36" t="n">
        <v>11141</v>
      </c>
      <c r="Y83" s="37" t="n">
        <f>IF(COUNT(L83)=1,L83,"")</f>
        <v>14712</v>
      </c>
      <c r="Z83" s="36" t="n">
        <v>17695</v>
      </c>
      <c r="AA83" s="36" t="n">
        <v>13597</v>
      </c>
    </row>
    <row r="84" ht="8"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22" customHeight="1">
      <c r="A85" s="21" t="str">
        <v>Supplementary cash-flow disclosures</v>
      </c>
      <c r="B85" s="21" t="str">
        <v>Supplementary cash-flow disclosures</v>
      </c>
      <c r="C85" s="21" t="str">
        <v>Supplementary cash-flow disclosures</v>
      </c>
      <c r="D85" s="21" t="str">
        <v>Supplementary cash-flow disclosures</v>
      </c>
      <c r="E85" s="21" t="str">
        <v>Supplementary cash-flow disclosures</v>
      </c>
      <c r="F85" s="21" t="str">
        <v>Supplementary cash-flow disclosures</v>
      </c>
      <c r="G85" s="21" t="str">
        <v>Supplementary cash-flow disclosures</v>
      </c>
      <c r="H85" s="21" t="str">
        <v>Supplementary cash-flow disclosures</v>
      </c>
      <c r="I85" s="21" t="str">
        <v>Supplementary cash-flow disclosures</v>
      </c>
      <c r="J85" s="21" t="str">
        <v>Supplementary cash-flow disclosures</v>
      </c>
      <c r="K85" s="21" t="str">
        <v>Supplementary cash-flow disclosures</v>
      </c>
      <c r="L85" s="21" t="str">
        <v>Supplementary cash-flow disclosures</v>
      </c>
      <c r="M85" s="21" t="str">
        <v>Supplementary cash-flow disclosures</v>
      </c>
      <c r="N85" s="21" t="str">
        <v>Supplementary cash-flow disclosures</v>
      </c>
      <c r="O85" s="21" t="str">
        <v>Supplementary cash-flow disclosures</v>
      </c>
      <c r="P85" s="21" t="str">
        <v>Supplementary cash-flow disclosures</v>
      </c>
      <c r="Q85" s="21" t="str">
        <v>Supplementary cash-flow disclosures</v>
      </c>
      <c r="R85" s="21" t="str">
        <v>Supplementary cash-flow disclosures</v>
      </c>
      <c r="S85" s="21" t="str">
        <v>Supplementary cash-flow disclosures</v>
      </c>
      <c r="T85" s="21" t="str">
        <v>Supplementary cash-flow disclosures</v>
      </c>
      <c r="U85" s="21" t="str">
        <v>Supplementary cash-flow disclosures</v>
      </c>
      <c r="V85" s="21" t="str">
        <v>Supplementary cash-flow disclosures</v>
      </c>
      <c r="W85" s="21" t="str">
        <v>Supplementary cash-flow disclosures</v>
      </c>
      <c r="X85" s="21" t="str">
        <v>Supplementary cash-flow disclosures</v>
      </c>
      <c r="Y85" s="21" t="str">
        <v>Supplementary cash-flow disclosures</v>
      </c>
      <c r="Z85" s="21" t="str">
        <v>Supplementary cash-flow disclosures</v>
      </c>
      <c r="AA85" s="21" t="str">
        <v>Supplementary cash-flow disclosures</v>
      </c>
    </row>
    <row r="86" ht="50" customHeight="1">
      <c r="A86" s="53" t="str">
        <v>Acquisition of property, plant and equipment included in accounts payable and accrued liabilities / non-cash acquisition of PP&amp;E</v>
      </c>
      <c r="B86" s="3"/>
      <c r="C86" s="51" t="n">
        <v>979</v>
      </c>
      <c r="D86" s="51" t="n">
        <v>1417</v>
      </c>
      <c r="E86" s="51" t="n">
        <v>2340</v>
      </c>
      <c r="F86" s="51" t="n">
        <v>1761</v>
      </c>
      <c r="G86" s="51" t="n">
        <v>2973</v>
      </c>
      <c r="H86" s="51" t="n">
        <v>1619</v>
      </c>
      <c r="I86" s="51" t="n">
        <v>5431</v>
      </c>
      <c r="J86" s="51" t="n">
        <v>4804</v>
      </c>
      <c r="K86" s="51" t="n">
        <v>8125</v>
      </c>
      <c r="L86" s="51" t="n">
        <v>4952</v>
      </c>
      <c r="M86" s="51"/>
      <c r="N86" s="51" t="n">
        <v>4711</v>
      </c>
      <c r="O86" s="51" t="n">
        <v>5113</v>
      </c>
      <c r="P86" s="51" t="n">
        <v>5234</v>
      </c>
      <c r="Q86" s="52" t="n">
        <f>IF(COUNT(J86)=1,J86,"")</f>
        <v>4804</v>
      </c>
      <c r="R86" s="51" t="n">
        <v>5167</v>
      </c>
      <c r="S86" s="51" t="n">
        <v>5544</v>
      </c>
      <c r="T86" s="51" t="n">
        <v>6595</v>
      </c>
      <c r="U86" s="52" t="n">
        <f>IF(COUNT(K86)=1,K86,"")</f>
        <v>8125</v>
      </c>
      <c r="V86" s="51" t="n">
        <v>3932</v>
      </c>
      <c r="W86" s="51" t="n">
        <v>5155</v>
      </c>
      <c r="X86" s="51" t="n">
        <v>5068</v>
      </c>
      <c r="Y86" s="52" t="n">
        <f>IF(COUNT(L86)=1,L86,"")</f>
        <v>4952</v>
      </c>
      <c r="Z86" s="51" t="n">
        <v>1949</v>
      </c>
      <c r="AA86" s="51" t="n">
        <v>3148</v>
      </c>
    </row>
    <row r="87" ht="22" customHeight="1">
      <c r="A87" s="53" t="str">
        <v>Recognition of capital-related government incentives</v>
      </c>
      <c r="B87" s="3"/>
      <c r="C87" s="51"/>
      <c r="D87" s="51"/>
      <c r="E87" s="51"/>
      <c r="F87" s="51"/>
      <c r="G87" s="51"/>
      <c r="H87" s="51"/>
      <c r="I87" s="51"/>
      <c r="J87" s="51"/>
      <c r="K87" s="51"/>
      <c r="L87" s="51"/>
      <c r="M87" s="51"/>
      <c r="N87" s="51"/>
      <c r="O87" s="51" t="n">
        <v>46</v>
      </c>
      <c r="P87" s="51"/>
      <c r="Q87" s="52" t="str">
        <f>IF(COUNT(J87)=1,J87,"")</f>
      </c>
      <c r="R87" s="51"/>
      <c r="S87" s="51" t="n">
        <v>1281</v>
      </c>
      <c r="T87" s="51" t="n">
        <v>2211</v>
      </c>
      <c r="U87" s="52" t="str">
        <f>IF(COUNT(K87)=1,K87,"")</f>
      </c>
      <c r="V87" s="51" t="n">
        <v>985</v>
      </c>
      <c r="W87" s="51" t="n">
        <v>1452</v>
      </c>
      <c r="X87" s="51" t="n">
        <v>6094</v>
      </c>
      <c r="Y87" s="52" t="str">
        <f>IF(COUNT(L87)=1,L87,"")</f>
      </c>
      <c r="Z87" s="51" t="n">
        <v>639</v>
      </c>
      <c r="AA87" s="51" t="n">
        <v>632</v>
      </c>
    </row>
    <row r="88" ht="36" customHeight="1">
      <c r="A88" s="53" t="str">
        <v>Non-marketable equity investment in McAfee from divestiture</v>
      </c>
      <c r="B88" s="3"/>
      <c r="C88" s="51"/>
      <c r="D88" s="51" t="n">
        <v>1078</v>
      </c>
      <c r="E88" s="51" t="n">
        <v>0</v>
      </c>
      <c r="F88" s="51"/>
      <c r="G88" s="51"/>
      <c r="H88" s="51"/>
      <c r="I88" s="51"/>
      <c r="J88" s="51"/>
      <c r="K88" s="51"/>
      <c r="L88" s="51"/>
      <c r="M88" s="51"/>
      <c r="N88" s="51"/>
      <c r="O88" s="51"/>
      <c r="P88" s="51"/>
      <c r="Q88" s="52" t="str">
        <f>IF(COUNT(J88)=1,J88,"")</f>
      </c>
      <c r="R88" s="51"/>
      <c r="S88" s="51"/>
      <c r="T88" s="51"/>
      <c r="U88" s="52" t="str">
        <f>IF(COUNT(K88)=1,K88,"")</f>
      </c>
      <c r="V88" s="51"/>
      <c r="W88" s="51"/>
      <c r="X88" s="51"/>
      <c r="Y88" s="52" t="str">
        <f>IF(COUNT(L88)=1,L88,"")</f>
      </c>
      <c r="Z88" s="51"/>
      <c r="AA88" s="51"/>
    </row>
    <row r="89" ht="22" customHeight="1">
      <c r="A89" s="53" t="str">
        <v>Cash paid for interest, net of capitalized interest</v>
      </c>
      <c r="B89" s="3"/>
      <c r="C89" s="51" t="n">
        <v>682</v>
      </c>
      <c r="D89" s="51" t="n">
        <v>624</v>
      </c>
      <c r="E89" s="51" t="n">
        <v>448</v>
      </c>
      <c r="F89" s="51" t="n">
        <v>469</v>
      </c>
      <c r="G89" s="51" t="n">
        <v>594</v>
      </c>
      <c r="H89" s="51" t="n">
        <v>545</v>
      </c>
      <c r="I89" s="51" t="n">
        <v>459</v>
      </c>
      <c r="J89" s="51" t="n">
        <v>613</v>
      </c>
      <c r="K89" s="51" t="n">
        <v>987</v>
      </c>
      <c r="L89" s="51" t="n">
        <v>1106</v>
      </c>
      <c r="M89" s="51"/>
      <c r="N89" s="51" t="n">
        <v>239</v>
      </c>
      <c r="O89" s="51" t="n">
        <v>161</v>
      </c>
      <c r="P89" s="51" t="n">
        <v>968</v>
      </c>
      <c r="Q89" s="52" t="n">
        <f>IF(COUNT(J89)=1,J89,"")</f>
        <v>613</v>
      </c>
      <c r="R89" s="51" t="n">
        <v>540</v>
      </c>
      <c r="S89" s="51" t="n">
        <v>488</v>
      </c>
      <c r="T89" s="51" t="n">
        <v>1099</v>
      </c>
      <c r="U89" s="52" t="n">
        <f>IF(COUNT(K89)=1,K89,"")</f>
        <v>987</v>
      </c>
      <c r="V89" s="51" t="n">
        <v>635</v>
      </c>
      <c r="W89" s="51" t="n">
        <v>514</v>
      </c>
      <c r="X89" s="51" t="n">
        <v>1156</v>
      </c>
      <c r="Y89" s="52" t="n">
        <f>IF(COUNT(L89)=1,L89,"")</f>
        <v>1106</v>
      </c>
      <c r="Z89" s="51" t="n">
        <v>600</v>
      </c>
      <c r="AA89" s="51" t="n">
        <v>531</v>
      </c>
    </row>
    <row r="90" ht="22" customHeight="1">
      <c r="A90" s="53" t="str">
        <v>Cash paid for income taxes, net of refunds</v>
      </c>
      <c r="B90" s="3"/>
      <c r="C90" s="51" t="n">
        <v>877</v>
      </c>
      <c r="D90" s="51" t="n">
        <v>3824</v>
      </c>
      <c r="E90" s="51" t="n">
        <v>3813</v>
      </c>
      <c r="F90" s="51" t="n">
        <v>2110</v>
      </c>
      <c r="G90" s="51" t="n">
        <v>2436</v>
      </c>
      <c r="H90" s="51" t="n">
        <v>2263</v>
      </c>
      <c r="I90" s="51" t="n">
        <v>4282</v>
      </c>
      <c r="J90" s="51" t="n">
        <v>2621</v>
      </c>
      <c r="K90" s="51" t="n">
        <v>2202</v>
      </c>
      <c r="L90" s="51" t="n">
        <v>2299</v>
      </c>
      <c r="M90" s="51"/>
      <c r="N90" s="51" t="n">
        <v>267</v>
      </c>
      <c r="O90" s="51" t="n">
        <v>1520</v>
      </c>
      <c r="P90" s="51" t="n">
        <v>1649</v>
      </c>
      <c r="Q90" s="52" t="n">
        <f>IF(COUNT(J90)=1,J90,"")</f>
        <v>2621</v>
      </c>
      <c r="R90" s="51" t="n">
        <v>315</v>
      </c>
      <c r="S90" s="51" t="n">
        <v>1555</v>
      </c>
      <c r="T90" s="51" t="n">
        <v>1880</v>
      </c>
      <c r="U90" s="52" t="n">
        <f>IF(COUNT(K90)=1,K90,"")</f>
        <v>2202</v>
      </c>
      <c r="V90" s="51" t="n">
        <v>221</v>
      </c>
      <c r="W90" s="51" t="n">
        <v>1793</v>
      </c>
      <c r="X90" s="51" t="n">
        <v>1939</v>
      </c>
      <c r="Y90" s="52" t="n">
        <f>IF(COUNT(L90)=1,L90,"")</f>
        <v>2299</v>
      </c>
      <c r="Z90" s="51" t="n">
        <v>261</v>
      </c>
      <c r="AA90" s="51" t="n">
        <v>904</v>
      </c>
    </row>
    <row r="91" ht="8"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22" customHeight="1">
      <c r="A92" s="21" t="str">
        <v>Cash-flow reconciliations</v>
      </c>
      <c r="B92" s="21" t="str">
        <v>Cash-flow reconciliations</v>
      </c>
      <c r="C92" s="21" t="str">
        <v>Cash-flow reconciliations</v>
      </c>
      <c r="D92" s="21" t="str">
        <v>Cash-flow reconciliations</v>
      </c>
      <c r="E92" s="21" t="str">
        <v>Cash-flow reconciliations</v>
      </c>
      <c r="F92" s="21" t="str">
        <v>Cash-flow reconciliations</v>
      </c>
      <c r="G92" s="21" t="str">
        <v>Cash-flow reconciliations</v>
      </c>
      <c r="H92" s="21" t="str">
        <v>Cash-flow reconciliations</v>
      </c>
      <c r="I92" s="21" t="str">
        <v>Cash-flow reconciliations</v>
      </c>
      <c r="J92" s="21" t="str">
        <v>Cash-flow reconciliations</v>
      </c>
      <c r="K92" s="21" t="str">
        <v>Cash-flow reconciliations</v>
      </c>
      <c r="L92" s="21" t="str">
        <v>Cash-flow reconciliations</v>
      </c>
      <c r="M92" s="21" t="str">
        <v>Cash-flow reconciliations</v>
      </c>
      <c r="N92" s="21" t="str">
        <v>Cash-flow reconciliations</v>
      </c>
      <c r="O92" s="21" t="str">
        <v>Cash-flow reconciliations</v>
      </c>
      <c r="P92" s="21" t="str">
        <v>Cash-flow reconciliations</v>
      </c>
      <c r="Q92" s="21" t="str">
        <v>Cash-flow reconciliations</v>
      </c>
      <c r="R92" s="21" t="str">
        <v>Cash-flow reconciliations</v>
      </c>
      <c r="S92" s="21" t="str">
        <v>Cash-flow reconciliations</v>
      </c>
      <c r="T92" s="21" t="str">
        <v>Cash-flow reconciliations</v>
      </c>
      <c r="U92" s="21" t="str">
        <v>Cash-flow reconciliations</v>
      </c>
      <c r="V92" s="21" t="str">
        <v>Cash-flow reconciliations</v>
      </c>
      <c r="W92" s="21" t="str">
        <v>Cash-flow reconciliations</v>
      </c>
      <c r="X92" s="21" t="str">
        <v>Cash-flow reconciliations</v>
      </c>
      <c r="Y92" s="21" t="str">
        <v>Cash-flow reconciliations</v>
      </c>
      <c r="Z92" s="21" t="str">
        <v>Cash-flow reconciliations</v>
      </c>
      <c r="AA92" s="21" t="str">
        <v>Cash-flow reconciliations</v>
      </c>
    </row>
    <row r="93" ht="18" customHeight="1">
      <c r="A93" s="22" t="str">
        <v>IS net income is first converted to the matching YTD period. Cash scope includes restricted cash from 2025; it need not equal balance-sheet cash.</v>
      </c>
      <c r="B93" s="22" t="str">
        <v>IS net income is first converted to the matching YTD period. Cash scope includes restricted cash from 2025; it need not equal balance-sheet cash.</v>
      </c>
      <c r="C93" s="22" t="str">
        <v>IS net income is first converted to the matching YTD period. Cash scope includes restricted cash from 2025; it need not equal balance-sheet cash.</v>
      </c>
      <c r="D93" s="22" t="str">
        <v>IS net income is first converted to the matching YTD period. Cash scope includes restricted cash from 2025; it need not equal balance-sheet cash.</v>
      </c>
      <c r="E93" s="22" t="str">
        <v>IS net income is first converted to the matching YTD period. Cash scope includes restricted cash from 2025; it need not equal balance-sheet cash.</v>
      </c>
      <c r="F93" s="22" t="str">
        <v>IS net income is first converted to the matching YTD period. Cash scope includes restricted cash from 2025; it need not equal balance-sheet cash.</v>
      </c>
      <c r="G93" s="22" t="str">
        <v>IS net income is first converted to the matching YTD period. Cash scope includes restricted cash from 2025; it need not equal balance-sheet cash.</v>
      </c>
      <c r="H93" s="22" t="str">
        <v>IS net income is first converted to the matching YTD period. Cash scope includes restricted cash from 2025; it need not equal balance-sheet cash.</v>
      </c>
      <c r="I93" s="22" t="str">
        <v>IS net income is first converted to the matching YTD period. Cash scope includes restricted cash from 2025; it need not equal balance-sheet cash.</v>
      </c>
      <c r="J93" s="22" t="str">
        <v>IS net income is first converted to the matching YTD period. Cash scope includes restricted cash from 2025; it need not equal balance-sheet cash.</v>
      </c>
      <c r="K93" s="22" t="str">
        <v>IS net income is first converted to the matching YTD period. Cash scope includes restricted cash from 2025; it need not equal balance-sheet cash.</v>
      </c>
      <c r="L93" s="22" t="str">
        <v>IS net income is first converted to the matching YTD period. Cash scope includes restricted cash from 2025; it need not equal balance-sheet cash.</v>
      </c>
      <c r="M93" s="22" t="str">
        <v>IS net income is first converted to the matching YTD period. Cash scope includes restricted cash from 2025; it need not equal balance-sheet cash.</v>
      </c>
      <c r="N93" s="22" t="str">
        <v>IS net income is first converted to the matching YTD period. Cash scope includes restricted cash from 2025; it need not equal balance-sheet cash.</v>
      </c>
      <c r="O93" s="22" t="str">
        <v>IS net income is first converted to the matching YTD period. Cash scope includes restricted cash from 2025; it need not equal balance-sheet cash.</v>
      </c>
      <c r="P93" s="22" t="str">
        <v>IS net income is first converted to the matching YTD period. Cash scope includes restricted cash from 2025; it need not equal balance-sheet cash.</v>
      </c>
      <c r="Q93" s="22" t="str">
        <v>IS net income is first converted to the matching YTD period. Cash scope includes restricted cash from 2025; it need not equal balance-sheet cash.</v>
      </c>
      <c r="R93" s="22" t="str">
        <v>IS net income is first converted to the matching YTD period. Cash scope includes restricted cash from 2025; it need not equal balance-sheet cash.</v>
      </c>
      <c r="S93" s="22" t="str">
        <v>IS net income is first converted to the matching YTD period. Cash scope includes restricted cash from 2025; it need not equal balance-sheet cash.</v>
      </c>
      <c r="T93" s="22" t="str">
        <v>IS net income is first converted to the matching YTD period. Cash scope includes restricted cash from 2025; it need not equal balance-sheet cash.</v>
      </c>
      <c r="U93" s="22" t="str">
        <v>IS net income is first converted to the matching YTD period. Cash scope includes restricted cash from 2025; it need not equal balance-sheet cash.</v>
      </c>
      <c r="V93" s="22" t="str">
        <v>IS net income is first converted to the matching YTD period. Cash scope includes restricted cash from 2025; it need not equal balance-sheet cash.</v>
      </c>
      <c r="W93" s="22" t="str">
        <v>IS net income is first converted to the matching YTD period. Cash scope includes restricted cash from 2025; it need not equal balance-sheet cash.</v>
      </c>
      <c r="X93" s="22" t="str">
        <v>IS net income is first converted to the matching YTD period. Cash scope includes restricted cash from 2025; it need not equal balance-sheet cash.</v>
      </c>
      <c r="Y93" s="22" t="str">
        <v>IS net income is first converted to the matching YTD period. Cash scope includes restricted cash from 2025; it need not equal balance-sheet cash.</v>
      </c>
      <c r="Z93" s="22" t="str">
        <v>IS net income is first converted to the matching YTD period. Cash scope includes restricted cash from 2025; it need not equal balance-sheet cash.</v>
      </c>
      <c r="AA93" s="22" t="str">
        <v>IS net income is first converted to the matching YTD period. Cash scope includes restricted cash from 2025; it need not equal balance-sheet cash.</v>
      </c>
    </row>
    <row r="94" ht="36" customHeight="1">
      <c r="A94" s="49" t="str">
        <v>Check: sum of adjustments and working-capital lines - total adjustments (should be 0)</v>
      </c>
      <c r="B94" s="3"/>
      <c r="C94" s="59" t="n">
        <f>IF(COUNT(C10,C11,C12,C13,C14,C15,C19,C21,C22,C23,C24,C26,C27,C28)=14,C10+C11+C12+C13+C14+C15+0+0+0+C19+0+C21+C22+C23+C24+C26+0+C27-C28,"")</f>
        <v>0</v>
      </c>
      <c r="D94" s="59" t="n">
        <f>IF(COUNT(D10,D11,D13,D14,D15,D18,D16,D19,D21,D22,D23,D24,D26,D27,D28)=15,D10+D11+0+D13+D14+D15+0+D18+D16+D19+0+D21+D22+D23+D24+D26+0+D27-D28,"")</f>
        <v>0</v>
      </c>
      <c r="E94" s="59" t="n">
        <f>IF(COUNT(E10,E11,E14,E15,E18,E16,E19,E21,E22,E23,E24,E26,E25,E27,E28)=15,E10+E11+0+0+E14+E15+0+E18+E16+E19+0+E21+E22+E23+E24+E26+E25+E27-E28,"")</f>
        <v>0</v>
      </c>
      <c r="F94" s="59" t="n">
        <f>IF(COUNT(F10,F11,F14,F15,F18,F21,F22,F23,F24,F26,F25,F27,F28)=13,F10+F11+0+0+F14+F15+0+F18+0+0+0+F21+F22+F23+F24+F26+F25+F27-F28,"")</f>
        <v>0</v>
      </c>
      <c r="G94" s="59" t="n">
        <f>IF(COUNT(G10,G11,G14,G15,G18,G21,G22,G23,G24,G26,G25,G27,G28)=13,G10+G11+0+0+G14+G15+0+G18+0+0+0+G21+G22+G23+G24+G26+G25+G27-G28,"")</f>
        <v>0</v>
      </c>
      <c r="H94" s="59" t="n">
        <f>IF(COUNT(H10,H11,H13,H14,H15,H21,H22,H23,H24,H26,H25,H27,H28)=13,H10+H11+0+H13+H14+H15+0+0+0+0+0+H21+H22+H23+H24+H26+H25+H27-H28,"")</f>
        <v>0</v>
      </c>
      <c r="I94" s="59" t="n">
        <f>IF(COUNT(I10,I11,I13,I14,I15,I18,I21,I22,I23,I24,I26,I25,I27,I28)=14,I10+I11+0+I13+I14+I15+0+I18+0+0+0+I21+I22+I23+I24+I26+I25+I27-I28,"")</f>
        <v>0</v>
      </c>
      <c r="J94" s="59" t="n">
        <f>IF(COUNT(J10,J11,J13,J14,J15,J18,J21,J22,J23,J24,J26,J25,J27,J28)=14,J10+J11+0+J13+J14+J15+0+J18+0+0+0+J21+J22+J23+J24+J26+J25+J27-J28,"")</f>
        <v>0</v>
      </c>
      <c r="K94" s="59" t="n">
        <f>IF(COUNT(K10,K11,K13,K14,K15,K18,K19,K20,K21,K22,K23,K24,K26,K27,K28)=15,K10+K11+0+K13+K14+K15+0+K18+0+K19+K20+K21+K22+K23+K24+K26+0+K27-K28,"")</f>
        <v>0</v>
      </c>
      <c r="L94" s="59" t="n">
        <f>IF(COUNT(L10,L11,L13,L14,L15,L17,L18,L19,L20,L21,L22,L23,L24,L26,L27,L28)=16,L10+L11+0+L13+L14+L15+L17+L18+0+L19+L20+L21+L22+L23+L24+L26+0+L27-L28,"")</f>
        <v>0</v>
      </c>
      <c r="M94" s="59"/>
      <c r="N94" s="59" t="n">
        <f>IF(COUNT(N10,N11,N13,N14,N15,N21,N22,N23,N24,N26,N27,N28)=12,N10+N11+0+N13+N14+N15+0+0+0+0+0+N21+N22+N23+N24+N26+0+N27-N28,"")</f>
        <v>0</v>
      </c>
      <c r="O94" s="59" t="n">
        <f>IF(COUNT(O10,O11,O13,O14,O15,O21,O22,O23,O24,O26,O27,O28)=12,O10+O11+0+O13+O14+O15+0+0+0+0+0+O21+O22+O23+O24+O26+0+O27-O28,"")</f>
        <v>0</v>
      </c>
      <c r="P94" s="59" t="n">
        <f>IF(COUNT(P10,P11,P13,P14,P15,P18,P21,P22,P23,P24,P26,P27,P28)=13,P10+P11+0+P13+P14+P15+0+P18+0+0+0+P21+P22+P23+P24+P26+0+P27-P28,"")</f>
        <v>0</v>
      </c>
      <c r="Q94" s="59" t="n">
        <f>IF(COUNT(Q10,Q11,Q13,Q14,Q15,Q18,Q21,Q22,Q23,Q24,Q26,Q25,Q27,Q28)=14,Q10+Q11+0+Q13+Q14+Q15+0+Q18+0+0+0+Q21+Q22+Q23+Q24+Q26+Q25+Q27-Q28,"")</f>
        <v>0</v>
      </c>
      <c r="R94" s="59" t="n">
        <f>IF(COUNT(R10,R11,R13,R14,R15,R21,R22,R23,R24,R26,R27,R28)=12,R10+R11+0+R13+R14+R15+0+0+0+0+0+R21+R22+R23+R24+R26+0+R27-R28,"")</f>
        <v>0</v>
      </c>
      <c r="S94" s="59" t="n">
        <f>IF(COUNT(S10,S11,S13,S14,S15,S21,S22,S23,S24,S26,S27,S28)=12,S10+S11+0+S13+S14+S15+0+0+0+0+0+S21+S22+S23+S24+S26+0+S27-S28,"")</f>
        <v>0</v>
      </c>
      <c r="T94" s="59" t="n">
        <f>IF(COUNT(T10,T11,T13,T14,T15,T19,T20,T21,T22,T23,T24,T26,T27,T28)=14,T10+T11+0+T13+T14+T15+0+0+0+T19+T20+T21+T22+T23+T24+T26+0+T27-T28,"")</f>
        <v>0</v>
      </c>
      <c r="U94" s="59" t="n">
        <f>IF(COUNT(U10,U11,U13,U14,U15,U18,U19,U20,U21,U22,U23,U24,U26,U27,U28)=15,U10+U11+0+U13+U14+U15+0+U18+0+U19+U20+U21+U22+U23+U24+U26+0+U27-U28,"")</f>
        <v>0</v>
      </c>
      <c r="V94" s="59" t="n">
        <f>IF(COUNT(V10,V11,V14,V15,V19,V21,V22,V23,V24,V26,V27,V28)=12,V10+V11+0+0+V14+V15+0+0+0+V19+0+V21+V22+V23+V24+V26+0+V27-V28,"")</f>
        <v>0</v>
      </c>
      <c r="W94" s="59" t="n">
        <f>IF(COUNT(W10,W11,W13,W14,W15,W19,W20,W21,W22,W23,W24,W26,W27,W28)=14,W10+W11+0+W13+W14+W15+0+0+0+W19+W20+W21+W22+W23+W24+W26+0+W27-W28,"")</f>
        <v>0</v>
      </c>
      <c r="X94" s="59" t="n">
        <f>IF(COUNT(X10,X11,X13,X14,X15,X17,X18,X19,X20,X21,X22,X23,X24,X26,X27,X28)=16,X10+X11+0+X13+X14+X15+X17+X18+0+X19+X20+X21+X22+X23+X24+X26+0+X27-X28,"")</f>
        <v>0</v>
      </c>
      <c r="Y94" s="59" t="n">
        <f>IF(COUNT(Y10,Y11,Y13,Y14,Y15,Y17,Y18,Y19,Y20,Y21,Y22,Y23,Y24,Y26,Y27,Y28)=16,Y10+Y11+0+Y13+Y14+Y15+Y17+Y18+0+Y19+Y20+Y21+Y22+Y23+Y24+Y26+0+Y27-Y28,"")</f>
        <v>0</v>
      </c>
      <c r="Z94" s="59" t="n">
        <f>IF(COUNT(Z10,Z11,Z13,Z14,Z15,Z17,Z19,Z21,Z22,Z23,Z24,Z26,Z27,Z28)=14,Z10+Z11+0+Z13+Z14+Z15+Z17+0+0+Z19+0+Z21+Z22+Z23+Z24+Z26+0+Z27-Z28,"")</f>
        <v>0</v>
      </c>
      <c r="AA94" s="59" t="n">
        <f>IF(COUNT(AA10,AA11,AA13,AA14,AA15,AA17,AA19,AA20,AA21,AA22,AA23,AA24,AA26,AA27,AA28)=15,AA10+AA11+0+AA13+AA14+AA15+AA17+0+0+AA19+AA20+AA21+AA22+AA23+AA24+AA26+0+AA27-AA28,"")</f>
        <v>0</v>
      </c>
    </row>
    <row r="95" ht="36" customHeight="1">
      <c r="A95" s="49" t="str">
        <v>Check: net income + total adjustments - operating cash flow (should be 0)</v>
      </c>
      <c r="B95" s="3"/>
      <c r="C95" s="59" t="n">
        <f>IF(COUNT(C9,C28,C29)=3,C9+C28-C29,"")</f>
        <v>0</v>
      </c>
      <c r="D95" s="59" t="n">
        <f>IF(COUNT(D9,D28,D29)=3,D9+D28-D29,"")</f>
        <v>0</v>
      </c>
      <c r="E95" s="59" t="n">
        <f>IF(COUNT(E9,E28,E29)=3,E9+E28-E29,"")</f>
        <v>0</v>
      </c>
      <c r="F95" s="59" t="n">
        <f>IF(COUNT(F9,F28,F29)=3,F9+F28-F29,"")</f>
        <v>0</v>
      </c>
      <c r="G95" s="59" t="n">
        <f>IF(COUNT(G9,G28,G29)=3,G9+G28-G29,"")</f>
        <v>0</v>
      </c>
      <c r="H95" s="59" t="n">
        <f>IF(COUNT(H9,H28,H29)=3,H9+H28-H29,"")</f>
        <v>0</v>
      </c>
      <c r="I95" s="59" t="n">
        <f>IF(COUNT(I9,I28,I29)=3,I9+I28-I29,"")</f>
        <v>0</v>
      </c>
      <c r="J95" s="59" t="n">
        <f>IF(COUNT(J9,J28,J29)=3,J9+J28-J29,"")</f>
        <v>0</v>
      </c>
      <c r="K95" s="59" t="n">
        <f>IF(COUNT(K9,K28,K29)=3,K9+K28-K29,"")</f>
        <v>0</v>
      </c>
      <c r="L95" s="59" t="n">
        <f>IF(COUNT(L9,L28,L29)=3,L9+L28-L29,"")</f>
        <v>0</v>
      </c>
      <c r="M95" s="59"/>
      <c r="N95" s="59" t="n">
        <f>IF(COUNT(N9,N28,N29)=3,N9+N28-N29,"")</f>
        <v>0</v>
      </c>
      <c r="O95" s="59" t="n">
        <f>IF(COUNT(O9,O28,O29)=3,O9+O28-O29,"")</f>
        <v>0</v>
      </c>
      <c r="P95" s="59" t="n">
        <f>IF(COUNT(P9,P28,P29)=3,P9+P28-P29,"")</f>
        <v>0</v>
      </c>
      <c r="Q95" s="59" t="n">
        <f>IF(COUNT(Q9,Q28,Q29)=3,Q9+Q28-Q29,"")</f>
        <v>0</v>
      </c>
      <c r="R95" s="59" t="n">
        <f>IF(COUNT(R9,R28,R29)=3,R9+R28-R29,"")</f>
        <v>0</v>
      </c>
      <c r="S95" s="59" t="n">
        <f>IF(COUNT(S9,S28,S29)=3,S9+S28-S29,"")</f>
        <v>0</v>
      </c>
      <c r="T95" s="59" t="n">
        <f>IF(COUNT(T9,T28,T29)=3,T9+T28-T29,"")</f>
        <v>0</v>
      </c>
      <c r="U95" s="59" t="n">
        <f>IF(COUNT(U9,U28,U29)=3,U9+U28-U29,"")</f>
        <v>0</v>
      </c>
      <c r="V95" s="59" t="n">
        <f>IF(COUNT(V9,V28,V29)=3,V9+V28-V29,"")</f>
        <v>0</v>
      </c>
      <c r="W95" s="59" t="n">
        <f>IF(COUNT(W9,W28,W29)=3,W9+W28-W29,"")</f>
        <v>0</v>
      </c>
      <c r="X95" s="59" t="n">
        <f>IF(COUNT(X9,X28,X29)=3,X9+X28-X29,"")</f>
        <v>0</v>
      </c>
      <c r="Y95" s="59" t="n">
        <f>IF(COUNT(Y9,Y28,Y29)=3,Y9+Y28-Y29,"")</f>
        <v>0</v>
      </c>
      <c r="Z95" s="59" t="n">
        <f>IF(COUNT(Z9,Z28,Z29)=3,Z9+Z28-Z29,"")</f>
        <v>0</v>
      </c>
      <c r="AA95" s="59" t="n">
        <f>IF(COUNT(AA9,AA28,AA29)=3,AA9+AA28-AA29,"")</f>
        <v>0</v>
      </c>
    </row>
    <row r="96" ht="22" customHeight="1">
      <c r="A96" s="49" t="str">
        <v>Check: investing lines - investing cash flow (should be 0)</v>
      </c>
      <c r="B96" s="3"/>
      <c r="C96" s="59" t="n">
        <f>IF(COUNT(C32,C35,C36,C37,C38,C40,C41,C42,C43,C44,C52,C53)=12,C32+0+0+C35+C36+C37+C38+0+C40+C41+C42+C43+C44+0+0+0+0+0+0+0+C52-C53,"")</f>
        <v>0</v>
      </c>
      <c r="D96" s="59" t="n">
        <f>IF(COUNT(D32,D35,D36,D37,D38,D40,D41,D44,D51,D52,D53)=11,D32+0+0+D35+D36+D37+D38+0+D40+D41+0+0+D44+0+0+0+0+0+0+D51+D52-D53,"")</f>
        <v>0</v>
      </c>
      <c r="E96" s="59" t="n">
        <f>IF(COUNT(E32,E35,E36,E37,E38,E40,E41,E49,E50,E51,E52,E53)=12,E32+0+0+E35+E36+E37+E38+0+E40+E41+0+0+0+E49+E50+0+0+0+0+E51+E52-E53,"")</f>
        <v>0</v>
      </c>
      <c r="F96" s="59" t="n">
        <f>IF(COUNT(F32,F35,F36,F37,F38,F40,F41,F49,F50,F51,F52,F53)=12,F32+0+0+F35+F36+F37+F38+0+F40+F41+0+0+0+F49+F50+0+0+0+0+F51+F52-F53,"")</f>
        <v>0</v>
      </c>
      <c r="G96" s="59" t="n">
        <f>IF(COUNT(G32,G33,G35,G36,G39,G40,G41,G49,G50,G51,G52,G53)=12,G32+0+G33+G35+G36+0+0+G39+G40+G41+0+0+0+G49+G50+0+0+0+0+G51+G52-G53,"")</f>
        <v>0</v>
      </c>
      <c r="H96" s="59" t="n">
        <f>IF(COUNT(H32,H33,H35,H36,H39,H40,H41,H49,H50,H52,H53)=11,H32+0+H33+H35+H36+0+0+H39+H40+H41+0+0+0+H49+H50+0+0+0+0+0+H52-H53,"")</f>
        <v>0</v>
      </c>
      <c r="I96" s="59" t="n">
        <f>IF(COUNT(I32,I33,I49,I50,I45,I48,I51,I52,I53)=9,I32+0+I33+0+0+0+0+0+0+0+0+0+0+I49+I50+I45+I48+0+0+I51+I52-I53,"")</f>
        <v>0</v>
      </c>
      <c r="J96" s="59" t="n">
        <f>IF(COUNT(J32,J34,J33,J49,J50,J45,J48,J51,J52,J53)=10,J32+J34+J33+0+0+0+0+0+0+0+0+0+0+J49+J50+J45+J48+0+0+J51+J52-J53,"")</f>
        <v>0</v>
      </c>
      <c r="K96" s="59" t="n">
        <f>IF(COUNT(K32,K34,K35,K50,K45,K48,K51,K52,K53)=9,K32+K34+0+K35+0+0+0+0+0+0+0+0+0+0+K50+K45+K48+0+0+K51+K52-K53,"")</f>
        <v>0</v>
      </c>
      <c r="L96" s="59" t="n">
        <f>IF(COUNT(L32,L34,L50,L45,L48,L51,L52,L53)=8,L32+L34+0+0+0+0+0+0+0+0+0+0+0+0+L50+L45+L48+0+0+L51+L52-L53,"")</f>
        <v>0</v>
      </c>
      <c r="M96" s="59"/>
      <c r="N96" s="59" t="n">
        <f>IF(COUNT(N32,N34,N45,N48,N52,N53)=6,N32+N34+0+0+0+0+0+0+0+0+0+0+0+0+0+N45+N48+0+0+0+N52-N53,"")</f>
        <v>0</v>
      </c>
      <c r="O96" s="59" t="n">
        <f>IF(COUNT(O32,O34,O45,O48,O52,O53)=6,O32+O34+0+0+0+0+0+0+0+0+0+0+0+0+0+O45+O48+0+0+0+O52-O53,"")</f>
        <v>0</v>
      </c>
      <c r="P96" s="59" t="n">
        <f>IF(COUNT(P32,P50,P45,P48,P51,P52,P53)=7,P32+0+0+0+0+0+0+0+0+0+0+0+0+0+P50+P45+P48+0+0+P51+P52-P53,"")</f>
        <v>0</v>
      </c>
      <c r="Q96" s="59" t="n">
        <f>IF(COUNT(Q32,Q34,Q33,Q49,Q50,Q45,Q48,Q51,Q52,Q53)=10,Q32+Q34+Q33+0+0+0+0+0+0+0+0+0+0+Q49+Q50+Q45+Q48+0+0+Q51+Q52-Q53,"")</f>
        <v>0</v>
      </c>
      <c r="R96" s="59" t="n">
        <f>IF(COUNT(R32,R34,R45,R48,R52,R53)=6,R32+R34+0+0+0+0+0+0+0+0+0+0+0+0+0+R45+R48+0+0+0+R52-R53,"")</f>
        <v>0</v>
      </c>
      <c r="S96" s="59" t="n">
        <f>IF(COUNT(S32,S34,S45,S48,S52,S53)=6,S32+S34+0+0+0+0+0+0+0+0+0+0+0+0+0+S45+S48+0+0+0+S52-S53,"")</f>
        <v>0</v>
      </c>
      <c r="T96" s="59" t="n">
        <f>IF(COUNT(T32,T34,T45,T48,T52,T53)=6,T32+T34+0+0+0+0+0+0+0+0+0+0+0+0+0+T45+T48+0+0+0+T52-T53,"")</f>
        <v>0</v>
      </c>
      <c r="U96" s="59" t="n">
        <f>IF(COUNT(U32,U34,U35,U50,U45,U48,U51,U52,U53)=9,U32+U34+0+U35+0+0+0+0+0+0+0+0+0+0+U50+U45+U48+0+0+U51+U52-U53,"")</f>
        <v>0</v>
      </c>
      <c r="V96" s="59" t="n">
        <f>IF(COUNT(V32,V34,V45,V48,V51,V52,V53)=7,V32+V34+0+0+0+0+0+0+0+0+0+0+0+0+0+V45+V48+0+0+V51+V52-V53,"")</f>
        <v>0</v>
      </c>
      <c r="W96" s="59" t="n">
        <f>IF(COUNT(W32,W34,W45,W48,W51,W52,W53)=7,W32+W34+0+0+0+0+0+0+0+0+0+0+0+0+0+W45+W48+0+0+W51+W52-W53,"")</f>
        <v>0</v>
      </c>
      <c r="X96" s="59" t="n">
        <f>IF(COUNT(X32,X34,X50,X45,X48,X51,X52,X53)=8,X32+X34+0+0+0+0+0+0+0+0+0+0+0+0+X50+X45+X48+0+0+X51+X52-X53,"")</f>
        <v>0</v>
      </c>
      <c r="Y96" s="59" t="n">
        <f>IF(COUNT(Y32,Y34,Y50,Y45,Y48,Y51,Y52,Y53)=8,Y32+Y34+0+0+0+0+0+0+0+0+0+0+0+0+Y50+Y45+Y48+0+0+Y51+Y52-Y53,"")</f>
        <v>0</v>
      </c>
      <c r="Z96" s="59" t="n">
        <f>IF(COUNT(Z32,Z34,Z35,Z45,Z46,Z47,Z51,Z52,Z53)=9,Z32+Z34+0+Z35+0+0+0+0+0+0+0+0+0+0+0+Z45+0+Z46+Z47+Z51+Z52-Z53,"")</f>
        <v>0</v>
      </c>
      <c r="AA96" s="59" t="n">
        <f>IF(COUNT(AA32,AA34,AA35,AA45,AA46,AA47,AA51,AA52,AA53)=9,AA32+AA34+0+AA35+0+0+0+0+0+0+0+0+0+0+0+AA45+0+AA46+AA47+AA51+AA52-AA53,"")</f>
        <v>0</v>
      </c>
    </row>
    <row r="97" ht="22" customHeight="1">
      <c r="A97" s="49" t="str">
        <v>Check: financing lines - financing cash flow (should be 0)</v>
      </c>
      <c r="B97" s="3"/>
      <c r="C97" s="59" t="n">
        <f>IF(COUNT(C56,C66,C67,C68,C69,C72,C73,C74,C75,C57,C76,C77)=12,C56+0+0+C66+C67+0+0+0+0+0+0+C68+0+0+C69+C72+C73+C74+C75+C57+C76-C77,"")</f>
        <v>0</v>
      </c>
      <c r="D97" s="59" t="n">
        <f>IF(COUNT(D66,D67,D68,D69,D73,D76,D77)=7,0+0+0+D66+D67+0+0+0+0+0+0+D68+0+0+D69+0+D73+0+0+0+D76-D77,"")</f>
        <v>0</v>
      </c>
      <c r="E97" s="59" t="n">
        <f>IF(COUNT(E56,E66,E67,E68,E69,E73,E76,E77)=8,E56+0+0+E66+E67+0+0+0+0+0+0+E68+0+0+E69+0+E73+0+0+0+E76-E77,"")</f>
        <v>0</v>
      </c>
      <c r="F97" s="59" t="n">
        <f>IF(COUNT(F66,F67,F68,F69,F73,F76,F77)=7,0+0+0+F66+F67+0+0+0+0+0+0+F68+0+0+F69+0+F73+0+0+0+F76-F77,"")</f>
        <v>0</v>
      </c>
      <c r="G97" s="59" t="n">
        <f>IF(COUNT(G66,G67,G68,G69,G73,G76,G77)=7,0+0+0+G66+G67+0+0+0+0+0+0+G68+0+0+G69+0+G73+0+0+0+G76-G77,"")</f>
        <v>0</v>
      </c>
      <c r="H97" s="59" t="n">
        <f>IF(COUNT(H66,H67,H68,H69,H73,H76,H77)=7,0+0+0+H66+H67+0+0+0+0+0+0+H68+0+0+H69+0+H73+0+0+0+H76-H77,"")</f>
        <v>0</v>
      </c>
      <c r="I97" s="59" t="n">
        <f>IF(COUNT(I58,I66,I67,I60,I61,I63,I68,I69,I73,I76,I77)=11,0+I58+0+I66+I67+I60+I61+0+I63+0+0+I68+0+0+I69+0+I73+0+0+0+I76-I77,"")</f>
        <v>0</v>
      </c>
      <c r="J97" s="59" t="n">
        <f>IF(COUNT(J58,J59,J66,J67,J60,J61,J64,J68,J69,J73,J76,J77)=12,0+J58+J59+J66+J67+J60+J61+0+0+J64+0+J68+0+0+J69+0+J73+0+0+0+J76-J77,"")</f>
        <v>0</v>
      </c>
      <c r="K97" s="59" t="n">
        <f>IF(COUNT(K58,K59,K66,K67,K61,K64,K65,K68,K72,K73,K76,K77)=12,0+K58+K59+K66+K67+0+K61+0+0+K64+K65+K68+0+0+0+K72+K73+0+0+0+K76-K77,"")</f>
        <v>0</v>
      </c>
      <c r="L97" s="59" t="n">
        <f>IF(COUNT(L58,L59,L66,L67,L61,L64,L65,L68,L70,L72,L73,L76,L77)=13,0+L58+L59+L66+L67+0+L61+0+0+L64+L65+L68+L70+0+0+L72+L73+0+0+0+L76-L77,"")</f>
        <v>0</v>
      </c>
      <c r="M97" s="59"/>
      <c r="N97" s="59" t="n">
        <f>IF(COUNT(N58,N59,N66,N60,N61,N68,N73,N76,N77)=9,0+N58+N59+N66+0+N60+N61+0+0+0+0+N68+0+0+0+0+N73+0+0+0+N76-N77,"")</f>
        <v>0</v>
      </c>
      <c r="O97" s="59" t="n">
        <f>IF(COUNT(O58,O59,O66,O67,O60,O61,O64,O68,O73,O76,O77)=11,0+O58+O59+O66+O67+O60+O61+0+0+O64+0+O68+0+0+0+0+O73+0+0+0+O76-O77,"")</f>
        <v>0</v>
      </c>
      <c r="P97" s="59" t="n">
        <f>IF(COUNT(P59,P66,P67,P60,P61,P64,P73,P76,P77)=9,0+0+P59+P66+P67+P60+P61+0+0+P64+0+0+0+0+0+0+P73+0+0+0+P76-P77,"")</f>
        <v>0</v>
      </c>
      <c r="Q97" s="59" t="n">
        <f>IF(COUNT(Q58,Q59,Q66,Q67,Q60,Q61,Q64,Q68,Q69,Q73,Q76,Q77)=12,0+Q58+Q59+Q66+Q67+Q60+Q61+0+0+Q64+0+Q68+0+0+Q69+0+Q73+0+0+0+Q76-Q77,"")</f>
        <v>0</v>
      </c>
      <c r="R97" s="59" t="n">
        <f>IF(COUNT(R58,R59,R66,R60,R61,R68,R73,R76,R77)=9,0+R58+R59+R66+0+R60+R61+0+0+0+0+R68+0+0+0+0+R73+0+0+0+R76-R77,"")</f>
        <v>0</v>
      </c>
      <c r="S97" s="59" t="n">
        <f>IF(COUNT(S58,S59,S66,S67,S60,S61,S64,S68,S73,S76,S77)=11,0+S58+S59+S66+S67+S60+S61+0+0+S64+0+S68+0+0+0+0+S73+0+0+0+S76-S77,"")</f>
        <v>0</v>
      </c>
      <c r="T97" s="59" t="n">
        <f>IF(COUNT(T58,T59,T66,T67,T60,T61,T64,T68,T73,T76,T77)=11,0+T58+T59+T66+T67+T60+T61+0+0+T64+0+T68+0+0+0+0+T73+0+0+0+T76-T77,"")</f>
        <v>0</v>
      </c>
      <c r="U97" s="59" t="n">
        <f>IF(COUNT(U58,U59,U66,U67,U61,U64,U65,U68,U72,U73,U76,U77)=12,0+U58+U59+U66+U67+0+U61+0+0+U64+U65+U68+0+0+0+U72+U73+0+0+0+U76-U77,"")</f>
        <v>0</v>
      </c>
      <c r="V97" s="59" t="n">
        <f>IF(COUNT(V58,V66,V67,V61,V65,V68,V73,V76,V77)=9,0+V58+0+V66+V67+0+V61+0+0+0+V65+V68+0+0+0+0+V73+0+0+0+V76-V77,"")</f>
        <v>0</v>
      </c>
      <c r="W97" s="59" t="n">
        <f>IF(COUNT(W58,W59,W66,W67,W61,W65,W68,W73,W76,W77)=10,0+W58+W59+W66+W67+0+W61+0+0+0+W65+W68+0+0+0+0+W73+0+0+0+W76-W77,"")</f>
        <v>0</v>
      </c>
      <c r="X97" s="59" t="n">
        <f>IF(COUNT(X58,X59,X66,X67,X61,X64,X65,X68,X70,X71,X73,X76,X77)=13,0+X58+X59+X66+X67+0+X61+0+0+X64+X65+X68+X70+X71+0+0+X73+0+0+0+X76-X77,"")</f>
        <v>0</v>
      </c>
      <c r="Y97" s="59" t="n">
        <f>IF(COUNT(Y58,Y59,Y66,Y67,Y61,Y64,Y65,Y68,Y70,Y72,Y73,Y76,Y77)=13,0+Y58+Y59+Y66+Y67+0+Y61+0+0+Y64+Y65+Y68+Y70+0+0+Y72+Y73+0+0+0+Y76-Y77,"")</f>
        <v>0</v>
      </c>
      <c r="Z97" s="59" t="n">
        <f>IF(COUNT(Z58,Z67,Z61,Z65,Z68,Z76,Z77)=7,0+Z58+0+0+Z67+0+Z61+0+0+0+Z65+Z68+0+0+0+0+0+0+0+0+Z76-Z77,"")</f>
        <v>0</v>
      </c>
      <c r="AA97" s="59" t="n">
        <f>IF(COUNT(AA58,AA59,AA66,AA67,AA60,AA61,AA62,AA65,AA68,AA72,AA76,AA77)=12,0+AA58+AA59+AA66+AA67+AA60+AA61+AA62+0+0+AA65+AA68+0+0+0+AA72+0+0+0+0+AA76-AA77,"")</f>
        <v>0</v>
      </c>
    </row>
    <row r="98" ht="36" customHeight="1">
      <c r="A98" s="49" t="str">
        <v>Check: operating + investing + financing + FX - net change in cash (should be 0)</v>
      </c>
      <c r="B98" s="3"/>
      <c r="C98" s="59" t="n">
        <f>IF(COUNT(C29,C53,C77,C81,C82)=5,C29+C53+C77+C81-C82,"")</f>
        <v>0</v>
      </c>
      <c r="D98" s="59" t="n">
        <f>IF(COUNT(D29,D53,D77,D82)=4,D29+D53+D77+0-D82,"")</f>
        <v>0</v>
      </c>
      <c r="E98" s="59" t="n">
        <f>IF(COUNT(E29,E53,E77,E82)=4,E29+E53+E77+0-E82,"")</f>
        <v>0</v>
      </c>
      <c r="F98" s="59" t="n">
        <f>IF(COUNT(F29,F53,F77,F82)=4,F29+F53+F77+0-F82,"")</f>
        <v>0</v>
      </c>
      <c r="G98" s="59" t="n">
        <f>IF(COUNT(G29,G53,G77,G82)=4,G29+G53+G77+0-G82,"")</f>
        <v>0</v>
      </c>
      <c r="H98" s="59" t="n">
        <f>IF(COUNT(H29,H53,H77,H82)=4,H29+H53+H77+0-H82,"")</f>
        <v>0</v>
      </c>
      <c r="I98" s="59" t="n">
        <f>IF(COUNT(I29,I53,I77,I82)=4,I29+I53+I77+0-I82,"")</f>
        <v>0</v>
      </c>
      <c r="J98" s="59" t="n">
        <f>IF(COUNT(J29,J53,J77,J82)=4,J29+J53+J77+0-J82,"")</f>
        <v>0</v>
      </c>
      <c r="K98" s="59" t="n">
        <f>IF(COUNT(K29,K53,K77,K82)=4,K29+K53+K77+0-K82,"")</f>
        <v>0</v>
      </c>
      <c r="L98" s="59" t="n">
        <f>IF(COUNT(L29,L53,L77,L82)=4,L29+L53+L77+0-L82,"")</f>
        <v>0</v>
      </c>
      <c r="M98" s="59"/>
      <c r="N98" s="59" t="n">
        <f>IF(COUNT(N29,N53,N77,N82)=4,N29+N53+N77+0-N82,"")</f>
        <v>0</v>
      </c>
      <c r="O98" s="59" t="n">
        <f>IF(COUNT(O29,O53,O77,O82)=4,O29+O53+O77+0-O82,"")</f>
        <v>0</v>
      </c>
      <c r="P98" s="59" t="n">
        <f>IF(COUNT(P29,P53,P77,P82)=4,P29+P53+P77+0-P82,"")</f>
        <v>0</v>
      </c>
      <c r="Q98" s="59" t="n">
        <f>IF(COUNT(Q29,Q53,Q77,Q82)=4,Q29+Q53+Q77+0-Q82,"")</f>
        <v>0</v>
      </c>
      <c r="R98" s="59" t="n">
        <f>IF(COUNT(R29,R53,R77,R82)=4,R29+R53+R77+0-R82,"")</f>
        <v>0</v>
      </c>
      <c r="S98" s="59" t="n">
        <f>IF(COUNT(S29,S53,S77,S82)=4,S29+S53+S77+0-S82,"")</f>
        <v>0</v>
      </c>
      <c r="T98" s="59" t="n">
        <f>IF(COUNT(T29,T53,T77,T82)=4,T29+T53+T77+0-T82,"")</f>
        <v>0</v>
      </c>
      <c r="U98" s="59" t="n">
        <f>IF(COUNT(U29,U53,U77,U82)=4,U29+U53+U77+0-U82,"")</f>
        <v>0</v>
      </c>
      <c r="V98" s="59" t="n">
        <f>IF(COUNT(V29,V53,V77,V82)=4,V29+V53+V77+0-V82,"")</f>
        <v>0</v>
      </c>
      <c r="W98" s="59" t="n">
        <f>IF(COUNT(W29,W53,W77,W82)=4,W29+W53+W77+0-W82,"")</f>
        <v>0</v>
      </c>
      <c r="X98" s="59" t="n">
        <f>IF(COUNT(X29,X53,X77,X82)=4,X29+X53+X77+0-X82,"")</f>
        <v>0</v>
      </c>
      <c r="Y98" s="59" t="n">
        <f>IF(COUNT(Y29,Y53,Y77,Y82)=4,Y29+Y53+Y77+0-Y82,"")</f>
        <v>0</v>
      </c>
      <c r="Z98" s="59" t="n">
        <f>IF(COUNT(Z29,Z53,Z77,Z82)=4,Z29+Z53+Z77+0-Z82,"")</f>
        <v>0</v>
      </c>
      <c r="AA98" s="59" t="n">
        <f>IF(COUNT(AA29,AA53,AA77,AA82)=4,AA29+AA53+AA77+0-AA82,"")</f>
        <v>0</v>
      </c>
    </row>
    <row r="99" ht="36" customHeight="1">
      <c r="A99" s="49" t="str">
        <v>Check: beginning cash + net change - ending cash (should be 0)</v>
      </c>
      <c r="B99" s="3"/>
      <c r="C99" s="59" t="n">
        <f>IF(COUNT(C80,C82,C83)=3,C80+C82-C83,"")</f>
        <v>0</v>
      </c>
      <c r="D99" s="59" t="n">
        <f>IF(COUNT(D80,D82,D83)=3,D80+D82-D83,"")</f>
        <v>0</v>
      </c>
      <c r="E99" s="59" t="n">
        <f>IF(COUNT(E80,E82,E83)=3,E80+E82-E83,"")</f>
        <v>0</v>
      </c>
      <c r="F99" s="59" t="n">
        <f>IF(COUNT(F80,F82,F83)=3,F80+F82-F83,"")</f>
        <v>0</v>
      </c>
      <c r="G99" s="59" t="n">
        <f>IF(COUNT(G80,G82,G83)=3,G80+G82-G83,"")</f>
        <v>0</v>
      </c>
      <c r="H99" s="59" t="n">
        <f>IF(COUNT(H80,H82,H83)=3,H80+H82-H83,"")</f>
        <v>0</v>
      </c>
      <c r="I99" s="59" t="n">
        <f>IF(COUNT(I80,I82,I83)=3,I80+I82-I83,"")</f>
        <v>0</v>
      </c>
      <c r="J99" s="59" t="n">
        <f>IF(COUNT(J80,J82,J83)=3,J80+J82-J83,"")</f>
        <v>0</v>
      </c>
      <c r="K99" s="59" t="n">
        <f>IF(COUNT(K80,K82,K83)=3,K80+K82-K83,"")</f>
        <v>0</v>
      </c>
      <c r="L99" s="59" t="n">
        <f>IF(COUNT(L80,L82,L83)=3,L80+L82-L83,"")</f>
        <v>0</v>
      </c>
      <c r="M99" s="59"/>
      <c r="N99" s="59" t="n">
        <f>IF(COUNT(N80,N82,N83)=3,N80+N82-N83,"")</f>
        <v>0</v>
      </c>
      <c r="O99" s="59" t="n">
        <f>IF(COUNT(O80,O82,O83)=3,O80+O82-O83,"")</f>
        <v>0</v>
      </c>
      <c r="P99" s="59" t="n">
        <f>IF(COUNT(P80,P82,P83)=3,P80+P82-P83,"")</f>
        <v>0</v>
      </c>
      <c r="Q99" s="59" t="n">
        <f>IF(COUNT(Q80,Q82,Q83)=3,Q80+Q82-Q83,"")</f>
        <v>0</v>
      </c>
      <c r="R99" s="59" t="n">
        <f>IF(COUNT(R80,R82,R83)=3,R80+R82-R83,"")</f>
        <v>0</v>
      </c>
      <c r="S99" s="59" t="n">
        <f>IF(COUNT(S80,S82,S83)=3,S80+S82-S83,"")</f>
        <v>0</v>
      </c>
      <c r="T99" s="59" t="n">
        <f>IF(COUNT(T80,T82,T83)=3,T80+T82-T83,"")</f>
        <v>0</v>
      </c>
      <c r="U99" s="59" t="n">
        <f>IF(COUNT(U80,U82,U83)=3,U80+U82-U83,"")</f>
        <v>0</v>
      </c>
      <c r="V99" s="59" t="n">
        <f>IF(COUNT(V80,V82,V83)=3,V80+V82-V83,"")</f>
        <v>0</v>
      </c>
      <c r="W99" s="59" t="n">
        <f>IF(COUNT(W80,W82,W83)=3,W80+W82-W83,"")</f>
        <v>0</v>
      </c>
      <c r="X99" s="59" t="n">
        <f>IF(COUNT(X80,X82,X83)=3,X80+X82-X83,"")</f>
        <v>0</v>
      </c>
      <c r="Y99" s="59" t="n">
        <f>IF(COUNT(Y80,Y82,Y83)=3,Y80+Y82-Y83,"")</f>
        <v>0</v>
      </c>
      <c r="Z99" s="59" t="n">
        <f>IF(COUNT(Z80,Z82,Z83)=3,Z80+Z82-Z83,"")</f>
        <v>0</v>
      </c>
      <c r="AA99" s="59" t="n">
        <f>IF(COUNT(AA80,AA82,AA83)=3,AA80+AA82-AA83,"")</f>
        <v>0</v>
      </c>
    </row>
    <row r="100" ht="36" customHeight="1">
      <c r="A100" s="49" t="str">
        <v>Check: cash-flow net income - income-statement net income (should be 0)</v>
      </c>
      <c r="B100" s="3"/>
      <c r="C100" s="59" t="n">
        <f>IF(COUNT(C9,'Income Statement'!C31)=2,C9-('Income Statement'!C31),"")</f>
        <v>0</v>
      </c>
      <c r="D100" s="59" t="n">
        <f>IF(COUNT(D9,'Income Statement'!D31)=2,D9-('Income Statement'!D31),"")</f>
        <v>0</v>
      </c>
      <c r="E100" s="59" t="n">
        <f>IF(COUNT(E9,'Income Statement'!E31)=2,E9-('Income Statement'!E31),"")</f>
        <v>0</v>
      </c>
      <c r="F100" s="59" t="n">
        <f>IF(COUNT(F9,'Income Statement'!F31)=2,F9-('Income Statement'!F31),"")</f>
        <v>0</v>
      </c>
      <c r="G100" s="59" t="n">
        <f>IF(COUNT(G9,'Income Statement'!G31)=2,G9-('Income Statement'!G31),"")</f>
        <v>0</v>
      </c>
      <c r="H100" s="59" t="n">
        <f>IF(COUNT(H9,'Income Statement'!H31)=2,H9-('Income Statement'!H31),"")</f>
        <v>0</v>
      </c>
      <c r="I100" s="59" t="n">
        <f>IF(COUNT(I9,'Income Statement'!I31)=2,I9-('Income Statement'!I31),"")</f>
        <v>0</v>
      </c>
      <c r="J100" s="59" t="n">
        <f>IF(COUNT(J9,'Income Statement'!J31)=2,J9-('Income Statement'!J31),"")</f>
        <v>0</v>
      </c>
      <c r="K100" s="59" t="n">
        <f>IF(COUNT(K9,'Income Statement'!K31)=2,K9-('Income Statement'!K31),"")</f>
        <v>0</v>
      </c>
      <c r="L100" s="59" t="n">
        <f>IF(COUNT(L9,'Income Statement'!L31)=2,L9-('Income Statement'!L31),"")</f>
        <v>0</v>
      </c>
      <c r="M100" s="59"/>
      <c r="N100" s="59" t="n">
        <f>IF(COUNT(N9,'Income Statement'!N31)=2,N9-('Income Statement'!N31),"")</f>
        <v>0</v>
      </c>
      <c r="O100" s="59" t="n">
        <f>IF(COUNT(O9,'Income Statement'!N31,'Income Statement'!O31)=3,O9-('Income Statement'!N31+'Income Statement'!O31),"")</f>
        <v>0</v>
      </c>
      <c r="P100" s="59" t="n">
        <f>IF(COUNT(P9,'Income Statement'!N31,'Income Statement'!O31,'Income Statement'!P31)=4,P9-('Income Statement'!N31+'Income Statement'!O31+'Income Statement'!P31),"")</f>
        <v>0</v>
      </c>
      <c r="Q100" s="59" t="n">
        <f>IF(COUNT(Q9,'Income Statement'!N31,'Income Statement'!O31,'Income Statement'!P31,'Income Statement'!Q31)=5,Q9-('Income Statement'!N31+'Income Statement'!O31+'Income Statement'!P31+'Income Statement'!Q31),"")</f>
        <v>0</v>
      </c>
      <c r="R100" s="59" t="n">
        <f>IF(COUNT(R9,'Income Statement'!R31)=2,R9-('Income Statement'!R31),"")</f>
        <v>0</v>
      </c>
      <c r="S100" s="59" t="n">
        <f>IF(COUNT(S9,'Income Statement'!R31,'Income Statement'!S31)=3,S9-('Income Statement'!R31+'Income Statement'!S31),"")</f>
        <v>0</v>
      </c>
      <c r="T100" s="59" t="n">
        <f>IF(COUNT(T9,'Income Statement'!R31,'Income Statement'!S31,'Income Statement'!T31)=4,T9-('Income Statement'!R31+'Income Statement'!S31+'Income Statement'!T31),"")</f>
        <v>0</v>
      </c>
      <c r="U100" s="59" t="n">
        <f>IF(COUNT(U9,'Income Statement'!R31,'Income Statement'!S31,'Income Statement'!T31,'Income Statement'!U31)=5,U9-('Income Statement'!R31+'Income Statement'!S31+'Income Statement'!T31+'Income Statement'!U31),"")</f>
        <v>0</v>
      </c>
      <c r="V100" s="59" t="n">
        <f>IF(COUNT(V9,'Income Statement'!V31)=2,V9-('Income Statement'!V31),"")</f>
        <v>0</v>
      </c>
      <c r="W100" s="59" t="n">
        <f>IF(COUNT(W9,'Income Statement'!V31,'Income Statement'!W31)=3,W9-('Income Statement'!V31+'Income Statement'!W31),"")</f>
        <v>0</v>
      </c>
      <c r="X100" s="59" t="n">
        <f>IF(COUNT(X9,'Income Statement'!V31,'Income Statement'!W31,'Income Statement'!X31)=4,X9-('Income Statement'!V31+'Income Statement'!W31+'Income Statement'!X31),"")</f>
        <v>0</v>
      </c>
      <c r="Y100" s="59" t="n">
        <f>IF(COUNT(Y9,'Income Statement'!V31,'Income Statement'!W31,'Income Statement'!X31,'Income Statement'!Y31)=5,Y9-('Income Statement'!V31+'Income Statement'!W31+'Income Statement'!X31+'Income Statement'!Y31),"")</f>
        <v>0</v>
      </c>
      <c r="Z100" s="59"/>
      <c r="AA100" s="59"/>
    </row>
    <row r="101" ht="8"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22" customHeight="1">
      <c r="A102" s="21" t="str">
        <v>Capital expenditure and free cash flow</v>
      </c>
      <c r="B102" s="21" t="str">
        <v>Capital expenditure and free cash flow</v>
      </c>
      <c r="C102" s="21" t="str">
        <v>Capital expenditure and free cash flow</v>
      </c>
      <c r="D102" s="21" t="str">
        <v>Capital expenditure and free cash flow</v>
      </c>
      <c r="E102" s="21" t="str">
        <v>Capital expenditure and free cash flow</v>
      </c>
      <c r="F102" s="21" t="str">
        <v>Capital expenditure and free cash flow</v>
      </c>
      <c r="G102" s="21" t="str">
        <v>Capital expenditure and free cash flow</v>
      </c>
      <c r="H102" s="21" t="str">
        <v>Capital expenditure and free cash flow</v>
      </c>
      <c r="I102" s="21" t="str">
        <v>Capital expenditure and free cash flow</v>
      </c>
      <c r="J102" s="21" t="str">
        <v>Capital expenditure and free cash flow</v>
      </c>
      <c r="K102" s="21" t="str">
        <v>Capital expenditure and free cash flow</v>
      </c>
      <c r="L102" s="21" t="str">
        <v>Capital expenditure and free cash flow</v>
      </c>
      <c r="M102" s="21" t="str">
        <v>Capital expenditure and free cash flow</v>
      </c>
      <c r="N102" s="21" t="str">
        <v>Capital expenditure and free cash flow</v>
      </c>
      <c r="O102" s="21" t="str">
        <v>Capital expenditure and free cash flow</v>
      </c>
      <c r="P102" s="21" t="str">
        <v>Capital expenditure and free cash flow</v>
      </c>
      <c r="Q102" s="21" t="str">
        <v>Capital expenditure and free cash flow</v>
      </c>
      <c r="R102" s="21" t="str">
        <v>Capital expenditure and free cash flow</v>
      </c>
      <c r="S102" s="21" t="str">
        <v>Capital expenditure and free cash flow</v>
      </c>
      <c r="T102" s="21" t="str">
        <v>Capital expenditure and free cash flow</v>
      </c>
      <c r="U102" s="21" t="str">
        <v>Capital expenditure and free cash flow</v>
      </c>
      <c r="V102" s="21" t="str">
        <v>Capital expenditure and free cash flow</v>
      </c>
      <c r="W102" s="21" t="str">
        <v>Capital expenditure and free cash flow</v>
      </c>
      <c r="X102" s="21" t="str">
        <v>Capital expenditure and free cash flow</v>
      </c>
      <c r="Y102" s="21" t="str">
        <v>Capital expenditure and free cash flow</v>
      </c>
      <c r="Z102" s="21" t="str">
        <v>Capital expenditure and free cash flow</v>
      </c>
      <c r="AA102" s="21" t="str">
        <v>Capital expenditure and free cash flow</v>
      </c>
    </row>
    <row r="103" ht="18" customHeight="1">
      <c r="A103" s="22" t="str">
        <v>Analyst FCF subtracts identified PP&amp;E cash payments in both investing and financing sections, including held-for-sale NAND PP&amp;E. No separately reported financing PP&amp;E line means no additional identified deduction; this is separate from Intel adjusted FCF.</v>
      </c>
      <c r="B103" s="22" t="str">
        <v>Analyst FCF subtracts identified PP&amp;E cash payments in both investing and financing sections, including held-for-sale NAND PP&amp;E. No separately reported financing PP&amp;E line means no additional identified deduction; this is separate from Intel adjusted FCF.</v>
      </c>
      <c r="C103" s="22" t="str">
        <v>Analyst FCF subtracts identified PP&amp;E cash payments in both investing and financing sections, including held-for-sale NAND PP&amp;E. No separately reported financing PP&amp;E line means no additional identified deduction; this is separate from Intel adjusted FCF.</v>
      </c>
      <c r="D103" s="22" t="str">
        <v>Analyst FCF subtracts identified PP&amp;E cash payments in both investing and financing sections, including held-for-sale NAND PP&amp;E. No separately reported financing PP&amp;E line means no additional identified deduction; this is separate from Intel adjusted FCF.</v>
      </c>
      <c r="E103" s="22" t="str">
        <v>Analyst FCF subtracts identified PP&amp;E cash payments in both investing and financing sections, including held-for-sale NAND PP&amp;E. No separately reported financing PP&amp;E line means no additional identified deduction; this is separate from Intel adjusted FCF.</v>
      </c>
      <c r="F103" s="22" t="str">
        <v>Analyst FCF subtracts identified PP&amp;E cash payments in both investing and financing sections, including held-for-sale NAND PP&amp;E. No separately reported financing PP&amp;E line means no additional identified deduction; this is separate from Intel adjusted FCF.</v>
      </c>
      <c r="G103" s="22" t="str">
        <v>Analyst FCF subtracts identified PP&amp;E cash payments in both investing and financing sections, including held-for-sale NAND PP&amp;E. No separately reported financing PP&amp;E line means no additional identified deduction; this is separate from Intel adjusted FCF.</v>
      </c>
      <c r="H103" s="22" t="str">
        <v>Analyst FCF subtracts identified PP&amp;E cash payments in both investing and financing sections, including held-for-sale NAND PP&amp;E. No separately reported financing PP&amp;E line means no additional identified deduction; this is separate from Intel adjusted FCF.</v>
      </c>
      <c r="I103" s="22" t="str">
        <v>Analyst FCF subtracts identified PP&amp;E cash payments in both investing and financing sections, including held-for-sale NAND PP&amp;E. No separately reported financing PP&amp;E line means no additional identified deduction; this is separate from Intel adjusted FCF.</v>
      </c>
      <c r="J103" s="22" t="str">
        <v>Analyst FCF subtracts identified PP&amp;E cash payments in both investing and financing sections, including held-for-sale NAND PP&amp;E. No separately reported financing PP&amp;E line means no additional identified deduction; this is separate from Intel adjusted FCF.</v>
      </c>
      <c r="K103" s="22" t="str">
        <v>Analyst FCF subtracts identified PP&amp;E cash payments in both investing and financing sections, including held-for-sale NAND PP&amp;E. No separately reported financing PP&amp;E line means no additional identified deduction; this is separate from Intel adjusted FCF.</v>
      </c>
      <c r="L103" s="22" t="str">
        <v>Analyst FCF subtracts identified PP&amp;E cash payments in both investing and financing sections, including held-for-sale NAND PP&amp;E. No separately reported financing PP&amp;E line means no additional identified deduction; this is separate from Intel adjusted FCF.</v>
      </c>
      <c r="M103" s="22" t="str">
        <v>Analyst FCF subtracts identified PP&amp;E cash payments in both investing and financing sections, including held-for-sale NAND PP&amp;E. No separately reported financing PP&amp;E line means no additional identified deduction; this is separate from Intel adjusted FCF.</v>
      </c>
      <c r="N103" s="22" t="str">
        <v>Analyst FCF subtracts identified PP&amp;E cash payments in both investing and financing sections, including held-for-sale NAND PP&amp;E. No separately reported financing PP&amp;E line means no additional identified deduction; this is separate from Intel adjusted FCF.</v>
      </c>
      <c r="O103" s="22" t="str">
        <v>Analyst FCF subtracts identified PP&amp;E cash payments in both investing and financing sections, including held-for-sale NAND PP&amp;E. No separately reported financing PP&amp;E line means no additional identified deduction; this is separate from Intel adjusted FCF.</v>
      </c>
      <c r="P103" s="22" t="str">
        <v>Analyst FCF subtracts identified PP&amp;E cash payments in both investing and financing sections, including held-for-sale NAND PP&amp;E. No separately reported financing PP&amp;E line means no additional identified deduction; this is separate from Intel adjusted FCF.</v>
      </c>
      <c r="Q103" s="22" t="str">
        <v>Analyst FCF subtracts identified PP&amp;E cash payments in both investing and financing sections, including held-for-sale NAND PP&amp;E. No separately reported financing PP&amp;E line means no additional identified deduction; this is separate from Intel adjusted FCF.</v>
      </c>
      <c r="R103" s="22" t="str">
        <v>Analyst FCF subtracts identified PP&amp;E cash payments in both investing and financing sections, including held-for-sale NAND PP&amp;E. No separately reported financing PP&amp;E line means no additional identified deduction; this is separate from Intel adjusted FCF.</v>
      </c>
      <c r="S103" s="22" t="str">
        <v>Analyst FCF subtracts identified PP&amp;E cash payments in both investing and financing sections, including held-for-sale NAND PP&amp;E. No separately reported financing PP&amp;E line means no additional identified deduction; this is separate from Intel adjusted FCF.</v>
      </c>
      <c r="T103" s="22" t="str">
        <v>Analyst FCF subtracts identified PP&amp;E cash payments in both investing and financing sections, including held-for-sale NAND PP&amp;E. No separately reported financing PP&amp;E line means no additional identified deduction; this is separate from Intel adjusted FCF.</v>
      </c>
      <c r="U103" s="22" t="str">
        <v>Analyst FCF subtracts identified PP&amp;E cash payments in both investing and financing sections, including held-for-sale NAND PP&amp;E. No separately reported financing PP&amp;E line means no additional identified deduction; this is separate from Intel adjusted FCF.</v>
      </c>
      <c r="V103" s="22" t="str">
        <v>Analyst FCF subtracts identified PP&amp;E cash payments in both investing and financing sections, including held-for-sale NAND PP&amp;E. No separately reported financing PP&amp;E line means no additional identified deduction; this is separate from Intel adjusted FCF.</v>
      </c>
      <c r="W103" s="22" t="str">
        <v>Analyst FCF subtracts identified PP&amp;E cash payments in both investing and financing sections, including held-for-sale NAND PP&amp;E. No separately reported financing PP&amp;E line means no additional identified deduction; this is separate from Intel adjusted FCF.</v>
      </c>
      <c r="X103" s="22" t="str">
        <v>Analyst FCF subtracts identified PP&amp;E cash payments in both investing and financing sections, including held-for-sale NAND PP&amp;E. No separately reported financing PP&amp;E line means no additional identified deduction; this is separate from Intel adjusted FCF.</v>
      </c>
      <c r="Y103" s="22" t="str">
        <v>Analyst FCF subtracts identified PP&amp;E cash payments in both investing and financing sections, including held-for-sale NAND PP&amp;E. No separately reported financing PP&amp;E line means no additional identified deduction; this is separate from Intel adjusted FCF.</v>
      </c>
      <c r="Z103" s="22" t="str">
        <v>Analyst FCF subtracts identified PP&amp;E cash payments in both investing and financing sections, including held-for-sale NAND PP&amp;E. No separately reported financing PP&amp;E line means no additional identified deduction; this is separate from Intel adjusted FCF.</v>
      </c>
      <c r="AA103" s="22" t="str">
        <v>Analyst FCF subtracts identified PP&amp;E cash payments in both investing and financing sections, including held-for-sale NAND PP&amp;E. No separately reported financing PP&amp;E line means no additional identified deduction; this is separate from Intel adjusted FCF.</v>
      </c>
    </row>
    <row r="104" ht="24" customHeight="1">
      <c r="A104" s="34" t="str">
        <v>Investing-section PP&amp;E cash payments (positive)</v>
      </c>
      <c r="B104" s="35"/>
      <c r="C104" s="37" t="n">
        <f>IF(COUNT(C32)=1,-(C32),"")</f>
        <v>9625</v>
      </c>
      <c r="D104" s="37" t="n">
        <f>IF(COUNT(D32)=1,-(D32),"")</f>
        <v>11778</v>
      </c>
      <c r="E104" s="37" t="n">
        <f>IF(COUNT(E32)=1,-(E32),"")</f>
        <v>15181</v>
      </c>
      <c r="F104" s="37" t="n">
        <f>IF(COUNT(F32)=1,-(F32),"")</f>
        <v>16213</v>
      </c>
      <c r="G104" s="37" t="n">
        <f>IF(COUNT(G32,G33)=2,-(G32+G33),"")</f>
        <v>14453</v>
      </c>
      <c r="H104" s="37" t="n">
        <f>IF(COUNT(H32,H33)=2,-(H32+H33),"")</f>
        <v>20329</v>
      </c>
      <c r="I104" s="37" t="n">
        <f>IF(COUNT(I32,I33)=2,-(I32+I33),"")</f>
        <v>25050</v>
      </c>
      <c r="J104" s="37" t="n">
        <f>IF(COUNT(J32,J33)=2,-(J32+J33),"")</f>
        <v>25750</v>
      </c>
      <c r="K104" s="37" t="n">
        <f>IF(COUNT(K32)=1,-(K32),"")</f>
        <v>23944</v>
      </c>
      <c r="L104" s="37" t="n">
        <f>IF(COUNT(L32)=1,-(L32),"")</f>
        <v>14646</v>
      </c>
      <c r="M104" s="36"/>
      <c r="N104" s="37" t="n">
        <f>IF(COUNT(N32)=1,-(N32),"")</f>
        <v>7413</v>
      </c>
      <c r="O104" s="37" t="n">
        <f>IF(COUNT(O32)=1,-(O32),"")</f>
        <v>13301</v>
      </c>
      <c r="P104" s="37" t="n">
        <f>IF(COUNT(P32)=1,-(P32),"")</f>
        <v>19054</v>
      </c>
      <c r="Q104" s="37" t="n">
        <f>IF(COUNT(J32,J33)=2,-(J32+J33),"")</f>
        <v>25750</v>
      </c>
      <c r="R104" s="37" t="n">
        <f>IF(COUNT(R32)=1,-(R32),"")</f>
        <v>5970</v>
      </c>
      <c r="S104" s="37" t="n">
        <f>IF(COUNT(S32)=1,-(S32),"")</f>
        <v>11652</v>
      </c>
      <c r="T104" s="37" t="n">
        <f>IF(COUNT(T32)=1,-(T32),"")</f>
        <v>18110</v>
      </c>
      <c r="U104" s="37" t="n">
        <f>IF(COUNT(K32)=1,-(K32),"")</f>
        <v>23944</v>
      </c>
      <c r="V104" s="37" t="n">
        <f>IF(COUNT(V32)=1,-(V32),"")</f>
        <v>5183</v>
      </c>
      <c r="W104" s="37" t="n">
        <f>IF(COUNT(W32)=1,-(W32),"")</f>
        <v>8733</v>
      </c>
      <c r="X104" s="37" t="n">
        <f>IF(COUNT(X32)=1,-(X32),"")</f>
        <v>11158</v>
      </c>
      <c r="Y104" s="37" t="n">
        <f>IF(COUNT(L32)=1,-(L32),"")</f>
        <v>14646</v>
      </c>
      <c r="Z104" s="37" t="n">
        <f>IF(COUNT(Z32)=1,-(Z32),"")</f>
        <v>3636</v>
      </c>
      <c r="AA104" s="37" t="n">
        <f>IF(COUNT(AA32)=1,-(AA32),"")</f>
        <v>6192</v>
      </c>
    </row>
    <row r="105" ht="22" customHeight="1">
      <c r="A105" s="49" t="str">
        <v>Financing-section PP&amp;E cash payments (positive)</v>
      </c>
      <c r="B105" s="3"/>
      <c r="C105" s="52" t="n">
        <f>0</f>
        <v>0</v>
      </c>
      <c r="D105" s="52" t="n">
        <f>0</f>
        <v>0</v>
      </c>
      <c r="E105" s="52" t="n">
        <f>0</f>
        <v>0</v>
      </c>
      <c r="F105" s="52" t="n">
        <f>0</f>
        <v>0</v>
      </c>
      <c r="G105" s="52" t="n">
        <f>0</f>
        <v>0</v>
      </c>
      <c r="H105" s="52" t="n">
        <f>0</f>
        <v>0</v>
      </c>
      <c r="I105" s="52" t="n">
        <f>0</f>
        <v>0</v>
      </c>
      <c r="J105" s="52" t="n">
        <f>0</f>
        <v>0</v>
      </c>
      <c r="K105" s="52" t="n">
        <f>IF(COUNT(K65)=1,-K65,"")</f>
        <v>1178</v>
      </c>
      <c r="L105" s="52" t="n">
        <f>IF(COUNT(L65)=1,-L65,"")</f>
        <v>3026</v>
      </c>
      <c r="M105" s="51"/>
      <c r="N105" s="52" t="n">
        <f>0</f>
        <v>0</v>
      </c>
      <c r="O105" s="52" t="n">
        <f>0</f>
        <v>0</v>
      </c>
      <c r="P105" s="52" t="n">
        <f>0</f>
        <v>0</v>
      </c>
      <c r="Q105" s="52" t="n">
        <f>0</f>
        <v>0</v>
      </c>
      <c r="R105" s="52" t="n">
        <f>0</f>
        <v>0</v>
      </c>
      <c r="S105" s="52" t="n">
        <f>0</f>
        <v>0</v>
      </c>
      <c r="T105" s="52" t="n">
        <f>0</f>
        <v>0</v>
      </c>
      <c r="U105" s="52" t="n">
        <f>IF(COUNT(U65)=1,-U65,"")</f>
        <v>1178</v>
      </c>
      <c r="V105" s="52" t="n">
        <f>IF(COUNT(V65)=1,-V65,"")</f>
        <v>1020</v>
      </c>
      <c r="W105" s="52" t="n">
        <f>IF(COUNT(W65)=1,-W65,"")</f>
        <v>1962</v>
      </c>
      <c r="X105" s="52" t="n">
        <f>IF(COUNT(X65)=1,-X65,"")</f>
        <v>2493</v>
      </c>
      <c r="Y105" s="52" t="n">
        <f>IF(COUNT(Y65)=1,-Y65,"")</f>
        <v>3026</v>
      </c>
      <c r="Z105" s="52" t="n">
        <f>IF(COUNT(Z65)=1,-Z65,"")</f>
        <v>1327</v>
      </c>
      <c r="AA105" s="52" t="n">
        <f>IF(COUNT(AA65)=1,-AA65,"")</f>
        <v>1423</v>
      </c>
    </row>
    <row r="106" ht="24" customHeight="1">
      <c r="A106" s="34" t="str">
        <v>Total identified PP&amp;E cash payments</v>
      </c>
      <c r="B106" s="35"/>
      <c r="C106" s="37" t="n">
        <f>IF(COUNT(C104,C105)=2,C104+C105,"")</f>
        <v>9625</v>
      </c>
      <c r="D106" s="37" t="n">
        <f>IF(COUNT(D104,D105)=2,D104+D105,"")</f>
        <v>11778</v>
      </c>
      <c r="E106" s="37" t="n">
        <f>IF(COUNT(E104,E105)=2,E104+E105,"")</f>
        <v>15181</v>
      </c>
      <c r="F106" s="37" t="n">
        <f>IF(COUNT(F104,F105)=2,F104+F105,"")</f>
        <v>16213</v>
      </c>
      <c r="G106" s="37" t="n">
        <f>IF(COUNT(G104,G105)=2,G104+G105,"")</f>
        <v>14453</v>
      </c>
      <c r="H106" s="37" t="n">
        <f>IF(COUNT(H104,H105)=2,H104+H105,"")</f>
        <v>20329</v>
      </c>
      <c r="I106" s="37" t="n">
        <f>IF(COUNT(I104,I105)=2,I104+I105,"")</f>
        <v>25050</v>
      </c>
      <c r="J106" s="37" t="n">
        <f>IF(COUNT(J104,J105)=2,J104+J105,"")</f>
        <v>25750</v>
      </c>
      <c r="K106" s="37" t="n">
        <f>IF(COUNT(K104,K105)=2,K104+K105,"")</f>
        <v>25122</v>
      </c>
      <c r="L106" s="37" t="n">
        <f>IF(COUNT(L104,L105)=2,L104+L105,"")</f>
        <v>17672</v>
      </c>
      <c r="M106" s="36"/>
      <c r="N106" s="37" t="n">
        <f>IF(COUNT(N104,N105)=2,N104+N105,"")</f>
        <v>7413</v>
      </c>
      <c r="O106" s="37" t="n">
        <f>IF(COUNT(O104,O105)=2,O104+O105,"")</f>
        <v>13301</v>
      </c>
      <c r="P106" s="37" t="n">
        <f>IF(COUNT(P104,P105)=2,P104+P105,"")</f>
        <v>19054</v>
      </c>
      <c r="Q106" s="37" t="n">
        <f>IF(COUNT(Q104,Q105)=2,Q104+Q105,"")</f>
        <v>25750</v>
      </c>
      <c r="R106" s="37" t="n">
        <f>IF(COUNT(R104,R105)=2,R104+R105,"")</f>
        <v>5970</v>
      </c>
      <c r="S106" s="37" t="n">
        <f>IF(COUNT(S104,S105)=2,S104+S105,"")</f>
        <v>11652</v>
      </c>
      <c r="T106" s="37" t="n">
        <f>IF(COUNT(T104,T105)=2,T104+T105,"")</f>
        <v>18110</v>
      </c>
      <c r="U106" s="37" t="n">
        <f>IF(COUNT(U104,U105)=2,U104+U105,"")</f>
        <v>25122</v>
      </c>
      <c r="V106" s="37" t="n">
        <f>IF(COUNT(V104,V105)=2,V104+V105,"")</f>
        <v>6203</v>
      </c>
      <c r="W106" s="37" t="n">
        <f>IF(COUNT(W104,W105)=2,W104+W105,"")</f>
        <v>10695</v>
      </c>
      <c r="X106" s="37" t="n">
        <f>IF(COUNT(X104,X105)=2,X104+X105,"")</f>
        <v>13651</v>
      </c>
      <c r="Y106" s="37" t="n">
        <f>IF(COUNT(Y104,Y105)=2,Y104+Y105,"")</f>
        <v>17672</v>
      </c>
      <c r="Z106" s="37" t="n">
        <f>IF(COUNT(Z104,Z105)=2,Z104+Z105,"")</f>
        <v>4963</v>
      </c>
      <c r="AA106" s="37" t="n">
        <f>IF(COUNT(AA104,AA105)=2,AA104+AA105,"")</f>
        <v>7615</v>
      </c>
    </row>
    <row r="107" ht="24" customHeight="1">
      <c r="A107" s="34" t="str">
        <v>Free cash flow after identified PP&amp;E cash payments</v>
      </c>
      <c r="B107" s="35"/>
      <c r="C107" s="37" t="n">
        <f>IF(COUNT(C29,C106)=2,C29-C106,"")</f>
        <v>12183</v>
      </c>
      <c r="D107" s="37" t="n">
        <f>IF(COUNT(D29,D106)=2,D29-D106,"")</f>
        <v>10332</v>
      </c>
      <c r="E107" s="37" t="n">
        <f>IF(COUNT(E29,E106)=2,E29-E106,"")</f>
        <v>14251</v>
      </c>
      <c r="F107" s="37" t="n">
        <f>IF(COUNT(F29,F106)=2,F29-F106,"")</f>
        <v>16932</v>
      </c>
      <c r="G107" s="37" t="n">
        <f>IF(COUNT(G29,G106)=2,G29-G106,"")</f>
        <v>20931</v>
      </c>
      <c r="H107" s="37" t="n">
        <f>IF(COUNT(H29,H106)=2,H29-H106,"")</f>
        <v>9662</v>
      </c>
      <c r="I107" s="37" t="n">
        <f>IF(COUNT(I29,I106)=2,I29-I106,"")</f>
        <v>-9617</v>
      </c>
      <c r="J107" s="37" t="n">
        <f>IF(COUNT(J29,J106)=2,J29-J106,"")</f>
        <v>-14279</v>
      </c>
      <c r="K107" s="37" t="n">
        <f>IF(COUNT(K29,K106)=2,K29-K106,"")</f>
        <v>-16834</v>
      </c>
      <c r="L107" s="37" t="n">
        <f>IF(COUNT(L29,L106)=2,L29-L106,"")</f>
        <v>-7975</v>
      </c>
      <c r="M107" s="36"/>
      <c r="N107" s="37" t="n">
        <f>IF(COUNT(N29,N106)=2,N29-N106,"")</f>
        <v>-9198</v>
      </c>
      <c r="O107" s="37" t="n">
        <f>IF(COUNT(O29,O106)=2,O29-O106,"")</f>
        <v>-12278</v>
      </c>
      <c r="P107" s="37" t="n">
        <f>IF(COUNT(P29,P106)=2,P29-P106,"")</f>
        <v>-12207</v>
      </c>
      <c r="Q107" s="37" t="n">
        <f>IF(COUNT(Q29,Q106)=2,Q29-Q106,"")</f>
        <v>-14279</v>
      </c>
      <c r="R107" s="37" t="n">
        <f>IF(COUNT(R29,R106)=2,R29-R106,"")</f>
        <v>-7193</v>
      </c>
      <c r="S107" s="37" t="n">
        <f>IF(COUNT(S29,S106)=2,S29-S106,"")</f>
        <v>-10583</v>
      </c>
      <c r="T107" s="37" t="n">
        <f>IF(COUNT(T29,T106)=2,T29-T106,"")</f>
        <v>-12987</v>
      </c>
      <c r="U107" s="37" t="n">
        <f>IF(COUNT(U29,U106)=2,U29-U106,"")</f>
        <v>-16834</v>
      </c>
      <c r="V107" s="37" t="n">
        <f>IF(COUNT(V29,V106)=2,V29-V106,"")</f>
        <v>-5390</v>
      </c>
      <c r="W107" s="37" t="n">
        <f>IF(COUNT(W29,W106)=2,W29-W106,"")</f>
        <v>-7832</v>
      </c>
      <c r="X107" s="37" t="n">
        <f>IF(COUNT(X29,X106)=2,X29-X106,"")</f>
        <v>-8242</v>
      </c>
      <c r="Y107" s="37" t="n">
        <f>IF(COUNT(Y29,Y106)=2,Y29-Y106,"")</f>
        <v>-7975</v>
      </c>
      <c r="Z107" s="37" t="n">
        <f>IF(COUNT(Z29,Z106)=2,Z29-Z106,"")</f>
        <v>-3867</v>
      </c>
      <c r="AA107" s="37" t="n">
        <f>IF(COUNT(AA29,AA106)=2,AA29-AA106,"")</f>
        <v>487</v>
      </c>
    </row>
    <row r="108" ht="24" customHeight="1">
      <c r="A108" s="72" t="str">
        <v>Total PP&amp;E cash payments / operating cash flow</v>
      </c>
      <c r="B108" s="35"/>
      <c r="C108" s="73" t="n">
        <f>IF(COUNT(C106,C29)=2,IF(C29&gt;0,C106/C29,"n.m."),"")</f>
        <v>0.4413517975055026</v>
      </c>
      <c r="D108" s="73" t="n">
        <f>IF(COUNT(D106,D29)=2,IF(D29&gt;0,D106/D29,"n.m."),"")</f>
        <v>0.5327001356852104</v>
      </c>
      <c r="E108" s="73" t="n">
        <f>IF(COUNT(E106,E29)=2,IF(E29&gt;0,E106/E29,"n.m."),"")</f>
        <v>0.5157991301984235</v>
      </c>
      <c r="F108" s="73" t="n">
        <f>IF(COUNT(F106,F29)=2,IF(F29&gt;0,F106/F29,"n.m."),"")</f>
        <v>0.4891537185095791</v>
      </c>
      <c r="G108" s="73" t="n">
        <f>IF(COUNT(G106,G29)=2,IF(G29&gt;0,G106/G29,"n.m."),"")</f>
        <v>0.40846145150350444</v>
      </c>
      <c r="H108" s="73" t="n">
        <f>IF(COUNT(H106,H29)=2,IF(H29&gt;0,H106/H29,"n.m."),"")</f>
        <v>0.677836684338635</v>
      </c>
      <c r="I108" s="73" t="n">
        <f>IF(COUNT(I106,I29)=2,IF(I29&gt;0,I106/I29,"n.m."),"")</f>
        <v>1.623145208319834</v>
      </c>
      <c r="J108" s="73" t="n">
        <f>IF(COUNT(J106,J29)=2,IF(J29&gt;0,J106/J29,"n.m."),"")</f>
        <v>2.2447912126231366</v>
      </c>
      <c r="K108" s="73" t="n">
        <f>IF(COUNT(K106,K29)=2,IF(K29&gt;0,K106/K29,"n.m."),"")</f>
        <v>3.0311293436293436</v>
      </c>
      <c r="L108" s="73" t="n">
        <f>IF(COUNT(L106,L29)=2,IF(L29&gt;0,L106/L29,"n.m."),"")</f>
        <v>1.822419304939672</v>
      </c>
      <c r="M108" s="74"/>
      <c r="N108" s="73" t="str">
        <f>IF(COUNT(N106,N29)=2,IF(N29&gt;0,N106/N29,"n.m."),"")</f>
        <v>n.m.</v>
      </c>
      <c r="O108" s="73" t="n">
        <f>IF(COUNT(O106,O29)=2,IF(O29&gt;0,O106/O29,"n.m."),"")</f>
        <v>13.001955034213099</v>
      </c>
      <c r="P108" s="73" t="n">
        <f>IF(COUNT(P106,P29)=2,IF(P29&gt;0,P106/P29,"n.m."),"")</f>
        <v>2.782824594713013</v>
      </c>
      <c r="Q108" s="73" t="n">
        <f>IF(COUNT(Q106,Q29)=2,IF(Q29&gt;0,Q106/Q29,"n.m."),"")</f>
        <v>2.2447912126231366</v>
      </c>
      <c r="R108" s="73" t="str">
        <f>IF(COUNT(R106,R29)=2,IF(R29&gt;0,R106/R29,"n.m."),"")</f>
        <v>n.m.</v>
      </c>
      <c r="S108" s="73" t="n">
        <f>IF(COUNT(S106,S29)=2,IF(S29&gt;0,S106/S29,"n.m."),"")</f>
        <v>10.899906454630496</v>
      </c>
      <c r="T108" s="73" t="n">
        <f>IF(COUNT(T106,T29)=2,IF(T29&gt;0,T106/T29,"n.m."),"")</f>
        <v>3.5350380636345893</v>
      </c>
      <c r="U108" s="73" t="n">
        <f>IF(COUNT(U106,U29)=2,IF(U29&gt;0,U106/U29,"n.m."),"")</f>
        <v>3.0311293436293436</v>
      </c>
      <c r="V108" s="73" t="n">
        <f>IF(COUNT(V106,V29)=2,IF(V29&gt;0,V106/V29,"n.m."),"")</f>
        <v>7.629766297662977</v>
      </c>
      <c r="W108" s="73" t="n">
        <f>IF(COUNT(W106,W29)=2,IF(W29&gt;0,W106/W29,"n.m."),"")</f>
        <v>3.735592036325533</v>
      </c>
      <c r="X108" s="73" t="n">
        <f>IF(COUNT(X106,X29)=2,IF(X29&gt;0,X106/X29,"n.m."),"")</f>
        <v>2.5237567017933076</v>
      </c>
      <c r="Y108" s="73" t="n">
        <f>IF(COUNT(Y106,Y29)=2,IF(Y29&gt;0,Y106/Y29,"n.m."),"")</f>
        <v>1.822419304939672</v>
      </c>
      <c r="Z108" s="73" t="n">
        <f>IF(COUNT(Z106,Z29)=2,IF(Z29&gt;0,Z106/Z29,"n.m."),"")</f>
        <v>4.528284671532846</v>
      </c>
      <c r="AA108" s="73" t="n">
        <f>IF(COUNT(AA106,AA29)=2,IF(AA29&gt;0,AA106/AA29,"n.m."),"")</f>
        <v>0.9398913848432486</v>
      </c>
    </row>
    <row r="109" ht="20" customHeight="1">
      <c r="A109" s="40" t="str">
        <v>Free cash flow YoY</v>
      </c>
      <c r="B109" s="3"/>
      <c r="C109" s="45"/>
      <c r="D109" s="46" t="n">
        <f>IF(COUNT(D107,C107)=2,IF(C107&gt;0,D107/C107-1,"n.m."),"")</f>
        <v>-0.1519330214232948</v>
      </c>
      <c r="E109" s="46" t="n">
        <f>IF(COUNT(E107,D107)=2,IF(D107&gt;0,E107/D107-1,"n.m."),"")</f>
        <v>0.3793070073557878</v>
      </c>
      <c r="F109" s="46" t="n">
        <f>IF(COUNT(F107,E107)=2,IF(E107&gt;0,F107/E107-1,"n.m."),"")</f>
        <v>0.188127148972002</v>
      </c>
      <c r="G109" s="46" t="n">
        <f>IF(COUNT(G107,F107)=2,IF(F107&gt;0,G107/F107-1,"n.m."),"")</f>
        <v>0.23618001417434442</v>
      </c>
      <c r="H109" s="46" t="n">
        <f>IF(COUNT(H107,G107)=2,IF(G107&gt;0,H107/G107-1,"n.m."),"")</f>
        <v>-0.538388036883092</v>
      </c>
      <c r="I109" s="46" t="n">
        <f>IF(COUNT(I107,H107)=2,IF(H107&gt;0,I107/H107-1,"n.m."),"")</f>
        <v>-1.995342579176154</v>
      </c>
      <c r="J109" s="46" t="str">
        <f>IF(COUNT(J107,I107)=2,IF(I107&gt;0,J107/I107-1,"n.m."),"")</f>
        <v>n.m.</v>
      </c>
      <c r="K109" s="46" t="str">
        <f>IF(COUNT(K107,J107)=2,IF(J107&gt;0,K107/J107-1,"n.m."),"")</f>
        <v>n.m.</v>
      </c>
      <c r="L109" s="46" t="str">
        <f>IF(COUNT(L107,K107)=2,IF(K107&gt;0,L107/K107-1,"n.m."),"")</f>
        <v>n.m.</v>
      </c>
      <c r="M109" s="44"/>
      <c r="N109" s="45"/>
      <c r="O109" s="45"/>
      <c r="P109" s="45"/>
      <c r="Q109" s="45"/>
      <c r="R109" s="46" t="str">
        <f>IF(COUNT(R107,N107)=2,IF(N107&gt;0,R107/N107-1,"n.m."),"")</f>
        <v>n.m.</v>
      </c>
      <c r="S109" s="46" t="str">
        <f>IF(COUNT(S107,O107)=2,IF(O107&gt;0,S107/O107-1,"n.m."),"")</f>
        <v>n.m.</v>
      </c>
      <c r="T109" s="46" t="str">
        <f>IF(COUNT(T107,P107)=2,IF(P107&gt;0,T107/P107-1,"n.m."),"")</f>
        <v>n.m.</v>
      </c>
      <c r="U109" s="46" t="str">
        <f>IF(COUNT(U107,Q107)=2,IF(Q107&gt;0,U107/Q107-1,"n.m."),"")</f>
        <v>n.m.</v>
      </c>
      <c r="V109" s="46" t="str">
        <f>IF(COUNT(V107,R107)=2,IF(R107&gt;0,V107/R107-1,"n.m."),"")</f>
        <v>n.m.</v>
      </c>
      <c r="W109" s="46" t="str">
        <f>IF(COUNT(W107,S107)=2,IF(S107&gt;0,W107/S107-1,"n.m."),"")</f>
        <v>n.m.</v>
      </c>
      <c r="X109" s="46" t="str">
        <f>IF(COUNT(X107,T107)=2,IF(T107&gt;0,X107/T107-1,"n.m."),"")</f>
        <v>n.m.</v>
      </c>
      <c r="Y109" s="46" t="str">
        <f>IF(COUNT(Y107,U107)=2,IF(U107&gt;0,Y107/U107-1,"n.m."),"")</f>
        <v>n.m.</v>
      </c>
      <c r="Z109" s="46" t="str">
        <f>IF(COUNT(Z107,V107)=2,IF(V107&gt;0,Z107/V107-1,"n.m."),"")</f>
        <v>n.m.</v>
      </c>
      <c r="AA109" s="46" t="str">
        <f>IF(COUNT(AA107,W107)=2,IF(W107&gt;0,AA107/W107-1,"n.m."),"")</f>
        <v>n.m.</v>
      </c>
    </row>
    <row r="110" ht="8"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22" customHeight="1">
      <c r="A111" s="21" t="str">
        <v>Selected discrete-quarter cash flows</v>
      </c>
      <c r="B111" s="21" t="str">
        <v>Selected discrete-quarter cash flows</v>
      </c>
      <c r="C111" s="21" t="str">
        <v>Selected discrete-quarter cash flows</v>
      </c>
      <c r="D111" s="21" t="str">
        <v>Selected discrete-quarter cash flows</v>
      </c>
      <c r="E111" s="21" t="str">
        <v>Selected discrete-quarter cash flows</v>
      </c>
      <c r="F111" s="21" t="str">
        <v>Selected discrete-quarter cash flows</v>
      </c>
      <c r="G111" s="21" t="str">
        <v>Selected discrete-quarter cash flows</v>
      </c>
      <c r="H111" s="21" t="str">
        <v>Selected discrete-quarter cash flows</v>
      </c>
      <c r="I111" s="21" t="str">
        <v>Selected discrete-quarter cash flows</v>
      </c>
      <c r="J111" s="21" t="str">
        <v>Selected discrete-quarter cash flows</v>
      </c>
      <c r="K111" s="21" t="str">
        <v>Selected discrete-quarter cash flows</v>
      </c>
      <c r="L111" s="21" t="str">
        <v>Selected discrete-quarter cash flows</v>
      </c>
      <c r="M111" s="21" t="str">
        <v>Selected discrete-quarter cash flows</v>
      </c>
      <c r="N111" s="21" t="str">
        <v>Selected discrete-quarter cash flows</v>
      </c>
      <c r="O111" s="21" t="str">
        <v>Selected discrete-quarter cash flows</v>
      </c>
      <c r="P111" s="21" t="str">
        <v>Selected discrete-quarter cash flows</v>
      </c>
      <c r="Q111" s="21" t="str">
        <v>Selected discrete-quarter cash flows</v>
      </c>
      <c r="R111" s="21" t="str">
        <v>Selected discrete-quarter cash flows</v>
      </c>
      <c r="S111" s="21" t="str">
        <v>Selected discrete-quarter cash flows</v>
      </c>
      <c r="T111" s="21" t="str">
        <v>Selected discrete-quarter cash flows</v>
      </c>
      <c r="U111" s="21" t="str">
        <v>Selected discrete-quarter cash flows</v>
      </c>
      <c r="V111" s="21" t="str">
        <v>Selected discrete-quarter cash flows</v>
      </c>
      <c r="W111" s="21" t="str">
        <v>Selected discrete-quarter cash flows</v>
      </c>
      <c r="X111" s="21" t="str">
        <v>Selected discrete-quarter cash flows</v>
      </c>
      <c r="Y111" s="21" t="str">
        <v>Selected discrete-quarter cash flows</v>
      </c>
      <c r="Z111" s="21" t="str">
        <v>Selected discrete-quarter cash flows</v>
      </c>
      <c r="AA111" s="21" t="str">
        <v>Selected discrete-quarter cash flows</v>
      </c>
    </row>
    <row r="112" ht="18" customHeight="1">
      <c r="A112" s="22" t="str">
        <v>Derived from successive source YTD statements; annual columns repeat the matching annual owner. Missing prerequisite periods remain unavailable.</v>
      </c>
      <c r="B112" s="22" t="str">
        <v>Derived from successive source YTD statements; annual columns repeat the matching annual owner. Missing prerequisite periods remain unavailable.</v>
      </c>
      <c r="C112" s="22" t="str">
        <v>Derived from successive source YTD statements; annual columns repeat the matching annual owner. Missing prerequisite periods remain unavailable.</v>
      </c>
      <c r="D112" s="22" t="str">
        <v>Derived from successive source YTD statements; annual columns repeat the matching annual owner. Missing prerequisite periods remain unavailable.</v>
      </c>
      <c r="E112" s="22" t="str">
        <v>Derived from successive source YTD statements; annual columns repeat the matching annual owner. Missing prerequisite periods remain unavailable.</v>
      </c>
      <c r="F112" s="22" t="str">
        <v>Derived from successive source YTD statements; annual columns repeat the matching annual owner. Missing prerequisite periods remain unavailable.</v>
      </c>
      <c r="G112" s="22" t="str">
        <v>Derived from successive source YTD statements; annual columns repeat the matching annual owner. Missing prerequisite periods remain unavailable.</v>
      </c>
      <c r="H112" s="22" t="str">
        <v>Derived from successive source YTD statements; annual columns repeat the matching annual owner. Missing prerequisite periods remain unavailable.</v>
      </c>
      <c r="I112" s="22" t="str">
        <v>Derived from successive source YTD statements; annual columns repeat the matching annual owner. Missing prerequisite periods remain unavailable.</v>
      </c>
      <c r="J112" s="22" t="str">
        <v>Derived from successive source YTD statements; annual columns repeat the matching annual owner. Missing prerequisite periods remain unavailable.</v>
      </c>
      <c r="K112" s="22" t="str">
        <v>Derived from successive source YTD statements; annual columns repeat the matching annual owner. Missing prerequisite periods remain unavailable.</v>
      </c>
      <c r="L112" s="22" t="str">
        <v>Derived from successive source YTD statements; annual columns repeat the matching annual owner. Missing prerequisite periods remain unavailable.</v>
      </c>
      <c r="M112" s="22" t="str">
        <v>Derived from successive source YTD statements; annual columns repeat the matching annual owner. Missing prerequisite periods remain unavailable.</v>
      </c>
      <c r="N112" s="22" t="str">
        <v>Derived from successive source YTD statements; annual columns repeat the matching annual owner. Missing prerequisite periods remain unavailable.</v>
      </c>
      <c r="O112" s="22" t="str">
        <v>Derived from successive source YTD statements; annual columns repeat the matching annual owner. Missing prerequisite periods remain unavailable.</v>
      </c>
      <c r="P112" s="22" t="str">
        <v>Derived from successive source YTD statements; annual columns repeat the matching annual owner. Missing prerequisite periods remain unavailable.</v>
      </c>
      <c r="Q112" s="22" t="str">
        <v>Derived from successive source YTD statements; annual columns repeat the matching annual owner. Missing prerequisite periods remain unavailable.</v>
      </c>
      <c r="R112" s="22" t="str">
        <v>Derived from successive source YTD statements; annual columns repeat the matching annual owner. Missing prerequisite periods remain unavailable.</v>
      </c>
      <c r="S112" s="22" t="str">
        <v>Derived from successive source YTD statements; annual columns repeat the matching annual owner. Missing prerequisite periods remain unavailable.</v>
      </c>
      <c r="T112" s="22" t="str">
        <v>Derived from successive source YTD statements; annual columns repeat the matching annual owner. Missing prerequisite periods remain unavailable.</v>
      </c>
      <c r="U112" s="22" t="str">
        <v>Derived from successive source YTD statements; annual columns repeat the matching annual owner. Missing prerequisite periods remain unavailable.</v>
      </c>
      <c r="V112" s="22" t="str">
        <v>Derived from successive source YTD statements; annual columns repeat the matching annual owner. Missing prerequisite periods remain unavailable.</v>
      </c>
      <c r="W112" s="22" t="str">
        <v>Derived from successive source YTD statements; annual columns repeat the matching annual owner. Missing prerequisite periods remain unavailable.</v>
      </c>
      <c r="X112" s="22" t="str">
        <v>Derived from successive source YTD statements; annual columns repeat the matching annual owner. Missing prerequisite periods remain unavailable.</v>
      </c>
      <c r="Y112" s="22" t="str">
        <v>Derived from successive source YTD statements; annual columns repeat the matching annual owner. Missing prerequisite periods remain unavailable.</v>
      </c>
      <c r="Z112" s="22" t="str">
        <v>Derived from successive source YTD statements; annual columns repeat the matching annual owner. Missing prerequisite periods remain unavailable.</v>
      </c>
      <c r="AA112" s="22" t="str">
        <v>Derived from successive source YTD statements; annual columns repeat the matching annual owner. Missing prerequisite periods remain unavailable.</v>
      </c>
    </row>
    <row r="113" ht="24" customHeight="1">
      <c r="A113" s="34" t="str">
        <v>Operating cash flow: discrete quarter</v>
      </c>
      <c r="B113" s="35"/>
      <c r="C113" s="37" t="n">
        <f>IF(COUNT(C29)=1,C29,"")</f>
        <v>21808</v>
      </c>
      <c r="D113" s="37" t="n">
        <f>IF(COUNT(D29)=1,D29,"")</f>
        <v>22110</v>
      </c>
      <c r="E113" s="37" t="n">
        <f>IF(COUNT(E29)=1,E29,"")</f>
        <v>29432</v>
      </c>
      <c r="F113" s="37" t="n">
        <f>IF(COUNT(F29)=1,F29,"")</f>
        <v>33145</v>
      </c>
      <c r="G113" s="37" t="n">
        <f>IF(COUNT(G29)=1,G29,"")</f>
        <v>35384</v>
      </c>
      <c r="H113" s="37" t="n">
        <f>IF(COUNT(H29)=1,H29,"")</f>
        <v>29991</v>
      </c>
      <c r="I113" s="37" t="n">
        <f>IF(COUNT(I29)=1,I29,"")</f>
        <v>15433</v>
      </c>
      <c r="J113" s="37" t="n">
        <f>IF(COUNT(J29)=1,J29,"")</f>
        <v>11471</v>
      </c>
      <c r="K113" s="37" t="n">
        <f>IF(COUNT(K29)=1,K29,"")</f>
        <v>8288</v>
      </c>
      <c r="L113" s="37" t="n">
        <f>IF(COUNT(L29)=1,L29,"")</f>
        <v>9697</v>
      </c>
      <c r="M113" s="36"/>
      <c r="N113" s="37" t="n">
        <f>IF(COUNT(N29)=1,N29,"")</f>
        <v>-1785</v>
      </c>
      <c r="O113" s="37" t="n">
        <f>IF(COUNT(O29,N29)=2,O29-N29,"")</f>
        <v>2808</v>
      </c>
      <c r="P113" s="37" t="n">
        <f>IF(COUNT(P29,O29)=2,P29-O29,"")</f>
        <v>5824</v>
      </c>
      <c r="Q113" s="37" t="n">
        <f>IF(COUNT(Q29,P29)=2,Q29-P29,"")</f>
        <v>4624</v>
      </c>
      <c r="R113" s="37" t="n">
        <f>IF(COUNT(R29)=1,R29,"")</f>
        <v>-1223</v>
      </c>
      <c r="S113" s="37" t="n">
        <f>IF(COUNT(S29,R29)=2,S29-R29,"")</f>
        <v>2292</v>
      </c>
      <c r="T113" s="37" t="n">
        <f>IF(COUNT(T29,S29)=2,T29-S29,"")</f>
        <v>4054</v>
      </c>
      <c r="U113" s="37" t="n">
        <f>IF(COUNT(U29,T29)=2,U29-T29,"")</f>
        <v>3165</v>
      </c>
      <c r="V113" s="37" t="n">
        <f>IF(COUNT(V29)=1,V29,"")</f>
        <v>813</v>
      </c>
      <c r="W113" s="37" t="n">
        <f>IF(COUNT(W29,V29)=2,W29-V29,"")</f>
        <v>2050</v>
      </c>
      <c r="X113" s="37" t="n">
        <f>IF(COUNT(X29,W29)=2,X29-W29,"")</f>
        <v>2546</v>
      </c>
      <c r="Y113" s="37" t="n">
        <f>IF(COUNT(Y29,X29)=2,Y29-X29,"")</f>
        <v>4288</v>
      </c>
      <c r="Z113" s="37" t="n">
        <f>IF(COUNT(Z29)=1,Z29,"")</f>
        <v>1096</v>
      </c>
      <c r="AA113" s="37" t="n">
        <f>IF(COUNT(AA29,Z29)=2,AA29-Z29,"")</f>
        <v>7006</v>
      </c>
    </row>
    <row r="114" ht="24" customHeight="1">
      <c r="A114" s="34" t="str">
        <v>Total PP&amp;E cash payments: discrete quarter</v>
      </c>
      <c r="B114" s="35"/>
      <c r="C114" s="37" t="n">
        <f>IF(COUNT(C106)=1,C106,"")</f>
        <v>9625</v>
      </c>
      <c r="D114" s="37" t="n">
        <f>IF(COUNT(D106)=1,D106,"")</f>
        <v>11778</v>
      </c>
      <c r="E114" s="37" t="n">
        <f>IF(COUNT(E106)=1,E106,"")</f>
        <v>15181</v>
      </c>
      <c r="F114" s="37" t="n">
        <f>IF(COUNT(F106)=1,F106,"")</f>
        <v>16213</v>
      </c>
      <c r="G114" s="37" t="n">
        <f>IF(COUNT(G106)=1,G106,"")</f>
        <v>14453</v>
      </c>
      <c r="H114" s="37" t="n">
        <f>IF(COUNT(H106)=1,H106,"")</f>
        <v>20329</v>
      </c>
      <c r="I114" s="37" t="n">
        <f>IF(COUNT(I106)=1,I106,"")</f>
        <v>25050</v>
      </c>
      <c r="J114" s="37" t="n">
        <f>IF(COUNT(J106)=1,J106,"")</f>
        <v>25750</v>
      </c>
      <c r="K114" s="37" t="n">
        <f>IF(COUNT(K106)=1,K106,"")</f>
        <v>25122</v>
      </c>
      <c r="L114" s="37" t="n">
        <f>IF(COUNT(L106)=1,L106,"")</f>
        <v>17672</v>
      </c>
      <c r="M114" s="36"/>
      <c r="N114" s="37" t="n">
        <f>IF(COUNT(N106)=1,N106,"")</f>
        <v>7413</v>
      </c>
      <c r="O114" s="37" t="n">
        <f>IF(COUNT(O106,N106)=2,O106-N106,"")</f>
        <v>5888</v>
      </c>
      <c r="P114" s="37" t="n">
        <f>IF(COUNT(P106,O106)=2,P106-O106,"")</f>
        <v>5753</v>
      </c>
      <c r="Q114" s="37" t="n">
        <f>IF(COUNT(Q106,P106)=2,Q106-P106,"")</f>
        <v>6696</v>
      </c>
      <c r="R114" s="37" t="n">
        <f>IF(COUNT(R106)=1,R106,"")</f>
        <v>5970</v>
      </c>
      <c r="S114" s="37" t="n">
        <f>IF(COUNT(S106,R106)=2,S106-R106,"")</f>
        <v>5682</v>
      </c>
      <c r="T114" s="37" t="n">
        <f>IF(COUNT(T106,S106)=2,T106-S106,"")</f>
        <v>6458</v>
      </c>
      <c r="U114" s="37" t="n">
        <f>IF(COUNT(U106,T106)=2,U106-T106,"")</f>
        <v>7012</v>
      </c>
      <c r="V114" s="37" t="n">
        <f>IF(COUNT(V106)=1,V106,"")</f>
        <v>6203</v>
      </c>
      <c r="W114" s="37" t="n">
        <f>IF(COUNT(W106,V106)=2,W106-V106,"")</f>
        <v>4492</v>
      </c>
      <c r="X114" s="37" t="n">
        <f>IF(COUNT(X106,W106)=2,X106-W106,"")</f>
        <v>2956</v>
      </c>
      <c r="Y114" s="37" t="n">
        <f>IF(COUNT(Y106,X106)=2,Y106-X106,"")</f>
        <v>4021</v>
      </c>
      <c r="Z114" s="37" t="n">
        <f>IF(COUNT(Z106)=1,Z106,"")</f>
        <v>4963</v>
      </c>
      <c r="AA114" s="37" t="n">
        <f>IF(COUNT(AA106,Z106)=2,AA106-Z106,"")</f>
        <v>2652</v>
      </c>
    </row>
    <row r="115" ht="24" customHeight="1">
      <c r="A115" s="34" t="str">
        <v>Free cash flow: discrete quarter</v>
      </c>
      <c r="B115" s="35"/>
      <c r="C115" s="37" t="n">
        <f>IF(COUNT(C107)=1,C107,"")</f>
        <v>12183</v>
      </c>
      <c r="D115" s="37" t="n">
        <f>IF(COUNT(D107)=1,D107,"")</f>
        <v>10332</v>
      </c>
      <c r="E115" s="37" t="n">
        <f>IF(COUNT(E107)=1,E107,"")</f>
        <v>14251</v>
      </c>
      <c r="F115" s="37" t="n">
        <f>IF(COUNT(F107)=1,F107,"")</f>
        <v>16932</v>
      </c>
      <c r="G115" s="37" t="n">
        <f>IF(COUNT(G107)=1,G107,"")</f>
        <v>20931</v>
      </c>
      <c r="H115" s="37" t="n">
        <f>IF(COUNT(H107)=1,H107,"")</f>
        <v>9662</v>
      </c>
      <c r="I115" s="37" t="n">
        <f>IF(COUNT(I107)=1,I107,"")</f>
        <v>-9617</v>
      </c>
      <c r="J115" s="37" t="n">
        <f>IF(COUNT(J107)=1,J107,"")</f>
        <v>-14279</v>
      </c>
      <c r="K115" s="37" t="n">
        <f>IF(COUNT(K107)=1,K107,"")</f>
        <v>-16834</v>
      </c>
      <c r="L115" s="37" t="n">
        <f>IF(COUNT(L107)=1,L107,"")</f>
        <v>-7975</v>
      </c>
      <c r="M115" s="36"/>
      <c r="N115" s="37" t="n">
        <f>IF(COUNT(N107)=1,N107,"")</f>
        <v>-9198</v>
      </c>
      <c r="O115" s="37" t="n">
        <f>IF(COUNT(O107,N107)=2,O107-N107,"")</f>
        <v>-3080</v>
      </c>
      <c r="P115" s="37" t="n">
        <f>IF(COUNT(P107,O107)=2,P107-O107,"")</f>
        <v>71</v>
      </c>
      <c r="Q115" s="37" t="n">
        <f>IF(COUNT(Q107,P107)=2,Q107-P107,"")</f>
        <v>-2072</v>
      </c>
      <c r="R115" s="37" t="n">
        <f>IF(COUNT(R107)=1,R107,"")</f>
        <v>-7193</v>
      </c>
      <c r="S115" s="37" t="n">
        <f>IF(COUNT(S107,R107)=2,S107-R107,"")</f>
        <v>-3390</v>
      </c>
      <c r="T115" s="37" t="n">
        <f>IF(COUNT(T107,S107)=2,T107-S107,"")</f>
        <v>-2404</v>
      </c>
      <c r="U115" s="37" t="n">
        <f>IF(COUNT(U107,T107)=2,U107-T107,"")</f>
        <v>-3847</v>
      </c>
      <c r="V115" s="37" t="n">
        <f>IF(COUNT(V107)=1,V107,"")</f>
        <v>-5390</v>
      </c>
      <c r="W115" s="37" t="n">
        <f>IF(COUNT(W107,V107)=2,W107-V107,"")</f>
        <v>-2442</v>
      </c>
      <c r="X115" s="37" t="n">
        <f>IF(COUNT(X107,W107)=2,X107-W107,"")</f>
        <v>-410</v>
      </c>
      <c r="Y115" s="37" t="n">
        <f>IF(COUNT(Y107,X107)=2,Y107-X107,"")</f>
        <v>267</v>
      </c>
      <c r="Z115" s="37" t="n">
        <f>IF(COUNT(Z107)=1,Z107,"")</f>
        <v>-3867</v>
      </c>
      <c r="AA115" s="37" t="n">
        <f>IF(COUNT(AA107,Z107)=2,AA107-Z107,"")</f>
        <v>4354</v>
      </c>
    </row>
    <row r="116" ht="8"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22" customHeight="1">
      <c r="A117" s="21" t="str">
        <v>Company-disclosed free cash flow reconciliations</v>
      </c>
      <c r="B117" s="21" t="str">
        <v>Company-disclosed free cash flow reconciliations</v>
      </c>
      <c r="C117" s="21" t="str">
        <v>Company-disclosed free cash flow reconciliations</v>
      </c>
      <c r="D117" s="21" t="str">
        <v>Company-disclosed free cash flow reconciliations</v>
      </c>
      <c r="E117" s="21" t="str">
        <v>Company-disclosed free cash flow reconciliations</v>
      </c>
      <c r="F117" s="21" t="str">
        <v>Company-disclosed free cash flow reconciliations</v>
      </c>
      <c r="G117" s="21" t="str">
        <v>Company-disclosed free cash flow reconciliations</v>
      </c>
      <c r="H117" s="21" t="str">
        <v>Company-disclosed free cash flow reconciliations</v>
      </c>
      <c r="I117" s="21" t="str">
        <v>Company-disclosed free cash flow reconciliations</v>
      </c>
      <c r="J117" s="21" t="str">
        <v>Company-disclosed free cash flow reconciliations</v>
      </c>
      <c r="K117" s="21" t="str">
        <v>Company-disclosed free cash flow reconciliations</v>
      </c>
      <c r="L117" s="21" t="str">
        <v>Company-disclosed free cash flow reconciliations</v>
      </c>
      <c r="M117" s="21" t="str">
        <v>Company-disclosed free cash flow reconciliations</v>
      </c>
      <c r="N117" s="21" t="str">
        <v>Company-disclosed free cash flow reconciliations</v>
      </c>
      <c r="O117" s="21" t="str">
        <v>Company-disclosed free cash flow reconciliations</v>
      </c>
      <c r="P117" s="21" t="str">
        <v>Company-disclosed free cash flow reconciliations</v>
      </c>
      <c r="Q117" s="21" t="str">
        <v>Company-disclosed free cash flow reconciliations</v>
      </c>
      <c r="R117" s="21" t="str">
        <v>Company-disclosed free cash flow reconciliations</v>
      </c>
      <c r="S117" s="21" t="str">
        <v>Company-disclosed free cash flow reconciliations</v>
      </c>
      <c r="T117" s="21" t="str">
        <v>Company-disclosed free cash flow reconciliations</v>
      </c>
      <c r="U117" s="21" t="str">
        <v>Company-disclosed free cash flow reconciliations</v>
      </c>
      <c r="V117" s="21" t="str">
        <v>Company-disclosed free cash flow reconciliations</v>
      </c>
      <c r="W117" s="21" t="str">
        <v>Company-disclosed free cash flow reconciliations</v>
      </c>
      <c r="X117" s="21" t="str">
        <v>Company-disclosed free cash flow reconciliations</v>
      </c>
      <c r="Y117" s="21" t="str">
        <v>Company-disclosed free cash flow reconciliations</v>
      </c>
      <c r="Z117" s="21" t="str">
        <v>Company-disclosed free cash flow reconciliations</v>
      </c>
      <c r="AA117" s="21" t="str">
        <v>Company-disclosed free cash flow reconciliations</v>
      </c>
    </row>
    <row r="118" ht="22" customHeight="1">
      <c r="A118" s="49" t="str">
        <v>Net cash provided by (used for) operating activities</v>
      </c>
      <c r="B118" s="3"/>
      <c r="C118" s="51"/>
      <c r="D118" s="51"/>
      <c r="E118" s="51"/>
      <c r="F118" s="51"/>
      <c r="G118" s="51"/>
      <c r="H118" s="51"/>
      <c r="I118" s="51"/>
      <c r="J118" s="51"/>
      <c r="K118" s="51" t="n">
        <v>8288</v>
      </c>
      <c r="L118" s="51" t="n">
        <v>9697</v>
      </c>
      <c r="M118" s="51"/>
      <c r="N118" s="51" t="n">
        <v>-1785</v>
      </c>
      <c r="O118" s="51"/>
      <c r="P118" s="51"/>
      <c r="Q118" s="51"/>
      <c r="R118" s="51" t="n">
        <v>-1223</v>
      </c>
      <c r="S118" s="51"/>
      <c r="T118" s="51"/>
      <c r="U118" s="51"/>
      <c r="V118" s="51"/>
      <c r="W118" s="51"/>
      <c r="X118" s="51"/>
      <c r="Y118" s="51"/>
      <c r="Z118" s="51"/>
      <c r="AA118" s="51"/>
    </row>
    <row r="119" ht="22" customHeight="1">
      <c r="A119" s="49" t="str">
        <v>Net cash provided by operating activities</v>
      </c>
      <c r="B119" s="3"/>
      <c r="C119" s="51"/>
      <c r="D119" s="51"/>
      <c r="E119" s="51"/>
      <c r="F119" s="51"/>
      <c r="G119" s="51"/>
      <c r="H119" s="51"/>
      <c r="I119" s="51" t="n">
        <v>15433</v>
      </c>
      <c r="J119" s="51" t="n">
        <v>11471</v>
      </c>
      <c r="K119" s="51"/>
      <c r="L119" s="51"/>
      <c r="M119" s="51"/>
      <c r="N119" s="51"/>
      <c r="O119" s="51"/>
      <c r="P119" s="51"/>
      <c r="Q119" s="51"/>
      <c r="R119" s="51"/>
      <c r="S119" s="51"/>
      <c r="T119" s="51"/>
      <c r="U119" s="51"/>
      <c r="V119" s="51"/>
      <c r="W119" s="51"/>
      <c r="X119" s="51"/>
      <c r="Y119" s="51"/>
      <c r="Z119" s="51"/>
      <c r="AA119" s="51"/>
    </row>
    <row r="120" ht="22" customHeight="1">
      <c r="A120" s="49" t="str">
        <v>Net additions to property, plant, and equipment</v>
      </c>
      <c r="B120" s="3"/>
      <c r="C120" s="51"/>
      <c r="D120" s="51"/>
      <c r="E120" s="51"/>
      <c r="F120" s="51"/>
      <c r="G120" s="51"/>
      <c r="H120" s="51"/>
      <c r="I120" s="51" t="n">
        <v>-23724</v>
      </c>
      <c r="J120" s="51" t="n">
        <v>-23228</v>
      </c>
      <c r="K120" s="51"/>
      <c r="L120" s="51"/>
      <c r="M120" s="51"/>
      <c r="N120" s="51" t="n">
        <v>-6964</v>
      </c>
      <c r="O120" s="51"/>
      <c r="P120" s="51"/>
      <c r="Q120" s="51"/>
      <c r="R120" s="51" t="n">
        <v>-4955</v>
      </c>
      <c r="S120" s="51"/>
      <c r="T120" s="51"/>
      <c r="U120" s="51"/>
      <c r="V120" s="51"/>
      <c r="W120" s="51"/>
      <c r="X120" s="51"/>
      <c r="Y120" s="51"/>
      <c r="Z120" s="51"/>
      <c r="AA120" s="51"/>
    </row>
    <row r="121" ht="22" customHeight="1">
      <c r="A121" s="49" t="str">
        <v>Net purchase of property, plant, and equipment</v>
      </c>
      <c r="B121" s="3"/>
      <c r="C121" s="51"/>
      <c r="D121" s="51"/>
      <c r="E121" s="51"/>
      <c r="F121" s="51"/>
      <c r="G121" s="51"/>
      <c r="H121" s="51"/>
      <c r="I121" s="51"/>
      <c r="J121" s="51"/>
      <c r="K121" s="51" t="n">
        <v>-10515</v>
      </c>
      <c r="L121" s="51"/>
      <c r="M121" s="51"/>
      <c r="N121" s="51"/>
      <c r="O121" s="51"/>
      <c r="P121" s="51"/>
      <c r="Q121" s="51"/>
      <c r="R121" s="51"/>
      <c r="S121" s="51"/>
      <c r="T121" s="51"/>
      <c r="U121" s="51"/>
      <c r="V121" s="51"/>
      <c r="W121" s="51"/>
      <c r="X121" s="51"/>
      <c r="Y121" s="51"/>
      <c r="Z121" s="51"/>
      <c r="AA121" s="51"/>
    </row>
    <row r="122" ht="36" customHeight="1">
      <c r="A122" s="49" t="str">
        <v>Net purchase of property, plant and equipment (net capital expenditures)</v>
      </c>
      <c r="B122" s="3"/>
      <c r="C122" s="51"/>
      <c r="D122" s="51"/>
      <c r="E122" s="51"/>
      <c r="F122" s="51"/>
      <c r="G122" s="51"/>
      <c r="H122" s="51"/>
      <c r="I122" s="51"/>
      <c r="J122" s="51"/>
      <c r="K122" s="51"/>
      <c r="L122" s="51" t="n">
        <v>-11204</v>
      </c>
      <c r="M122" s="51"/>
      <c r="N122" s="51"/>
      <c r="O122" s="51"/>
      <c r="P122" s="51"/>
      <c r="Q122" s="51"/>
      <c r="R122" s="51"/>
      <c r="S122" s="51"/>
      <c r="T122" s="51"/>
      <c r="U122" s="51"/>
      <c r="V122" s="51"/>
      <c r="W122" s="51"/>
      <c r="X122" s="51"/>
      <c r="Y122" s="51"/>
      <c r="Z122" s="51"/>
      <c r="AA122" s="51"/>
    </row>
    <row r="123" ht="22" customHeight="1">
      <c r="A123" s="49" t="str">
        <v>Payments on finance leases</v>
      </c>
      <c r="B123" s="3"/>
      <c r="C123" s="51"/>
      <c r="D123" s="51"/>
      <c r="E123" s="51"/>
      <c r="F123" s="51"/>
      <c r="G123" s="51"/>
      <c r="H123" s="51"/>
      <c r="I123" s="51" t="n">
        <v>-345</v>
      </c>
      <c r="J123" s="51" t="n">
        <v>-96</v>
      </c>
      <c r="K123" s="51" t="n">
        <v>-1</v>
      </c>
      <c r="L123" s="51" t="n">
        <v>-105</v>
      </c>
      <c r="M123" s="51"/>
      <c r="N123" s="51" t="n">
        <v>-15</v>
      </c>
      <c r="O123" s="51"/>
      <c r="P123" s="51"/>
      <c r="Q123" s="51"/>
      <c r="R123" s="51" t="n">
        <v>0</v>
      </c>
      <c r="S123" s="51"/>
      <c r="T123" s="51"/>
      <c r="U123" s="51"/>
      <c r="V123" s="51"/>
      <c r="W123" s="51"/>
      <c r="X123" s="51"/>
      <c r="Y123" s="51"/>
      <c r="Z123" s="51"/>
      <c r="AA123" s="51"/>
    </row>
    <row r="124" ht="22" customHeight="1">
      <c r="A124" s="49" t="str">
        <v>Sale of equity investment</v>
      </c>
      <c r="B124" s="3"/>
      <c r="C124" s="51"/>
      <c r="D124" s="51"/>
      <c r="E124" s="51"/>
      <c r="F124" s="51"/>
      <c r="G124" s="51"/>
      <c r="H124" s="51"/>
      <c r="I124" s="51" t="n">
        <v>4561</v>
      </c>
      <c r="J124" s="51" t="n">
        <v>0</v>
      </c>
      <c r="K124" s="51" t="n">
        <v>0</v>
      </c>
      <c r="L124" s="51"/>
      <c r="M124" s="51"/>
      <c r="N124" s="51"/>
      <c r="O124" s="51"/>
      <c r="P124" s="51"/>
      <c r="Q124" s="51"/>
      <c r="R124" s="51"/>
      <c r="S124" s="51"/>
      <c r="T124" s="51"/>
      <c r="U124" s="51"/>
      <c r="V124" s="51"/>
      <c r="W124" s="51"/>
      <c r="X124" s="51"/>
      <c r="Y124" s="51"/>
      <c r="Z124" s="51"/>
      <c r="AA124" s="51"/>
    </row>
    <row r="125" ht="22" customHeight="1">
      <c r="A125" s="49" t="str">
        <v>Adjusted free cash flow</v>
      </c>
      <c r="B125" s="3"/>
      <c r="C125" s="51"/>
      <c r="D125" s="51"/>
      <c r="E125" s="51"/>
      <c r="F125" s="51"/>
      <c r="G125" s="51"/>
      <c r="H125" s="51"/>
      <c r="I125" s="51" t="n">
        <v>-4075</v>
      </c>
      <c r="J125" s="51" t="n">
        <v>-11853</v>
      </c>
      <c r="K125" s="51" t="n">
        <v>-2228</v>
      </c>
      <c r="L125" s="51" t="n">
        <v>-1612</v>
      </c>
      <c r="M125" s="51"/>
      <c r="N125" s="51" t="n">
        <v>-8764</v>
      </c>
      <c r="O125" s="51"/>
      <c r="P125" s="51"/>
      <c r="Q125" s="51"/>
      <c r="R125" s="51" t="n">
        <v>-6178</v>
      </c>
      <c r="S125" s="51"/>
      <c r="T125" s="51"/>
      <c r="U125" s="51"/>
      <c r="V125" s="51"/>
      <c r="W125" s="51"/>
      <c r="X125" s="51"/>
      <c r="Y125" s="51"/>
      <c r="Z125" s="51"/>
      <c r="AA125" s="51"/>
    </row>
    <row r="126" ht="22" customHeight="1">
      <c r="A126" s="49" t="str">
        <v>Net cash used for investing activities</v>
      </c>
      <c r="B126" s="3"/>
      <c r="C126" s="51"/>
      <c r="D126" s="51"/>
      <c r="E126" s="51"/>
      <c r="F126" s="51"/>
      <c r="G126" s="51"/>
      <c r="H126" s="51"/>
      <c r="I126" s="51" t="n">
        <v>-10477</v>
      </c>
      <c r="J126" s="51" t="n">
        <v>-24041</v>
      </c>
      <c r="K126" s="51"/>
      <c r="L126" s="51"/>
      <c r="M126" s="51"/>
      <c r="N126" s="51"/>
      <c r="O126" s="51"/>
      <c r="P126" s="51"/>
      <c r="Q126" s="51"/>
      <c r="R126" s="51"/>
      <c r="S126" s="51"/>
      <c r="T126" s="51"/>
      <c r="U126" s="51"/>
      <c r="V126" s="51"/>
      <c r="W126" s="51"/>
      <c r="X126" s="51"/>
      <c r="Y126" s="51"/>
      <c r="Z126" s="51"/>
      <c r="AA126" s="51"/>
    </row>
    <row r="127" ht="22" customHeight="1">
      <c r="A127" s="49" t="str">
        <v>Net cash provided by (used for) investing activities</v>
      </c>
      <c r="B127" s="3"/>
      <c r="C127" s="51"/>
      <c r="D127" s="51"/>
      <c r="E127" s="51"/>
      <c r="F127" s="51"/>
      <c r="G127" s="51"/>
      <c r="H127" s="51"/>
      <c r="I127" s="51"/>
      <c r="J127" s="51"/>
      <c r="K127" s="51" t="n">
        <v>-18256</v>
      </c>
      <c r="L127" s="51" t="n">
        <v>-14821</v>
      </c>
      <c r="M127" s="51"/>
      <c r="N127" s="51" t="n">
        <v>-8521</v>
      </c>
      <c r="O127" s="51"/>
      <c r="P127" s="51"/>
      <c r="Q127" s="51"/>
      <c r="R127" s="51" t="n">
        <v>-2563</v>
      </c>
      <c r="S127" s="51"/>
      <c r="T127" s="51"/>
      <c r="U127" s="51"/>
      <c r="V127" s="51"/>
      <c r="W127" s="51"/>
      <c r="X127" s="51"/>
      <c r="Y127" s="51"/>
      <c r="Z127" s="51"/>
      <c r="AA127" s="51"/>
    </row>
    <row r="128" ht="22" customHeight="1">
      <c r="A128" s="49" t="str">
        <v>Net cash provided by (used for) financing activities</v>
      </c>
      <c r="B128" s="3"/>
      <c r="C128" s="51"/>
      <c r="D128" s="51"/>
      <c r="E128" s="51"/>
      <c r="F128" s="51"/>
      <c r="G128" s="51"/>
      <c r="H128" s="51"/>
      <c r="I128" s="51" t="n">
        <v>1361</v>
      </c>
      <c r="J128" s="51" t="n">
        <v>8505</v>
      </c>
      <c r="K128" s="51" t="n">
        <v>11138</v>
      </c>
      <c r="L128" s="51" t="n">
        <v>11587</v>
      </c>
      <c r="M128" s="51"/>
      <c r="N128" s="51" t="n">
        <v>7394</v>
      </c>
      <c r="O128" s="51"/>
      <c r="P128" s="51"/>
      <c r="Q128" s="51"/>
      <c r="R128" s="51" t="n">
        <v>3630</v>
      </c>
      <c r="S128" s="51"/>
      <c r="T128" s="51"/>
      <c r="U128" s="51"/>
      <c r="V128" s="51"/>
      <c r="W128" s="51"/>
      <c r="X128" s="51"/>
      <c r="Y128" s="51"/>
      <c r="Z128" s="51"/>
      <c r="AA128" s="51"/>
    </row>
    <row r="129" ht="22" customHeight="1">
      <c r="A129" s="49" t="str">
        <v>Net cash provided by operating activities</v>
      </c>
      <c r="B129" s="3"/>
      <c r="C129" s="51" t="n">
        <v>21808</v>
      </c>
      <c r="D129" s="51" t="n">
        <v>22110</v>
      </c>
      <c r="E129" s="51" t="n">
        <v>29432</v>
      </c>
      <c r="F129" s="51" t="n">
        <v>33145</v>
      </c>
      <c r="G129" s="51" t="n">
        <v>35384</v>
      </c>
      <c r="H129" s="51" t="n">
        <v>29991</v>
      </c>
      <c r="I129" s="51"/>
      <c r="J129" s="51"/>
      <c r="K129" s="51"/>
      <c r="L129" s="51"/>
      <c r="M129" s="51"/>
      <c r="N129" s="51"/>
      <c r="O129" s="51"/>
      <c r="P129" s="51"/>
      <c r="Q129" s="51"/>
      <c r="R129" s="51"/>
      <c r="S129" s="51"/>
      <c r="T129" s="51"/>
      <c r="U129" s="51"/>
      <c r="V129" s="51"/>
      <c r="W129" s="51"/>
      <c r="X129" s="51"/>
      <c r="Y129" s="51"/>
      <c r="Z129" s="51"/>
      <c r="AA129" s="51"/>
    </row>
    <row r="130" ht="22" customHeight="1">
      <c r="A130" s="49" t="str">
        <v>Additions to property, plant and equipment</v>
      </c>
      <c r="B130" s="3"/>
      <c r="C130" s="51" t="n">
        <v>-9625</v>
      </c>
      <c r="D130" s="51" t="n">
        <v>-11778</v>
      </c>
      <c r="E130" s="51" t="n">
        <v>-15181</v>
      </c>
      <c r="F130" s="51" t="n">
        <v>-16213</v>
      </c>
      <c r="G130" s="51" t="n">
        <v>-14259</v>
      </c>
      <c r="H130" s="51" t="n">
        <v>-18733</v>
      </c>
      <c r="I130" s="51"/>
      <c r="J130" s="51"/>
      <c r="K130" s="51"/>
      <c r="L130" s="51"/>
      <c r="M130" s="51"/>
      <c r="N130" s="51"/>
      <c r="O130" s="51"/>
      <c r="P130" s="51"/>
      <c r="Q130" s="51"/>
      <c r="R130" s="51"/>
      <c r="S130" s="51"/>
      <c r="T130" s="51"/>
      <c r="U130" s="51"/>
      <c r="V130" s="51"/>
      <c r="W130" s="51"/>
      <c r="X130" s="51"/>
      <c r="Y130" s="51"/>
      <c r="Z130" s="51"/>
      <c r="AA130" s="51"/>
    </row>
    <row r="131" ht="22" customHeight="1">
      <c r="A131" s="49" t="str">
        <v>Free cash flow</v>
      </c>
      <c r="B131" s="3"/>
      <c r="C131" s="51" t="n">
        <v>12183</v>
      </c>
      <c r="D131" s="51" t="n">
        <v>10332</v>
      </c>
      <c r="E131" s="51" t="n">
        <v>14251</v>
      </c>
      <c r="F131" s="51" t="n">
        <v>16932</v>
      </c>
      <c r="G131" s="51" t="n">
        <v>21125</v>
      </c>
      <c r="H131" s="51" t="n">
        <v>11258</v>
      </c>
      <c r="I131" s="51"/>
      <c r="J131" s="51"/>
      <c r="K131" s="51"/>
      <c r="L131" s="51"/>
      <c r="M131" s="51"/>
      <c r="N131" s="51"/>
      <c r="O131" s="51"/>
      <c r="P131" s="51"/>
      <c r="Q131" s="51"/>
      <c r="R131" s="51"/>
      <c r="S131" s="51"/>
      <c r="T131" s="51"/>
      <c r="U131" s="51"/>
      <c r="V131" s="51"/>
      <c r="W131" s="51"/>
      <c r="X131" s="51"/>
      <c r="Y131" s="51"/>
      <c r="Z131" s="51"/>
      <c r="AA131" s="51"/>
    </row>
    <row r="132" ht="22" customHeight="1">
      <c r="A132" s="49" t="str">
        <v>Net cash used for investing activities</v>
      </c>
      <c r="B132" s="3"/>
      <c r="C132" s="51" t="n">
        <v>-25817</v>
      </c>
      <c r="D132" s="51" t="n">
        <v>-15762</v>
      </c>
      <c r="E132" s="51" t="n">
        <v>-11239</v>
      </c>
      <c r="F132" s="51" t="n">
        <v>-14405</v>
      </c>
      <c r="G132" s="51" t="n">
        <v>-20796</v>
      </c>
      <c r="H132" s="51" t="n">
        <v>-25167</v>
      </c>
      <c r="I132" s="51"/>
      <c r="J132" s="51"/>
      <c r="K132" s="51"/>
      <c r="L132" s="51"/>
      <c r="M132" s="51"/>
      <c r="N132" s="51"/>
      <c r="O132" s="51"/>
      <c r="P132" s="51"/>
      <c r="Q132" s="51"/>
      <c r="R132" s="51"/>
      <c r="S132" s="51"/>
      <c r="T132" s="51"/>
      <c r="U132" s="51"/>
      <c r="V132" s="51"/>
      <c r="W132" s="51"/>
      <c r="X132" s="51"/>
      <c r="Y132" s="51"/>
      <c r="Z132" s="51"/>
      <c r="AA132" s="51"/>
    </row>
    <row r="133" ht="22" customHeight="1">
      <c r="A133" s="49" t="str">
        <v>Net cash provided by (used for) financing activities</v>
      </c>
      <c r="B133" s="3"/>
      <c r="C133" s="51" t="n">
        <v>-5739</v>
      </c>
      <c r="D133" s="51" t="n">
        <v>-8475</v>
      </c>
      <c r="E133" s="51" t="n">
        <v>-18607</v>
      </c>
      <c r="F133" s="51" t="n">
        <v>-17565</v>
      </c>
      <c r="G133" s="51" t="n">
        <v>-12917</v>
      </c>
      <c r="H133" s="51" t="n">
        <v>-5862</v>
      </c>
      <c r="I133" s="51"/>
      <c r="J133" s="51"/>
      <c r="K133" s="51"/>
      <c r="L133" s="51"/>
      <c r="M133" s="51"/>
      <c r="N133" s="51"/>
      <c r="O133" s="51"/>
      <c r="P133" s="51"/>
      <c r="Q133" s="51"/>
      <c r="R133" s="51"/>
      <c r="S133" s="51"/>
      <c r="T133" s="51"/>
      <c r="U133" s="51"/>
      <c r="V133" s="51"/>
      <c r="W133" s="51"/>
      <c r="X133" s="51"/>
      <c r="Y133" s="51"/>
      <c r="Z133" s="51"/>
      <c r="AA133" s="51"/>
    </row>
    <row r="134" ht="8"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22"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sheetData>
  <mergeCells>
    <mergeCell ref="A1:AA1"/>
    <mergeCell ref="A2:AA2"/>
    <mergeCell ref="A7:AA7"/>
    <mergeCell ref="A8:AA8"/>
    <mergeCell ref="A31:AA31"/>
    <mergeCell ref="A55:AA55"/>
    <mergeCell ref="A79:AA79"/>
    <mergeCell ref="A85:AA85"/>
    <mergeCell ref="A92:AA92"/>
    <mergeCell ref="A93:AA93"/>
    <mergeCell ref="A102:AA102"/>
    <mergeCell ref="A103:AA103"/>
    <mergeCell ref="A111:AA111"/>
    <mergeCell ref="A112:AA112"/>
    <mergeCell ref="A117:AA117"/>
  </mergeCells>
  <conditionalFormatting sqref="C94:AA94">
    <cfRule type="cellIs" dxfId="13" priority="1" operator="notBetween">
      <formula>-0.01</formula>
      <formula>0.01</formula>
    </cfRule>
  </conditionalFormatting>
  <conditionalFormatting sqref="C95:AA95">
    <cfRule type="cellIs" dxfId="14" priority="2" operator="notBetween">
      <formula>-0.01</formula>
      <formula>0.01</formula>
    </cfRule>
  </conditionalFormatting>
  <conditionalFormatting sqref="C96:AA96">
    <cfRule type="cellIs" dxfId="15" priority="3" operator="notBetween">
      <formula>-0.01</formula>
      <formula>0.01</formula>
    </cfRule>
  </conditionalFormatting>
  <conditionalFormatting sqref="C97:AA97">
    <cfRule type="cellIs" dxfId="16" priority="4" operator="notBetween">
      <formula>-0.01</formula>
      <formula>0.01</formula>
    </cfRule>
  </conditionalFormatting>
  <conditionalFormatting sqref="C98:AA98">
    <cfRule type="cellIs" dxfId="17" priority="5" operator="notBetween">
      <formula>-0.01</formula>
      <formula>0.01</formula>
    </cfRule>
  </conditionalFormatting>
  <conditionalFormatting sqref="C99:AA99">
    <cfRule type="cellIs" dxfId="18" priority="6" operator="notBetween">
      <formula>-0.01</formula>
      <formula>0.01</formula>
    </cfRule>
  </conditionalFormatting>
  <conditionalFormatting sqref="C100:AA100">
    <cfRule type="cellIs" dxfId="19" priority="7" operator="notBetween">
      <formula>-0.01</formula>
      <formula>0.01</formula>
    </cfRule>
  </conditionalFormatting>
  <pageMargins left="0.7" right="0.7" top="0.75" bottom="0.75" header="0.3" footer="0.3"/>
</worksheet>
</file>

<file path=xl/worksheets/sheet5.xml><?xml version="1.0" encoding="utf-8"?>
<x:worksheet xmlns:x="http://schemas.openxmlformats.org/spreadsheetml/2006/main">
  <x:sheetPr>
    <x:tabColor rgb="FF8064A2"/>
  </x:sheetPr>
  <x:sheetViews>
    <x:sheetView showGridLines="0" workbookViewId="0">
      <x:pane xSplit="2" ySplit="5" topLeftCell="C6" activePane="bottomRight" state="frozen"/>
    </x:sheetView>
  </x:sheetViews>
  <x:sheetFormatPr defaultRowHeight="15"/>
  <x:cols>
    <x:col min="1" max="1" width="60" hidden="0" customWidth="1"/>
    <x:col min="2" max="2" width="2.200000047683716" hidden="0" customWidth="1"/>
    <x:col min="3" max="3" width="12.199999809265137" hidden="0" customWidth="1"/>
    <x:col min="4" max="4" width="12.199999809265137" hidden="0" customWidth="1"/>
    <x:col min="5" max="5" width="12.199999809265137" hidden="0" customWidth="1"/>
    <x:col min="6" max="6" width="12.199999809265137" hidden="0" customWidth="1"/>
    <x:col min="7" max="7" width="12.199999809265137" hidden="0" customWidth="1"/>
    <x:col min="8" max="8" width="12.199999809265137" hidden="0" customWidth="1"/>
    <x:col min="9" max="9" width="12.199999809265137" hidden="0" customWidth="1"/>
    <x:col min="10" max="10" width="12.199999809265137" hidden="0" customWidth="1"/>
    <x:col min="11" max="11" width="12.199999809265137" hidden="0" customWidth="1"/>
    <x:col min="12" max="12" width="12.199999809265137" hidden="0" customWidth="1"/>
    <x:col min="13" max="13" width="3" hidden="0" customWidth="1"/>
    <x:col min="14" max="14" width="12.199999809265137" hidden="0" customWidth="1"/>
    <x:col min="15" max="15" width="12.199999809265137" hidden="0" customWidth="1"/>
    <x:col min="16" max="16" width="12.199999809265137" hidden="0" customWidth="1"/>
    <x:col min="17" max="17" width="12.199999809265137" hidden="0" customWidth="1"/>
    <x:col min="18" max="18" width="12.199999809265137" hidden="0" customWidth="1"/>
    <x:col min="19" max="19" width="12.199999809265137" hidden="0" customWidth="1"/>
    <x:col min="20" max="20" width="12.199999809265137" hidden="0" customWidth="1"/>
    <x:col min="21" max="21" width="12.199999809265137" hidden="0" customWidth="1"/>
    <x:col min="22" max="22" width="12.199999809265137" hidden="0" customWidth="1"/>
    <x:col min="23" max="23" width="12.199999809265137" hidden="0" customWidth="1"/>
    <x:col min="24" max="24" width="12.199999809265137" hidden="0" customWidth="1"/>
    <x:col min="25" max="25" width="12.199999809265137" hidden="0" customWidth="1"/>
    <x:col min="26" max="26" width="12.199999809265137" hidden="0" customWidth="1"/>
    <x:col min="27" max="27" width="12.199999809265137" hidden="0" customWidth="1"/>
  </x:cols>
  <x:sheetData>
    <x:row r="1" ht="28" customHeight="1">
      <x:c r="A1" s="6" t="str">
        <x:v>Intel Corporation — Derivate Metrics</x:v>
      </x:c>
      <x:c r="B1" s="6" t="str">
        <x:v>Intel Corporation — Financial Metrics</x:v>
      </x:c>
      <x:c r="C1" s="6" t="str">
        <x:v>Intel Corporation — Financial Metrics</x:v>
      </x:c>
      <x:c r="D1" s="6" t="str">
        <x:v>Intel Corporation — Financial Metrics</x:v>
      </x:c>
      <x:c r="E1" s="6" t="str">
        <x:v>Intel Corporation — Financial Metrics</x:v>
      </x:c>
      <x:c r="F1" s="6" t="str">
        <x:v>Intel Corporation — Financial Metrics</x:v>
      </x:c>
      <x:c r="G1" s="6" t="str">
        <x:v>Intel Corporation — Financial Metrics</x:v>
      </x:c>
      <x:c r="H1" s="6" t="str">
        <x:v>Intel Corporation — Financial Metrics</x:v>
      </x:c>
      <x:c r="I1" s="6" t="str">
        <x:v>Intel Corporation — Financial Metrics</x:v>
      </x:c>
      <x:c r="J1" s="6" t="str">
        <x:v>Intel Corporation — Financial Metrics</x:v>
      </x:c>
      <x:c r="K1" s="6" t="str">
        <x:v>Intel Corporation — Financial Metrics</x:v>
      </x:c>
      <x:c r="L1" s="6" t="str">
        <x:v>Intel Corporation — Financial Metrics</x:v>
      </x:c>
      <x:c r="M1" s="6" t="str">
        <x:v>Intel Corporation — Financial Metrics</x:v>
      </x:c>
      <x:c r="N1" s="6" t="str">
        <x:v>Intel Corporation — Financial Metrics</x:v>
      </x:c>
      <x:c r="O1" s="6" t="str">
        <x:v>Intel Corporation — Financial Metrics</x:v>
      </x:c>
      <x:c r="P1" s="6" t="str">
        <x:v>Intel Corporation — Financial Metrics</x:v>
      </x:c>
      <x:c r="Q1" s="6" t="str">
        <x:v>Intel Corporation — Financial Metrics</x:v>
      </x:c>
      <x:c r="R1" s="6" t="str">
        <x:v>Intel Corporation — Financial Metrics</x:v>
      </x:c>
      <x:c r="S1" s="6" t="str">
        <x:v>Intel Corporation — Financial Metrics</x:v>
      </x:c>
      <x:c r="T1" s="6" t="str">
        <x:v>Intel Corporation — Financial Metrics</x:v>
      </x:c>
      <x:c r="U1" s="6" t="str">
        <x:v>Intel Corporation — Financial Metrics</x:v>
      </x:c>
      <x:c r="V1" s="6" t="str">
        <x:v>Intel Corporation — Financial Metrics</x:v>
      </x:c>
      <x:c r="W1" s="6" t="str">
        <x:v>Intel Corporation — Financial Metrics</x:v>
      </x:c>
      <x:c r="X1" s="6" t="str">
        <x:v>Intel Corporation — Financial Metrics</x:v>
      </x:c>
      <x:c r="Y1" s="6" t="str">
        <x:v>Intel Corporation — Financial Metrics</x:v>
      </x:c>
      <x:c r="Z1" s="6" t="str">
        <x:v>Intel Corporation — Financial Metrics</x:v>
      </x:c>
      <x:c r="AA1" s="6" t="str">
        <x:v>Intel Corporation — Financial Metrics</x:v>
      </x:c>
    </x:row>
    <x:row r="2" ht="18" customHeight="1">
      <x:c r="A2" s="7" t="str">
        <x:v>USD million unless stated otherwise; annual FY2016–FY2025; latest interim 27 June 2026.</x:v>
      </x:c>
      <x:c r="B2" s="7"/>
      <x:c r="C2" s="7"/>
      <x:c r="D2" s="7"/>
      <x:c r="E2" s="7"/>
      <x:c r="F2" s="7"/>
      <x:c r="G2" s="7"/>
      <x:c r="H2" s="7"/>
      <x:c r="I2" s="7"/>
      <x:c r="J2" s="7"/>
      <x:c r="K2" s="7"/>
      <x:c r="L2" s="7"/>
      <x:c r="M2" s="7"/>
      <x:c r="N2" s="7"/>
      <x:c r="O2" s="7"/>
      <x:c r="P2" s="7"/>
      <x:c r="Q2" s="7"/>
      <x:c r="R2" s="7"/>
      <x:c r="S2" s="7"/>
      <x:c r="T2" s="7"/>
      <x:c r="U2" s="7"/>
      <x:c r="V2" s="7"/>
      <x:c r="W2" s="7"/>
      <x:c r="X2" s="7"/>
      <x:c r="Y2" s="7"/>
      <x:c r="Z2" s="7"/>
      <x:c r="AA2" s="7"/>
    </x:row>
    <x:row r="3" ht="24" customHeight="1">
      <x:c r="A3" s="8" t="str">
        <x:v>Metric</x:v>
      </x:c>
      <x:c r="B3" s="3"/>
      <x:c r="C3" s="11" t="str">
        <x:v>FY2016</x:v>
      </x:c>
      <x:c r="D3" s="11" t="str">
        <x:v>FY2017</x:v>
      </x:c>
      <x:c r="E3" s="11" t="str">
        <x:v>FY2018</x:v>
      </x:c>
      <x:c r="F3" s="11" t="str">
        <x:v>FY2019</x:v>
      </x:c>
      <x:c r="G3" s="11" t="str">
        <x:v>FY2020</x:v>
      </x:c>
      <x:c r="H3" s="11" t="str">
        <x:v>FY2021</x:v>
      </x:c>
      <x:c r="I3" s="11" t="str">
        <x:v>FY2022</x:v>
      </x:c>
      <x:c r="J3" s="11" t="str">
        <x:v>FY2023</x:v>
      </x:c>
      <x:c r="K3" s="11" t="str">
        <x:v>FY2024</x:v>
      </x:c>
      <x:c r="L3" s="11" t="str">
        <x:v>FY2025</x:v>
      </x:c>
      <x:c r="M3" s="3"/>
      <x:c r="N3" s="19" t="str">
        <x:v>1Q2023</x:v>
      </x:c>
      <x:c r="O3" s="19" t="str">
        <x:v>2Q2023</x:v>
      </x:c>
      <x:c r="P3" s="19" t="str">
        <x:v>3Q2023</x:v>
      </x:c>
      <x:c r="Q3" s="19" t="str">
        <x:v>4Q2023</x:v>
      </x:c>
      <x:c r="R3" s="19" t="str">
        <x:v>1Q2024</x:v>
      </x:c>
      <x:c r="S3" s="19" t="str">
        <x:v>2Q2024</x:v>
      </x:c>
      <x:c r="T3" s="19" t="str">
        <x:v>3Q2024</x:v>
      </x:c>
      <x:c r="U3" s="19" t="str">
        <x:v>4Q2024</x:v>
      </x:c>
      <x:c r="V3" s="19" t="str">
        <x:v>1Q2025</x:v>
      </x:c>
      <x:c r="W3" s="19" t="str">
        <x:v>2Q2025</x:v>
      </x:c>
      <x:c r="X3" s="19" t="str">
        <x:v>3Q2025</x:v>
      </x:c>
      <x:c r="Y3" s="19" t="str">
        <x:v>4Q2025</x:v>
      </x:c>
      <x:c r="Z3" s="19" t="str">
        <x:v>1Q2026</x:v>
      </x:c>
      <x:c r="AA3" s="19" t="str">
        <x:v>2Q2026</x:v>
      </x:c>
    </x:row>
    <x:row r="4" ht="18" customHeight="1">
      <x:c r="A4" s="3"/>
      <x:c r="B4" s="3"/>
      <x:c r="C4" s="15" t="d">
        <x:v>2016-12-31T00:00:00.000Z</x:v>
      </x:c>
      <x:c r="D4" s="15" t="d">
        <x:v>2017-12-30T00:00:00.000Z</x:v>
      </x:c>
      <x:c r="E4" s="15" t="d">
        <x:v>2018-12-29T00:00:00.000Z</x:v>
      </x:c>
      <x:c r="F4" s="15" t="d">
        <x:v>2019-12-28T00:00:00.000Z</x:v>
      </x:c>
      <x:c r="G4" s="15" t="d">
        <x:v>2020-12-26T00:00:00.000Z</x:v>
      </x:c>
      <x:c r="H4" s="15" t="d">
        <x:v>2021-12-25T00:00:00.000Z</x:v>
      </x:c>
      <x:c r="I4" s="15" t="d">
        <x:v>2022-12-31T00:00:00.000Z</x:v>
      </x:c>
      <x:c r="J4" s="15" t="d">
        <x:v>2023-12-30T00:00:00.000Z</x:v>
      </x:c>
      <x:c r="K4" s="15" t="d">
        <x:v>2024-12-28T00:00:00.000Z</x:v>
      </x:c>
      <x:c r="L4" s="15" t="d">
        <x:v>2025-12-27T00:00:00.000Z</x:v>
      </x:c>
      <x:c r="M4" s="3"/>
      <x:c r="N4" s="15" t="d">
        <x:v>2023-04-01T00:00:00.000Z</x:v>
      </x:c>
      <x:c r="O4" s="15" t="d">
        <x:v>2023-07-01T00:00:00.000Z</x:v>
      </x:c>
      <x:c r="P4" s="15" t="d">
        <x:v>2023-09-30T00:00:00.000Z</x:v>
      </x:c>
      <x:c r="Q4" s="15" t="d">
        <x:v>2023-12-30T00:00:00.000Z</x:v>
      </x:c>
      <x:c r="R4" s="15" t="d">
        <x:v>2024-03-30T00:00:00.000Z</x:v>
      </x:c>
      <x:c r="S4" s="15" t="d">
        <x:v>2024-06-29T00:00:00.000Z</x:v>
      </x:c>
      <x:c r="T4" s="15" t="d">
        <x:v>2024-09-28T00:00:00.000Z</x:v>
      </x:c>
      <x:c r="U4" s="15" t="d">
        <x:v>2024-12-28T00:00:00.000Z</x:v>
      </x:c>
      <x:c r="V4" s="15" t="d">
        <x:v>2025-03-29T00:00:00.000Z</x:v>
      </x:c>
      <x:c r="W4" s="15" t="d">
        <x:v>2025-06-28T00:00:00.000Z</x:v>
      </x:c>
      <x:c r="X4" s="15" t="d">
        <x:v>2025-09-27T00:00:00.000Z</x:v>
      </x:c>
      <x:c r="Y4" s="15" t="d">
        <x:v>2025-12-27T00:00:00.000Z</x:v>
      </x:c>
      <x:c r="Z4" s="15" t="d">
        <x:v>2026-03-28T00:00:00.000Z</x:v>
      </x:c>
      <x:c r="AA4" s="15" t="d">
        <x:v>2026-06-27T00:00:00.000Z</x:v>
      </x:c>
    </x:row>
    <x:row r="5" ht="18" customHeight="1">
      <x:c r="A5" s="7" t="str">
        <x:v>Recent columns: TTM flows; period-end stocks</x:v>
      </x:c>
      <x:c r="B5" s="3"/>
      <x:c r="C5" s="16" t="str">
        <x:v>Annual</x:v>
      </x:c>
      <x:c r="D5" s="16" t="str">
        <x:v>Annual</x:v>
      </x:c>
      <x:c r="E5" s="16" t="str">
        <x:v>Annual</x:v>
      </x:c>
      <x:c r="F5" s="16" t="str">
        <x:v>Annual</x:v>
      </x:c>
      <x:c r="G5" s="16" t="str">
        <x:v>Annual</x:v>
      </x:c>
      <x:c r="H5" s="16" t="str">
        <x:v>Annual</x:v>
      </x:c>
      <x:c r="I5" s="16" t="str">
        <x:v>Annual</x:v>
      </x:c>
      <x:c r="J5" s="16" t="str">
        <x:v>Annual</x:v>
      </x:c>
      <x:c r="K5" s="16" t="str">
        <x:v>Annual</x:v>
      </x:c>
      <x:c r="L5" s="16" t="str">
        <x:v>Annual</x:v>
      </x:c>
      <x:c r="M5" s="3"/>
      <x:c r="N5" s="16" t="str">
        <x:v>TTM / instant</x:v>
      </x:c>
      <x:c r="O5" s="16" t="str">
        <x:v>TTM / instant</x:v>
      </x:c>
      <x:c r="P5" s="16" t="str">
        <x:v>TTM / instant</x:v>
      </x:c>
      <x:c r="Q5" s="16" t="str">
        <x:v>TTM / instant</x:v>
      </x:c>
      <x:c r="R5" s="16" t="str">
        <x:v>TTM / instant</x:v>
      </x:c>
      <x:c r="S5" s="16" t="str">
        <x:v>TTM / instant</x:v>
      </x:c>
      <x:c r="T5" s="16" t="str">
        <x:v>TTM / instant</x:v>
      </x:c>
      <x:c r="U5" s="16" t="str">
        <x:v>TTM / instant</x:v>
      </x:c>
      <x:c r="V5" s="16" t="str">
        <x:v>TTM / instant</x:v>
      </x:c>
      <x:c r="W5" s="16" t="str">
        <x:v>TTM / instant</x:v>
      </x:c>
      <x:c r="X5" s="16" t="str">
        <x:v>TTM / instant</x:v>
      </x:c>
      <x:c r="Y5" s="16" t="str">
        <x:v>TTM / instant</x:v>
      </x:c>
      <x:c r="Z5" s="16" t="str">
        <x:v>TTM / instant</x:v>
      </x:c>
      <x:c r="AA5" s="16" t="str">
        <x:v>TTM / instant</x:v>
      </x:c>
    </x:row>
    <x:row r="6" ht="22" customHeight="1">
      <x:c r="A6" s="3"/>
      <x:c r="B6" s="3"/>
      <x:c r="C6" s="3"/>
      <x:c r="D6" s="3"/>
      <x:c r="E6" s="3"/>
      <x:c r="F6" s="3"/>
      <x:c r="G6" s="3"/>
      <x:c r="H6" s="3"/>
      <x:c r="I6" s="3"/>
      <x:c r="J6" s="3"/>
      <x:c r="K6" s="3"/>
      <x:c r="L6" s="3"/>
      <x:c r="M6" s="3"/>
      <x:c r="N6" s="3"/>
      <x:c r="O6" s="3"/>
      <x:c r="P6" s="3"/>
      <x:c r="Q6" s="3"/>
      <x:c r="R6" s="3"/>
      <x:c r="S6" s="3"/>
      <x:c r="T6" s="3"/>
      <x:c r="U6" s="3"/>
      <x:c r="V6" s="3"/>
      <x:c r="W6" s="3"/>
      <x:c r="X6" s="3"/>
      <x:c r="Y6" s="3"/>
      <x:c r="Z6" s="3"/>
      <x:c r="AA6" s="3"/>
    </x:row>
    <x:row r="7" ht="22" customHeight="1">
      <x:c r="A7" s="21" t="str">
        <x:v>Profitability and cash conversion</x:v>
      </x:c>
      <x:c r="B7" s="21" t="str">
        <x:v>Profitability and cash conversion</x:v>
      </x:c>
      <x:c r="C7" s="21" t="str">
        <x:v>Profitability and cash conversion</x:v>
      </x:c>
      <x:c r="D7" s="21" t="str">
        <x:v>Profitability and cash conversion</x:v>
      </x:c>
      <x:c r="E7" s="21" t="str">
        <x:v>Profitability and cash conversion</x:v>
      </x:c>
      <x:c r="F7" s="21" t="str">
        <x:v>Profitability and cash conversion</x:v>
      </x:c>
      <x:c r="G7" s="21" t="str">
        <x:v>Profitability and cash conversion</x:v>
      </x:c>
      <x:c r="H7" s="21" t="str">
        <x:v>Profitability and cash conversion</x:v>
      </x:c>
      <x:c r="I7" s="21" t="str">
        <x:v>Profitability and cash conversion</x:v>
      </x:c>
      <x:c r="J7" s="21" t="str">
        <x:v>Profitability and cash conversion</x:v>
      </x:c>
      <x:c r="K7" s="21" t="str">
        <x:v>Profitability and cash conversion</x:v>
      </x:c>
      <x:c r="L7" s="21" t="str">
        <x:v>Profitability and cash conversion</x:v>
      </x:c>
      <x:c r="M7" s="21" t="str">
        <x:v>Profitability and cash conversion</x:v>
      </x:c>
      <x:c r="N7" s="21" t="str">
        <x:v>Profitability and cash conversion</x:v>
      </x:c>
      <x:c r="O7" s="21" t="str">
        <x:v>Profitability and cash conversion</x:v>
      </x:c>
      <x:c r="P7" s="21" t="str">
        <x:v>Profitability and cash conversion</x:v>
      </x:c>
      <x:c r="Q7" s="21" t="str">
        <x:v>Profitability and cash conversion</x:v>
      </x:c>
      <x:c r="R7" s="21" t="str">
        <x:v>Profitability and cash conversion</x:v>
      </x:c>
      <x:c r="S7" s="21" t="str">
        <x:v>Profitability and cash conversion</x:v>
      </x:c>
      <x:c r="T7" s="21" t="str">
        <x:v>Profitability and cash conversion</x:v>
      </x:c>
      <x:c r="U7" s="21" t="str">
        <x:v>Profitability and cash conversion</x:v>
      </x:c>
      <x:c r="V7" s="21" t="str">
        <x:v>Profitability and cash conversion</x:v>
      </x:c>
      <x:c r="W7" s="21" t="str">
        <x:v>Profitability and cash conversion</x:v>
      </x:c>
      <x:c r="X7" s="21" t="str">
        <x:v>Profitability and cash conversion</x:v>
      </x:c>
      <x:c r="Y7" s="21" t="str">
        <x:v>Profitability and cash conversion</x:v>
      </x:c>
      <x:c r="Z7" s="21" t="str">
        <x:v>Profitability and cash conversion</x:v>
      </x:c>
      <x:c r="AA7" s="21" t="str">
        <x:v>Profitability and cash conversion</x:v>
      </x:c>
    </x:row>
    <x:row r="8" ht="18" customHeight="1">
      <x:c r="A8" s="22" t="str">
        <x:v>Annual figures at left; recent columns use TTM flows. OCF/net income is n.m. when net income is &lt;=1% of matching revenue.</x:v>
      </x:c>
      <x:c r="B8" s="22" t="str">
        <x:v>Annual figures at left; recent columns use TTM flows. OCF/net income is n.m. when net income is &lt;=1% of matching revenue.</x:v>
      </x:c>
      <x:c r="C8" s="22" t="str">
        <x:v>Annual figures at left; recent columns use TTM flows. OCF/net income is n.m. when net income is &lt;=1% of matching revenue.</x:v>
      </x:c>
      <x:c r="D8" s="22" t="str">
        <x:v>Annual figures at left; recent columns use TTM flows. OCF/net income is n.m. when net income is &lt;=1% of matching revenue.</x:v>
      </x:c>
      <x:c r="E8" s="22" t="str">
        <x:v>Annual figures at left; recent columns use TTM flows. OCF/net income is n.m. when net income is &lt;=1% of matching revenue.</x:v>
      </x:c>
      <x:c r="F8" s="22" t="str">
        <x:v>Annual figures at left; recent columns use TTM flows. OCF/net income is n.m. when net income is &lt;=1% of matching revenue.</x:v>
      </x:c>
      <x:c r="G8" s="22" t="str">
        <x:v>Annual figures at left; recent columns use TTM flows. OCF/net income is n.m. when net income is &lt;=1% of matching revenue.</x:v>
      </x:c>
      <x:c r="H8" s="22" t="str">
        <x:v>Annual figures at left; recent columns use TTM flows. OCF/net income is n.m. when net income is &lt;=1% of matching revenue.</x:v>
      </x:c>
      <x:c r="I8" s="22" t="str">
        <x:v>Annual figures at left; recent columns use TTM flows. OCF/net income is n.m. when net income is &lt;=1% of matching revenue.</x:v>
      </x:c>
      <x:c r="J8" s="22" t="str">
        <x:v>Annual figures at left; recent columns use TTM flows. OCF/net income is n.m. when net income is &lt;=1% of matching revenue.</x:v>
      </x:c>
      <x:c r="K8" s="22" t="str">
        <x:v>Annual figures at left; recent columns use TTM flows. OCF/net income is n.m. when net income is &lt;=1% of matching revenue.</x:v>
      </x:c>
      <x:c r="L8" s="22" t="str">
        <x:v>Annual figures at left; recent columns use TTM flows. OCF/net income is n.m. when net income is &lt;=1% of matching revenue.</x:v>
      </x:c>
      <x:c r="M8" s="22" t="str">
        <x:v>Annual figures at left; recent columns use TTM flows. OCF/net income is n.m. when net income is &lt;=1% of matching revenue.</x:v>
      </x:c>
      <x:c r="N8" s="22" t="str">
        <x:v>Annual figures at left; recent columns use TTM flows. OCF/net income is n.m. when net income is &lt;=1% of matching revenue.</x:v>
      </x:c>
      <x:c r="O8" s="22" t="str">
        <x:v>Annual figures at left; recent columns use TTM flows. OCF/net income is n.m. when net income is &lt;=1% of matching revenue.</x:v>
      </x:c>
      <x:c r="P8" s="22" t="str">
        <x:v>Annual figures at left; recent columns use TTM flows. OCF/net income is n.m. when net income is &lt;=1% of matching revenue.</x:v>
      </x:c>
      <x:c r="Q8" s="22" t="str">
        <x:v>Annual figures at left; recent columns use TTM flows. OCF/net income is n.m. when net income is &lt;=1% of matching revenue.</x:v>
      </x:c>
      <x:c r="R8" s="22" t="str">
        <x:v>Annual figures at left; recent columns use TTM flows. OCF/net income is n.m. when net income is &lt;=1% of matching revenue.</x:v>
      </x:c>
      <x:c r="S8" s="22" t="str">
        <x:v>Annual figures at left; recent columns use TTM flows. OCF/net income is n.m. when net income is &lt;=1% of matching revenue.</x:v>
      </x:c>
      <x:c r="T8" s="22" t="str">
        <x:v>Annual figures at left; recent columns use TTM flows. OCF/net income is n.m. when net income is &lt;=1% of matching revenue.</x:v>
      </x:c>
      <x:c r="U8" s="22" t="str">
        <x:v>Annual figures at left; recent columns use TTM flows. OCF/net income is n.m. when net income is &lt;=1% of matching revenue.</x:v>
      </x:c>
      <x:c r="V8" s="22" t="str">
        <x:v>Annual figures at left; recent columns use TTM flows. OCF/net income is n.m. when net income is &lt;=1% of matching revenue.</x:v>
      </x:c>
      <x:c r="W8" s="22" t="str">
        <x:v>Annual figures at left; recent columns use TTM flows. OCF/net income is n.m. when net income is &lt;=1% of matching revenue.</x:v>
      </x:c>
      <x:c r="X8" s="22" t="str">
        <x:v>Annual figures at left; recent columns use TTM flows. OCF/net income is n.m. when net income is &lt;=1% of matching revenue.</x:v>
      </x:c>
      <x:c r="Y8" s="22" t="str">
        <x:v>Annual figures at left; recent columns use TTM flows. OCF/net income is n.m. when net income is &lt;=1% of matching revenue.</x:v>
      </x:c>
      <x:c r="Z8" s="22" t="str">
        <x:v>Annual figures at left; recent columns use TTM flows. OCF/net income is n.m. when net income is &lt;=1% of matching revenue.</x:v>
      </x:c>
      <x:c r="AA8" s="22" t="str">
        <x:v>Annual figures at left; recent columns use TTM flows. OCF/net income is n.m. when net income is &lt;=1% of matching revenue.</x:v>
      </x:c>
    </x:row>
    <x:row r="9" ht="22" customHeight="1">
      <x:c r="A9" s="49" t="str">
        <x:v>Net revenue (annual / TTM)</x:v>
      </x:c>
      <x:c r="B9" s="3"/>
      <x:c r="C9" s="61" t="n">
        <x:f>IF(COUNT('Income Statement'!C9)=1,'Income Statement'!C9,"")</x:f>
        <x:v>59387</x:v>
      </x:c>
      <x:c r="D9" s="61" t="n">
        <x:f>IF(COUNT('Income Statement'!D9)=1,'Income Statement'!D9,"")</x:f>
        <x:v>62761</x:v>
      </x:c>
      <x:c r="E9" s="61" t="n">
        <x:f>IF(COUNT('Income Statement'!E9)=1,'Income Statement'!E9,"")</x:f>
        <x:v>70848</x:v>
      </x:c>
      <x:c r="F9" s="61" t="n">
        <x:f>IF(COUNT('Income Statement'!F9)=1,'Income Statement'!F9,"")</x:f>
        <x:v>71965</x:v>
      </x:c>
      <x:c r="G9" s="61" t="n">
        <x:f>IF(COUNT('Income Statement'!G9)=1,'Income Statement'!G9,"")</x:f>
        <x:v>77867</x:v>
      </x:c>
      <x:c r="H9" s="61" t="n">
        <x:f>IF(COUNT('Income Statement'!H9)=1,'Income Statement'!H9,"")</x:f>
        <x:v>79024</x:v>
      </x:c>
      <x:c r="I9" s="61" t="n">
        <x:f>IF(COUNT('Income Statement'!I9)=1,'Income Statement'!I9,"")</x:f>
        <x:v>63054</x:v>
      </x:c>
      <x:c r="J9" s="61" t="n">
        <x:f>IF(COUNT('Income Statement'!J9)=1,'Income Statement'!J9,"")</x:f>
        <x:v>54228</x:v>
      </x:c>
      <x:c r="K9" s="61" t="n">
        <x:f>IF(COUNT('Income Statement'!K9)=1,'Income Statement'!K9,"")</x:f>
        <x:v>53101</x:v>
      </x:c>
      <x:c r="L9" s="61" t="n">
        <x:f>IF(COUNT('Income Statement'!L9)=1,'Income Statement'!L9,"")</x:f>
        <x:v>52853</x:v>
      </x:c>
      <x:c r="M9" s="51"/>
      <x:c r="N9" s="75"/>
      <x:c r="O9" s="75"/>
      <x:c r="P9" s="75"/>
      <x:c r="Q9" s="75"/>
      <x:c r="R9" s="61" t="n">
        <x:f>IF(COUNT('Income Statement'!J9,'Income Statement'!R9,'Income Statement'!N9)=3,('Income Statement'!J9+'Income Statement'!R9-'Income Statement'!N9),"")</x:f>
        <x:v>55237</x:v>
      </x:c>
      <x:c r="S9" s="61" t="n">
        <x:f>IF(COUNT('Income Statement'!J9,'Income Statement'!R9,'Income Statement'!S9,'Income Statement'!N9,'Income Statement'!O9)=5,('Income Statement'!J9+'Income Statement'!R9+'Income Statement'!S9-'Income Statement'!N9-'Income Statement'!O9),"")</x:f>
        <x:v>55121</x:v>
      </x:c>
      <x:c r="T9" s="61" t="n">
        <x:f>IF(COUNT('Income Statement'!J9,'Income Statement'!R9,'Income Statement'!S9,'Income Statement'!T9,'Income Statement'!N9,'Income Statement'!O9,'Income Statement'!P9)=7,('Income Statement'!J9+'Income Statement'!R9+'Income Statement'!S9+'Income Statement'!T9-'Income Statement'!N9-'Income Statement'!O9-'Income Statement'!P9),"")</x:f>
        <x:v>54247</x:v>
      </x:c>
      <x:c r="U9" s="61" t="n">
        <x:f>IF(COUNT('Income Statement'!J9,'Income Statement'!R9,'Income Statement'!S9,'Income Statement'!T9,'Income Statement'!U9,'Income Statement'!N9,'Income Statement'!O9,'Income Statement'!P9,'Income Statement'!Q9)=9,('Income Statement'!J9+'Income Statement'!R9+'Income Statement'!S9+'Income Statement'!T9+'Income Statement'!U9-'Income Statement'!N9-'Income Statement'!O9-'Income Statement'!P9-'Income Statement'!Q9),"")</x:f>
        <x:v>53101</x:v>
      </x:c>
      <x:c r="V9" s="61" t="n">
        <x:f>IF(COUNT('Income Statement'!K9,'Income Statement'!V9,'Income Statement'!R9)=3,('Income Statement'!K9+'Income Statement'!V9-'Income Statement'!R9),"")</x:f>
        <x:v>53044</x:v>
      </x:c>
      <x:c r="W9" s="61" t="n">
        <x:f>IF(COUNT('Income Statement'!K9,'Income Statement'!V9,'Income Statement'!W9,'Income Statement'!R9,'Income Statement'!S9)=5,('Income Statement'!K9+'Income Statement'!V9+'Income Statement'!W9-'Income Statement'!R9-'Income Statement'!S9),"")</x:f>
        <x:v>53070</x:v>
      </x:c>
      <x:c r="X9" s="61" t="n">
        <x:f>IF(COUNT('Income Statement'!K9,'Income Statement'!V9,'Income Statement'!W9,'Income Statement'!X9,'Income Statement'!R9,'Income Statement'!S9,'Income Statement'!T9)=7,('Income Statement'!K9+'Income Statement'!V9+'Income Statement'!W9+'Income Statement'!X9-'Income Statement'!R9-'Income Statement'!S9-'Income Statement'!T9),"")</x:f>
        <x:v>53439</x:v>
      </x:c>
      <x:c r="Y9" s="61" t="n">
        <x:f>IF(COUNT('Income Statement'!K9,'Income Statement'!V9,'Income Statement'!W9,'Income Statement'!X9,'Income Statement'!Y9,'Income Statement'!R9,'Income Statement'!S9,'Income Statement'!T9,'Income Statement'!U9)=9,('Income Statement'!K9+'Income Statement'!V9+'Income Statement'!W9+'Income Statement'!X9+'Income Statement'!Y9-'Income Statement'!R9-'Income Statement'!S9-'Income Statement'!T9-'Income Statement'!U9),"")</x:f>
        <x:v>52853</x:v>
      </x:c>
      <x:c r="Z9" s="61" t="n">
        <x:f>IF(COUNT('Income Statement'!L9,'Income Statement'!Z9,'Income Statement'!V9)=3,('Income Statement'!L9+'Income Statement'!Z9-'Income Statement'!V9),"")</x:f>
        <x:v>53763</x:v>
      </x:c>
      <x:c r="AA9" s="61" t="n">
        <x:f>IF(COUNT('Income Statement'!L9,'Income Statement'!Z9,'Income Statement'!AA9,'Income Statement'!V9,'Income Statement'!W9)=5,('Income Statement'!L9+'Income Statement'!Z9+'Income Statement'!AA9-'Income Statement'!V9-'Income Statement'!W9),"")</x:f>
        <x:v>57032</x:v>
      </x:c>
    </x:row>
    <x:row r="10" ht="20" customHeight="1">
      <x:c r="A10" s="40" t="str">
        <x:v>Gross margin</x:v>
      </x:c>
      <x:c r="B10" s="3"/>
      <x:c r="C10" s="76" t="n">
        <x:f>IF(COUNT('Income Statement'!C12,'Income Statement'!C9)=2,'Income Statement'!C12/'Income Statement'!C9,"")</x:f>
        <x:v>0.6094094667183053</x:v>
      </x:c>
      <x:c r="D10" s="76" t="n">
        <x:f>IF(COUNT('Income Statement'!D12,'Income Statement'!D9)=2,'Income Statement'!D12/'Income Statement'!D9,"")</x:f>
        <x:v>0.6225044215356671</x:v>
      </x:c>
      <x:c r="E10" s="76" t="n">
        <x:f>IF(COUNT('Income Statement'!E12,'Income Statement'!E9)=2,'Income Statement'!E12/'Income Statement'!E9,"")</x:f>
        <x:v>0.6173357046070461</x:v>
      </x:c>
      <x:c r="F10" s="76" t="n">
        <x:f>IF(COUNT('Income Statement'!F12,'Income Statement'!F9)=2,'Income Statement'!F12/'Income Statement'!F9,"")</x:f>
        <x:v>0.5855624261793928</x:v>
      </x:c>
      <x:c r="G10" s="76" t="n">
        <x:f>IF(COUNT('Income Statement'!G12,'Income Statement'!G9)=2,'Income Statement'!G12/'Income Statement'!G9,"")</x:f>
        <x:v>0.5600832188218372</x:v>
      </x:c>
      <x:c r="H10" s="76" t="n">
        <x:f>IF(COUNT('Income Statement'!H12,'Income Statement'!H9)=2,'Income Statement'!H12/'Income Statement'!H9,"")</x:f>
        <x:v>0.5544518121077141</x:v>
      </x:c>
      <x:c r="I10" s="76" t="n">
        <x:f>IF(COUNT('Income Statement'!I12,'Income Statement'!I9)=2,'Income Statement'!I12/'Income Statement'!I9,"")</x:f>
        <x:v>0.426079233672725</x:v>
      </x:c>
      <x:c r="J10" s="76" t="n">
        <x:f>IF(COUNT('Income Statement'!J12,'Income Statement'!J9)=2,'Income Statement'!J12/'Income Statement'!J9,"")</x:f>
        <x:v>0.400365125027661</x:v>
      </x:c>
      <x:c r="K10" s="76" t="n">
        <x:f>IF(COUNT('Income Statement'!K12,'Income Statement'!K9)=2,'Income Statement'!K12/'Income Statement'!K9,"")</x:f>
        <x:v>0.32664168283083184</x:v>
      </x:c>
      <x:c r="L10" s="76" t="n">
        <x:f>IF(COUNT('Income Statement'!L12,'Income Statement'!L9)=2,'Income Statement'!L12/'Income Statement'!L9,"")</x:f>
        <x:v>0.34766238434904356</x:v>
      </x:c>
      <x:c r="M10" s="44"/>
      <x:c r="N10" s="45"/>
      <x:c r="O10" s="45"/>
      <x:c r="P10" s="45"/>
      <x:c r="Q10" s="45"/>
      <x:c r="R10" s="76" t="n">
        <x:f>IF(COUNT('Income Statement'!J12,'Income Statement'!R12,'Income Statement'!N12,'Income Statement'!J9,'Income Statement'!R9,'Income Statement'!N9)=6,('Income Statement'!J12+'Income Statement'!R12-'Income Statement'!N12)/('Income Statement'!J9+'Income Statement'!R9-'Income Statement'!N9),"")</x:f>
        <x:v>0.4149392617267411</x:v>
      </x:c>
      <x:c r="S10" s="76" t="n">
        <x:f>IF(COUNT('Income Statement'!J12,'Income Statement'!R12,'Income Statement'!S12,'Income Statement'!N12,'Income Statement'!O12,'Income Statement'!J9,'Income Statement'!R9,'Income Statement'!S9,'Income Statement'!N9,'Income Statement'!O9)=10,('Income Statement'!J12+'Income Statement'!R12+'Income Statement'!S12-'Income Statement'!N12-'Income Statement'!O12)/('Income Statement'!J9+'Income Statement'!R9+'Income Statement'!S9-'Income Statement'!N9-'Income Statement'!O9),"")</x:f>
        <x:v>0.41416157181473484</x:v>
      </x:c>
      <x:c r="T10" s="76" t="n">
        <x:f>IF(COUNT('Income Statement'!J12,'Income Statement'!R12,'Income Statement'!S12,'Income Statement'!T12,'Income Statement'!N12,'Income Statement'!O12,'Income Statement'!P12,'Income Statement'!J9,'Income Statement'!R9,'Income Statement'!S9,'Income Statement'!T9,'Income Statement'!N9,'Income Statement'!O9,'Income Statement'!P9)=14,('Income Statement'!J12+'Income Statement'!R12+'Income Statement'!S12+'Income Statement'!T12-'Income Statement'!N12-'Income Statement'!O12-'Income Statement'!P12)/('Income Statement'!J9+'Income Statement'!R9+'Income Statement'!S9+'Income Statement'!T9-'Income Statement'!N9-'Income Statement'!O9-'Income Statement'!P9),"")</x:f>
        <x:v>0.3467104171659262</x:v>
      </x:c>
      <x:c r="U10" s="76" t="n">
        <x:f>IF(COUNT('Income Statement'!J12,'Income Statement'!R12,'Income Statement'!S12,'Income Statement'!T12,'Income Statement'!U12,'Income Statement'!N12,'Income Statement'!O12,'Income Statement'!P12,'Income Statement'!Q12,'Income Statement'!J9,'Income Statement'!R9,'Income Statement'!S9,'Income Statement'!T9,'Income Statement'!U9,'Income Statement'!N9,'Income Statement'!O9,'Income Statement'!P9,'Income Statement'!Q9)=18,('Income Statement'!J12+'Income Statement'!R12+'Income Statement'!S12+'Income Statement'!T12+'Income Statement'!U12-'Income Statement'!N12-'Income Statement'!O12-'Income Statement'!P12-'Income Statement'!Q12)/('Income Statement'!J9+'Income Statement'!R9+'Income Statement'!S9+'Income Statement'!T9+'Income Statement'!U9-'Income Statement'!N9-'Income Statement'!O9-'Income Statement'!P9-'Income Statement'!Q9),"")</x:f>
        <x:v>0.32664168283083184</x:v>
      </x:c>
      <x:c r="V10" s="76" t="n">
        <x:f>IF(COUNT('Income Statement'!K12,'Income Statement'!V12,'Income Statement'!R12,'Income Statement'!K9,'Income Statement'!V9,'Income Statement'!R9)=6,('Income Statement'!K12+'Income Statement'!V12-'Income Statement'!R12)/('Income Statement'!K9+'Income Statement'!V9-'Income Statement'!R9),"")</x:f>
        <x:v>0.31671819621446345</x:v>
      </x:c>
      <x:c r="W10" s="76" t="n">
        <x:f>IF(COUNT('Income Statement'!K12,'Income Statement'!V12,'Income Statement'!W12,'Income Statement'!R12,'Income Statement'!S12,'Income Statement'!K9,'Income Statement'!V9,'Income Statement'!W9,'Income Statement'!R9,'Income Statement'!S9)=10,('Income Statement'!K12+'Income Statement'!V12+'Income Statement'!W12-'Income Statement'!R12-'Income Statement'!S12)/('Income Statement'!K9+'Income Statement'!V9+'Income Statement'!W9-'Income Statement'!R9-'Income Statement'!S9),"")</x:f>
        <x:v>0.29762577727529677</x:v>
      </x:c>
      <x:c r="X10" s="76" t="n">
        <x:f>IF(COUNT('Income Statement'!K12,'Income Statement'!V12,'Income Statement'!W12,'Income Statement'!X12,'Income Statement'!R12,'Income Statement'!S12,'Income Statement'!T12,'Income Statement'!K9,'Income Statement'!V9,'Income Statement'!W9,'Income Statement'!X9,'Income Statement'!R9,'Income Statement'!S9,'Income Statement'!T9)=14,('Income Statement'!K12+'Income Statement'!V12+'Income Statement'!W12+'Income Statement'!X12-'Income Statement'!R12-'Income Statement'!S12-'Income Statement'!T12)/('Income Statement'!K9+'Income Statement'!V9+'Income Statement'!W9+'Income Statement'!X9-'Income Statement'!R9-'Income Statement'!S9-'Income Statement'!T9),"")</x:f>
        <x:v>0.3558449821291566</x:v>
      </x:c>
      <x:c r="Y10" s="76" t="n">
        <x:f>IF(COUNT('Income Statement'!K12,'Income Statement'!V12,'Income Statement'!W12,'Income Statement'!X12,'Income Statement'!Y12,'Income Statement'!R12,'Income Statement'!S12,'Income Statement'!T12,'Income Statement'!U12,'Income Statement'!K9,'Income Statement'!V9,'Income Statement'!W9,'Income Statement'!X9,'Income Statement'!Y9,'Income Statement'!R9,'Income Statement'!S9,'Income Statement'!T9,'Income Statement'!U9)=18,('Income Statement'!K12+'Income Statement'!V12+'Income Statement'!W12+'Income Statement'!X12+'Income Statement'!Y12-'Income Statement'!R12-'Income Statement'!S12-'Income Statement'!T12-'Income Statement'!U12)/('Income Statement'!K9+'Income Statement'!V9+'Income Statement'!W9+'Income Statement'!X9+'Income Statement'!Y9-'Income Statement'!R9-'Income Statement'!S9-'Income Statement'!T9-'Income Statement'!U9),"")</x:f>
        <x:v>0.34766238434904356</x:v>
      </x:c>
      <x:c r="Z10" s="76" t="n">
        <x:f>IF(COUNT('Income Statement'!L12,'Income Statement'!Z12,'Income Statement'!V12,'Income Statement'!L9,'Income Statement'!Z9,'Income Statement'!V9)=6,('Income Statement'!L12+'Income Statement'!Z12-'Income Statement'!V12)/('Income Statement'!L9+'Income Statement'!Z9-'Income Statement'!V9),"")</x:f>
        <x:v>0.3543329055298253</x:v>
      </x:c>
      <x:c r="AA10" s="76" t="n">
        <x:f>IF(COUNT('Income Statement'!L12,'Income Statement'!Z12,'Income Statement'!AA12,'Income Statement'!V12,'Income Statement'!W12,'Income Statement'!L9,'Income Statement'!Z9,'Income Statement'!AA9,'Income Statement'!V9,'Income Statement'!W9)=10,('Income Statement'!L12+'Income Statement'!Z12+'Income Statement'!AA12-'Income Statement'!V12-'Income Statement'!W12)/('Income Statement'!L9+'Income Statement'!Z9+'Income Statement'!AA9-'Income Statement'!V9-'Income Statement'!W9),"")</x:f>
        <x:v>0.38604643007434425</x:v>
      </x:c>
    </x:row>
    <x:row r="11" ht="20" customHeight="1">
      <x:c r="A11" s="40" t="str">
        <x:v>Operating margin</x:v>
      </x:c>
      <x:c r="B11" s="3"/>
      <x:c r="C11" s="76" t="n">
        <x:f>IF(COUNT('Income Statement'!C22,'Income Statement'!C9)=2,'Income Statement'!C22/'Income Statement'!C9,"")</x:f>
        <x:v>0.21678145048579656</x:v>
      </x:c>
      <x:c r="D11" s="76" t="n">
        <x:f>IF(COUNT('Income Statement'!D22,'Income Statement'!D9)=2,'Income Statement'!D22/'Income Statement'!D9,"")</x:f>
        <x:v>0.285782571979414</x:v>
      </x:c>
      <x:c r="E11" s="76" t="n">
        <x:f>IF(COUNT('Income Statement'!E22,'Income Statement'!E9)=2,'Income Statement'!E22/'Income Statement'!E9,"")</x:f>
        <x:v>0.3290989159891599</x:v>
      </x:c>
      <x:c r="F11" s="76" t="n">
        <x:f>IF(COUNT('Income Statement'!F22,'Income Statement'!F9)=2,'Income Statement'!F22/'Income Statement'!F9,"")</x:f>
        <x:v>0.3061905092753422</x:v>
      </x:c>
      <x:c r="G11" s="76" t="n">
        <x:f>IF(COUNT('Income Statement'!G22,'Income Statement'!G9)=2,'Income Statement'!G22/'Income Statement'!G9,"")</x:f>
        <x:v>0.30408260238611995</x:v>
      </x:c>
      <x:c r="H11" s="76" t="n">
        <x:f>IF(COUNT('Income Statement'!H22,'Income Statement'!H9)=2,'Income Statement'!H22/'Income Statement'!H9,"")</x:f>
        <x:v>0.2462036849564689</x:v>
      </x:c>
      <x:c r="I11" s="76" t="n">
        <x:f>IF(COUNT('Income Statement'!I22,'Income Statement'!I9)=2,'Income Statement'!I22/'Income Statement'!I9,"")</x:f>
        <x:v>0.03701589114092683</x:v>
      </x:c>
      <x:c r="J11" s="76" t="n">
        <x:f>IF(COUNT('Income Statement'!J22,'Income Statement'!J9)=2,'Income Statement'!J22/'Income Statement'!J9,"")</x:f>
        <x:v>0.001714981190528878</x:v>
      </x:c>
      <x:c r="K11" s="76" t="n">
        <x:f>IF(COUNT('Income Statement'!K22,'Income Statement'!K9)=2,'Income Statement'!K22/'Income Statement'!K9,"")</x:f>
        <x:v>-0.2199205288036007</x:v>
      </x:c>
      <x:c r="L11" s="76" t="n">
        <x:f>IF(COUNT('Income Statement'!L22,'Income Statement'!L9)=2,'Income Statement'!L22/'Income Statement'!L9,"")</x:f>
        <x:v>-0.04188976973870925</x:v>
      </x:c>
      <x:c r="M11" s="44"/>
      <x:c r="N11" s="45"/>
      <x:c r="O11" s="45"/>
      <x:c r="P11" s="45"/>
      <x:c r="Q11" s="45"/>
      <x:c r="R11" s="76" t="n">
        <x:f>IF(COUNT('Income Statement'!J22,'Income Statement'!R22,'Income Statement'!N22,'Income Statement'!J9,'Income Statement'!R9,'Income Statement'!N9)=6,('Income Statement'!J22+'Income Statement'!R22-'Income Statement'!N22)/('Income Statement'!J9+'Income Statement'!R9-'Income Statement'!N9),"")</x:f>
        <x:v>0.00890707315748502</x:v>
      </x:c>
      <x:c r="S11" s="76" t="n">
        <x:f>IF(COUNT('Income Statement'!J22,'Income Statement'!R22,'Income Statement'!S22,'Income Statement'!N22,'Income Statement'!O22,'Income Statement'!J9,'Income Statement'!R9,'Income Statement'!S9,'Income Statement'!N9,'Income Statement'!O9)=10,('Income Statement'!J22+'Income Statement'!R22+'Income Statement'!S22-'Income Statement'!N22-'Income Statement'!O22)/('Income Statement'!J9+'Income Statement'!R9+'Income Statement'!S9-'Income Statement'!N9-'Income Statement'!O9),"")</x:f>
        <x:v>-0.008272709130821284</x:v>
      </x:c>
      <x:c r="T11" s="76" t="n">
        <x:f>IF(COUNT('Income Statement'!J22,'Income Statement'!R22,'Income Statement'!S22,'Income Statement'!T22,'Income Statement'!N22,'Income Statement'!O22,'Income Statement'!P22,'Income Statement'!J9,'Income Statement'!R9,'Income Statement'!S9,'Income Statement'!T9,'Income Statement'!N9,'Income Statement'!O9,'Income Statement'!P9)=14,('Income Statement'!J22+'Income Statement'!R22+'Income Statement'!S22+'Income Statement'!T22-'Income Statement'!N22-'Income Statement'!O22-'Income Statement'!P22)/('Income Statement'!J9+'Income Statement'!R9+'Income Statement'!S9+'Income Statement'!T9-'Income Statement'!N9-'Income Statement'!O9-'Income Statement'!P9),"")</x:f>
        <x:v>-0.17521706269471124</x:v>
      </x:c>
      <x:c r="U11" s="76" t="n">
        <x:f>IF(COUNT('Income Statement'!J22,'Income Statement'!R22,'Income Statement'!S22,'Income Statement'!T22,'Income Statement'!U22,'Income Statement'!N22,'Income Statement'!O22,'Income Statement'!P22,'Income Statement'!Q22,'Income Statement'!J9,'Income Statement'!R9,'Income Statement'!S9,'Income Statement'!T9,'Income Statement'!U9,'Income Statement'!N9,'Income Statement'!O9,'Income Statement'!P9,'Income Statement'!Q9)=18,('Income Statement'!J22+'Income Statement'!R22+'Income Statement'!S22+'Income Statement'!T22+'Income Statement'!U22-'Income Statement'!N22-'Income Statement'!O22-'Income Statement'!P22-'Income Statement'!Q22)/('Income Statement'!J9+'Income Statement'!R9+'Income Statement'!S9+'Income Statement'!T9+'Income Statement'!U9-'Income Statement'!N9-'Income Statement'!O9-'Income Statement'!P9-'Income Statement'!Q9),"")</x:f>
        <x:v>-0.2199205288036007</x:v>
      </x:c>
      <x:c r="V11" s="76" t="n">
        <x:f>IF(COUNT('Income Statement'!K22,'Income Statement'!V22,'Income Statement'!R22,'Income Statement'!K9,'Income Statement'!V9,'Income Statement'!R9)=6,('Income Statement'!K22+'Income Statement'!V22-'Income Statement'!R22)/('Income Statement'!K9+'Income Statement'!V9-'Income Statement'!R9),"")</x:f>
        <x:v>-0.2056783048035593</x:v>
      </x:c>
      <x:c r="W11" s="76" t="n">
        <x:f>IF(COUNT('Income Statement'!K22,'Income Statement'!V22,'Income Statement'!W22,'Income Statement'!R22,'Income Statement'!S22,'Income Statement'!K9,'Income Statement'!V9,'Income Statement'!W9,'Income Statement'!R9,'Income Statement'!S9)=10,('Income Statement'!K22+'Income Statement'!V22+'Income Statement'!W22-'Income Statement'!R22-'Income Statement'!S22)/('Income Statement'!K9+'Income Statement'!V9+'Income Statement'!W9-'Income Statement'!R9-'Income Statement'!S9),"")</x:f>
        <x:v>-0.2284153005464481</x:v>
      </x:c>
      <x:c r="X11" s="76" t="n">
        <x:f>IF(COUNT('Income Statement'!K22,'Income Statement'!V22,'Income Statement'!W22,'Income Statement'!X22,'Income Statement'!R22,'Income Statement'!S22,'Income Statement'!T22,'Income Statement'!K9,'Income Statement'!V9,'Income Statement'!W9,'Income Statement'!X9,'Income Statement'!R9,'Income Statement'!S9,'Income Statement'!T9)=14,('Income Statement'!K22+'Income Statement'!V22+'Income Statement'!W22+'Income Statement'!X22-'Income Statement'!R22-'Income Statement'!S22-'Income Statement'!T22)/('Income Statement'!K9+'Income Statement'!V9+'Income Statement'!W9+'Income Statement'!X9-'Income Statement'!R9-'Income Statement'!S9-'Income Statement'!T9),"")</x:f>
        <x:v>-0.044574187391231125</x:v>
      </x:c>
      <x:c r="Y11" s="76" t="n">
        <x:f>IF(COUNT('Income Statement'!K22,'Income Statement'!V22,'Income Statement'!W22,'Income Statement'!X22,'Income Statement'!Y22,'Income Statement'!R22,'Income Statement'!S22,'Income Statement'!T22,'Income Statement'!U22,'Income Statement'!K9,'Income Statement'!V9,'Income Statement'!W9,'Income Statement'!X9,'Income Statement'!Y9,'Income Statement'!R9,'Income Statement'!S9,'Income Statement'!T9,'Income Statement'!U9)=18,('Income Statement'!K22+'Income Statement'!V22+'Income Statement'!W22+'Income Statement'!X22+'Income Statement'!Y22-'Income Statement'!R22-'Income Statement'!S22-'Income Statement'!T22-'Income Statement'!U22)/('Income Statement'!K9+'Income Statement'!V9+'Income Statement'!W9+'Income Statement'!X9+'Income Statement'!Y9-'Income Statement'!R9-'Income Statement'!S9-'Income Statement'!T9-'Income Statement'!U9),"")</x:f>
        <x:v>-0.04188976973870925</x:v>
      </x:c>
      <x:c r="Z11" s="76" t="n">
        <x:f>IF(COUNT('Income Statement'!L22,'Income Statement'!Z22,'Income Statement'!V22,'Income Statement'!L9,'Income Statement'!Z9,'Income Statement'!V9)=6,('Income Statement'!L22+'Income Statement'!Z22-'Income Statement'!V22)/('Income Statement'!L9+'Income Statement'!Z9-'Income Statement'!V9),"")</x:f>
        <x:v>-0.09391217007979466</x:v>
      </x:c>
      <x:c r="AA11" s="76" t="n">
        <x:f>IF(COUNT('Income Statement'!L22,'Income Statement'!Z22,'Income Statement'!AA22,'Income Statement'!V22,'Income Statement'!W22,'Income Statement'!L9,'Income Statement'!Z9,'Income Statement'!AA9,'Income Statement'!V9,'Income Statement'!W9)=10,('Income Statement'!L22+'Income Statement'!Z22+'Income Statement'!AA22-'Income Statement'!V22-'Income Statement'!W22)/('Income Statement'!L9+'Income Statement'!Z9+'Income Statement'!AA9-'Income Statement'!V9-'Income Statement'!W9),"")</x:f>
        <x:v>-0.001350119231308739</x:v>
      </x:c>
    </x:row>
    <x:row r="12" ht="20" customHeight="1">
      <x:c r="A12" s="40" t="str">
        <x:v>R&amp;D / revenue</x:v>
      </x:c>
      <x:c r="B12" s="3"/>
      <x:c r="C12" s="76" t="n">
        <x:f>IF(COUNT('Income Statement'!C17,'Income Statement'!C9)=2,'Income Statement'!C17/'Income Statement'!C9,"")</x:f>
        <x:v>0.21452506440803543</x:v>
      </x:c>
      <x:c r="D12" s="76" t="n">
        <x:f>IF(COUNT('Income Statement'!D17,'Income Statement'!D9)=2,'Income Statement'!D17/'Income Statement'!D9,"")</x:f>
        <x:v>0.20869648348496678</x:v>
      </x:c>
      <x:c r="E12" s="76" t="n">
        <x:f>IF(COUNT('Income Statement'!E17,'Income Statement'!E9)=2,'Income Statement'!E17/'Income Statement'!E9,"")</x:f>
        <x:v>0.19115571364046974</x:v>
      </x:c>
      <x:c r="F12" s="76" t="n">
        <x:f>IF(COUNT('Income Statement'!F17,'Income Statement'!F9)=2,'Income Statement'!F17/'Income Statement'!F9,"")</x:f>
        <x:v>0.18567359132911831</x:v>
      </x:c>
      <x:c r="G12" s="76" t="n">
        <x:f>IF(COUNT('Income Statement'!G17,'Income Statement'!G9)=2,'Income Statement'!G17/'Income Statement'!G9,"")</x:f>
        <x:v>0.17409172049777183</x:v>
      </x:c>
      <x:c r="H12" s="76" t="n">
        <x:f>IF(COUNT('Income Statement'!H17,'Income Statement'!H9)=2,'Income Statement'!H17/'Income Statement'!H9,"")</x:f>
        <x:v>0.19222008503745697</x:v>
      </x:c>
      <x:c r="I12" s="76" t="n">
        <x:f>IF(COUNT('Income Statement'!I17,'Income Statement'!I9)=2,'Income Statement'!I17/'Income Statement'!I9,"")</x:f>
        <x:v>0.27798395026485234</x:v>
      </x:c>
      <x:c r="J12" s="76" t="n">
        <x:f>IF(COUNT('Income Statement'!J17,'Income Statement'!J9)=2,'Income Statement'!J17/'Income Statement'!J9,"")</x:f>
        <x:v>0.2958987976691008</x:v>
      </x:c>
      <x:c r="K12" s="76" t="n">
        <x:f>IF(COUNT('Income Statement'!K17,'Income Statement'!K9)=2,'Income Statement'!K17/'Income Statement'!K9,"")</x:f>
        <x:v>0.31159488521873413</x:v>
      </x:c>
      <x:c r="L12" s="76" t="n">
        <x:f>IF(COUNT('Income Statement'!L17,'Income Statement'!L9)=2,'Income Statement'!L17/'Income Statement'!L9,"")</x:f>
        <x:v>0.26060961534823</x:v>
      </x:c>
      <x:c r="M12" s="44"/>
      <x:c r="N12" s="45"/>
      <x:c r="O12" s="45"/>
      <x:c r="P12" s="45"/>
      <x:c r="Q12" s="45"/>
      <x:c r="R12" s="76" t="n">
        <x:f>IF(COUNT('Income Statement'!J17,'Income Statement'!R17,'Income Statement'!N17,'Income Statement'!J9,'Income Statement'!R9,'Income Statement'!N9)=6,('Income Statement'!J17+'Income Statement'!R17-'Income Statement'!N17)/('Income Statement'!J9+'Income Statement'!R9-'Income Statement'!N9),"")</x:f>
        <x:v>0.2954360301971505</x:v>
      </x:c>
      <x:c r="S12" s="76" t="n">
        <x:f>IF(COUNT('Income Statement'!J17,'Income Statement'!R17,'Income Statement'!S17,'Income Statement'!N17,'Income Statement'!O17,'Income Statement'!J9,'Income Statement'!R9,'Income Statement'!S9,'Income Statement'!N9,'Income Statement'!O9)=10,('Income Statement'!J17+'Income Statement'!R17+'Income Statement'!S17-'Income Statement'!N17-'Income Statement'!O17)/('Income Statement'!J9+'Income Statement'!R9+'Income Statement'!S9-'Income Statement'!N9-'Income Statement'!O9),"")</x:f>
        <x:v>0.2989423268808621</x:v>
      </x:c>
      <x:c r="T12" s="76" t="n">
        <x:f>IF(COUNT('Income Statement'!J17,'Income Statement'!R17,'Income Statement'!S17,'Income Statement'!T17,'Income Statement'!N17,'Income Statement'!O17,'Income Statement'!P17,'Income Statement'!J9,'Income Statement'!R9,'Income Statement'!S9,'Income Statement'!T9,'Income Statement'!N9,'Income Statement'!O9,'Income Statement'!P9)=14,('Income Statement'!J17+'Income Statement'!R17+'Income Statement'!S17+'Income Statement'!T17-'Income Statement'!N17-'Income Statement'!O17-'Income Statement'!P17)/('Income Statement'!J9+'Income Statement'!R9+'Income Statement'!S9+'Income Statement'!T9-'Income Statement'!N9-'Income Statement'!O9-'Income Statement'!P9),"")</x:f>
        <x:v>0.30705845484542926</x:v>
      </x:c>
      <x:c r="U12" s="76" t="n">
        <x:f>IF(COUNT('Income Statement'!J17,'Income Statement'!R17,'Income Statement'!S17,'Income Statement'!T17,'Income Statement'!U17,'Income Statement'!N17,'Income Statement'!O17,'Income Statement'!P17,'Income Statement'!Q17,'Income Statement'!J9,'Income Statement'!R9,'Income Statement'!S9,'Income Statement'!T9,'Income Statement'!U9,'Income Statement'!N9,'Income Statement'!O9,'Income Statement'!P9,'Income Statement'!Q9)=18,('Income Statement'!J17+'Income Statement'!R17+'Income Statement'!S17+'Income Statement'!T17+'Income Statement'!U17-'Income Statement'!N17-'Income Statement'!O17-'Income Statement'!P17-'Income Statement'!Q17)/('Income Statement'!J9+'Income Statement'!R9+'Income Statement'!S9+'Income Statement'!T9+'Income Statement'!U9-'Income Statement'!N9-'Income Statement'!O9-'Income Statement'!P9-'Income Statement'!Q9),"")</x:f>
        <x:v>0.31159488521873413</x:v>
      </x:c>
      <x:c r="V12" s="76" t="n">
        <x:f>IF(COUNT('Income Statement'!K17,'Income Statement'!V17,'Income Statement'!R17,'Income Statement'!K9,'Income Statement'!V9,'Income Statement'!R9)=6,('Income Statement'!K17+'Income Statement'!V17-'Income Statement'!R17)/('Income Statement'!K9+'Income Statement'!V9-'Income Statement'!R9),"")</x:f>
        <x:v>0.29794133172460596</x:v>
      </x:c>
      <x:c r="W12" s="76" t="n">
        <x:f>IF(COUNT('Income Statement'!K17,'Income Statement'!V17,'Income Statement'!W17,'Income Statement'!R17,'Income Statement'!S17,'Income Statement'!K9,'Income Statement'!V9,'Income Statement'!W9,'Income Statement'!R9,'Income Statement'!S9)=10,('Income Statement'!K17+'Income Statement'!V17+'Income Statement'!W17-'Income Statement'!R17-'Income Statement'!S17)/('Income Statement'!K9+'Income Statement'!V9+'Income Statement'!W9-'Income Statement'!R9-'Income Statement'!S9),"")</x:f>
        <x:v>0.28733747880158284</x:v>
      </x:c>
      <x:c r="X12" s="76" t="n">
        <x:f>IF(COUNT('Income Statement'!K17,'Income Statement'!V17,'Income Statement'!W17,'Income Statement'!X17,'Income Statement'!R17,'Income Statement'!S17,'Income Statement'!T17,'Income Statement'!K9,'Income Statement'!V9,'Income Statement'!W9,'Income Statement'!X9,'Income Statement'!R9,'Income Statement'!S9,'Income Statement'!T9)=14,('Income Statement'!K17+'Income Statement'!V17+'Income Statement'!W17+'Income Statement'!X17-'Income Statement'!R17-'Income Statement'!S17-'Income Statement'!T17)/('Income Statement'!K9+'Income Statement'!V9+'Income Statement'!W9+'Income Statement'!X9-'Income Statement'!R9-'Income Statement'!S9-'Income Statement'!T9),"")</x:f>
        <x:v>0.27004622092479275</x:v>
      </x:c>
      <x:c r="Y12" s="76" t="n">
        <x:f>IF(COUNT('Income Statement'!K17,'Income Statement'!V17,'Income Statement'!W17,'Income Statement'!X17,'Income Statement'!Y17,'Income Statement'!R17,'Income Statement'!S17,'Income Statement'!T17,'Income Statement'!U17,'Income Statement'!K9,'Income Statement'!V9,'Income Statement'!W9,'Income Statement'!X9,'Income Statement'!Y9,'Income Statement'!R9,'Income Statement'!S9,'Income Statement'!T9,'Income Statement'!U9)=18,('Income Statement'!K17+'Income Statement'!V17+'Income Statement'!W17+'Income Statement'!X17+'Income Statement'!Y17-'Income Statement'!R17-'Income Statement'!S17-'Income Statement'!T17-'Income Statement'!U17)/('Income Statement'!K9+'Income Statement'!V9+'Income Statement'!W9+'Income Statement'!X9+'Income Statement'!Y9-'Income Statement'!R9-'Income Statement'!S9-'Income Statement'!T9-'Income Statement'!U9),"")</x:f>
        <x:v>0.26060961534823</x:v>
      </x:c>
      <x:c r="Z12" s="76" t="n">
        <x:f>IF(COUNT('Income Statement'!L17,'Income Statement'!Z17,'Income Statement'!V17,'Income Statement'!L9,'Income Statement'!Z9,'Income Statement'!V9)=6,('Income Statement'!L17+'Income Statement'!Z17-'Income Statement'!V17)/('Income Statement'!L9+'Income Statement'!Z9-'Income Statement'!V9),"")</x:f>
        <x:v>0.2512694604095754</x:v>
      </x:c>
      <x:c r="AA12" s="76" t="n">
        <x:f>IF(COUNT('Income Statement'!L17,'Income Statement'!Z17,'Income Statement'!AA17,'Income Statement'!V17,'Income Statement'!W17,'Income Statement'!L9,'Income Statement'!Z9,'Income Statement'!AA9,'Income Statement'!V9,'Income Statement'!W9)=10,('Income Statement'!L17+'Income Statement'!Z17+'Income Statement'!AA17-'Income Statement'!V17-'Income Statement'!W17)/('Income Statement'!L9+'Income Statement'!Z9+'Income Statement'!AA9-'Income Statement'!V9-'Income Statement'!W9),"")</x:f>
        <x:v>0.23132627296956096</x:v>
      </x:c>
    </x:row>
    <x:row r="13" ht="20" customHeight="1">
      <x:c r="A13" s="40" t="str">
        <x:v>Effective tax rate</x:v>
      </x:c>
      <x:c r="B13" s="3"/>
      <x:c r="C13" s="76" t="n">
        <x:f>IF(COUNT('Income Statement'!C30,'Income Statement'!C29)=2,IF('Income Statement'!C29&gt;0,'Income Statement'!C30/'Income Statement'!C29,"n.m."),"")</x:f>
        <x:v>0.20253555967841683</x:v>
      </x:c>
      <x:c r="D13" s="76" t="n">
        <x:f>IF(COUNT('Income Statement'!D30,'Income Statement'!D29)=2,IF('Income Statement'!D29&gt;0,'Income Statement'!D30/'Income Statement'!D29,"n.m."),"")</x:f>
        <x:v>0.5282527515723271</x:v>
      </x:c>
      <x:c r="E13" s="76" t="n">
        <x:f>IF(COUNT('Income Statement'!E30,'Income Statement'!E29)=2,IF('Income Statement'!E29&gt;0,'Income Statement'!E30/'Income Statement'!E29,"n.m."),"")</x:f>
        <x:v>0.09709653900587555</x:v>
      </x:c>
      <x:c r="F13" s="76" t="n">
        <x:f>IF(COUNT('Income Statement'!F30,'Income Statement'!F29)=2,IF('Income Statement'!F29&gt;0,'Income Statement'!F30/'Income Statement'!F29,"n.m."),"")</x:f>
        <x:v>0.12511430709119628</x:v>
      </x:c>
      <x:c r="G13" s="76" t="n">
        <x:f>IF(COUNT('Income Statement'!G30,'Income Statement'!G29)=2,IF('Income Statement'!G29&gt;0,'Income Statement'!G30/'Income Statement'!G29,"n.m."),"")</x:f>
        <x:v>0.16664008294122337</x:v>
      </x:c>
      <x:c r="H13" s="76" t="n">
        <x:f>IF(COUNT('Income Statement'!H30,'Income Statement'!H29)=2,IF('Income Statement'!H29&gt;0,'Income Statement'!H30/'Income Statement'!H29,"n.m."),"")</x:f>
        <x:v>0.08455052296917477</x:v>
      </x:c>
      <x:c r="I13" s="76" t="n">
        <x:f>IF(COUNT('Income Statement'!I30,'Income Statement'!I29)=2,IF('Income Statement'!I29&gt;0,'Income Statement'!I30/'Income Statement'!I29,"n.m."),"")</x:f>
        <x:v>-0.03205458290422245</x:v>
      </x:c>
      <x:c r="J13" s="76" t="n">
        <x:f>IF(COUNT('Income Statement'!J30,'Income Statement'!J29)=2,IF('Income Statement'!J29&gt;0,'Income Statement'!J30/'Income Statement'!J29,"n.m."),"")</x:f>
        <x:v>-1.1981627296587927</x:v>
      </x:c>
      <x:c r="K13" s="76" t="str">
        <x:f>IF(COUNT('Income Statement'!K30,'Income Statement'!K29)=2,IF('Income Statement'!K29&gt;0,'Income Statement'!K30/'Income Statement'!K29,"n.m."),"")</x:f>
        <x:v>n.m.</x:v>
      </x:c>
      <x:c r="L13" s="76" t="n">
        <x:f>IF(COUNT('Income Statement'!L30,'Income Statement'!L29)=2,IF('Income Statement'!L29&gt;0,'Income Statement'!L30/'Income Statement'!L29,"n.m."),"")</x:f>
        <x:v>0.98330122029544</x:v>
      </x:c>
      <x:c r="M13" s="44"/>
      <x:c r="N13" s="45"/>
      <x:c r="O13" s="45"/>
      <x:c r="P13" s="45"/>
      <x:c r="Q13" s="45"/>
      <x:c r="R13" s="76" t="n">
        <x:f>IF(COUNT('Income Statement'!J30,'Income Statement'!R30,'Income Statement'!N30,'Income Statement'!J29,'Income Statement'!R29,'Income Statement'!N29)=6,IF(('Income Statement'!J29+'Income Statement'!R29-'Income Statement'!N29)&gt;0,('Income Statement'!J30+'Income Statement'!R30-'Income Statement'!N30)/('Income Statement'!J29+'Income Statement'!R29-'Income Statement'!N29),"n.m."),"")</x:f>
        <x:v>-2.3355537052456286</x:v>
      </x:c>
      <x:c r="S13" s="76" t="n">
        <x:f>IF(COUNT('Income Statement'!J30,'Income Statement'!R30,'Income Statement'!S30,'Income Statement'!N30,'Income Statement'!O30,'Income Statement'!J29,'Income Statement'!R29,'Income Statement'!S29,'Income Statement'!N29,'Income Statement'!O29)=10,IF(('Income Statement'!J29+'Income Statement'!R29+'Income Statement'!S29-'Income Statement'!N29-'Income Statement'!O29)&gt;0,('Income Statement'!J30+'Income Statement'!R30+'Income Statement'!S30-'Income Statement'!N30-'Income Statement'!O30)/('Income Statement'!J29+'Income Statement'!R29+'Income Statement'!S29-'Income Statement'!N29-'Income Statement'!O29),"n.m."),"")</x:f>
        <x:v>-66.61538461538461</x:v>
      </x:c>
      <x:c r="T13" s="76" t="str">
        <x:f>IF(COUNT('Income Statement'!J30,'Income Statement'!R30,'Income Statement'!S30,'Income Statement'!T30,'Income Statement'!N30,'Income Statement'!O30,'Income Statement'!P30,'Income Statement'!J29,'Income Statement'!R29,'Income Statement'!S29,'Income Statement'!T29,'Income Statement'!N29,'Income Statement'!O29,'Income Statement'!P29)=14,IF(('Income Statement'!J29+'Income Statement'!R29+'Income Statement'!S29+'Income Statement'!T29-'Income Statement'!N29-'Income Statement'!O29-'Income Statement'!P29)&gt;0,('Income Statement'!J30+'Income Statement'!R30+'Income Statement'!S30+'Income Statement'!T30-'Income Statement'!N30-'Income Statement'!O30-'Income Statement'!P30)/('Income Statement'!J29+'Income Statement'!R29+'Income Statement'!S29+'Income Statement'!T29-'Income Statement'!N29-'Income Statement'!O29-'Income Statement'!P29),"n.m."),"")</x:f>
        <x:v>n.m.</x:v>
      </x:c>
      <x:c r="U13" s="76" t="str">
        <x:f>IF(COUNT('Income Statement'!J30,'Income Statement'!R30,'Income Statement'!S30,'Income Statement'!T30,'Income Statement'!U30,'Income Statement'!N30,'Income Statement'!O30,'Income Statement'!P30,'Income Statement'!Q30,'Income Statement'!J29,'Income Statement'!R29,'Income Statement'!S29,'Income Statement'!T29,'Income Statement'!U29,'Income Statement'!N29,'Income Statement'!O29,'Income Statement'!P29,'Income Statement'!Q29)=18,IF(('Income Statement'!J29+'Income Statement'!R29+'Income Statement'!S29+'Income Statement'!T29+'Income Statement'!U29-'Income Statement'!N29-'Income Statement'!O29-'Income Statement'!P29-'Income Statement'!Q29)&gt;0,('Income Statement'!J30+'Income Statement'!R30+'Income Statement'!S30+'Income Statement'!T30+'Income Statement'!U30-'Income Statement'!N30-'Income Statement'!O30-'Income Statement'!P30-'Income Statement'!Q30)/('Income Statement'!J29+'Income Statement'!R29+'Income Statement'!S29+'Income Statement'!T29+'Income Statement'!U29-'Income Statement'!N29-'Income Statement'!O29-'Income Statement'!P29-'Income Statement'!Q29),"n.m."),"")</x:f>
        <x:v>n.m.</x:v>
      </x:c>
      <x:c r="V13" s="76" t="str">
        <x:f>IF(COUNT('Income Statement'!K30,'Income Statement'!V30,'Income Statement'!R30,'Income Statement'!K29,'Income Statement'!V29,'Income Statement'!R29)=6,IF(('Income Statement'!K29+'Income Statement'!V29-'Income Statement'!R29)&gt;0,('Income Statement'!K30+'Income Statement'!V30-'Income Statement'!R30)/('Income Statement'!K29+'Income Statement'!V29-'Income Statement'!R29),"n.m."),"")</x:f>
        <x:v>n.m.</x:v>
      </x:c>
      <x:c r="W13" s="76" t="str">
        <x:f>IF(COUNT('Income Statement'!K30,'Income Statement'!V30,'Income Statement'!W30,'Income Statement'!R30,'Income Statement'!S30,'Income Statement'!K29,'Income Statement'!V29,'Income Statement'!W29,'Income Statement'!R29,'Income Statement'!S29)=10,IF(('Income Statement'!K29+'Income Statement'!V29+'Income Statement'!W29-'Income Statement'!R29-'Income Statement'!S29)&gt;0,('Income Statement'!K30+'Income Statement'!V30+'Income Statement'!W30-'Income Statement'!R30-'Income Statement'!S30)/('Income Statement'!K29+'Income Statement'!V29+'Income Statement'!W29-'Income Statement'!R29-'Income Statement'!S29),"n.m."),"")</x:f>
        <x:v>n.m.</x:v>
      </x:c>
      <x:c r="X13" s="76" t="n">
        <x:f>IF(COUNT('Income Statement'!K30,'Income Statement'!V30,'Income Statement'!W30,'Income Statement'!X30,'Income Statement'!R30,'Income Statement'!S30,'Income Statement'!T30,'Income Statement'!K29,'Income Statement'!V29,'Income Statement'!W29,'Income Statement'!X29,'Income Statement'!R29,'Income Statement'!S29,'Income Statement'!T29)=14,IF(('Income Statement'!K29+'Income Statement'!V29+'Income Statement'!W29+'Income Statement'!X29-'Income Statement'!R29-'Income Statement'!S29-'Income Statement'!T29)&gt;0,('Income Statement'!K30+'Income Statement'!V30+'Income Statement'!W30+'Income Statement'!X30-'Income Statement'!R30-'Income Statement'!S30-'Income Statement'!T30)/('Income Statement'!K29+'Income Statement'!V29+'Income Statement'!W29+'Income Statement'!X29-'Income Statement'!R29-'Income Statement'!S29-'Income Statement'!T29),"n.m."),"")</x:f>
        <x:v>0.8866886688668867</x:v>
      </x:c>
      <x:c r="Y13" s="76" t="n">
        <x:f>IF(COUNT('Income Statement'!K30,'Income Statement'!V30,'Income Statement'!W30,'Income Statement'!X30,'Income Statement'!Y30,'Income Statement'!R30,'Income Statement'!S30,'Income Statement'!T30,'Income Statement'!U30,'Income Statement'!K29,'Income Statement'!V29,'Income Statement'!W29,'Income Statement'!X29,'Income Statement'!Y29,'Income Statement'!R29,'Income Statement'!S29,'Income Statement'!T29,'Income Statement'!U29)=18,IF(('Income Statement'!K29+'Income Statement'!V29+'Income Statement'!W29+'Income Statement'!X29+'Income Statement'!Y29-'Income Statement'!R29-'Income Statement'!S29-'Income Statement'!T29-'Income Statement'!U29)&gt;0,('Income Statement'!K30+'Income Statement'!V30+'Income Statement'!W30+'Income Statement'!X30+'Income Statement'!Y30-'Income Statement'!R30-'Income Statement'!S30-'Income Statement'!T30-'Income Statement'!U30)/('Income Statement'!K29+'Income Statement'!V29+'Income Statement'!W29+'Income Statement'!X29+'Income Statement'!Y29-'Income Statement'!R29-'Income Statement'!S29-'Income Statement'!T29-'Income Statement'!U29),"n.m."),"")</x:f>
        <x:v>0.98330122029544</x:v>
      </x:c>
      <x:c r="Z13" s="76" t="str">
        <x:f>IF(COUNT('Income Statement'!L30,'Income Statement'!Z30,'Income Statement'!V30,'Income Statement'!L29,'Income Statement'!Z29,'Income Statement'!V29)=6,IF(('Income Statement'!L29+'Income Statement'!Z29-'Income Statement'!V29)&gt;0,('Income Statement'!L30+'Income Statement'!Z30-'Income Statement'!V30)/('Income Statement'!L29+'Income Statement'!Z29-'Income Statement'!V29),"n.m."),"")</x:f>
        <x:v>n.m.</x:v>
      </x:c>
      <x:c r="AA13" s="76" t="str">
        <x:f>IF(COUNT('Income Statement'!L30,'Income Statement'!Z30,'Income Statement'!AA30,'Income Statement'!V30,'Income Statement'!W30,'Income Statement'!L29,'Income Statement'!Z29,'Income Statement'!AA29,'Income Statement'!V29,'Income Statement'!W29)=10,IF(('Income Statement'!L29+'Income Statement'!Z29+'Income Statement'!AA29-'Income Statement'!V29-'Income Statement'!W29)&gt;0,('Income Statement'!L30+'Income Statement'!Z30+'Income Statement'!AA30-'Income Statement'!V30-'Income Statement'!W30)/('Income Statement'!L29+'Income Statement'!Z29+'Income Statement'!AA29-'Income Statement'!V29-'Income Statement'!W29),"n.m."),"")</x:f>
        <x:v>n.m.</x:v>
      </x:c>
    </x:row>
    <x:row r="14" ht="22" customHeight="1">
      <x:c r="A14" s="49" t="str">
        <x:v>Operating cash flow (annual / TTM)</x:v>
      </x:c>
      <x:c r="B14" s="3"/>
      <x:c r="C14" s="61" t="n">
        <x:f>IF(COUNT('Cash Flow'!C29)=1,'Cash Flow'!C29,"")</x:f>
        <x:v>21808</x:v>
      </x:c>
      <x:c r="D14" s="61" t="n">
        <x:f>IF(COUNT('Cash Flow'!D29)=1,'Cash Flow'!D29,"")</x:f>
        <x:v>22110</x:v>
      </x:c>
      <x:c r="E14" s="61" t="n">
        <x:f>IF(COUNT('Cash Flow'!E29)=1,'Cash Flow'!E29,"")</x:f>
        <x:v>29432</x:v>
      </x:c>
      <x:c r="F14" s="61" t="n">
        <x:f>IF(COUNT('Cash Flow'!F29)=1,'Cash Flow'!F29,"")</x:f>
        <x:v>33145</x:v>
      </x:c>
      <x:c r="G14" s="61" t="n">
        <x:f>IF(COUNT('Cash Flow'!G29)=1,'Cash Flow'!G29,"")</x:f>
        <x:v>35384</x:v>
      </x:c>
      <x:c r="H14" s="61" t="n">
        <x:f>IF(COUNT('Cash Flow'!H29)=1,'Cash Flow'!H29,"")</x:f>
        <x:v>29991</x:v>
      </x:c>
      <x:c r="I14" s="61" t="n">
        <x:f>IF(COUNT('Cash Flow'!I29)=1,'Cash Flow'!I29,"")</x:f>
        <x:v>15433</x:v>
      </x:c>
      <x:c r="J14" s="61" t="n">
        <x:f>IF(COUNT('Cash Flow'!J29)=1,'Cash Flow'!J29,"")</x:f>
        <x:v>11471</x:v>
      </x:c>
      <x:c r="K14" s="61" t="n">
        <x:f>IF(COUNT('Cash Flow'!K29)=1,'Cash Flow'!K29,"")</x:f>
        <x:v>8288</x:v>
      </x:c>
      <x:c r="L14" s="61" t="n">
        <x:f>IF(COUNT('Cash Flow'!L29)=1,'Cash Flow'!L29,"")</x:f>
        <x:v>9697</x:v>
      </x:c>
      <x:c r="M14" s="51"/>
      <x:c r="N14" s="75"/>
      <x:c r="O14" s="75"/>
      <x:c r="P14" s="75"/>
      <x:c r="Q14" s="75"/>
      <x:c r="R14" s="61" t="n">
        <x:f>IF(COUNT('Cash Flow'!J29,'Cash Flow'!R29,'Cash Flow'!N29)=3,('Cash Flow'!J29+'Cash Flow'!R29-'Cash Flow'!N29),"")</x:f>
        <x:v>12033</x:v>
      </x:c>
      <x:c r="S14" s="61" t="n">
        <x:f>IF(COUNT('Cash Flow'!J29,'Cash Flow'!S29,'Cash Flow'!O29)=3,('Cash Flow'!J29+'Cash Flow'!S29-'Cash Flow'!O29),"")</x:f>
        <x:v>11517</x:v>
      </x:c>
      <x:c r="T14" s="61" t="n">
        <x:f>IF(COUNT('Cash Flow'!J29,'Cash Flow'!T29,'Cash Flow'!P29)=3,('Cash Flow'!J29+'Cash Flow'!T29-'Cash Flow'!P29),"")</x:f>
        <x:v>9747</x:v>
      </x:c>
      <x:c r="U14" s="61" t="n">
        <x:f>IF(COUNT('Cash Flow'!J29,'Cash Flow'!U29,'Cash Flow'!Q29)=3,('Cash Flow'!J29+'Cash Flow'!U29-'Cash Flow'!Q29),"")</x:f>
        <x:v>8288</x:v>
      </x:c>
      <x:c r="V14" s="61" t="n">
        <x:f>IF(COUNT('Cash Flow'!K29,'Cash Flow'!V29,'Cash Flow'!R29)=3,('Cash Flow'!K29+'Cash Flow'!V29-'Cash Flow'!R29),"")</x:f>
        <x:v>10324</x:v>
      </x:c>
      <x:c r="W14" s="61" t="n">
        <x:f>IF(COUNT('Cash Flow'!K29,'Cash Flow'!W29,'Cash Flow'!S29)=3,('Cash Flow'!K29+'Cash Flow'!W29-'Cash Flow'!S29),"")</x:f>
        <x:v>10082</x:v>
      </x:c>
      <x:c r="X14" s="61" t="n">
        <x:f>IF(COUNT('Cash Flow'!K29,'Cash Flow'!X29,'Cash Flow'!T29)=3,('Cash Flow'!K29+'Cash Flow'!X29-'Cash Flow'!T29),"")</x:f>
        <x:v>8574</x:v>
      </x:c>
      <x:c r="Y14" s="61" t="n">
        <x:f>IF(COUNT('Cash Flow'!K29,'Cash Flow'!Y29,'Cash Flow'!U29)=3,('Cash Flow'!K29+'Cash Flow'!Y29-'Cash Flow'!U29),"")</x:f>
        <x:v>9697</x:v>
      </x:c>
      <x:c r="Z14" s="61" t="n">
        <x:f>IF(COUNT('Cash Flow'!L29,'Cash Flow'!Z29,'Cash Flow'!V29)=3,('Cash Flow'!L29+'Cash Flow'!Z29-'Cash Flow'!V29),"")</x:f>
        <x:v>9980</x:v>
      </x:c>
      <x:c r="AA14" s="61" t="n">
        <x:f>IF(COUNT('Cash Flow'!L29,'Cash Flow'!AA29,'Cash Flow'!W29)=3,('Cash Flow'!L29+'Cash Flow'!AA29-'Cash Flow'!W29),"")</x:f>
        <x:v>14936</x:v>
      </x:c>
    </x:row>
    <x:row r="15" ht="24" customHeight="1">
      <x:c r="A15" s="34" t="str">
        <x:v>Total PP&amp;E cash payments (annual / TTM)</x:v>
      </x:c>
      <x:c r="B15" s="35"/>
      <x:c r="C15" s="81" t="n">
        <x:f>IF(COUNT('Cash Flow'!C106)=1,'Cash Flow'!C106,"")</x:f>
        <x:v>9625</x:v>
      </x:c>
      <x:c r="D15" s="81" t="n">
        <x:f>IF(COUNT('Cash Flow'!D106)=1,'Cash Flow'!D106,"")</x:f>
        <x:v>11778</x:v>
      </x:c>
      <x:c r="E15" s="81" t="n">
        <x:f>IF(COUNT('Cash Flow'!E106)=1,'Cash Flow'!E106,"")</x:f>
        <x:v>15181</x:v>
      </x:c>
      <x:c r="F15" s="81" t="n">
        <x:f>IF(COUNT('Cash Flow'!F106)=1,'Cash Flow'!F106,"")</x:f>
        <x:v>16213</x:v>
      </x:c>
      <x:c r="G15" s="81" t="n">
        <x:f>IF(COUNT('Cash Flow'!G106)=1,'Cash Flow'!G106,"")</x:f>
        <x:v>14453</x:v>
      </x:c>
      <x:c r="H15" s="81" t="n">
        <x:f>IF(COUNT('Cash Flow'!H106)=1,'Cash Flow'!H106,"")</x:f>
        <x:v>20329</x:v>
      </x:c>
      <x:c r="I15" s="81" t="n">
        <x:f>IF(COUNT('Cash Flow'!I106)=1,'Cash Flow'!I106,"")</x:f>
        <x:v>25050</x:v>
      </x:c>
      <x:c r="J15" s="81" t="n">
        <x:f>IF(COUNT('Cash Flow'!J106)=1,'Cash Flow'!J106,"")</x:f>
        <x:v>25750</x:v>
      </x:c>
      <x:c r="K15" s="81" t="n">
        <x:f>IF(COUNT('Cash Flow'!K106)=1,'Cash Flow'!K106,"")</x:f>
        <x:v>25122</x:v>
      </x:c>
      <x:c r="L15" s="81" t="n">
        <x:f>IF(COUNT('Cash Flow'!L106)=1,'Cash Flow'!L106,"")</x:f>
        <x:v>17672</x:v>
      </x:c>
      <x:c r="M15" s="36"/>
      <x:c r="N15" s="82"/>
      <x:c r="O15" s="82"/>
      <x:c r="P15" s="82"/>
      <x:c r="Q15" s="82"/>
      <x:c r="R15" s="81" t="n">
        <x:f>IF(COUNT('Cash Flow'!J106,'Cash Flow'!R106,'Cash Flow'!N106)=3,('Cash Flow'!J106+'Cash Flow'!R106-'Cash Flow'!N106),"")</x:f>
        <x:v>24307</x:v>
      </x:c>
      <x:c r="S15" s="81" t="n">
        <x:f>IF(COUNT('Cash Flow'!J106,'Cash Flow'!S106,'Cash Flow'!O106)=3,('Cash Flow'!J106+'Cash Flow'!S106-'Cash Flow'!O106),"")</x:f>
        <x:v>24101</x:v>
      </x:c>
      <x:c r="T15" s="81" t="n">
        <x:f>IF(COUNT('Cash Flow'!J106,'Cash Flow'!T106,'Cash Flow'!P106)=3,('Cash Flow'!J106+'Cash Flow'!T106-'Cash Flow'!P106),"")</x:f>
        <x:v>24806</x:v>
      </x:c>
      <x:c r="U15" s="81" t="n">
        <x:f>IF(COUNT('Cash Flow'!J106,'Cash Flow'!U106,'Cash Flow'!Q106)=3,('Cash Flow'!J106+'Cash Flow'!U106-'Cash Flow'!Q106),"")</x:f>
        <x:v>25122</x:v>
      </x:c>
      <x:c r="V15" s="81" t="n">
        <x:f>IF(COUNT('Cash Flow'!K106,'Cash Flow'!V106,'Cash Flow'!R106)=3,('Cash Flow'!K106+'Cash Flow'!V106-'Cash Flow'!R106),"")</x:f>
        <x:v>25355</x:v>
      </x:c>
      <x:c r="W15" s="81" t="n">
        <x:f>IF(COUNT('Cash Flow'!K106,'Cash Flow'!W106,'Cash Flow'!S106)=3,('Cash Flow'!K106+'Cash Flow'!W106-'Cash Flow'!S106),"")</x:f>
        <x:v>24165</x:v>
      </x:c>
      <x:c r="X15" s="81" t="n">
        <x:f>IF(COUNT('Cash Flow'!K106,'Cash Flow'!X106,'Cash Flow'!T106)=3,('Cash Flow'!K106+'Cash Flow'!X106-'Cash Flow'!T106),"")</x:f>
        <x:v>20663</x:v>
      </x:c>
      <x:c r="Y15" s="81" t="n">
        <x:f>IF(COUNT('Cash Flow'!K106,'Cash Flow'!Y106,'Cash Flow'!U106)=3,('Cash Flow'!K106+'Cash Flow'!Y106-'Cash Flow'!U106),"")</x:f>
        <x:v>17672</x:v>
      </x:c>
      <x:c r="Z15" s="81" t="n">
        <x:f>IF(COUNT('Cash Flow'!L106,'Cash Flow'!Z106,'Cash Flow'!V106)=3,('Cash Flow'!L106+'Cash Flow'!Z106-'Cash Flow'!V106),"")</x:f>
        <x:v>16432</x:v>
      </x:c>
      <x:c r="AA15" s="81" t="n">
        <x:f>IF(COUNT('Cash Flow'!L106,'Cash Flow'!AA106,'Cash Flow'!W106)=3,('Cash Flow'!L106+'Cash Flow'!AA106-'Cash Flow'!W106),"")</x:f>
        <x:v>14592</x:v>
      </x:c>
    </x:row>
    <x:row r="16" ht="22" customHeight="1">
      <x:c r="A16" s="49" t="str">
        <x:v>Free cash flow (annual / TTM)</x:v>
      </x:c>
      <x:c r="B16" s="3"/>
      <x:c r="C16" s="61" t="n">
        <x:f>IF(COUNT('Cash Flow'!C107)=1,'Cash Flow'!C107,"")</x:f>
        <x:v>12183</x:v>
      </x:c>
      <x:c r="D16" s="61" t="n">
        <x:f>IF(COUNT('Cash Flow'!D107)=1,'Cash Flow'!D107,"")</x:f>
        <x:v>10332</x:v>
      </x:c>
      <x:c r="E16" s="61" t="n">
        <x:f>IF(COUNT('Cash Flow'!E107)=1,'Cash Flow'!E107,"")</x:f>
        <x:v>14251</x:v>
      </x:c>
      <x:c r="F16" s="61" t="n">
        <x:f>IF(COUNT('Cash Flow'!F107)=1,'Cash Flow'!F107,"")</x:f>
        <x:v>16932</x:v>
      </x:c>
      <x:c r="G16" s="61" t="n">
        <x:f>IF(COUNT('Cash Flow'!G107)=1,'Cash Flow'!G107,"")</x:f>
        <x:v>20931</x:v>
      </x:c>
      <x:c r="H16" s="61" t="n">
        <x:f>IF(COUNT('Cash Flow'!H107)=1,'Cash Flow'!H107,"")</x:f>
        <x:v>9662</x:v>
      </x:c>
      <x:c r="I16" s="61" t="n">
        <x:f>IF(COUNT('Cash Flow'!I107)=1,'Cash Flow'!I107,"")</x:f>
        <x:v>-9617</x:v>
      </x:c>
      <x:c r="J16" s="61" t="n">
        <x:f>IF(COUNT('Cash Flow'!J107)=1,'Cash Flow'!J107,"")</x:f>
        <x:v>-14279</x:v>
      </x:c>
      <x:c r="K16" s="61" t="n">
        <x:f>IF(COUNT('Cash Flow'!K107)=1,'Cash Flow'!K107,"")</x:f>
        <x:v>-16834</x:v>
      </x:c>
      <x:c r="L16" s="61" t="n">
        <x:f>IF(COUNT('Cash Flow'!L107)=1,'Cash Flow'!L107,"")</x:f>
        <x:v>-7975</x:v>
      </x:c>
      <x:c r="M16" s="51"/>
      <x:c r="N16" s="75"/>
      <x:c r="O16" s="75"/>
      <x:c r="P16" s="75"/>
      <x:c r="Q16" s="75"/>
      <x:c r="R16" s="61" t="n">
        <x:f>IF(COUNT('Cash Flow'!J107,'Cash Flow'!R107,'Cash Flow'!N107)=3,('Cash Flow'!J107+'Cash Flow'!R107-'Cash Flow'!N107),"")</x:f>
        <x:v>-12274</x:v>
      </x:c>
      <x:c r="S16" s="61" t="n">
        <x:f>IF(COUNT('Cash Flow'!J107,'Cash Flow'!S107,'Cash Flow'!O107)=3,('Cash Flow'!J107+'Cash Flow'!S107-'Cash Flow'!O107),"")</x:f>
        <x:v>-12584</x:v>
      </x:c>
      <x:c r="T16" s="61" t="n">
        <x:f>IF(COUNT('Cash Flow'!J107,'Cash Flow'!T107,'Cash Flow'!P107)=3,('Cash Flow'!J107+'Cash Flow'!T107-'Cash Flow'!P107),"")</x:f>
        <x:v>-15059</x:v>
      </x:c>
      <x:c r="U16" s="61" t="n">
        <x:f>IF(COUNT('Cash Flow'!J107,'Cash Flow'!U107,'Cash Flow'!Q107)=3,('Cash Flow'!J107+'Cash Flow'!U107-'Cash Flow'!Q107),"")</x:f>
        <x:v>-16834</x:v>
      </x:c>
      <x:c r="V16" s="61" t="n">
        <x:f>IF(COUNT('Cash Flow'!K107,'Cash Flow'!V107,'Cash Flow'!R107)=3,('Cash Flow'!K107+'Cash Flow'!V107-'Cash Flow'!R107),"")</x:f>
        <x:v>-15031</x:v>
      </x:c>
      <x:c r="W16" s="61" t="n">
        <x:f>IF(COUNT('Cash Flow'!K107,'Cash Flow'!W107,'Cash Flow'!S107)=3,('Cash Flow'!K107+'Cash Flow'!W107-'Cash Flow'!S107),"")</x:f>
        <x:v>-14083</x:v>
      </x:c>
      <x:c r="X16" s="61" t="n">
        <x:f>IF(COUNT('Cash Flow'!K107,'Cash Flow'!X107,'Cash Flow'!T107)=3,('Cash Flow'!K107+'Cash Flow'!X107-'Cash Flow'!T107),"")</x:f>
        <x:v>-12089</x:v>
      </x:c>
      <x:c r="Y16" s="61" t="n">
        <x:f>IF(COUNT('Cash Flow'!K107,'Cash Flow'!Y107,'Cash Flow'!U107)=3,('Cash Flow'!K107+'Cash Flow'!Y107-'Cash Flow'!U107),"")</x:f>
        <x:v>-7975</x:v>
      </x:c>
      <x:c r="Z16" s="61" t="n">
        <x:f>IF(COUNT('Cash Flow'!L107,'Cash Flow'!Z107,'Cash Flow'!V107)=3,('Cash Flow'!L107+'Cash Flow'!Z107-'Cash Flow'!V107),"")</x:f>
        <x:v>-6452</x:v>
      </x:c>
      <x:c r="AA16" s="61" t="n">
        <x:f>IF(COUNT('Cash Flow'!L107,'Cash Flow'!AA107,'Cash Flow'!W107)=3,('Cash Flow'!L107+'Cash Flow'!AA107-'Cash Flow'!W107),"")</x:f>
        <x:v>344</x:v>
      </x:c>
    </x:row>
    <x:row r="17" ht="20" customHeight="1">
      <x:c r="A17" s="40" t="str">
        <x:v>Operating cash flow / net income</x:v>
      </x:c>
      <x:c r="B17" s="3"/>
      <x:c r="C17" s="76" t="n">
        <x:f>IF(COUNT('Cash Flow'!C29,'Income Statement'!C31,'Income Statement'!C9)=3,IF('Income Statement'!C31&gt;0.01*'Income Statement'!C9,'Cash Flow'!C29/'Income Statement'!C31,"n.m."),"")</x:f>
        <x:v>2.113997673516867</x:v>
      </x:c>
      <x:c r="D17" s="76" t="n">
        <x:f>IF(COUNT('Cash Flow'!D29,'Income Statement'!D31,'Income Statement'!D9)=3,IF('Income Statement'!D31&gt;0.01*'Income Statement'!D9,'Cash Flow'!D29/'Income Statement'!D31,"n.m."),"")</x:f>
        <x:v>2.3028851161337363</x:v>
      </x:c>
      <x:c r="E17" s="76" t="n">
        <x:f>IF(COUNT('Cash Flow'!E29,'Income Statement'!E31,'Income Statement'!E9)=3,IF('Income Statement'!E31&gt;0.01*'Income Statement'!E9,'Cash Flow'!E29/'Income Statement'!E31,"n.m."),"")</x:f>
        <x:v>1.3979955350781361</x:v>
      </x:c>
      <x:c r="F17" s="76" t="n">
        <x:f>IF(COUNT('Cash Flow'!F29,'Income Statement'!F31,'Income Statement'!F9)=3,IF('Income Statement'!F31&gt;0.01*'Income Statement'!F9,'Cash Flow'!F29/'Income Statement'!F31,"n.m."),"")</x:f>
        <x:v>1.5747339414671229</x:v>
      </x:c>
      <x:c r="G17" s="76" t="n">
        <x:f>IF(COUNT('Cash Flow'!G29,'Income Statement'!G31,'Income Statement'!G9)=3,IF('Income Statement'!G31&gt;0.01*'Income Statement'!G9,'Cash Flow'!G29/'Income Statement'!G31,"n.m."),"")</x:f>
        <x:v>1.6930953634145174</x:v>
      </x:c>
      <x:c r="H17" s="76" t="n">
        <x:f>IF(COUNT('Cash Flow'!H29,'Income Statement'!H31,'Income Statement'!H9)=3,IF('Income Statement'!H31&gt;0.01*'Income Statement'!H9,'Cash Flow'!H29/'Income Statement'!H31,"n.m."),"")</x:f>
        <x:v>1.5095127843768874</x:v>
      </x:c>
      <x:c r="I17" s="76" t="n">
        <x:f>IF(COUNT('Cash Flow'!I29,'Income Statement'!I31,'Income Statement'!I9)=3,IF('Income Statement'!I31&gt;0.01*'Income Statement'!I9,'Cash Flow'!I29/'Income Statement'!I31,"n.m."),"")</x:f>
        <x:v>1.9250343021080205</x:v>
      </x:c>
      <x:c r="J17" s="76" t="n">
        <x:f>IF(COUNT('Cash Flow'!J29,'Income Statement'!J31,'Income Statement'!J9)=3,IF('Income Statement'!J31&gt;0.01*'Income Statement'!J9,'Cash Flow'!J29/'Income Statement'!J31,"n.m."),"")</x:f>
        <x:v>6.848358208955224</x:v>
      </x:c>
      <x:c r="K17" s="76" t="str">
        <x:f>IF(COUNT('Cash Flow'!K29,'Income Statement'!K31,'Income Statement'!K9)=3,IF('Income Statement'!K31&gt;0.01*'Income Statement'!K9,'Cash Flow'!K29/'Income Statement'!K31,"n.m."),"")</x:f>
        <x:v>n.m.</x:v>
      </x:c>
      <x:c r="L17" s="76" t="str">
        <x:f>IF(COUNT('Cash Flow'!L29,'Income Statement'!L31,'Income Statement'!L9)=3,IF('Income Statement'!L31&gt;0.01*'Income Statement'!L9,'Cash Flow'!L29/'Income Statement'!L31,"n.m."),"")</x:f>
        <x:v>n.m.</x:v>
      </x:c>
      <x:c r="M17" s="44"/>
      <x:c r="N17" s="45"/>
      <x:c r="O17" s="45"/>
      <x:c r="P17" s="45"/>
      <x:c r="Q17" s="45"/>
      <x:c r="R17" s="76" t="n">
        <x:f>IF(COUNT('Cash Flow'!J29,'Cash Flow'!R29,'Cash Flow'!N29,'Income Statement'!J31,'Income Statement'!R31,'Income Statement'!N31,'Income Statement'!J9,'Income Statement'!R9,'Income Statement'!N9)=9,IF(('Income Statement'!J31+'Income Statement'!R31-'Income Statement'!N31)&gt;0.01*('Income Statement'!J9+'Income Statement'!R9-'Income Statement'!N9),('Cash Flow'!J29+'Cash Flow'!R29-'Cash Flow'!N29)/('Income Statement'!J31+'Income Statement'!R31-'Income Statement'!N31),"n.m."),"")</x:f>
        <x:v>3.0037443834248627</x:v>
      </x:c>
      <x:c r="S17" s="76" t="n">
        <x:f>IF(COUNT('Cash Flow'!J29,'Cash Flow'!S29,'Cash Flow'!O29,'Income Statement'!J31,'Income Statement'!R31,'Income Statement'!S31,'Income Statement'!N31,'Income Statement'!O31,'Income Statement'!J9,'Income Statement'!R9,'Income Statement'!S9,'Income Statement'!N9,'Income Statement'!O9)=13,IF(('Income Statement'!J31+'Income Statement'!R31+'Income Statement'!S31-'Income Statement'!N31-'Income Statement'!O31)&gt;0.01*('Income Statement'!J9+'Income Statement'!R9+'Income Statement'!S9-'Income Statement'!N9-'Income Statement'!O9),('Cash Flow'!J29+'Cash Flow'!S29-'Cash Flow'!O29)/('Income Statement'!J31+'Income Statement'!R31+'Income Statement'!S31-'Income Statement'!N31-'Income Statement'!O31),"n.m."),"")</x:f>
        <x:v>13.102389078498293</x:v>
      </x:c>
      <x:c r="T17" s="76" t="str">
        <x:f>IF(COUNT('Cash Flow'!J29,'Cash Flow'!T29,'Cash Flow'!P29,'Income Statement'!J31,'Income Statement'!R31,'Income Statement'!S31,'Income Statement'!T31,'Income Statement'!N31,'Income Statement'!O31,'Income Statement'!P31,'Income Statement'!J9,'Income Statement'!R9,'Income Statement'!S9,'Income Statement'!T9,'Income Statement'!N9,'Income Statement'!O9,'Income Statement'!P9)=17,IF(('Income Statement'!J31+'Income Statement'!R31+'Income Statement'!S31+'Income Statement'!T31-'Income Statement'!N31-'Income Statement'!O31-'Income Statement'!P31)&gt;0.01*('Income Statement'!J9+'Income Statement'!R9+'Income Statement'!S9+'Income Statement'!T9-'Income Statement'!N9-'Income Statement'!O9-'Income Statement'!P9),('Cash Flow'!J29+'Cash Flow'!T29-'Cash Flow'!P29)/('Income Statement'!J31+'Income Statement'!R31+'Income Statement'!S31+'Income Statement'!T31-'Income Statement'!N31-'Income Statement'!O31-'Income Statement'!P31),"n.m."),"")</x:f>
        <x:v>n.m.</x:v>
      </x:c>
      <x:c r="U17" s="76" t="str">
        <x:f>IF(COUNT('Cash Flow'!J29,'Cash Flow'!U29,'Cash Flow'!Q29,'Income Statement'!J31,'Income Statement'!R31,'Income Statement'!S31,'Income Statement'!T31,'Income Statement'!U31,'Income Statement'!N31,'Income Statement'!O31,'Income Statement'!P31,'Income Statement'!Q31,'Income Statement'!J9,'Income Statement'!R9,'Income Statement'!S9,'Income Statement'!T9,'Income Statement'!U9,'Income Statement'!N9,'Income Statement'!O9,'Income Statement'!P9,'Income Statement'!Q9)=21,IF(('Income Statement'!J31+'Income Statement'!R31+'Income Statement'!S31+'Income Statement'!T31+'Income Statement'!U31-'Income Statement'!N31-'Income Statement'!O31-'Income Statement'!P31-'Income Statement'!Q31)&gt;0.01*('Income Statement'!J9+'Income Statement'!R9+'Income Statement'!S9+'Income Statement'!T9+'Income Statement'!U9-'Income Statement'!N9-'Income Statement'!O9-'Income Statement'!P9-'Income Statement'!Q9),('Cash Flow'!J29+'Cash Flow'!U29-'Cash Flow'!Q29)/('Income Statement'!J31+'Income Statement'!R31+'Income Statement'!S31+'Income Statement'!T31+'Income Statement'!U31-'Income Statement'!N31-'Income Statement'!O31-'Income Statement'!P31-'Income Statement'!Q31),"n.m."),"")</x:f>
        <x:v>n.m.</x:v>
      </x:c>
      <x:c r="V17" s="76" t="str">
        <x:f>IF(COUNT('Cash Flow'!K29,'Cash Flow'!V29,'Cash Flow'!R29,'Income Statement'!K31,'Income Statement'!V31,'Income Statement'!R31,'Income Statement'!K9,'Income Statement'!V9,'Income Statement'!R9)=9,IF(('Income Statement'!K31+'Income Statement'!V31-'Income Statement'!R31)&gt;0.01*('Income Statement'!K9+'Income Statement'!V9-'Income Statement'!R9),('Cash Flow'!K29+'Cash Flow'!V29-'Cash Flow'!R29)/('Income Statement'!K31+'Income Statement'!V31-'Income Statement'!R31),"n.m."),"")</x:f>
        <x:v>n.m.</x:v>
      </x:c>
      <x:c r="W17" s="76" t="str">
        <x:f>IF(COUNT('Cash Flow'!K29,'Cash Flow'!W29,'Cash Flow'!S29,'Income Statement'!K31,'Income Statement'!V31,'Income Statement'!W31,'Income Statement'!R31,'Income Statement'!S31,'Income Statement'!K9,'Income Statement'!V9,'Income Statement'!W9,'Income Statement'!R9,'Income Statement'!S9)=13,IF(('Income Statement'!K31+'Income Statement'!V31+'Income Statement'!W31-'Income Statement'!R31-'Income Statement'!S31)&gt;0.01*('Income Statement'!K9+'Income Statement'!V9+'Income Statement'!W9-'Income Statement'!R9-'Income Statement'!S9),('Cash Flow'!K29+'Cash Flow'!W29-'Cash Flow'!S29)/('Income Statement'!K31+'Income Statement'!V31+'Income Statement'!W31-'Income Statement'!R31-'Income Statement'!S31),"n.m."),"")</x:f>
        <x:v>n.m.</x:v>
      </x:c>
      <x:c r="X17" s="76" t="str">
        <x:f>IF(COUNT('Cash Flow'!K29,'Cash Flow'!X29,'Cash Flow'!T29,'Income Statement'!K31,'Income Statement'!V31,'Income Statement'!W31,'Income Statement'!X31,'Income Statement'!R31,'Income Statement'!S31,'Income Statement'!T31,'Income Statement'!K9,'Income Statement'!V9,'Income Statement'!W9,'Income Statement'!X9,'Income Statement'!R9,'Income Statement'!S9,'Income Statement'!T9)=17,IF(('Income Statement'!K31+'Income Statement'!V31+'Income Statement'!W31+'Income Statement'!X31-'Income Statement'!R31-'Income Statement'!S31-'Income Statement'!T31)&gt;0.01*('Income Statement'!K9+'Income Statement'!V9+'Income Statement'!W9+'Income Statement'!X9-'Income Statement'!R9-'Income Statement'!S9-'Income Statement'!T9),('Cash Flow'!K29+'Cash Flow'!X29-'Cash Flow'!T29)/('Income Statement'!K31+'Income Statement'!V31+'Income Statement'!W31+'Income Statement'!X31-'Income Statement'!R31-'Income Statement'!S31-'Income Statement'!T31),"n.m."),"")</x:f>
        <x:v>n.m.</x:v>
      </x:c>
      <x:c r="Y17" s="76" t="str">
        <x:f>IF(COUNT('Cash Flow'!K29,'Cash Flow'!Y29,'Cash Flow'!U29,'Income Statement'!K31,'Income Statement'!V31,'Income Statement'!W31,'Income Statement'!X31,'Income Statement'!Y31,'Income Statement'!R31,'Income Statement'!S31,'Income Statement'!T31,'Income Statement'!U31,'Income Statement'!K9,'Income Statement'!V9,'Income Statement'!W9,'Income Statement'!X9,'Income Statement'!Y9,'Income Statement'!R9,'Income Statement'!S9,'Income Statement'!T9,'Income Statement'!U9)=21,IF(('Income Statement'!K31+'Income Statement'!V31+'Income Statement'!W31+'Income Statement'!X31+'Income Statement'!Y31-'Income Statement'!R31-'Income Statement'!S31-'Income Statement'!T31-'Income Statement'!U31)&gt;0.01*('Income Statement'!K9+'Income Statement'!V9+'Income Statement'!W9+'Income Statement'!X9+'Income Statement'!Y9-'Income Statement'!R9-'Income Statement'!S9-'Income Statement'!T9-'Income Statement'!U9),('Cash Flow'!K29+'Cash Flow'!Y29-'Cash Flow'!U29)/('Income Statement'!K31+'Income Statement'!V31+'Income Statement'!W31+'Income Statement'!X31+'Income Statement'!Y31-'Income Statement'!R31-'Income Statement'!S31-'Income Statement'!T31-'Income Statement'!U31),"n.m."),"")</x:f>
        <x:v>n.m.</x:v>
      </x:c>
      <x:c r="Z17" s="76" t="str">
        <x:f>IF(COUNT('Cash Flow'!L29,'Cash Flow'!Z29,'Cash Flow'!V29,'Income Statement'!L31,'Income Statement'!Z31,'Income Statement'!V31,'Income Statement'!L9,'Income Statement'!Z9,'Income Statement'!V9)=9,IF(('Income Statement'!L31+'Income Statement'!Z31-'Income Statement'!V31)&gt;0.01*('Income Statement'!L9+'Income Statement'!Z9-'Income Statement'!V9),('Cash Flow'!L29+'Cash Flow'!Z29-'Cash Flow'!V29)/('Income Statement'!L31+'Income Statement'!Z31-'Income Statement'!V31),"n.m."),"")</x:f>
        <x:v>n.m.</x:v>
      </x:c>
      <x:c r="AA17" s="76" t="str">
        <x:f>IF(COUNT('Cash Flow'!L29,'Cash Flow'!AA29,'Cash Flow'!W29,'Income Statement'!L31,'Income Statement'!Z31,'Income Statement'!AA31,'Income Statement'!V31,'Income Statement'!W31,'Income Statement'!L9,'Income Statement'!Z9,'Income Statement'!AA9,'Income Statement'!V9,'Income Statement'!W9)=13,IF(('Income Statement'!L31+'Income Statement'!Z31+'Income Statement'!AA31-'Income Statement'!V31-'Income Statement'!W31)&gt;0.01*('Income Statement'!L9+'Income Statement'!Z9+'Income Statement'!AA9-'Income Statement'!V9-'Income Statement'!W9),('Cash Flow'!L29+'Cash Flow'!AA29-'Cash Flow'!W29)/('Income Statement'!L31+'Income Statement'!Z31+'Income Statement'!AA31-'Income Statement'!V31-'Income Statement'!W31),"n.m."),"")</x:f>
        <x:v>n.m.</x:v>
      </x:c>
    </x:row>
    <x:row r="18" ht="24" customHeight="1">
      <x:c r="A18" s="72" t="str">
        <x:v>Total PP&amp;E cash payments / operating cash flow</x:v>
      </x:c>
      <x:c r="B18" s="35"/>
      <x:c r="C18" s="87" t="n">
        <x:f>IF(COUNT('Cash Flow'!C106,'Cash Flow'!C29)=2,IF('Cash Flow'!C29&gt;0,'Cash Flow'!C106/'Cash Flow'!C29,"n.m."),"")</x:f>
        <x:v>0.4413517975055026</x:v>
      </x:c>
      <x:c r="D18" s="87" t="n">
        <x:f>IF(COUNT('Cash Flow'!D106,'Cash Flow'!D29)=2,IF('Cash Flow'!D29&gt;0,'Cash Flow'!D106/'Cash Flow'!D29,"n.m."),"")</x:f>
        <x:v>0.5327001356852104</x:v>
      </x:c>
      <x:c r="E18" s="87" t="n">
        <x:f>IF(COUNT('Cash Flow'!E106,'Cash Flow'!E29)=2,IF('Cash Flow'!E29&gt;0,'Cash Flow'!E106/'Cash Flow'!E29,"n.m."),"")</x:f>
        <x:v>0.5157991301984235</x:v>
      </x:c>
      <x:c r="F18" s="87" t="n">
        <x:f>IF(COUNT('Cash Flow'!F106,'Cash Flow'!F29)=2,IF('Cash Flow'!F29&gt;0,'Cash Flow'!F106/'Cash Flow'!F29,"n.m."),"")</x:f>
        <x:v>0.4891537185095791</x:v>
      </x:c>
      <x:c r="G18" s="87" t="n">
        <x:f>IF(COUNT('Cash Flow'!G106,'Cash Flow'!G29)=2,IF('Cash Flow'!G29&gt;0,'Cash Flow'!G106/'Cash Flow'!G29,"n.m."),"")</x:f>
        <x:v>0.40846145150350444</x:v>
      </x:c>
      <x:c r="H18" s="87" t="n">
        <x:f>IF(COUNT('Cash Flow'!H106,'Cash Flow'!H29)=2,IF('Cash Flow'!H29&gt;0,'Cash Flow'!H106/'Cash Flow'!H29,"n.m."),"")</x:f>
        <x:v>0.677836684338635</x:v>
      </x:c>
      <x:c r="I18" s="87" t="n">
        <x:f>IF(COUNT('Cash Flow'!I106,'Cash Flow'!I29)=2,IF('Cash Flow'!I29&gt;0,'Cash Flow'!I106/'Cash Flow'!I29,"n.m."),"")</x:f>
        <x:v>1.623145208319834</x:v>
      </x:c>
      <x:c r="J18" s="87" t="n">
        <x:f>IF(COUNT('Cash Flow'!J106,'Cash Flow'!J29)=2,IF('Cash Flow'!J29&gt;0,'Cash Flow'!J106/'Cash Flow'!J29,"n.m."),"")</x:f>
        <x:v>2.2447912126231366</x:v>
      </x:c>
      <x:c r="K18" s="87" t="n">
        <x:f>IF(COUNT('Cash Flow'!K106,'Cash Flow'!K29)=2,IF('Cash Flow'!K29&gt;0,'Cash Flow'!K106/'Cash Flow'!K29,"n.m."),"")</x:f>
        <x:v>3.0311293436293436</x:v>
      </x:c>
      <x:c r="L18" s="87" t="n">
        <x:f>IF(COUNT('Cash Flow'!L106,'Cash Flow'!L29)=2,IF('Cash Flow'!L29&gt;0,'Cash Flow'!L106/'Cash Flow'!L29,"n.m."),"")</x:f>
        <x:v>1.822419304939672</x:v>
      </x:c>
      <x:c r="M18" s="74"/>
      <x:c r="N18" s="88"/>
      <x:c r="O18" s="88"/>
      <x:c r="P18" s="88"/>
      <x:c r="Q18" s="88"/>
      <x:c r="R18" s="87" t="n">
        <x:f>IF(COUNT('Cash Flow'!J106,'Cash Flow'!R106,'Cash Flow'!N106,'Cash Flow'!J29,'Cash Flow'!R29,'Cash Flow'!N29)=6,IF(('Cash Flow'!J29+'Cash Flow'!R29-'Cash Flow'!N29)&gt;0,('Cash Flow'!J106+'Cash Flow'!R106-'Cash Flow'!N106)/('Cash Flow'!J29+'Cash Flow'!R29-'Cash Flow'!N29),"n.m."),"")</x:f>
        <x:v>2.0200282556303497</x:v>
      </x:c>
      <x:c r="S18" s="87" t="n">
        <x:f>IF(COUNT('Cash Flow'!J106,'Cash Flow'!S106,'Cash Flow'!O106,'Cash Flow'!J29,'Cash Flow'!S29,'Cash Flow'!O29)=6,IF(('Cash Flow'!J29+'Cash Flow'!S29-'Cash Flow'!O29)&gt;0,('Cash Flow'!J106+'Cash Flow'!S106-'Cash Flow'!O106)/('Cash Flow'!J29+'Cash Flow'!S29-'Cash Flow'!O29),"n.m."),"")</x:f>
        <x:v>2.092645654250239</x:v>
      </x:c>
      <x:c r="T18" s="87" t="n">
        <x:f>IF(COUNT('Cash Flow'!J106,'Cash Flow'!T106,'Cash Flow'!P106,'Cash Flow'!J29,'Cash Flow'!T29,'Cash Flow'!P29)=6,IF(('Cash Flow'!J29+'Cash Flow'!T29-'Cash Flow'!P29)&gt;0,('Cash Flow'!J106+'Cash Flow'!T106-'Cash Flow'!P106)/('Cash Flow'!J29+'Cash Flow'!T29-'Cash Flow'!P29),"n.m."),"")</x:f>
        <x:v>2.5449882014978966</x:v>
      </x:c>
      <x:c r="U18" s="87" t="n">
        <x:f>IF(COUNT('Cash Flow'!J106,'Cash Flow'!U106,'Cash Flow'!Q106,'Cash Flow'!J29,'Cash Flow'!U29,'Cash Flow'!Q29)=6,IF(('Cash Flow'!J29+'Cash Flow'!U29-'Cash Flow'!Q29)&gt;0,('Cash Flow'!J106+'Cash Flow'!U106-'Cash Flow'!Q106)/('Cash Flow'!J29+'Cash Flow'!U29-'Cash Flow'!Q29),"n.m."),"")</x:f>
        <x:v>3.0311293436293436</x:v>
      </x:c>
      <x:c r="V18" s="87" t="n">
        <x:f>IF(COUNT('Cash Flow'!K106,'Cash Flow'!V106,'Cash Flow'!R106,'Cash Flow'!K29,'Cash Flow'!V29,'Cash Flow'!R29)=6,IF(('Cash Flow'!K29+'Cash Flow'!V29-'Cash Flow'!R29)&gt;0,('Cash Flow'!K106+'Cash Flow'!V106-'Cash Flow'!R106)/('Cash Flow'!K29+'Cash Flow'!V29-'Cash Flow'!R29),"n.m."),"")</x:f>
        <x:v>2.4559279349089502</x:v>
      </x:c>
      <x:c r="W18" s="87" t="n">
        <x:f>IF(COUNT('Cash Flow'!K106,'Cash Flow'!W106,'Cash Flow'!S106,'Cash Flow'!K29,'Cash Flow'!W29,'Cash Flow'!S29)=6,IF(('Cash Flow'!K29+'Cash Flow'!W29-'Cash Flow'!S29)&gt;0,('Cash Flow'!K106+'Cash Flow'!W106-'Cash Flow'!S106)/('Cash Flow'!K29+'Cash Flow'!W29-'Cash Flow'!S29),"n.m."),"")</x:f>
        <x:v>2.39684586391589</x:v>
      </x:c>
      <x:c r="X18" s="87" t="n">
        <x:f>IF(COUNT('Cash Flow'!K106,'Cash Flow'!X106,'Cash Flow'!T106,'Cash Flow'!K29,'Cash Flow'!X29,'Cash Flow'!T29)=6,IF(('Cash Flow'!K29+'Cash Flow'!X29-'Cash Flow'!T29)&gt;0,('Cash Flow'!K106+'Cash Flow'!X106-'Cash Flow'!T106)/('Cash Flow'!K29+'Cash Flow'!X29-'Cash Flow'!T29),"n.m."),"")</x:f>
        <x:v>2.409960345229764</x:v>
      </x:c>
      <x:c r="Y18" s="87" t="n">
        <x:f>IF(COUNT('Cash Flow'!K106,'Cash Flow'!Y106,'Cash Flow'!U106,'Cash Flow'!K29,'Cash Flow'!Y29,'Cash Flow'!U29)=6,IF(('Cash Flow'!K29+'Cash Flow'!Y29-'Cash Flow'!U29)&gt;0,('Cash Flow'!K106+'Cash Flow'!Y106-'Cash Flow'!U106)/('Cash Flow'!K29+'Cash Flow'!Y29-'Cash Flow'!U29),"n.m."),"")</x:f>
        <x:v>1.822419304939672</x:v>
      </x:c>
      <x:c r="Z18" s="87" t="n">
        <x:f>IF(COUNT('Cash Flow'!L106,'Cash Flow'!Z106,'Cash Flow'!V106,'Cash Flow'!L29,'Cash Flow'!Z29,'Cash Flow'!V29)=6,IF(('Cash Flow'!L29+'Cash Flow'!Z29-'Cash Flow'!V29)&gt;0,('Cash Flow'!L106+'Cash Flow'!Z106-'Cash Flow'!V106)/('Cash Flow'!L29+'Cash Flow'!Z29-'Cash Flow'!V29),"n.m."),"")</x:f>
        <x:v>1.646492985971944</x:v>
      </x:c>
      <x:c r="AA18" s="87" t="n">
        <x:f>IF(COUNT('Cash Flow'!L106,'Cash Flow'!AA106,'Cash Flow'!W106,'Cash Flow'!L29,'Cash Flow'!AA29,'Cash Flow'!W29)=6,IF(('Cash Flow'!L29+'Cash Flow'!AA29-'Cash Flow'!W29)&gt;0,('Cash Flow'!L106+'Cash Flow'!AA106-'Cash Flow'!W106)/('Cash Flow'!L29+'Cash Flow'!AA29-'Cash Flow'!W29),"n.m."),"")</x:f>
        <x:v>0.9769683985002678</x:v>
      </x:c>
    </x:row>
    <x:row r="19" ht="20" customHeight="1">
      <x:c r="A19" s="40" t="str">
        <x:v>Share-based compensation / revenue</x:v>
      </x:c>
      <x:c r="B19" s="3"/>
      <x:c r="C19" s="76" t="n">
        <x:f>IF(COUNT('Cash Flow'!C11,'Income Statement'!C9)=2,'Cash Flow'!C11/'Income Statement'!C9,"")</x:f>
        <x:v>0.02431508579318706</x:v>
      </x:c>
      <x:c r="D19" s="76" t="n">
        <x:f>IF(COUNT('Cash Flow'!D11,'Income Statement'!D9)=2,'Cash Flow'!D11/'Income Statement'!D9,"")</x:f>
        <x:v>0.02163764121030576</x:v>
      </x:c>
      <x:c r="E19" s="76" t="n">
        <x:f>IF(COUNT('Cash Flow'!E11,'Income Statement'!E9)=2,'Cash Flow'!E11/'Income Statement'!E9,"")</x:f>
        <x:v>0.021821364046973803</x:v>
      </x:c>
      <x:c r="F19" s="76" t="n">
        <x:f>IF(COUNT('Cash Flow'!F11,'Income Statement'!F9)=2,'Cash Flow'!F11/'Income Statement'!F9,"")</x:f>
        <x:v>0.023692072535260195</x:v>
      </x:c>
      <x:c r="G19" s="76" t="n">
        <x:f>IF(COUNT('Cash Flow'!G11,'Income Statement'!G9)=2,'Cash Flow'!G11/'Income Statement'!G9,"")</x:f>
        <x:v>0.023809829581208985</x:v>
      </x:c>
      <x:c r="H19" s="76" t="n">
        <x:f>IF(COUNT('Cash Flow'!H11,'Income Statement'!H9)=2,'Cash Flow'!H11/'Income Statement'!H9,"")</x:f>
        <x:v>0.02576432476209759</x:v>
      </x:c>
      <x:c r="I19" s="76" t="n">
        <x:f>IF(COUNT('Cash Flow'!I11,'Income Statement'!I9)=2,'Cash Flow'!I11/'Income Statement'!I9,"")</x:f>
        <x:v>0.049608272274558315</x:v>
      </x:c>
      <x:c r="J19" s="76" t="n">
        <x:f>IF(COUNT('Cash Flow'!J11,'Income Statement'!J9)=2,'Cash Flow'!J11/'Income Statement'!J9,"")</x:f>
        <x:v>0.05954488456148115</x:v>
      </x:c>
      <x:c r="K19" s="76" t="n">
        <x:f>IF(COUNT('Cash Flow'!K11,'Income Statement'!K9)=2,'Cash Flow'!K11/'Income Statement'!K9,"")</x:f>
        <x:v>0.06421724637954088</x:v>
      </x:c>
      <x:c r="L19" s="76" t="n">
        <x:f>IF(COUNT('Cash Flow'!L11,'Income Statement'!L9)=2,'Cash Flow'!L11/'Income Statement'!L9,"")</x:f>
        <x:v>0.0460522581499631</x:v>
      </x:c>
      <x:c r="M19" s="44"/>
      <x:c r="N19" s="45"/>
      <x:c r="O19" s="45"/>
      <x:c r="P19" s="45"/>
      <x:c r="Q19" s="45"/>
      <x:c r="R19" s="76" t="n">
        <x:f>IF(COUNT('Cash Flow'!J11,'Cash Flow'!R11,'Cash Flow'!N11,'Income Statement'!J9,'Income Statement'!R9,'Income Statement'!N9)=6,('Cash Flow'!J11+'Cash Flow'!R11-'Cash Flow'!N11)/('Income Statement'!J9+'Income Statement'!R9-'Income Statement'!N9),"")</x:f>
        <x:v>0.06642286872929377</x:v>
      </x:c>
      <x:c r="S19" s="76" t="n">
        <x:f>IF(COUNT('Cash Flow'!J11,'Cash Flow'!S11,'Cash Flow'!O11,'Income Statement'!J9,'Income Statement'!R9,'Income Statement'!S9,'Income Statement'!N9,'Income Statement'!O9)=8,('Cash Flow'!J11+'Cash Flow'!S11-'Cash Flow'!O11)/('Income Statement'!J9+'Income Statement'!R9+'Income Statement'!S9-'Income Statement'!N9-'Income Statement'!O9),"")</x:f>
        <x:v>0.06398650242194445</x:v>
      </x:c>
      <x:c r="T19" s="76" t="n">
        <x:f>IF(COUNT('Cash Flow'!J11,'Cash Flow'!T11,'Cash Flow'!P11,'Income Statement'!J9,'Income Statement'!R9,'Income Statement'!S9,'Income Statement'!T9,'Income Statement'!N9,'Income Statement'!O9,'Income Statement'!P9)=10,('Cash Flow'!J11+'Cash Flow'!T11-'Cash Flow'!P11)/('Income Statement'!J9+'Income Statement'!R9+'Income Statement'!S9+'Income Statement'!T9-'Income Statement'!N9-'Income Statement'!O9-'Income Statement'!P9),"")</x:f>
        <x:v>0.06553357789370841</x:v>
      </x:c>
      <x:c r="U19" s="76" t="n">
        <x:f>IF(COUNT('Cash Flow'!J11,'Cash Flow'!U11,'Cash Flow'!Q11,'Income Statement'!J9,'Income Statement'!R9,'Income Statement'!S9,'Income Statement'!T9,'Income Statement'!U9,'Income Statement'!N9,'Income Statement'!O9,'Income Statement'!P9,'Income Statement'!Q9)=12,('Cash Flow'!J11+'Cash Flow'!U11-'Cash Flow'!Q11)/('Income Statement'!J9+'Income Statement'!R9+'Income Statement'!S9+'Income Statement'!T9+'Income Statement'!U9-'Income Statement'!N9-'Income Statement'!O9-'Income Statement'!P9-'Income Statement'!Q9),"")</x:f>
        <x:v>0.06421724637954088</x:v>
      </x:c>
      <x:c r="V19" s="76" t="n">
        <x:f>IF(COUNT('Cash Flow'!K11,'Cash Flow'!V11,'Cash Flow'!R11,'Income Statement'!K9,'Income Statement'!V9,'Income Statement'!R9)=6,('Cash Flow'!K11+'Cash Flow'!V11-'Cash Flow'!R11)/('Income Statement'!K9+'Income Statement'!V9-'Income Statement'!R9),"")</x:f>
        <x:v>0.05495437749792625</x:v>
      </x:c>
      <x:c r="W19" s="76" t="n">
        <x:f>IF(COUNT('Cash Flow'!K11,'Cash Flow'!W11,'Cash Flow'!S11,'Income Statement'!K9,'Income Statement'!V9,'Income Statement'!W9,'Income Statement'!R9,'Income Statement'!S9)=8,('Cash Flow'!K11+'Cash Flow'!W11-'Cash Flow'!S11)/('Income Statement'!K9+'Income Statement'!V9+'Income Statement'!W9-'Income Statement'!R9-'Income Statement'!S9),"")</x:f>
        <x:v>0.05274166195590729</x:v>
      </x:c>
      <x:c r="X19" s="76" t="n">
        <x:f>IF(COUNT('Cash Flow'!K11,'Cash Flow'!X11,'Cash Flow'!T11,'Income Statement'!K9,'Income Statement'!V9,'Income Statement'!W9,'Income Statement'!X9,'Income Statement'!R9,'Income Statement'!S9,'Income Statement'!T9)=10,('Cash Flow'!K11+'Cash Flow'!X11-'Cash Flow'!T11)/('Income Statement'!K9+'Income Statement'!V9+'Income Statement'!W9+'Income Statement'!X9-'Income Statement'!R9-'Income Statement'!S9-'Income Statement'!T9),"")</x:f>
        <x:v>0.047661820019087184</x:v>
      </x:c>
      <x:c r="Y19" s="76" t="n">
        <x:f>IF(COUNT('Cash Flow'!K11,'Cash Flow'!Y11,'Cash Flow'!U11,'Income Statement'!K9,'Income Statement'!V9,'Income Statement'!W9,'Income Statement'!X9,'Income Statement'!Y9,'Income Statement'!R9,'Income Statement'!S9,'Income Statement'!T9,'Income Statement'!U9)=12,('Cash Flow'!K11+'Cash Flow'!Y11-'Cash Flow'!U11)/('Income Statement'!K9+'Income Statement'!V9+'Income Statement'!W9+'Income Statement'!X9+'Income Statement'!Y9-'Income Statement'!R9-'Income Statement'!S9-'Income Statement'!T9-'Income Statement'!U9),"")</x:f>
        <x:v>0.0460522581499631</x:v>
      </x:c>
      <x:c r="Z19" s="76" t="n">
        <x:f>IF(COUNT('Cash Flow'!L11,'Cash Flow'!Z11,'Cash Flow'!V11,'Income Statement'!L9,'Income Statement'!Z9,'Income Statement'!V9)=6,('Cash Flow'!L11+'Cash Flow'!Z11-'Cash Flow'!V11)/('Income Statement'!L9+'Income Statement'!Z9-'Income Statement'!V9),"")</x:f>
        <x:v>0.04410096162788535</x:v>
      </x:c>
      <x:c r="AA19" s="76" t="n">
        <x:f>IF(COUNT('Cash Flow'!L11,'Cash Flow'!AA11,'Cash Flow'!W11,'Income Statement'!L9,'Income Statement'!Z9,'Income Statement'!AA9,'Income Statement'!V9,'Income Statement'!W9)=8,('Cash Flow'!L11+'Cash Flow'!AA11-'Cash Flow'!W11)/('Income Statement'!L9+'Income Statement'!Z9+'Income Statement'!AA9-'Income Statement'!V9-'Income Statement'!W9),"")</x:f>
        <x:v>0.041958900266517045</x:v>
      </x:c>
    </x:row>
    <x:row r="20" ht="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row>
    <x:row r="21" ht="22" customHeight="1">
      <x:c r="A21" s="21" t="str">
        <x:v>Liquidity and financing</x:v>
      </x:c>
      <x:c r="B21" s="21" t="str">
        <x:v>Liquidity and financing</x:v>
      </x:c>
      <x:c r="C21" s="21" t="str">
        <x:v>Liquidity and financing</x:v>
      </x:c>
      <x:c r="D21" s="21" t="str">
        <x:v>Liquidity and financing</x:v>
      </x:c>
      <x:c r="E21" s="21" t="str">
        <x:v>Liquidity and financing</x:v>
      </x:c>
      <x:c r="F21" s="21" t="str">
        <x:v>Liquidity and financing</x:v>
      </x:c>
      <x:c r="G21" s="21" t="str">
        <x:v>Liquidity and financing</x:v>
      </x:c>
      <x:c r="H21" s="21" t="str">
        <x:v>Liquidity and financing</x:v>
      </x:c>
      <x:c r="I21" s="21" t="str">
        <x:v>Liquidity and financing</x:v>
      </x:c>
      <x:c r="J21" s="21" t="str">
        <x:v>Liquidity and financing</x:v>
      </x:c>
      <x:c r="K21" s="21" t="str">
        <x:v>Liquidity and financing</x:v>
      </x:c>
      <x:c r="L21" s="21" t="str">
        <x:v>Liquidity and financing</x:v>
      </x:c>
      <x:c r="M21" s="21" t="str">
        <x:v>Liquidity and financing</x:v>
      </x:c>
      <x:c r="N21" s="21" t="str">
        <x:v>Liquidity and financing</x:v>
      </x:c>
      <x:c r="O21" s="21" t="str">
        <x:v>Liquidity and financing</x:v>
      </x:c>
      <x:c r="P21" s="21" t="str">
        <x:v>Liquidity and financing</x:v>
      </x:c>
      <x:c r="Q21" s="21" t="str">
        <x:v>Liquidity and financing</x:v>
      </x:c>
      <x:c r="R21" s="21" t="str">
        <x:v>Liquidity and financing</x:v>
      </x:c>
      <x:c r="S21" s="21" t="str">
        <x:v>Liquidity and financing</x:v>
      </x:c>
      <x:c r="T21" s="21" t="str">
        <x:v>Liquidity and financing</x:v>
      </x:c>
      <x:c r="U21" s="21" t="str">
        <x:v>Liquidity and financing</x:v>
      </x:c>
      <x:c r="V21" s="21" t="str">
        <x:v>Liquidity and financing</x:v>
      </x:c>
      <x:c r="W21" s="21" t="str">
        <x:v>Liquidity and financing</x:v>
      </x:c>
      <x:c r="X21" s="21" t="str">
        <x:v>Liquidity and financing</x:v>
      </x:c>
      <x:c r="Y21" s="21" t="str">
        <x:v>Liquidity and financing</x:v>
      </x:c>
      <x:c r="Z21" s="21" t="str">
        <x:v>Liquidity and financing</x:v>
      </x:c>
      <x:c r="AA21" s="21" t="str">
        <x:v>Liquidity and financing</x:v>
      </x:c>
    </x:row>
    <x:row r="22" ht="18" customHeight="1">
      <x:c r="A22" s="22" t="str">
        <x:v>Liquid cash excludes legally restricted cash. Marketable equity and cash-equivalent reverse repos already included in statement totals are never deducted twice.</x:v>
      </x:c>
      <x:c r="B22" s="22" t="str">
        <x:v>Liquid cash excludes legally restricted cash. Marketable equity and cash-equivalent reverse repos already included in statement totals are never deducted twice.</x:v>
      </x:c>
      <x:c r="C22" s="22" t="str">
        <x:v>Liquid cash excludes legally restricted cash. Marketable equity and cash-equivalent reverse repos already included in statement totals are never deducted twice.</x:v>
      </x:c>
      <x:c r="D22" s="22" t="str">
        <x:v>Liquid cash excludes legally restricted cash. Marketable equity and cash-equivalent reverse repos already included in statement totals are never deducted twice.</x:v>
      </x:c>
      <x:c r="E22" s="22" t="str">
        <x:v>Liquid cash excludes legally restricted cash. Marketable equity and cash-equivalent reverse repos already included in statement totals are never deducted twice.</x:v>
      </x:c>
      <x:c r="F22" s="22" t="str">
        <x:v>Liquid cash excludes legally restricted cash. Marketable equity and cash-equivalent reverse repos already included in statement totals are never deducted twice.</x:v>
      </x:c>
      <x:c r="G22" s="22" t="str">
        <x:v>Liquid cash excludes legally restricted cash. Marketable equity and cash-equivalent reverse repos already included in statement totals are never deducted twice.</x:v>
      </x:c>
      <x:c r="H22" s="22" t="str">
        <x:v>Liquid cash excludes legally restricted cash. Marketable equity and cash-equivalent reverse repos already included in statement totals are never deducted twice.</x:v>
      </x:c>
      <x:c r="I22" s="22" t="str">
        <x:v>Liquid cash excludes legally restricted cash. Marketable equity and cash-equivalent reverse repos already included in statement totals are never deducted twice.</x:v>
      </x:c>
      <x:c r="J22" s="22" t="str">
        <x:v>Liquid cash excludes legally restricted cash. Marketable equity and cash-equivalent reverse repos already included in statement totals are never deducted twice.</x:v>
      </x:c>
      <x:c r="K22" s="22" t="str">
        <x:v>Liquid cash excludes legally restricted cash. Marketable equity and cash-equivalent reverse repos already included in statement totals are never deducted twice.</x:v>
      </x:c>
      <x:c r="L22" s="22" t="str">
        <x:v>Liquid cash excludes legally restricted cash. Marketable equity and cash-equivalent reverse repos already included in statement totals are never deducted twice.</x:v>
      </x:c>
      <x:c r="M22" s="22" t="str">
        <x:v>Liquid cash excludes legally restricted cash. Marketable equity and cash-equivalent reverse repos already included in statement totals are never deducted twice.</x:v>
      </x:c>
      <x:c r="N22" s="22" t="str">
        <x:v>Liquid cash excludes legally restricted cash. Marketable equity and cash-equivalent reverse repos already included in statement totals are never deducted twice.</x:v>
      </x:c>
      <x:c r="O22" s="22" t="str">
        <x:v>Liquid cash excludes legally restricted cash. Marketable equity and cash-equivalent reverse repos already included in statement totals are never deducted twice.</x:v>
      </x:c>
      <x:c r="P22" s="22" t="str">
        <x:v>Liquid cash excludes legally restricted cash. Marketable equity and cash-equivalent reverse repos already included in statement totals are never deducted twice.</x:v>
      </x:c>
      <x:c r="Q22" s="22" t="str">
        <x:v>Liquid cash excludes legally restricted cash. Marketable equity and cash-equivalent reverse repos already included in statement totals are never deducted twice.</x:v>
      </x:c>
      <x:c r="R22" s="22" t="str">
        <x:v>Liquid cash excludes legally restricted cash. Marketable equity and cash-equivalent reverse repos already included in statement totals are never deducted twice.</x:v>
      </x:c>
      <x:c r="S22" s="22" t="str">
        <x:v>Liquid cash excludes legally restricted cash. Marketable equity and cash-equivalent reverse repos already included in statement totals are never deducted twice.</x:v>
      </x:c>
      <x:c r="T22" s="22" t="str">
        <x:v>Liquid cash excludes legally restricted cash. Marketable equity and cash-equivalent reverse repos already included in statement totals are never deducted twice.</x:v>
      </x:c>
      <x:c r="U22" s="22" t="str">
        <x:v>Liquid cash excludes legally restricted cash. Marketable equity and cash-equivalent reverse repos already included in statement totals are never deducted twice.</x:v>
      </x:c>
      <x:c r="V22" s="22" t="str">
        <x:v>Liquid cash excludes legally restricted cash. Marketable equity and cash-equivalent reverse repos already included in statement totals are never deducted twice.</x:v>
      </x:c>
      <x:c r="W22" s="22" t="str">
        <x:v>Liquid cash excludes legally restricted cash. Marketable equity and cash-equivalent reverse repos already included in statement totals are never deducted twice.</x:v>
      </x:c>
      <x:c r="X22" s="22" t="str">
        <x:v>Liquid cash excludes legally restricted cash. Marketable equity and cash-equivalent reverse repos already included in statement totals are never deducted twice.</x:v>
      </x:c>
      <x:c r="Y22" s="22" t="str">
        <x:v>Liquid cash excludes legally restricted cash. Marketable equity and cash-equivalent reverse repos already included in statement totals are never deducted twice.</x:v>
      </x:c>
      <x:c r="Z22" s="22" t="str">
        <x:v>Liquid cash excludes legally restricted cash. Marketable equity and cash-equivalent reverse repos already included in statement totals are never deducted twice.</x:v>
      </x:c>
      <x:c r="AA22" s="22" t="str">
        <x:v>Liquid cash excludes legally restricted cash. Marketable equity and cash-equivalent reverse repos already included in statement totals are never deducted twice.</x:v>
      </x:c>
    </x:row>
    <x:row r="23" ht="24" customHeight="1">
      <x:c r="A23" s="34" t="str">
        <x:v>Cash and short-term financial investments</x:v>
      </x:c>
      <x:c r="B23" s="35"/>
      <x:c r="C23" s="81" t="n">
        <x:f>IF(COUNT('Balance Sheet'!C8,'Balance Sheet'!C9,'Balance Sheet'!C10)=3,('Balance Sheet'!C8+'Balance Sheet'!C9+'Balance Sheet'!C10),"")</x:f>
        <x:v>17099</x:v>
      </x:c>
      <x:c r="D23" s="81" t="n">
        <x:f>IF(COUNT('Balance Sheet'!D8,'Balance Sheet'!D9,'Balance Sheet'!D10)=3,('Balance Sheet'!D8+'Balance Sheet'!D9+'Balance Sheet'!D10),"")</x:f>
        <x:v>14002</x:v>
      </x:c>
      <x:c r="E23" s="81" t="n">
        <x:f>IF(COUNT('Balance Sheet'!E8,'Balance Sheet'!E9,'Balance Sheet'!E10)=3,('Balance Sheet'!E8+'Balance Sheet'!E9+'Balance Sheet'!E10),"")</x:f>
        <x:v>11650</x:v>
      </x:c>
      <x:c r="F23" s="81" t="n">
        <x:f>IF(COUNT('Balance Sheet'!F8,'Balance Sheet'!F9,'Balance Sheet'!F10)=3,('Balance Sheet'!F8+'Balance Sheet'!F9+'Balance Sheet'!F10),"")</x:f>
        <x:v>13123</x:v>
      </x:c>
      <x:c r="G23" s="81" t="n">
        <x:f>IF(COUNT('Balance Sheet'!G8,'Balance Sheet'!G9,'Balance Sheet'!G10)=3,('Balance Sheet'!G8+'Balance Sheet'!G9+'Balance Sheet'!G10),"")</x:f>
        <x:v>23895</x:v>
      </x:c>
      <x:c r="H23" s="81" t="n">
        <x:f>IF(COUNT('Balance Sheet'!H8,'Balance Sheet'!H9,'Balance Sheet'!H10)=3,('Balance Sheet'!H8+'Balance Sheet'!H9+'Balance Sheet'!H10),"")</x:f>
        <x:v>28413</x:v>
      </x:c>
      <x:c r="I23" s="81" t="n">
        <x:f>IF(COUNT('Balance Sheet'!I8,'Balance Sheet'!I9)=2,('Balance Sheet'!I8+'Balance Sheet'!I9),"")</x:f>
        <x:v>28338</x:v>
      </x:c>
      <x:c r="J23" s="81" t="n">
        <x:f>IF(COUNT('Balance Sheet'!J8,'Balance Sheet'!J9)=2,('Balance Sheet'!J8+'Balance Sheet'!J9),"")</x:f>
        <x:v>25034</x:v>
      </x:c>
      <x:c r="K23" s="81" t="n">
        <x:f>IF(COUNT('Balance Sheet'!K8,'Balance Sheet'!K9)=2,('Balance Sheet'!K8+'Balance Sheet'!K9),"")</x:f>
        <x:v>22062</x:v>
      </x:c>
      <x:c r="L23" s="81" t="n">
        <x:f>IF(COUNT('Balance Sheet'!L8,'Balance Sheet'!L9)=2,('Balance Sheet'!L8+'Balance Sheet'!L9),"")</x:f>
        <x:v>37416</x:v>
      </x:c>
      <x:c r="M23" s="36"/>
      <x:c r="N23" s="36"/>
      <x:c r="O23" s="36"/>
      <x:c r="P23" s="81" t="n">
        <x:f>IF(COUNT('Balance Sheet'!P8,'Balance Sheet'!P9)=2,('Balance Sheet'!P8+'Balance Sheet'!P9),"")</x:f>
        <x:v>25030</x:v>
      </x:c>
      <x:c r="Q23" s="81" t="n">
        <x:f>IF(COUNT('Balance Sheet'!J8,'Balance Sheet'!J9)=2,('Balance Sheet'!J8+'Balance Sheet'!J9),"")</x:f>
        <x:v>25034</x:v>
      </x:c>
      <x:c r="R23" s="81" t="n">
        <x:f>IF(COUNT('Balance Sheet'!R8,'Balance Sheet'!R9)=2,('Balance Sheet'!R8+'Balance Sheet'!R9),"")</x:f>
        <x:v>21311</x:v>
      </x:c>
      <x:c r="S23" s="81" t="n">
        <x:f>IF(COUNT('Balance Sheet'!S8,'Balance Sheet'!S9)=2,('Balance Sheet'!S8+'Balance Sheet'!S9),"")</x:f>
        <x:v>29273</x:v>
      </x:c>
      <x:c r="T23" s="81" t="n">
        <x:f>IF(COUNT('Balance Sheet'!T8,'Balance Sheet'!T9)=2,('Balance Sheet'!T8+'Balance Sheet'!T9),"")</x:f>
        <x:v>24086</x:v>
      </x:c>
      <x:c r="U23" s="81" t="n">
        <x:f>IF(COUNT('Balance Sheet'!K8,'Balance Sheet'!K9)=2,('Balance Sheet'!K8+'Balance Sheet'!K9),"")</x:f>
        <x:v>22062</x:v>
      </x:c>
      <x:c r="V23" s="81" t="n">
        <x:f>IF(COUNT('Balance Sheet'!V8,'Balance Sheet'!V9)=2,('Balance Sheet'!V8+'Balance Sheet'!V9),"")</x:f>
        <x:v>21048</x:v>
      </x:c>
      <x:c r="W23" s="81" t="n">
        <x:f>IF(COUNT('Balance Sheet'!W8,'Balance Sheet'!W9)=2,('Balance Sheet'!W8+'Balance Sheet'!W9),"")</x:f>
        <x:v>21206</x:v>
      </x:c>
      <x:c r="X23" s="81" t="n">
        <x:f>IF(COUNT('Balance Sheet'!X8,'Balance Sheet'!X9)=2,('Balance Sheet'!X8+'Balance Sheet'!X9),"")</x:f>
        <x:v>30935</x:v>
      </x:c>
      <x:c r="Y23" s="81" t="n">
        <x:f>IF(COUNT('Balance Sheet'!L8,'Balance Sheet'!L9)=2,('Balance Sheet'!L8+'Balance Sheet'!L9),"")</x:f>
        <x:v>37416</x:v>
      </x:c>
      <x:c r="Z23" s="81" t="n">
        <x:f>IF(COUNT('Balance Sheet'!Z8,'Balance Sheet'!Z9)=2,('Balance Sheet'!Z8+'Balance Sheet'!Z9),"")</x:f>
        <x:v>32789</x:v>
      </x:c>
      <x:c r="AA23" s="81" t="n">
        <x:f>IF(COUNT('Balance Sheet'!AA8,'Balance Sheet'!AA9)=2,('Balance Sheet'!AA8+'Balance Sheet'!AA9),"")</x:f>
        <x:v>29727</x:v>
      </x:c>
    </x:row>
    <x:row r="24" ht="24" customHeight="1">
      <x:c r="A24" s="34" t="str">
        <x:v>Interest-bearing debt</x:v>
      </x:c>
      <x:c r="B24" s="35"/>
      <x:c r="C24" s="81" t="n">
        <x:f>IF(COUNT('Balance Sheet'!C33,'Balance Sheet'!C37)=2,'Balance Sheet'!C33+'Balance Sheet'!C37,"")</x:f>
        <x:v>25283</x:v>
      </x:c>
      <x:c r="D24" s="81" t="n">
        <x:f>IF(COUNT('Balance Sheet'!D33,'Balance Sheet'!D37)=2,'Balance Sheet'!D33+'Balance Sheet'!D37,"")</x:f>
        <x:v>26813</x:v>
      </x:c>
      <x:c r="E24" s="81" t="n">
        <x:f>IF(COUNT('Balance Sheet'!E33,'Balance Sheet'!E37)=2,'Balance Sheet'!E33+'Balance Sheet'!E37,"")</x:f>
        <x:v>26359</x:v>
      </x:c>
      <x:c r="F24" s="81" t="n">
        <x:f>IF(COUNT('Balance Sheet'!F33,'Balance Sheet'!F37)=2,'Balance Sheet'!F33+'Balance Sheet'!F37,"")</x:f>
        <x:v>29001</x:v>
      </x:c>
      <x:c r="G24" s="81" t="n">
        <x:f>IF(COUNT('Balance Sheet'!G33,'Balance Sheet'!G37)=2,'Balance Sheet'!G33+'Balance Sheet'!G37,"")</x:f>
        <x:v>36401</x:v>
      </x:c>
      <x:c r="H24" s="81" t="n">
        <x:f>IF(COUNT('Balance Sheet'!H33,'Balance Sheet'!H37)=2,'Balance Sheet'!H33+'Balance Sheet'!H37,"")</x:f>
        <x:v>38101</x:v>
      </x:c>
      <x:c r="I24" s="81" t="n">
        <x:f>IF(COUNT('Balance Sheet'!I33,'Balance Sheet'!I37)=2,'Balance Sheet'!I33+'Balance Sheet'!I37,"")</x:f>
        <x:v>42051</x:v>
      </x:c>
      <x:c r="J24" s="81" t="n">
        <x:f>IF(COUNT('Balance Sheet'!J33,'Balance Sheet'!J37)=2,'Balance Sheet'!J33+'Balance Sheet'!J37,"")</x:f>
        <x:v>49266</x:v>
      </x:c>
      <x:c r="K24" s="81" t="n">
        <x:f>IF(COUNT('Balance Sheet'!K33,'Balance Sheet'!K37)=2,'Balance Sheet'!K33+'Balance Sheet'!K37,"")</x:f>
        <x:v>50011</x:v>
      </x:c>
      <x:c r="L24" s="81" t="n">
        <x:f>IF(COUNT('Balance Sheet'!L33,'Balance Sheet'!L37)=2,'Balance Sheet'!L33+'Balance Sheet'!L37,"")</x:f>
        <x:v>46585</x:v>
      </x:c>
      <x:c r="M24" s="36"/>
      <x:c r="N24" s="81" t="str">
        <x:f>IF(COUNT('Balance Sheet'!N33,'Balance Sheet'!N37)=2,'Balance Sheet'!N33+'Balance Sheet'!N37,"")</x:f>
      </x:c>
      <x:c r="O24" s="81" t="str">
        <x:f>IF(COUNT('Balance Sheet'!O33,'Balance Sheet'!O37)=2,'Balance Sheet'!O33+'Balance Sheet'!O37,"")</x:f>
      </x:c>
      <x:c r="P24" s="81" t="n">
        <x:f>IF(COUNT('Balance Sheet'!P33,'Balance Sheet'!P37)=2,'Balance Sheet'!P33+'Balance Sheet'!P37,"")</x:f>
        <x:v>48879</x:v>
      </x:c>
      <x:c r="Q24" s="81" t="n">
        <x:f>IF(COUNT('Balance Sheet'!Q33,'Balance Sheet'!Q37)=2,'Balance Sheet'!Q33+'Balance Sheet'!Q37,"")</x:f>
        <x:v>49266</x:v>
      </x:c>
      <x:c r="R24" s="81" t="n">
        <x:f>IF(COUNT('Balance Sheet'!R33,'Balance Sheet'!R37)=2,'Balance Sheet'!R33+'Balance Sheet'!R37,"")</x:f>
        <x:v>52450</x:v>
      </x:c>
      <x:c r="S24" s="81" t="n">
        <x:f>IF(COUNT('Balance Sheet'!S33,'Balance Sheet'!S37)=2,'Balance Sheet'!S33+'Balance Sheet'!S37,"")</x:f>
        <x:v>53029</x:v>
      </x:c>
      <x:c r="T24" s="81" t="n">
        <x:f>IF(COUNT('Balance Sheet'!T33,'Balance Sheet'!T37)=2,'Balance Sheet'!T33+'Balance Sheet'!T37,"")</x:f>
        <x:v>50236</x:v>
      </x:c>
      <x:c r="U24" s="81" t="n">
        <x:f>IF(COUNT('Balance Sheet'!U33,'Balance Sheet'!U37)=2,'Balance Sheet'!U33+'Balance Sheet'!U37,"")</x:f>
        <x:v>50011</x:v>
      </x:c>
      <x:c r="V24" s="81" t="n">
        <x:f>IF(COUNT('Balance Sheet'!V33,'Balance Sheet'!V37)=2,'Balance Sheet'!V33+'Balance Sheet'!V37,"")</x:f>
        <x:v>50151</x:v>
      </x:c>
      <x:c r="W24" s="81" t="n">
        <x:f>IF(COUNT('Balance Sheet'!W33,'Balance Sheet'!W37)=2,'Balance Sheet'!W33+'Balance Sheet'!W37,"")</x:f>
        <x:v>50757</x:v>
      </x:c>
      <x:c r="X24" s="81" t="n">
        <x:f>IF(COUNT('Balance Sheet'!X33,'Balance Sheet'!X37)=2,'Balance Sheet'!X33+'Balance Sheet'!X37,"")</x:f>
        <x:v>46553</x:v>
      </x:c>
      <x:c r="Y24" s="81" t="n">
        <x:f>IF(COUNT('Balance Sheet'!Y33,'Balance Sheet'!Y37)=2,'Balance Sheet'!Y33+'Balance Sheet'!Y37,"")</x:f>
        <x:v>46585</x:v>
      </x:c>
      <x:c r="Z24" s="81" t="n">
        <x:f>IF(COUNT('Balance Sheet'!Z33,'Balance Sheet'!Z37)=2,'Balance Sheet'!Z33+'Balance Sheet'!Z37,"")</x:f>
        <x:v>45031</x:v>
      </x:c>
      <x:c r="AA24" s="81" t="n">
        <x:f>IF(COUNT('Balance Sheet'!AA33,'Balance Sheet'!AA37)=2,'Balance Sheet'!AA33+'Balance Sheet'!AA37,"")</x:f>
        <x:v>50537</x:v>
      </x:c>
    </x:row>
    <x:row r="25" ht="24" customHeight="1">
      <x:c r="A25" s="34" t="str">
        <x:v>Net cash / (net debt)</x:v>
      </x:c>
      <x:c r="B25" s="35"/>
      <x:c r="C25" s="37" t="n">
        <x:f>IF(COUNT(C23,C24)=2,C23-C24,"")</x:f>
        <x:v>-8184</x:v>
      </x:c>
      <x:c r="D25" s="37" t="n">
        <x:f>IF(COUNT(D23,D24)=2,D23-D24,"")</x:f>
        <x:v>-12811</x:v>
      </x:c>
      <x:c r="E25" s="37" t="n">
        <x:f>IF(COUNT(E23,E24)=2,E23-E24,"")</x:f>
        <x:v>-14709</x:v>
      </x:c>
      <x:c r="F25" s="37" t="n">
        <x:f>IF(COUNT(F23,F24)=2,F23-F24,"")</x:f>
        <x:v>-15878</x:v>
      </x:c>
      <x:c r="G25" s="37" t="n">
        <x:f>IF(COUNT(G23,G24)=2,G23-G24,"")</x:f>
        <x:v>-12506</x:v>
      </x:c>
      <x:c r="H25" s="37" t="n">
        <x:f>IF(COUNT(H23,H24)=2,H23-H24,"")</x:f>
        <x:v>-9688</x:v>
      </x:c>
      <x:c r="I25" s="37" t="n">
        <x:f>IF(COUNT(I23,I24)=2,I23-I24,"")</x:f>
        <x:v>-13713</x:v>
      </x:c>
      <x:c r="J25" s="37" t="n">
        <x:f>IF(COUNT(J23,J24)=2,J23-J24,"")</x:f>
        <x:v>-24232</x:v>
      </x:c>
      <x:c r="K25" s="37" t="n">
        <x:f>IF(COUNT(K23,K24)=2,K23-K24,"")</x:f>
        <x:v>-27949</x:v>
      </x:c>
      <x:c r="L25" s="37" t="n">
        <x:f>IF(COUNT(L23,L24)=2,L23-L24,"")</x:f>
        <x:v>-9169</x:v>
      </x:c>
      <x:c r="M25" s="36"/>
      <x:c r="N25" s="37" t="str">
        <x:f>IF(COUNT(N23,N24)=2,N23-N24,"")</x:f>
      </x:c>
      <x:c r="O25" s="37" t="str">
        <x:f>IF(COUNT(O23,O24)=2,O23-O24,"")</x:f>
      </x:c>
      <x:c r="P25" s="37" t="n">
        <x:f>IF(COUNT(P23,P24)=2,P23-P24,"")</x:f>
        <x:v>-23849</x:v>
      </x:c>
      <x:c r="Q25" s="37" t="n">
        <x:f>IF(COUNT(Q23,Q24)=2,Q23-Q24,"")</x:f>
        <x:v>-24232</x:v>
      </x:c>
      <x:c r="R25" s="37" t="n">
        <x:f>IF(COUNT(R23,R24)=2,R23-R24,"")</x:f>
        <x:v>-31139</x:v>
      </x:c>
      <x:c r="S25" s="37" t="n">
        <x:f>IF(COUNT(S23,S24)=2,S23-S24,"")</x:f>
        <x:v>-23756</x:v>
      </x:c>
      <x:c r="T25" s="37" t="n">
        <x:f>IF(COUNT(T23,T24)=2,T23-T24,"")</x:f>
        <x:v>-26150</x:v>
      </x:c>
      <x:c r="U25" s="37" t="n">
        <x:f>IF(COUNT(U23,U24)=2,U23-U24,"")</x:f>
        <x:v>-27949</x:v>
      </x:c>
      <x:c r="V25" s="37" t="n">
        <x:f>IF(COUNT(V23,V24)=2,V23-V24,"")</x:f>
        <x:v>-29103</x:v>
      </x:c>
      <x:c r="W25" s="37" t="n">
        <x:f>IF(COUNT(W23,W24)=2,W23-W24,"")</x:f>
        <x:v>-29551</x:v>
      </x:c>
      <x:c r="X25" s="37" t="n">
        <x:f>IF(COUNT(X23,X24)=2,X23-X24,"")</x:f>
        <x:v>-15618</x:v>
      </x:c>
      <x:c r="Y25" s="37" t="n">
        <x:f>IF(COUNT(Y23,Y24)=2,Y23-Y24,"")</x:f>
        <x:v>-9169</x:v>
      </x:c>
      <x:c r="Z25" s="37" t="n">
        <x:f>IF(COUNT(Z23,Z24)=2,Z23-Z24,"")</x:f>
        <x:v>-12242</x:v>
      </x:c>
      <x:c r="AA25" s="37" t="n">
        <x:f>IF(COUNT(AA23,AA24)=2,AA23-AA24,"")</x:f>
        <x:v>-20810</x:v>
      </x:c>
    </x:row>
    <x:row r="26" ht="20" customHeight="1">
      <x:c r="A26" s="40" t="str">
        <x:v>Current ratio</x:v>
      </x:c>
      <x:c r="B26" s="3"/>
      <x:c r="C26" s="92" t="n">
        <x:f>IF(COUNT('Balance Sheet'!C15,'Balance Sheet'!C36)=2,'Balance Sheet'!C15/'Balance Sheet'!C36,"")</x:f>
        <x:v>1.7489902472662793</x:v>
      </x:c>
      <x:c r="D26" s="92" t="n">
        <x:f>IF(COUNT('Balance Sheet'!D15,'Balance Sheet'!D36)=2,'Balance Sheet'!D15/'Balance Sheet'!D36,"")</x:f>
        <x:v>1.6933585902072212</x:v>
      </x:c>
      <x:c r="E26" s="92" t="n">
        <x:f>IF(COUNT('Balance Sheet'!E15,'Balance Sheet'!E36)=2,'Balance Sheet'!E15/'Balance Sheet'!E36,"")</x:f>
        <x:v>1.7314447251293155</x:v>
      </x:c>
      <x:c r="F26" s="92" t="n">
        <x:f>IF(COUNT('Balance Sheet'!F15,'Balance Sheet'!F36)=2,'Balance Sheet'!F15/'Balance Sheet'!F36,"")</x:f>
        <x:v>1.4002241147467502</x:v>
      </x:c>
      <x:c r="G26" s="92" t="n">
        <x:f>IF(COUNT('Balance Sheet'!G15,'Balance Sheet'!G36)=2,'Balance Sheet'!G15/'Balance Sheet'!G36,"")</x:f>
        <x:v>1.908742021491476</x:v>
      </x:c>
      <x:c r="H26" s="92" t="n">
        <x:f>IF(COUNT('Balance Sheet'!H15,'Balance Sheet'!H36)=2,'Balance Sheet'!H15/'Balance Sheet'!H36,"")</x:f>
        <x:v>2.1017405869929355</x:v>
      </x:c>
      <x:c r="I26" s="92" t="n">
        <x:f>IF(COUNT('Balance Sheet'!I15,'Balance Sheet'!I36)=2,'Balance Sheet'!I15/'Balance Sheet'!I36,"")</x:f>
        <x:v>1.5676255636759446</x:v>
      </x:c>
      <x:c r="J26" s="92" t="n">
        <x:f>IF(COUNT('Balance Sheet'!J15,'Balance Sheet'!J36)=2,'Balance Sheet'!J15/'Balance Sheet'!J36,"")</x:f>
        <x:v>1.5424018821516416</x:v>
      </x:c>
      <x:c r="K26" s="92" t="n">
        <x:f>IF(COUNT('Balance Sheet'!K15,'Balance Sheet'!K36)=2,'Balance Sheet'!K15/'Balance Sheet'!K36,"")</x:f>
        <x:v>1.3268659227275277</x:v>
      </x:c>
      <x:c r="L26" s="92" t="n">
        <x:f>IF(COUNT('Balance Sheet'!L15,'Balance Sheet'!L36)=2,'Balance Sheet'!L15/'Balance Sheet'!L36,"")</x:f>
        <x:v>2.017038796516231</x:v>
      </x:c>
      <x:c r="M26" s="91"/>
      <x:c r="N26" s="92" t="str">
        <x:f>IF(COUNT('Balance Sheet'!N15,'Balance Sheet'!N36)=2,'Balance Sheet'!N15/'Balance Sheet'!N36,"")</x:f>
      </x:c>
      <x:c r="O26" s="92" t="str">
        <x:f>IF(COUNT('Balance Sheet'!O15,'Balance Sheet'!O36)=2,'Balance Sheet'!O15/'Balance Sheet'!O36,"")</x:f>
      </x:c>
      <x:c r="P26" s="92" t="n">
        <x:f>IF(COUNT('Balance Sheet'!P15,'Balance Sheet'!P36)=2,'Balance Sheet'!P15/'Balance Sheet'!P36,"")</x:f>
        <x:v>1.5311036555532256</x:v>
      </x:c>
      <x:c r="Q26" s="92" t="n">
        <x:f>IF(COUNT('Balance Sheet'!Q15,'Balance Sheet'!Q36)=2,'Balance Sheet'!Q15/'Balance Sheet'!Q36,"")</x:f>
        <x:v>1.5424018821516416</x:v>
      </x:c>
      <x:c r="R26" s="92" t="n">
        <x:f>IF(COUNT('Balance Sheet'!R15,'Balance Sheet'!R36)=2,'Balance Sheet'!R15/'Balance Sheet'!R36,"")</x:f>
        <x:v>1.565722265093889</x:v>
      </x:c>
      <x:c r="S26" s="92" t="n">
        <x:f>IF(COUNT('Balance Sheet'!S15,'Balance Sheet'!S36)=2,'Balance Sheet'!S15/'Balance Sheet'!S36,"")</x:f>
        <x:v>1.5870671620819934</x:v>
      </x:c>
      <x:c r="T26" s="92" t="n">
        <x:f>IF(COUNT('Balance Sheet'!T15,'Balance Sheet'!T36)=2,'Balance Sheet'!T15/'Balance Sheet'!T36,"")</x:f>
        <x:v>1.3122386871071419</x:v>
      </x:c>
      <x:c r="U26" s="92" t="n">
        <x:f>IF(COUNT('Balance Sheet'!U15,'Balance Sheet'!U36)=2,'Balance Sheet'!U15/'Balance Sheet'!U36,"")</x:f>
        <x:v>1.3268659227275277</x:v>
      </x:c>
      <x:c r="V26" s="92" t="n">
        <x:f>IF(COUNT('Balance Sheet'!V15,'Balance Sheet'!V36)=2,'Balance Sheet'!V15/'Balance Sheet'!V36,"")</x:f>
        <x:v>1.3095667309007273</x:v>
      </x:c>
      <x:c r="W26" s="92" t="n">
        <x:f>IF(COUNT('Balance Sheet'!W15,'Balance Sheet'!W36)=2,'Balance Sheet'!W15/'Balance Sheet'!W36,"")</x:f>
        <x:v>1.2404907624549562</x:v>
      </x:c>
      <x:c r="X26" s="92" t="n">
        <x:f>IF(COUNT('Balance Sheet'!X15,'Balance Sheet'!X36)=2,'Balance Sheet'!X15/'Balance Sheet'!X36,"")</x:f>
        <x:v>1.6017277146484195</x:v>
      </x:c>
      <x:c r="Y26" s="92" t="n">
        <x:f>IF(COUNT('Balance Sheet'!Y15,'Balance Sheet'!Y36)=2,'Balance Sheet'!Y15/'Balance Sheet'!Y36,"")</x:f>
        <x:v>2.017038796516231</x:v>
      </x:c>
      <x:c r="Z26" s="92" t="n">
        <x:f>IF(COUNT('Balance Sheet'!Z15,'Balance Sheet'!Z36)=2,'Balance Sheet'!Z15/'Balance Sheet'!Z36,"")</x:f>
        <x:v>2.311958341082388</x:v>
      </x:c>
      <x:c r="AA26" s="92" t="n">
        <x:f>IF(COUNT('Balance Sheet'!AA15,'Balance Sheet'!AA36)=2,'Balance Sheet'!AA15/'Balance Sheet'!AA36,"")</x:f>
        <x:v>1.6039529015979814</x:v>
      </x:c>
    </x:row>
    <x:row r="27" ht="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row>
    <x:row r="28" ht="22" customHeight="1">
      <x:c r="A28" s="21" t="str">
        <x:v>Operating working capital and turnover</x:v>
      </x:c>
      <x:c r="B28" s="21" t="str">
        <x:v>Operating working capital and turnover</x:v>
      </x:c>
      <x:c r="C28" s="21" t="str">
        <x:v>Operating working capital and turnover</x:v>
      </x:c>
      <x:c r="D28" s="21" t="str">
        <x:v>Operating working capital and turnover</x:v>
      </x:c>
      <x:c r="E28" s="21" t="str">
        <x:v>Operating working capital and turnover</x:v>
      </x:c>
      <x:c r="F28" s="21" t="str">
        <x:v>Operating working capital and turnover</x:v>
      </x:c>
      <x:c r="G28" s="21" t="str">
        <x:v>Operating working capital and turnover</x:v>
      </x:c>
      <x:c r="H28" s="21" t="str">
        <x:v>Operating working capital and turnover</x:v>
      </x:c>
      <x:c r="I28" s="21" t="str">
        <x:v>Operating working capital and turnover</x:v>
      </x:c>
      <x:c r="J28" s="21" t="str">
        <x:v>Operating working capital and turnover</x:v>
      </x:c>
      <x:c r="K28" s="21" t="str">
        <x:v>Operating working capital and turnover</x:v>
      </x:c>
      <x:c r="L28" s="21" t="str">
        <x:v>Operating working capital and turnover</x:v>
      </x:c>
      <x:c r="M28" s="21" t="str">
        <x:v>Operating working capital and turnover</x:v>
      </x:c>
      <x:c r="N28" s="21" t="str">
        <x:v>Operating working capital and turnover</x:v>
      </x:c>
      <x:c r="O28" s="21" t="str">
        <x:v>Operating working capital and turnover</x:v>
      </x:c>
      <x:c r="P28" s="21" t="str">
        <x:v>Operating working capital and turnover</x:v>
      </x:c>
      <x:c r="Q28" s="21" t="str">
        <x:v>Operating working capital and turnover</x:v>
      </x:c>
      <x:c r="R28" s="21" t="str">
        <x:v>Operating working capital and turnover</x:v>
      </x:c>
      <x:c r="S28" s="21" t="str">
        <x:v>Operating working capital and turnover</x:v>
      </x:c>
      <x:c r="T28" s="21" t="str">
        <x:v>Operating working capital and turnover</x:v>
      </x:c>
      <x:c r="U28" s="21" t="str">
        <x:v>Operating working capital and turnover</x:v>
      </x:c>
      <x:c r="V28" s="21" t="str">
        <x:v>Operating working capital and turnover</x:v>
      </x:c>
      <x:c r="W28" s="21" t="str">
        <x:v>Operating working capital and turnover</x:v>
      </x:c>
      <x:c r="X28" s="21" t="str">
        <x:v>Operating working capital and turnover</x:v>
      </x:c>
      <x:c r="Y28" s="21" t="str">
        <x:v>Operating working capital and turnover</x:v>
      </x:c>
      <x:c r="Z28" s="21" t="str">
        <x:v>Operating working capital and turnover</x:v>
      </x:c>
      <x:c r="AA28" s="21" t="str">
        <x:v>Operating working capital and turnover</x:v>
      </x:c>
    </x:row>
    <x:row r="29" ht="18" customHeight="1">
      <x:c r="A29" s="22" t="str">
        <x:v>Remove identified investment/capital-related balances, disposal groups and disclosed current escrow obligations (rounded). Keep unsplit hedges. Missing repo, vendor and escrow classifications limit comparisons. DPO/CCC unavailable: trade/capital AP not split.</x:v>
      </x:c>
      <x:c r="B29" s="22" t="str">
        <x:v>Remove identified investment/capital-related balances, disposal groups and disclosed current escrow obligations (rounded). Keep unsplit hedges. Missing repo, vendor and escrow classifications limit comparisons. DPO/CCC unavailable: trade/capital AP not split.</x:v>
      </x:c>
      <x:c r="C29" s="22" t="str">
        <x:v>Remove identified investment/capital-related balances, disposal groups and disclosed current escrow obligations (rounded). Keep unsplit hedges. Missing repo, vendor and escrow classifications limit comparisons. DPO/CCC unavailable: trade/capital AP not split.</x:v>
      </x:c>
      <x:c r="D29" s="22" t="str">
        <x:v>Remove identified investment/capital-related balances, disposal groups and disclosed current escrow obligations (rounded). Keep unsplit hedges. Missing repo, vendor and escrow classifications limit comparisons. DPO/CCC unavailable: trade/capital AP not split.</x:v>
      </x:c>
      <x:c r="E29" s="22" t="str">
        <x:v>Remove identified investment/capital-related balances, disposal groups and disclosed current escrow obligations (rounded). Keep unsplit hedges. Missing repo, vendor and escrow classifications limit comparisons. DPO/CCC unavailable: trade/capital AP not split.</x:v>
      </x:c>
      <x:c r="F29" s="22" t="str">
        <x:v>Remove identified investment/capital-related balances, disposal groups and disclosed current escrow obligations (rounded). Keep unsplit hedges. Missing repo, vendor and escrow classifications limit comparisons. DPO/CCC unavailable: trade/capital AP not split.</x:v>
      </x:c>
      <x:c r="G29" s="22" t="str">
        <x:v>Remove identified investment/capital-related balances, disposal groups and disclosed current escrow obligations (rounded). Keep unsplit hedges. Missing repo, vendor and escrow classifications limit comparisons. DPO/CCC unavailable: trade/capital AP not split.</x:v>
      </x:c>
      <x:c r="H29" s="22" t="str">
        <x:v>Remove identified investment/capital-related balances, disposal groups and disclosed current escrow obligations (rounded). Keep unsplit hedges. Missing repo, vendor and escrow classifications limit comparisons. DPO/CCC unavailable: trade/capital AP not split.</x:v>
      </x:c>
      <x:c r="I29" s="22" t="str">
        <x:v>Remove identified investment/capital-related balances, disposal groups and disclosed current escrow obligations (rounded). Keep unsplit hedges. Missing repo, vendor and escrow classifications limit comparisons. DPO/CCC unavailable: trade/capital AP not split.</x:v>
      </x:c>
      <x:c r="J29" s="22" t="str">
        <x:v>Remove identified investment/capital-related balances, disposal groups and disclosed current escrow obligations (rounded). Keep unsplit hedges. Missing repo, vendor and escrow classifications limit comparisons. DPO/CCC unavailable: trade/capital AP not split.</x:v>
      </x:c>
      <x:c r="K29" s="22" t="str">
        <x:v>Remove identified investment/capital-related balances, disposal groups and disclosed current escrow obligations (rounded). Keep unsplit hedges. Missing repo, vendor and escrow classifications limit comparisons. DPO/CCC unavailable: trade/capital AP not split.</x:v>
      </x:c>
      <x:c r="L29" s="22" t="str">
        <x:v>Remove identified investment/capital-related balances, disposal groups and disclosed current escrow obligations (rounded). Keep unsplit hedges. Missing repo, vendor and escrow classifications limit comparisons. DPO/CCC unavailable: trade/capital AP not split.</x:v>
      </x:c>
      <x:c r="M29" s="22" t="str">
        <x:v>Remove identified investment/capital-related balances, disposal groups and disclosed current escrow obligations (rounded). Keep unsplit hedges. Missing repo, vendor and escrow classifications limit comparisons. DPO/CCC unavailable: trade/capital AP not split.</x:v>
      </x:c>
      <x:c r="N29" s="22" t="str">
        <x:v>Remove identified investment/capital-related balances, disposal groups and disclosed current escrow obligations (rounded). Keep unsplit hedges. Missing repo, vendor and escrow classifications limit comparisons. DPO/CCC unavailable: trade/capital AP not split.</x:v>
      </x:c>
      <x:c r="O29" s="22" t="str">
        <x:v>Remove identified investment/capital-related balances, disposal groups and disclosed current escrow obligations (rounded). Keep unsplit hedges. Missing repo, vendor and escrow classifications limit comparisons. DPO/CCC unavailable: trade/capital AP not split.</x:v>
      </x:c>
      <x:c r="P29" s="22" t="str">
        <x:v>Remove identified investment/capital-related balances, disposal groups and disclosed current escrow obligations (rounded). Keep unsplit hedges. Missing repo, vendor and escrow classifications limit comparisons. DPO/CCC unavailable: trade/capital AP not split.</x:v>
      </x:c>
      <x:c r="Q29" s="22" t="str">
        <x:v>Remove identified investment/capital-related balances, disposal groups and disclosed current escrow obligations (rounded). Keep unsplit hedges. Missing repo, vendor and escrow classifications limit comparisons. DPO/CCC unavailable: trade/capital AP not split.</x:v>
      </x:c>
      <x:c r="R29" s="22" t="str">
        <x:v>Remove identified investment/capital-related balances, disposal groups and disclosed current escrow obligations (rounded). Keep unsplit hedges. Missing repo, vendor and escrow classifications limit comparisons. DPO/CCC unavailable: trade/capital AP not split.</x:v>
      </x:c>
      <x:c r="S29" s="22" t="str">
        <x:v>Remove identified investment/capital-related balances, disposal groups and disclosed current escrow obligations (rounded). Keep unsplit hedges. Missing repo, vendor and escrow classifications limit comparisons. DPO/CCC unavailable: trade/capital AP not split.</x:v>
      </x:c>
      <x:c r="T29" s="22" t="str">
        <x:v>Remove identified investment/capital-related balances, disposal groups and disclosed current escrow obligations (rounded). Keep unsplit hedges. Missing repo, vendor and escrow classifications limit comparisons. DPO/CCC unavailable: trade/capital AP not split.</x:v>
      </x:c>
      <x:c r="U29" s="22" t="str">
        <x:v>Remove identified investment/capital-related balances, disposal groups and disclosed current escrow obligations (rounded). Keep unsplit hedges. Missing repo, vendor and escrow classifications limit comparisons. DPO/CCC unavailable: trade/capital AP not split.</x:v>
      </x:c>
      <x:c r="V29" s="22" t="str">
        <x:v>Remove identified investment/capital-related balances, disposal groups and disclosed current escrow obligations (rounded). Keep unsplit hedges. Missing repo, vendor and escrow classifications limit comparisons. DPO/CCC unavailable: trade/capital AP not split.</x:v>
      </x:c>
      <x:c r="W29" s="22" t="str">
        <x:v>Remove identified investment/capital-related balances, disposal groups and disclosed current escrow obligations (rounded). Keep unsplit hedges. Missing repo, vendor and escrow classifications limit comparisons. DPO/CCC unavailable: trade/capital AP not split.</x:v>
      </x:c>
      <x:c r="X29" s="22" t="str">
        <x:v>Remove identified investment/capital-related balances, disposal groups and disclosed current escrow obligations (rounded). Keep unsplit hedges. Missing repo, vendor and escrow classifications limit comparisons. DPO/CCC unavailable: trade/capital AP not split.</x:v>
      </x:c>
      <x:c r="Y29" s="22" t="str">
        <x:v>Remove identified investment/capital-related balances, disposal groups and disclosed current escrow obligations (rounded). Keep unsplit hedges. Missing repo, vendor and escrow classifications limit comparisons. DPO/CCC unavailable: trade/capital AP not split.</x:v>
      </x:c>
      <x:c r="Z29" s="22" t="str">
        <x:v>Remove identified investment/capital-related balances, disposal groups and disclosed current escrow obligations (rounded). Keep unsplit hedges. Missing repo, vendor and escrow classifications limit comparisons. DPO/CCC unavailable: trade/capital AP not split.</x:v>
      </x:c>
      <x:c r="AA29" s="22" t="str">
        <x:v>Remove identified investment/capital-related balances, disposal groups and disclosed current escrow obligations (rounded). Keep unsplit hedges. Missing repo, vendor and escrow classifications limit comparisons. DPO/CCC unavailable: trade/capital AP not split.</x:v>
      </x:c>
    </x:row>
    <x:row r="30" ht="22" customHeight="1">
      <x:c r="A30" s="49" t="str">
        <x:v>Operating current assets (identified deductions)</x:v>
      </x:c>
      <x:c r="B30" s="3"/>
      <x:c r="C30" s="61" t="n">
        <x:f>IF(COUNT('Balance Sheet'!C15,'Balance Sheet'!C8,'Balance Sheet'!C9,'Balance Sheet'!C10,'Balance Sheet'!C13,'Assets &amp; Investments'!C19,'Assets &amp; Investments'!C29)=7,'Balance Sheet'!C15-'Balance Sheet'!C8-'Balance Sheet'!C9-'Balance Sheet'!C10-'Balance Sheet'!C13-'Assets &amp; Investments'!C19-'Assets &amp; Investments'!C29,"")</x:f>
        <x:v>12608</x:v>
      </x:c>
      <x:c r="D30" s="61" t="n">
        <x:f>IF(COUNT('Balance Sheet'!D15,'Balance Sheet'!D8,'Balance Sheet'!D9,'Balance Sheet'!D10,'Balance Sheet'!D13,'Assets &amp; Investments'!D19)=6,'Balance Sheet'!D15-'Balance Sheet'!D8-'Balance Sheet'!D9-'Balance Sheet'!D10-'Balance Sheet'!D13-'Assets &amp; Investments'!D19,"")</x:f>
        <x:v>15468</x:v>
      </x:c>
      <x:c r="E30" s="61" t="n">
        <x:f>IF(COUNT('Balance Sheet'!E15,'Balance Sheet'!E8,'Balance Sheet'!E9,'Balance Sheet'!E10,'Assets &amp; Investments'!E19)=5,'Balance Sheet'!E15-'Balance Sheet'!E8-'Balance Sheet'!E9-'Balance Sheet'!E10-'Assets &amp; Investments'!E19,"")</x:f>
        <x:v>16783</x:v>
      </x:c>
      <x:c r="F30" s="61" t="n">
        <x:f>IF(COUNT('Balance Sheet'!F15,'Balance Sheet'!F8,'Balance Sheet'!F9,'Balance Sheet'!F10,'Assets &amp; Investments'!F19)=5,'Balance Sheet'!F15-'Balance Sheet'!F8-'Balance Sheet'!F9-'Balance Sheet'!F10-'Assets &amp; Investments'!F19,"")</x:f>
        <x:v>18116</x:v>
      </x:c>
      <x:c r="G30" s="61" t="n">
        <x:f>IF(COUNT('Balance Sheet'!G15,'Balance Sheet'!G8,'Balance Sheet'!G9,'Balance Sheet'!G10,'Balance Sheet'!G13,'Assets &amp; Investments'!G19)=6,'Balance Sheet'!G15-'Balance Sheet'!G8-'Balance Sheet'!G9-'Balance Sheet'!G10-'Balance Sheet'!G13-'Assets &amp; Investments'!G19,"")</x:f>
        <x:v>17515</x:v>
      </x:c>
      <x:c r="H30" s="61" t="n">
        <x:f>IF(COUNT('Balance Sheet'!H15,'Balance Sheet'!H8,'Balance Sheet'!H9,'Balance Sheet'!H10,'Balance Sheet'!H13,'Assets &amp; Investments'!H19)=6,'Balance Sheet'!H15-'Balance Sheet'!H8-'Balance Sheet'!H9-'Balance Sheet'!H10-'Balance Sheet'!H13-'Assets &amp; Investments'!H19,"")</x:f>
        <x:v>22211</x:v>
      </x:c>
      <x:c r="I30" s="61" t="n">
        <x:f>IF(COUNT('Balance Sheet'!I15,'Balance Sheet'!I8,'Balance Sheet'!I9,'Balance Sheet'!I13,'Assets &amp; Investments'!I19)=5,'Balance Sheet'!I15-'Balance Sheet'!I8-'Balance Sheet'!I9-'Balance Sheet'!I13-'Assets &amp; Investments'!I19,"")</x:f>
        <x:v>21971</x:v>
      </x:c>
      <x:c r="J30" s="61" t="n">
        <x:f>IF(COUNT('Balance Sheet'!J15,'Balance Sheet'!J8,'Balance Sheet'!J9,'Assets &amp; Investments'!J19)=4,'Balance Sheet'!J15-'Balance Sheet'!J8-'Balance Sheet'!J9-'Assets &amp; Investments'!J19,"")</x:f>
        <x:v>18235</x:v>
      </x:c>
      <x:c r="K30" s="61" t="n">
        <x:f>IF(COUNT('Balance Sheet'!K15,'Balance Sheet'!K8,'Balance Sheet'!K9,'Assets &amp; Investments'!K22,'Assets &amp; Investments'!K23)=5,'Balance Sheet'!K15-'Balance Sheet'!K8-'Balance Sheet'!K9-'Assets &amp; Investments'!K22-'Assets &amp; Investments'!K23,"")</x:f>
        <x:v>22304</x:v>
      </x:c>
      <x:c r="L30" s="61" t="n">
        <x:f>IF(COUNT('Balance Sheet'!L15,'Balance Sheet'!L8,'Balance Sheet'!L9,'Assets &amp; Investments'!L22,'Assets &amp; Investments'!L23)=5,'Balance Sheet'!L15-'Balance Sheet'!L8-'Balance Sheet'!L9-'Assets &amp; Investments'!L22-'Assets &amp; Investments'!L23,"")</x:f>
        <x:v>18666</x:v>
      </x:c>
      <x:c r="M30" s="51"/>
      <x:c r="N30" s="51"/>
      <x:c r="O30" s="51"/>
      <x:c r="P30" s="61" t="n">
        <x:f>IF(COUNT('Balance Sheet'!P15,'Balance Sheet'!P8,'Balance Sheet'!P9,'Assets &amp; Investments'!P19)=4,'Balance Sheet'!P15-'Balance Sheet'!P8-'Balance Sheet'!P9-'Assets &amp; Investments'!P19,"")</x:f>
        <x:v>18728</x:v>
      </x:c>
      <x:c r="Q30" s="61" t="n">
        <x:f>IF(COUNT('Balance Sheet'!J15,'Balance Sheet'!J8,'Balance Sheet'!J9,'Assets &amp; Investments'!J19)=4,'Balance Sheet'!J15-'Balance Sheet'!J8-'Balance Sheet'!J9-'Assets &amp; Investments'!J19,"")</x:f>
        <x:v>18235</x:v>
      </x:c>
      <x:c r="R30" s="61" t="n">
        <x:f>IF(COUNT('Balance Sheet'!R15,'Balance Sheet'!R8,'Balance Sheet'!R9)=3,'Balance Sheet'!R15-'Balance Sheet'!R8-'Balance Sheet'!R9,"")</x:f>
        <x:v>21297</x:v>
      </x:c>
      <x:c r="S30" s="61" t="n">
        <x:f>IF(COUNT('Balance Sheet'!S15,'Balance Sheet'!S8,'Balance Sheet'!S9)=3,'Balance Sheet'!S15-'Balance Sheet'!S8-'Balance Sheet'!S9,"")</x:f>
        <x:v>21556</x:v>
      </x:c>
      <x:c r="T30" s="61" t="n">
        <x:f>IF(COUNT('Balance Sheet'!T15,'Balance Sheet'!T8,'Balance Sheet'!T9)=3,'Balance Sheet'!T15-'Balance Sheet'!T8-'Balance Sheet'!T9,"")</x:f>
        <x:v>22051</x:v>
      </x:c>
      <x:c r="U30" s="61" t="n">
        <x:f>IF(COUNT('Balance Sheet'!K15,'Balance Sheet'!K8,'Balance Sheet'!K9,'Assets &amp; Investments'!K22,'Assets &amp; Investments'!K23)=5,'Balance Sheet'!K15-'Balance Sheet'!K8-'Balance Sheet'!K9-'Assets &amp; Investments'!K22-'Assets &amp; Investments'!K23,"")</x:f>
        <x:v>22304</x:v>
      </x:c>
      <x:c r="V30" s="61" t="n">
        <x:f>IF(COUNT('Balance Sheet'!V15,'Balance Sheet'!V8,'Balance Sheet'!V9)=3,'Balance Sheet'!V15-'Balance Sheet'!V8-'Balance Sheet'!V9,"")</x:f>
        <x:v>21086</x:v>
      </x:c>
      <x:c r="W30" s="61" t="n">
        <x:f>IF(COUNT('Balance Sheet'!W15,'Balance Sheet'!W8,'Balance Sheet'!W9,'Assets &amp; Investments'!W26)=4,'Balance Sheet'!W15-'Balance Sheet'!W8-'Balance Sheet'!W9-'Assets &amp; Investments'!W26,"")</x:f>
        <x:v>22119</x:v>
      </x:c>
      <x:c r="X30" s="61" t="n">
        <x:f>IF(COUNT('Balance Sheet'!X15,'Balance Sheet'!X8,'Balance Sheet'!X9)=3,'Balance Sheet'!X15-'Balance Sheet'!X8-'Balance Sheet'!X9,"")</x:f>
        <x:v>20796</x:v>
      </x:c>
      <x:c r="Y30" s="61" t="n">
        <x:f>IF(COUNT('Balance Sheet'!L15,'Balance Sheet'!L8,'Balance Sheet'!L9,'Assets &amp; Investments'!L22,'Assets &amp; Investments'!L23)=5,'Balance Sheet'!L15-'Balance Sheet'!L8-'Balance Sheet'!L9-'Assets &amp; Investments'!L22-'Assets &amp; Investments'!L23,"")</x:f>
        <x:v>18666</x:v>
      </x:c>
      <x:c r="Z30" s="61" t="n">
        <x:f>IF(COUNT('Balance Sheet'!Z15,'Balance Sheet'!Z8,'Balance Sheet'!Z9)=3,'Balance Sheet'!Z15-'Balance Sheet'!Z8-'Balance Sheet'!Z9,"")</x:f>
        <x:v>29368</x:v>
      </x:c>
      <x:c r="AA30" s="61" t="n">
        <x:f>IF(COUNT('Balance Sheet'!AA15,'Balance Sheet'!AA8,'Balance Sheet'!AA9,'Assets &amp; Investments'!AA25)=4,'Balance Sheet'!AA15-'Balance Sheet'!AA8-'Balance Sheet'!AA9-'Assets &amp; Investments'!AA25,"")</x:f>
        <x:v>27316</x:v>
      </x:c>
    </x:row>
    <x:row r="31" ht="22" customHeight="1">
      <x:c r="A31" s="49" t="str">
        <x:v>Operating current liabilities (identified deductions)</x:v>
      </x:c>
      <x:c r="B31" s="3"/>
      <x:c r="C31" s="61" t="n">
        <x:f>IF(COUNT('Balance Sheet'!C36,'Balance Sheet'!C33,'Balance Sheet'!C32)=3,'Balance Sheet'!C36-'Balance Sheet'!C33-'Balance Sheet'!C32,"")</x:f>
        <x:v>13748</x:v>
      </x:c>
      <x:c r="D31" s="61" t="n">
        <x:f>IF(COUNT('Balance Sheet'!D36,'Balance Sheet'!D33,'Balance Sheet'!D32)=3,'Balance Sheet'!D36-'Balance Sheet'!D33-'Balance Sheet'!D32,"")</x:f>
        <x:v>15645</x:v>
      </x:c>
      <x:c r="E31" s="61" t="n">
        <x:f>IF(COUNT('Balance Sheet'!E36,'Balance Sheet'!E33)=2,'Balance Sheet'!E36-'Balance Sheet'!E33,"")</x:f>
        <x:v>15365</x:v>
      </x:c>
      <x:c r="F31" s="61" t="n">
        <x:f>IF(COUNT('Balance Sheet'!F36,'Balance Sheet'!F33)=2,'Balance Sheet'!F36-'Balance Sheet'!F33,"")</x:f>
        <x:v>18617</x:v>
      </x:c>
      <x:c r="G31" s="61" t="n">
        <x:f>IF(COUNT('Balance Sheet'!G36,'Balance Sheet'!G33)=2,'Balance Sheet'!G36-'Balance Sheet'!G33,"")</x:f>
        <x:v>22250</x:v>
      </x:c>
      <x:c r="H31" s="61" t="n">
        <x:f>IF(COUNT('Balance Sheet'!H36,'Balance Sheet'!H33)=2,'Balance Sheet'!H36-'Balance Sheet'!H33,"")</x:f>
        <x:v>22871</x:v>
      </x:c>
      <x:c r="I31" s="61" t="n">
        <x:f>IF(COUNT('Balance Sheet'!I36,'Balance Sheet'!I33,'Balance Sheet'!I34)=3,'Balance Sheet'!I36-'Balance Sheet'!I33-'Balance Sheet'!I34,"")</x:f>
        <x:v>25537</x:v>
      </x:c>
      <x:c r="J31" s="61" t="n">
        <x:f>IF(COUNT('Balance Sheet'!J36,'Balance Sheet'!J33,'Balance Sheet'!J34)=3,'Balance Sheet'!J36-'Balance Sheet'!J33-'Balance Sheet'!J34,"")</x:f>
        <x:v>24658</x:v>
      </x:c>
      <x:c r="K31" s="61" t="n">
        <x:f>IF(COUNT('Balance Sheet'!K36,'Balance Sheet'!K33,'Balance Sheet'!K34,'Debt &amp; Leases'!K9)=4,'Balance Sheet'!K36-'Balance Sheet'!K33-'Balance Sheet'!K34-'Debt &amp; Leases'!K9,"")</x:f>
        <x:v>26981</x:v>
      </x:c>
      <x:c r="L31" s="61" t="n">
        <x:f>IF(COUNT('Balance Sheet'!L36,'Balance Sheet'!L33,'Balance Sheet'!L34,'Debt &amp; Leases'!L9,'Debt &amp; Leases'!L10)=5,'Balance Sheet'!L36-'Balance Sheet'!L33-'Balance Sheet'!L34-'Debt &amp; Leases'!L9-'Debt &amp; Leases'!L10,"")</x:f>
        <x:v>25872</x:v>
      </x:c>
      <x:c r="M31" s="51"/>
      <x:c r="N31" s="51"/>
      <x:c r="O31" s="51"/>
      <x:c r="P31" s="61" t="n">
        <x:f>IF(COUNT('Balance Sheet'!P36,'Balance Sheet'!P33,'Balance Sheet'!P34)=3,'Balance Sheet'!P36-'Balance Sheet'!P33-'Balance Sheet'!P34,"")</x:f>
        <x:v>24214</x:v>
      </x:c>
      <x:c r="Q31" s="61" t="n">
        <x:f>IF(COUNT('Balance Sheet'!J36,'Balance Sheet'!J33,'Balance Sheet'!J34)=3,'Balance Sheet'!J36-'Balance Sheet'!J33-'Balance Sheet'!J34,"")</x:f>
        <x:v>24658</x:v>
      </x:c>
      <x:c r="R31" s="61" t="n">
        <x:f>IF(COUNT('Balance Sheet'!R36,'Balance Sheet'!R33,'Balance Sheet'!R34)=3,'Balance Sheet'!R36-'Balance Sheet'!R33-'Balance Sheet'!R34,"")</x:f>
        <x:v>22286</x:v>
      </x:c>
      <x:c r="S31" s="61" t="n">
        <x:f>IF(COUNT('Balance Sheet'!S36,'Balance Sheet'!S33,'Balance Sheet'!S34)=3,'Balance Sheet'!S36-'Balance Sheet'!S33-'Balance Sheet'!S34,"")</x:f>
        <x:v>25476</x:v>
      </x:c>
      <x:c r="T31" s="61" t="n">
        <x:f>IF(COUNT('Balance Sheet'!T36,'Balance Sheet'!T33,'Balance Sheet'!T34)=3,'Balance Sheet'!T36-'Balance Sheet'!T33-'Balance Sheet'!T34,"")</x:f>
        <x:v>28954</x:v>
      </x:c>
      <x:c r="U31" s="61" t="n">
        <x:f>IF(COUNT('Balance Sheet'!K36,'Balance Sheet'!K33,'Balance Sheet'!K34,'Debt &amp; Leases'!K9)=4,'Balance Sheet'!K36-'Balance Sheet'!K33-'Balance Sheet'!K34-'Debt &amp; Leases'!K9,"")</x:f>
        <x:v>26981</x:v>
      </x:c>
      <x:c r="V31" s="61" t="n">
        <x:f>IF(COUNT('Balance Sheet'!V36,'Balance Sheet'!V33,'Balance Sheet'!V34)=3,'Balance Sheet'!V36-'Balance Sheet'!V33-'Balance Sheet'!V34,"")</x:f>
        <x:v>25061</x:v>
      </x:c>
      <x:c r="W31" s="61" t="n">
        <x:f>IF(COUNT('Balance Sheet'!W36,'Balance Sheet'!W33,'Balance Sheet'!W34)=3,'Balance Sheet'!W36-'Balance Sheet'!W33-'Balance Sheet'!W34,"")</x:f>
        <x:v>27348</x:v>
      </x:c>
      <x:c r="X31" s="61" t="n">
        <x:f>IF(COUNT('Balance Sheet'!X36,'Balance Sheet'!X33,'Balance Sheet'!X34)=3,'Balance Sheet'!X36-'Balance Sheet'!X33-'Balance Sheet'!X34,"")</x:f>
        <x:v>28976</x:v>
      </x:c>
      <x:c r="Y31" s="61" t="n">
        <x:f>IF(COUNT('Balance Sheet'!L36,'Balance Sheet'!L33,'Balance Sheet'!L34,'Debt &amp; Leases'!L9,'Debt &amp; Leases'!L10)=5,'Balance Sheet'!L36-'Balance Sheet'!L33-'Balance Sheet'!L34-'Debt &amp; Leases'!L9-'Debt &amp; Leases'!L10,"")</x:f>
        <x:v>25872</x:v>
      </x:c>
      <x:c r="Z31" s="61" t="n">
        <x:f>IF(COUNT('Balance Sheet'!Z36,'Balance Sheet'!Z33)=2,'Balance Sheet'!Z36-'Balance Sheet'!Z33,"")</x:f>
        <x:v>24881</x:v>
      </x:c>
      <x:c r="AA31" s="61" t="n">
        <x:f>IF(COUNT('Balance Sheet'!AA36,'Balance Sheet'!AA33,'Debt &amp; Leases'!AA10)=3,'Balance Sheet'!AA36-'Balance Sheet'!AA33-'Debt &amp; Leases'!AA10,"")</x:f>
        <x:v>24882</x:v>
      </x:c>
    </x:row>
    <x:row r="32" ht="24" customHeight="1">
      <x:c r="A32" s="34" t="str">
        <x:v>Operating net working capital</x:v>
      </x:c>
      <x:c r="B32" s="35"/>
      <x:c r="C32" s="37" t="n">
        <x:f>IF(COUNT(C30,C31)=2,C30-C31,"")</x:f>
        <x:v>-1140</x:v>
      </x:c>
      <x:c r="D32" s="37" t="n">
        <x:f>IF(COUNT(D30,D31)=2,D30-D31,"")</x:f>
        <x:v>-177</x:v>
      </x:c>
      <x:c r="E32" s="37" t="n">
        <x:f>IF(COUNT(E30,E31)=2,E30-E31,"")</x:f>
        <x:v>1418</x:v>
      </x:c>
      <x:c r="F32" s="37" t="n">
        <x:f>IF(COUNT(F30,F31)=2,F30-F31,"")</x:f>
        <x:v>-501</x:v>
      </x:c>
      <x:c r="G32" s="37" t="n">
        <x:f>IF(COUNT(G30,G31)=2,G30-G31,"")</x:f>
        <x:v>-4735</x:v>
      </x:c>
      <x:c r="H32" s="37" t="n">
        <x:f>IF(COUNT(H30,H31)=2,H30-H31,"")</x:f>
        <x:v>-660</x:v>
      </x:c>
      <x:c r="I32" s="37" t="n">
        <x:f>IF(COUNT(I30,I31)=2,I30-I31,"")</x:f>
        <x:v>-3566</x:v>
      </x:c>
      <x:c r="J32" s="37" t="n">
        <x:f>IF(COUNT(J30,J31)=2,J30-J31,"")</x:f>
        <x:v>-6423</x:v>
      </x:c>
      <x:c r="K32" s="37" t="n">
        <x:f>IF(COUNT(K30,K31)=2,K30-K31,"")</x:f>
        <x:v>-4677</x:v>
      </x:c>
      <x:c r="L32" s="37" t="n">
        <x:f>IF(COUNT(L30,L31)=2,L30-L31,"")</x:f>
        <x:v>-7206</x:v>
      </x:c>
      <x:c r="M32" s="36"/>
      <x:c r="N32" s="37" t="str">
        <x:f>IF(COUNT(N30,N31)=2,N30-N31,"")</x:f>
      </x:c>
      <x:c r="O32" s="37" t="str">
        <x:f>IF(COUNT(O30,O31)=2,O30-O31,"")</x:f>
      </x:c>
      <x:c r="P32" s="37" t="n">
        <x:f>IF(COUNT(P30,P31)=2,P30-P31,"")</x:f>
        <x:v>-5486</x:v>
      </x:c>
      <x:c r="Q32" s="37" t="n">
        <x:f>IF(COUNT(Q30,Q31)=2,Q30-Q31,"")</x:f>
        <x:v>-6423</x:v>
      </x:c>
      <x:c r="R32" s="37" t="n">
        <x:f>IF(COUNT(R30,R31)=2,R30-R31,"")</x:f>
        <x:v>-989</x:v>
      </x:c>
      <x:c r="S32" s="37" t="n">
        <x:f>IF(COUNT(S30,S31)=2,S30-S31,"")</x:f>
        <x:v>-3920</x:v>
      </x:c>
      <x:c r="T32" s="37" t="n">
        <x:f>IF(COUNT(T30,T31)=2,T30-T31,"")</x:f>
        <x:v>-6903</x:v>
      </x:c>
      <x:c r="U32" s="37" t="n">
        <x:f>IF(COUNT(U30,U31)=2,U30-U31,"")</x:f>
        <x:v>-4677</x:v>
      </x:c>
      <x:c r="V32" s="37" t="n">
        <x:f>IF(COUNT(V30,V31)=2,V30-V31,"")</x:f>
        <x:v>-3975</x:v>
      </x:c>
      <x:c r="W32" s="37" t="n">
        <x:f>IF(COUNT(W30,W31)=2,W30-W31,"")</x:f>
        <x:v>-5229</x:v>
      </x:c>
      <x:c r="X32" s="37" t="n">
        <x:f>IF(COUNT(X30,X31)=2,X30-X31,"")</x:f>
        <x:v>-8180</x:v>
      </x:c>
      <x:c r="Y32" s="37" t="n">
        <x:f>IF(COUNT(Y30,Y31)=2,Y30-Y31,"")</x:f>
        <x:v>-7206</x:v>
      </x:c>
      <x:c r="Z32" s="37" t="n">
        <x:f>IF(COUNT(Z30,Z31)=2,Z30-Z31,"")</x:f>
        <x:v>4487</x:v>
      </x:c>
      <x:c r="AA32" s="37" t="n">
        <x:f>IF(COUNT(AA30,AA31)=2,AA30-AA31,"")</x:f>
        <x:v>2434</x:v>
      </x:c>
    </x:row>
    <x:row r="33" ht="20" customHeight="1">
      <x:c r="A33" s="40" t="str">
        <x:v>Operating NWC / annual or TTM revenue</x:v>
      </x:c>
      <x:c r="B33" s="3"/>
      <x:c r="C33" s="76" t="n">
        <x:f>IF(COUNT(C32,'Income Statement'!C9)=2,C32/'Income Statement'!C9,"")</x:f>
        <x:v>-0.019196120363042416</x:v>
      </x:c>
      <x:c r="D33" s="76" t="n">
        <x:f>IF(COUNT(D32,'Income Statement'!D9)=2,D32/'Income Statement'!D9,"")</x:f>
        <x:v>-0.0028202227497968486</x:v>
      </x:c>
      <x:c r="E33" s="76" t="n">
        <x:f>IF(COUNT(E32,'Income Statement'!E9)=2,E32/'Income Statement'!E9,"")</x:f>
        <x:v>0.0200146793134598</x:v>
      </x:c>
      <x:c r="F33" s="76" t="n">
        <x:f>IF(COUNT(F32,'Income Statement'!F9)=2,F32/'Income Statement'!F9,"")</x:f>
        <x:v>-0.00696171750156326</x:v>
      </x:c>
      <x:c r="G33" s="76" t="n">
        <x:f>IF(COUNT(G32,'Income Statement'!G9)=2,G32/'Income Statement'!G9,"")</x:f>
        <x:v>-0.06080881503075757</x:v>
      </x:c>
      <x:c r="H33" s="76" t="n">
        <x:f>IF(COUNT(H32,'Income Statement'!H9)=2,H32/'Income Statement'!H9,"")</x:f>
        <x:v>-0.008351893095768375</x:v>
      </x:c>
      <x:c r="I33" s="76" t="n">
        <x:f>IF(COUNT(I32,'Income Statement'!I9)=2,I32/'Income Statement'!I9,"")</x:f>
        <x:v>-0.056554699146763095</x:v>
      </x:c>
      <x:c r="J33" s="76" t="n">
        <x:f>IF(COUNT(J32,'Income Statement'!J9)=2,J32/'Income Statement'!J9,"")</x:f>
        <x:v>-0.11844434609426864</x:v>
      </x:c>
      <x:c r="K33" s="76" t="n">
        <x:f>IF(COUNT(K32,'Income Statement'!K9)=2,K32/'Income Statement'!K9,"")</x:f>
        <x:v>-0.08807743733639668</x:v>
      </x:c>
      <x:c r="L33" s="76" t="n">
        <x:f>IF(COUNT(L32,'Income Statement'!L9)=2,L32/'Income Statement'!L9,"")</x:f>
        <x:v>-0.13634041587043308</x:v>
      </x:c>
      <x:c r="M33" s="44"/>
      <x:c r="N33" s="45"/>
      <x:c r="O33" s="45"/>
      <x:c r="P33" s="45"/>
      <x:c r="Q33" s="45"/>
      <x:c r="R33" s="76" t="n">
        <x:f>IF(COUNT(R32,'Income Statement'!J9,'Income Statement'!R9,'Income Statement'!N9)=4,R32/('Income Statement'!J9+'Income Statement'!R9-'Income Statement'!N9),"")</x:f>
        <x:v>-0.017904665351123342</x:v>
      </x:c>
      <x:c r="S33" s="76" t="n">
        <x:f>IF(COUNT(S32,'Income Statement'!J9,'Income Statement'!R9,'Income Statement'!S9,'Income Statement'!N9,'Income Statement'!O9)=6,S32/('Income Statement'!J9+'Income Statement'!R9+'Income Statement'!S9-'Income Statement'!N9-'Income Statement'!O9),"")</x:f>
        <x:v>-0.07111627147548122</x:v>
      </x:c>
      <x:c r="T33" s="76" t="n">
        <x:f>IF(COUNT(T32,'Income Statement'!J9,'Income Statement'!R9,'Income Statement'!S9,'Income Statement'!T9,'Income Statement'!N9,'Income Statement'!O9,'Income Statement'!P9)=8,T32/('Income Statement'!J9+'Income Statement'!R9+'Income Statement'!S9+'Income Statement'!T9-'Income Statement'!N9-'Income Statement'!O9-'Income Statement'!P9),"")</x:f>
        <x:v>-0.1272512765682895</x:v>
      </x:c>
      <x:c r="U33" s="76" t="n">
        <x:f>IF(COUNT(U32,'Income Statement'!J9,'Income Statement'!R9,'Income Statement'!S9,'Income Statement'!T9,'Income Statement'!U9,'Income Statement'!N9,'Income Statement'!O9,'Income Statement'!P9,'Income Statement'!Q9)=10,U32/('Income Statement'!J9+'Income Statement'!R9+'Income Statement'!S9+'Income Statement'!T9+'Income Statement'!U9-'Income Statement'!N9-'Income Statement'!O9-'Income Statement'!P9-'Income Statement'!Q9),"")</x:f>
        <x:v>-0.08807743733639668</x:v>
      </x:c>
      <x:c r="V33" s="76" t="n">
        <x:f>IF(COUNT(V32,'Income Statement'!K9,'Income Statement'!V9,'Income Statement'!R9)=4,V32/('Income Statement'!K9+'Income Statement'!V9-'Income Statement'!R9),"")</x:f>
        <x:v>-0.07493778749717216</x:v>
      </x:c>
      <x:c r="W33" s="76" t="n">
        <x:f>IF(COUNT(W32,'Income Statement'!K9,'Income Statement'!V9,'Income Statement'!W9,'Income Statement'!R9,'Income Statement'!S9)=6,W32/('Income Statement'!K9+'Income Statement'!V9+'Income Statement'!W9-'Income Statement'!R9-'Income Statement'!S9),"")</x:f>
        <x:v>-0.09853024307518372</x:v>
      </x:c>
      <x:c r="X33" s="76" t="n">
        <x:f>IF(COUNT(X32,'Income Statement'!K9,'Income Statement'!V9,'Income Statement'!W9,'Income Statement'!X9,'Income Statement'!R9,'Income Statement'!S9,'Income Statement'!T9)=8,X32/('Income Statement'!K9+'Income Statement'!V9+'Income Statement'!W9+'Income Statement'!X9-'Income Statement'!R9-'Income Statement'!S9-'Income Statement'!T9),"")</x:f>
        <x:v>-0.15307172664159135</x:v>
      </x:c>
      <x:c r="Y33" s="76" t="n">
        <x:f>IF(COUNT(Y32,'Income Statement'!K9,'Income Statement'!V9,'Income Statement'!W9,'Income Statement'!X9,'Income Statement'!Y9,'Income Statement'!R9,'Income Statement'!S9,'Income Statement'!T9,'Income Statement'!U9)=10,Y32/('Income Statement'!K9+'Income Statement'!V9+'Income Statement'!W9+'Income Statement'!X9+'Income Statement'!Y9-'Income Statement'!R9-'Income Statement'!S9-'Income Statement'!T9-'Income Statement'!U9),"")</x:f>
        <x:v>-0.13634041587043308</x:v>
      </x:c>
      <x:c r="Z33" s="76" t="n">
        <x:f>IF(COUNT(Z32,'Income Statement'!L9,'Income Statement'!Z9,'Income Statement'!V9)=4,Z32/('Income Statement'!L9+'Income Statement'!Z9-'Income Statement'!V9),"")</x:f>
        <x:v>0.08345888436285177</x:v>
      </x:c>
      <x:c r="AA33" s="76" t="n">
        <x:f>IF(COUNT(AA32,'Income Statement'!L9,'Income Statement'!Z9,'Income Statement'!AA9,'Income Statement'!V9,'Income Statement'!W9)=6,AA32/('Income Statement'!L9+'Income Statement'!Z9+'Income Statement'!AA9-'Income Statement'!V9-'Income Statement'!W9),"")</x:f>
        <x:v>0.042677794922148966</x:v>
      </x:c>
    </x:row>
    <x:row r="34" ht="22" customHeight="1">
      <x:c r="A34" s="49" t="str">
        <x:v>DSO: average trade receivables</x:v>
      </x:c>
      <x:c r="B34" s="3"/>
      <x:c r="C34" s="96" t="n">
        <x:f>IF(COUNT('Balance Sheet'!C11,'Balance Sheet'!C69,'Income Statement'!C9)=3,IF('Income Statement'!C9&gt;0,('Balance Sheet'!C11+'Balance Sheet'!C69)/2/'Income Statement'!C9*371,"n.m."),"")</x:f>
        <x:v>29.602160405475946</x:v>
      </x:c>
      <x:c r="D34" s="96" t="n">
        <x:f>IF(COUNT('Balance Sheet'!D11,'Balance Sheet'!C11,'Income Statement'!D9)=3,IF('Income Statement'!D9&gt;0,('Balance Sheet'!D11+'Balance Sheet'!C11)/2/'Income Statement'!D9*364,"n.m."),"")</x:f>
        <x:v>29.86016793868804</x:v>
      </x:c>
      <x:c r="E34" s="96" t="n">
        <x:f>IF(COUNT('Balance Sheet'!E11,'Balance Sheet'!D11,'Income Statement'!E9)=3,IF('Income Statement'!E9&gt;0,('Balance Sheet'!E11+'Balance Sheet'!D11)/2/'Income Statement'!E9*364,"n.m."),"")</x:f>
        <x:v>31.67171973803071</x:v>
      </x:c>
      <x:c r="F34" s="96" t="n">
        <x:f>IF(COUNT('Balance Sheet'!F11,'Balance Sheet'!E11,'Income Statement'!F9)=3,IF('Income Statement'!F9&gt;0,('Balance Sheet'!F11+'Balance Sheet'!E11)/2/'Income Statement'!F9*364,"n.m."),"")</x:f>
        <x:v>36.36965191412492</x:v>
      </x:c>
      <x:c r="G34" s="96" t="n">
        <x:f>IF(COUNT('Balance Sheet'!G11,'Balance Sheet'!F11,'Income Statement'!G9)=3,IF('Income Statement'!G9&gt;0,('Balance Sheet'!G11+'Balance Sheet'!F11)/2/'Income Statement'!G9*364,"n.m."),"")</x:f>
        <x:v>33.75322023450242</x:v>
      </x:c>
      <x:c r="H34" s="96" t="n">
        <x:f>IF(COUNT('Balance Sheet'!H11,'Balance Sheet'!G11,'Income Statement'!H9)=3,IF('Income Statement'!H9&gt;0,('Balance Sheet'!H11+'Balance Sheet'!G11)/2/'Income Statement'!H9*364,"n.m."),"")</x:f>
        <x:v>37.40000506175339</x:v>
      </x:c>
      <x:c r="I34" s="96" t="n">
        <x:f>IF(COUNT('Balance Sheet'!I11,'Balance Sheet'!H11,'Income Statement'!I9)=3,IF('Income Statement'!I9&gt;0,('Balance Sheet'!I11+'Balance Sheet'!H11)/2/'Income Statement'!I9*371,"n.m."),"")</x:f>
        <x:v>39.98073080216957</x:v>
      </x:c>
      <x:c r="J34" s="96" t="n">
        <x:f>IF(COUNT('Balance Sheet'!J11,'Balance Sheet'!I11,'Income Statement'!J9)=3,IF('Income Statement'!J9&gt;0,('Balance Sheet'!J11+'Balance Sheet'!I11)/2/'Income Statement'!J9*364,"n.m."),"")</x:f>
        <x:v>25.288965110275132</x:v>
      </x:c>
      <x:c r="K34" s="96" t="n">
        <x:f>IF(COUNT('Balance Sheet'!K11,'Balance Sheet'!J11,'Income Statement'!K9)=3,IF('Income Statement'!K9&gt;0,('Balance Sheet'!K11+'Balance Sheet'!J11)/2/'Income Statement'!K9*364,"n.m."),"")</x:f>
        <x:v>23.580723526863903</x:v>
      </x:c>
      <x:c r="L34" s="96" t="n">
        <x:f>IF(COUNT('Balance Sheet'!L11,'Balance Sheet'!K11,'Income Statement'!L9)=3,IF('Income Statement'!L9&gt;0,('Balance Sheet'!L11+'Balance Sheet'!K11)/2/'Income Statement'!L9*364,"n.m."),"")</x:f>
        <x:v>25.19618564698314</x:v>
      </x:c>
      <x:c r="M34" s="95"/>
      <x:c r="N34" s="97"/>
      <x:c r="O34" s="97"/>
      <x:c r="P34" s="97"/>
      <x:c r="Q34" s="97"/>
      <x:c r="R34" s="96" t="str">
        <x:f>IF(COUNT('Balance Sheet'!R11,'Balance Sheet'!N11,'Income Statement'!J9,'Income Statement'!R9,'Income Statement'!N9)=5,IF(('Income Statement'!J9+'Income Statement'!R9-'Income Statement'!N9)&gt;0,('Balance Sheet'!R11+'Balance Sheet'!N11)/2/('Income Statement'!J9+'Income Statement'!R9-'Income Statement'!N9)*364,"n.m."),"")</x:f>
      </x:c>
      <x:c r="S34" s="96" t="str">
        <x:f>IF(COUNT('Balance Sheet'!S11,'Balance Sheet'!O11,'Income Statement'!J9,'Income Statement'!R9,'Income Statement'!S9,'Income Statement'!N9,'Income Statement'!O9)=7,IF(('Income Statement'!J9+'Income Statement'!R9+'Income Statement'!S9-'Income Statement'!N9-'Income Statement'!O9)&gt;0,('Balance Sheet'!S11+'Balance Sheet'!O11)/2/('Income Statement'!J9+'Income Statement'!R9+'Income Statement'!S9-'Income Statement'!N9-'Income Statement'!O9)*364,"n.m."),"")</x:f>
      </x:c>
      <x:c r="T34" s="96" t="n">
        <x:f>IF(COUNT('Balance Sheet'!T11,'Balance Sheet'!P11,'Income Statement'!J9,'Income Statement'!R9,'Income Statement'!S9,'Income Statement'!T9,'Income Statement'!N9,'Income Statement'!O9,'Income Statement'!P9)=9,IF(('Income Statement'!J9+'Income Statement'!R9+'Income Statement'!S9+'Income Statement'!T9-'Income Statement'!N9-'Income Statement'!O9-'Income Statement'!P9)&gt;0,('Balance Sheet'!T11+'Balance Sheet'!P11)/2/('Income Statement'!J9+'Income Statement'!R9+'Income Statement'!S9+'Income Statement'!T9-'Income Statement'!N9-'Income Statement'!O9-'Income Statement'!P9)*364,"n.m."),"")</x:f>
        <x:v>20.00936457315612</x:v>
      </x:c>
      <x:c r="U34" s="96" t="n">
        <x:f>IF(COUNT('Balance Sheet'!U11,'Balance Sheet'!Q11,'Income Statement'!J9,'Income Statement'!R9,'Income Statement'!S9,'Income Statement'!T9,'Income Statement'!U9,'Income Statement'!N9,'Income Statement'!O9,'Income Statement'!P9,'Income Statement'!Q9)=11,IF(('Income Statement'!J9+'Income Statement'!R9+'Income Statement'!S9+'Income Statement'!T9+'Income Statement'!U9-'Income Statement'!N9-'Income Statement'!O9-'Income Statement'!P9-'Income Statement'!Q9)&gt;0,('Balance Sheet'!U11+'Balance Sheet'!Q11)/2/('Income Statement'!J9+'Income Statement'!R9+'Income Statement'!S9+'Income Statement'!T9+'Income Statement'!U9-'Income Statement'!N9-'Income Statement'!O9-'Income Statement'!P9-'Income Statement'!Q9)*364,"n.m."),"")</x:f>
        <x:v>23.580723526863903</x:v>
      </x:c>
      <x:c r="V34" s="96" t="n">
        <x:f>IF(COUNT('Balance Sheet'!V11,'Balance Sheet'!R11,'Income Statement'!K9,'Income Statement'!V9,'Income Statement'!R9)=5,IF(('Income Statement'!K9+'Income Statement'!V9-'Income Statement'!R9)&gt;0,('Balance Sheet'!V11+'Balance Sheet'!R11)/2/('Income Statement'!K9+'Income Statement'!V9-'Income Statement'!R9)*364,"n.m."),"")</x:f>
        <x:v>21.914523791569263</x:v>
      </x:c>
      <x:c r="W34" s="96" t="n">
        <x:f>IF(COUNT('Balance Sheet'!W11,'Balance Sheet'!S11,'Income Statement'!K9,'Income Statement'!V9,'Income Statement'!W9,'Income Statement'!R9,'Income Statement'!S9)=7,IF(('Income Statement'!K9+'Income Statement'!V9+'Income Statement'!W9-'Income Statement'!R9-'Income Statement'!S9)&gt;0,('Balance Sheet'!W11+'Balance Sheet'!S11)/2/('Income Statement'!K9+'Income Statement'!V9+'Income Statement'!W9-'Income Statement'!R9-'Income Statement'!S9)*364,"n.m."),"")</x:f>
        <x:v>18.831015639721123</x:v>
      </x:c>
      <x:c r="X34" s="96" t="n">
        <x:f>IF(COUNT('Balance Sheet'!X11,'Balance Sheet'!T11,'Income Statement'!K9,'Income Statement'!V9,'Income Statement'!W9,'Income Statement'!X9,'Income Statement'!R9,'Income Statement'!S9,'Income Statement'!T9)=9,IF(('Income Statement'!K9+'Income Statement'!V9+'Income Statement'!W9+'Income Statement'!X9-'Income Statement'!R9-'Income Statement'!S9-'Income Statement'!T9)&gt;0,('Balance Sheet'!X11+'Balance Sheet'!T11)/2/('Income Statement'!K9+'Income Statement'!V9+'Income Statement'!W9+'Income Statement'!X9-'Income Statement'!R9-'Income Statement'!S9-'Income Statement'!T9)*364,"n.m."),"")</x:f>
        <x:v>21.53457212896948</x:v>
      </x:c>
      <x:c r="Y34" s="96" t="n">
        <x:f>IF(COUNT('Balance Sheet'!Y11,'Balance Sheet'!U11,'Income Statement'!K9,'Income Statement'!V9,'Income Statement'!W9,'Income Statement'!X9,'Income Statement'!Y9,'Income Statement'!R9,'Income Statement'!S9,'Income Statement'!T9,'Income Statement'!U9)=11,IF(('Income Statement'!K9+'Income Statement'!V9+'Income Statement'!W9+'Income Statement'!X9+'Income Statement'!Y9-'Income Statement'!R9-'Income Statement'!S9-'Income Statement'!T9-'Income Statement'!U9)&gt;0,('Balance Sheet'!Y11+'Balance Sheet'!U11)/2/('Income Statement'!K9+'Income Statement'!V9+'Income Statement'!W9+'Income Statement'!X9+'Income Statement'!Y9-'Income Statement'!R9-'Income Statement'!S9-'Income Statement'!T9-'Income Statement'!U9)*364,"n.m."),"")</x:f>
        <x:v>25.19618564698314</x:v>
      </x:c>
      <x:c r="Z34" s="96" t="n">
        <x:f>IF(COUNT('Balance Sheet'!Z11,'Balance Sheet'!V11,'Income Statement'!L9,'Income Statement'!Z9,'Income Statement'!V9)=5,IF(('Income Statement'!L9+'Income Statement'!Z9-'Income Statement'!V9)&gt;0,('Balance Sheet'!Z11+'Balance Sheet'!V11)/2/('Income Statement'!L9+'Income Statement'!Z9-'Income Statement'!V9)*364,"n.m."),"")</x:f>
        <x:v>24.136673920726146</x:v>
      </x:c>
      <x:c r="AA34" s="96" t="n">
        <x:f>IF(COUNT('Balance Sheet'!AA11,'Balance Sheet'!W11,'Income Statement'!L9,'Income Statement'!Z9,'Income Statement'!AA9,'Income Statement'!V9,'Income Statement'!W9)=7,IF(('Income Statement'!L9+'Income Statement'!Z9+'Income Statement'!AA9-'Income Statement'!V9-'Income Statement'!W9)&gt;0,('Balance Sheet'!AA11+'Balance Sheet'!W11)/2/('Income Statement'!L9+'Income Statement'!Z9+'Income Statement'!AA9-'Income Statement'!V9-'Income Statement'!W9)*364,"n.m."),"")</x:f>
        <x:v>20.40128348997054</x:v>
      </x:c>
    </x:row>
    <x:row r="35" ht="22" customHeight="1">
      <x:c r="A35" s="49" t="str">
        <x:v>DIO: average inventory</x:v>
      </x:c>
      <x:c r="B35" s="3"/>
      <x:c r="C35" s="96" t="n">
        <x:f>IF(COUNT('Balance Sheet'!C12,'Balance Sheet'!C70,'Income Statement'!C11)=3,IF('Income Statement'!C11&gt;0,('Balance Sheet'!C12+'Balance Sheet'!C70)/2/'Income Statement'!C11*371,"n.m."),"")</x:f>
        <x:v>85.72857389205035</x:v>
      </x:c>
      <x:c r="D35" s="96" t="n">
        <x:f>IF(COUNT('Balance Sheet'!D12,'Balance Sheet'!C12,'Income Statement'!D11)=3,IF('Income Statement'!D11&gt;0,('Balance Sheet'!D12+'Balance Sheet'!C12)/2/'Income Statement'!D11*364,"n.m."),"")</x:f>
        <x:v>96.30052338342057</x:v>
      </x:c>
      <x:c r="E35" s="96" t="n">
        <x:f>IF(COUNT('Balance Sheet'!E12,'Balance Sheet'!D12,'Income Statement'!E11)=3,IF('Income Statement'!E11&gt;0,('Balance Sheet'!E12+'Balance Sheet'!D12)/2/'Income Statement'!E11*364,"n.m."),"")</x:f>
        <x:v>95.56829331267751</x:v>
      </x:c>
      <x:c r="F35" s="96" t="n">
        <x:f>IF(COUNT('Balance Sheet'!F12,'Balance Sheet'!E12,'Income Statement'!F11)=3,IF('Income Statement'!F11&gt;0,('Balance Sheet'!F12+'Balance Sheet'!E12)/2/'Income Statement'!F11*364,"n.m."),"")</x:f>
        <x:v>97.61790444258172</x:v>
      </x:c>
      <x:c r="G35" s="96" t="n">
        <x:f>IF(COUNT('Balance Sheet'!G12,'Balance Sheet'!F12,'Income Statement'!G11)=3,IF('Income Statement'!G11&gt;0,('Balance Sheet'!G12+'Balance Sheet'!F12)/2/'Income Statement'!G11*364,"n.m."),"")</x:f>
        <x:v>91.23111954459203</x:v>
      </x:c>
      <x:c r="H35" s="96" t="n">
        <x:f>IF(COUNT('Balance Sheet'!H12,'Balance Sheet'!G12,'Income Statement'!H11)=3,IF('Income Statement'!H11&gt;0,('Balance Sheet'!H12+'Balance Sheet'!G12)/2/'Income Statement'!H11*364,"n.m."),"")</x:f>
        <x:v>99.26285892811497</x:v>
      </x:c>
      <x:c r="I35" s="96" t="n">
        <x:f>IF(COUNT('Balance Sheet'!I12,'Balance Sheet'!H12,'Income Statement'!I11)=3,IF('Income Statement'!I11&gt;0,('Balance Sheet'!I12+'Balance Sheet'!H12)/2/'Income Statement'!I11*371,"n.m."),"")</x:f>
        <x:v>123.0242069194208</x:v>
      </x:c>
      <x:c r="J35" s="96" t="n">
        <x:f>IF(COUNT('Balance Sheet'!J12,'Balance Sheet'!I12,'Income Statement'!J11)=3,IF('Income Statement'!J11&gt;0,('Balance Sheet'!J12+'Balance Sheet'!I12)/2/'Income Statement'!J11*364,"n.m."),"")</x:f>
        <x:v>136.29430759295138</x:v>
      </x:c>
      <x:c r="K35" s="96" t="n">
        <x:f>IF(COUNT('Balance Sheet'!K12,'Balance Sheet'!J12,'Income Statement'!K11)=3,IF('Income Statement'!K11&gt;0,('Balance Sheet'!K12+'Balance Sheet'!J12)/2/'Income Statement'!K11*364,"n.m."),"")</x:f>
        <x:v>118.72552858261551</x:v>
      </x:c>
      <x:c r="L35" s="96" t="n">
        <x:f>IF(COUNT('Balance Sheet'!L12,'Balance Sheet'!K12,'Income Statement'!L11)=3,IF('Income Statement'!L11&gt;0,('Balance Sheet'!L12+'Balance Sheet'!K12)/2/'Income Statement'!L11*364,"n.m."),"")</x:f>
        <x:v>125.71819711120135</x:v>
      </x:c>
      <x:c r="M35" s="95"/>
      <x:c r="N35" s="97"/>
      <x:c r="O35" s="97"/>
      <x:c r="P35" s="97"/>
      <x:c r="Q35" s="97"/>
      <x:c r="R35" s="96" t="str">
        <x:f>IF(COUNT('Balance Sheet'!R12,'Balance Sheet'!N12,'Income Statement'!J11,'Income Statement'!R11,'Income Statement'!N11)=5,IF(('Income Statement'!J11+'Income Statement'!R11-'Income Statement'!N11)&gt;0,('Balance Sheet'!R12+'Balance Sheet'!N12)/2/('Income Statement'!J11+'Income Statement'!R11-'Income Statement'!N11)*364,"n.m."),"")</x:f>
      </x:c>
      <x:c r="S35" s="96" t="str">
        <x:f>IF(COUNT('Balance Sheet'!S12,'Balance Sheet'!O12,'Income Statement'!J11,'Income Statement'!R11,'Income Statement'!S11,'Income Statement'!N11,'Income Statement'!O11)=7,IF(('Income Statement'!J11+'Income Statement'!R11+'Income Statement'!S11-'Income Statement'!N11-'Income Statement'!O11)&gt;0,('Balance Sheet'!S12+'Balance Sheet'!O12)/2/('Income Statement'!J11+'Income Statement'!R11+'Income Statement'!S11-'Income Statement'!N11-'Income Statement'!O11)*364,"n.m."),"")</x:f>
      </x:c>
      <x:c r="T35" s="96" t="n">
        <x:f>IF(COUNT('Balance Sheet'!T12,'Balance Sheet'!P12,'Income Statement'!J11,'Income Statement'!R11,'Income Statement'!S11,'Income Statement'!T11,'Income Statement'!N11,'Income Statement'!O11,'Income Statement'!P11)=9,IF(('Income Statement'!J11+'Income Statement'!R11+'Income Statement'!S11+'Income Statement'!T11-'Income Statement'!N11-'Income Statement'!O11-'Income Statement'!P11)&gt;0,('Balance Sheet'!T12+'Balance Sheet'!P12)/2/('Income Statement'!J11+'Income Statement'!R11+'Income Statement'!S11+'Income Statement'!T11-'Income Statement'!N11-'Income Statement'!O11-'Income Statement'!P11)*364,"n.m."),"")</x:f>
        <x:v>120.8300459945258</x:v>
      </x:c>
      <x:c r="U35" s="96" t="n">
        <x:f>IF(COUNT('Balance Sheet'!U12,'Balance Sheet'!Q12,'Income Statement'!J11,'Income Statement'!R11,'Income Statement'!S11,'Income Statement'!T11,'Income Statement'!U11,'Income Statement'!N11,'Income Statement'!O11,'Income Statement'!P11,'Income Statement'!Q11)=11,IF(('Income Statement'!J11+'Income Statement'!R11+'Income Statement'!S11+'Income Statement'!T11+'Income Statement'!U11-'Income Statement'!N11-'Income Statement'!O11-'Income Statement'!P11-'Income Statement'!Q11)&gt;0,('Balance Sheet'!U12+'Balance Sheet'!Q12)/2/('Income Statement'!J11+'Income Statement'!R11+'Income Statement'!S11+'Income Statement'!T11+'Income Statement'!U11-'Income Statement'!N11-'Income Statement'!O11-'Income Statement'!P11-'Income Statement'!Q11)*364,"n.m."),"")</x:f>
        <x:v>118.72552858261551</x:v>
      </x:c>
      <x:c r="V35" s="96" t="n">
        <x:f>IF(COUNT('Balance Sheet'!V12,'Balance Sheet'!R12,'Income Statement'!K11,'Income Statement'!V11,'Income Statement'!R11)=5,IF(('Income Statement'!K11+'Income Statement'!V11-'Income Statement'!R11)&gt;0,('Balance Sheet'!V12+'Balance Sheet'!R12)/2/('Income Statement'!K11+'Income Statement'!V11-'Income Statement'!R11)*364,"n.m."),"")</x:f>
        <x:v>119.38665710186514</x:v>
      </x:c>
      <x:c r="W35" s="96" t="n">
        <x:f>IF(COUNT('Balance Sheet'!W12,'Balance Sheet'!S12,'Income Statement'!K11,'Income Statement'!V11,'Income Statement'!W11,'Income Statement'!R11,'Income Statement'!S11)=7,IF(('Income Statement'!K11+'Income Statement'!V11+'Income Statement'!W11-'Income Statement'!R11-'Income Statement'!S11)&gt;0,('Balance Sheet'!W12+'Balance Sheet'!S12)/2/('Income Statement'!K11+'Income Statement'!V11+'Income Statement'!W11-'Income Statement'!R11-'Income Statement'!S11)*364,"n.m."),"")</x:f>
        <x:v>110.44995305164319</x:v>
      </x:c>
      <x:c r="X35" s="96" t="n">
        <x:f>IF(COUNT('Balance Sheet'!X12,'Balance Sheet'!T12,'Income Statement'!K11,'Income Statement'!V11,'Income Statement'!W11,'Income Statement'!X11,'Income Statement'!R11,'Income Statement'!S11,'Income Statement'!T11)=9,IF(('Income Statement'!K11+'Income Statement'!V11+'Income Statement'!W11+'Income Statement'!X11-'Income Statement'!R11-'Income Statement'!S11-'Income Statement'!T11)&gt;0,('Balance Sheet'!X12+'Balance Sheet'!T12)/2/('Income Statement'!K11+'Income Statement'!V11+'Income Statement'!W11+'Income Statement'!X11-'Income Statement'!R11-'Income Statement'!S11-'Income Statement'!T11)*364,"n.m."),"")</x:f>
        <x:v>124.5179676379165</x:v>
      </x:c>
      <x:c r="Y35" s="96" t="n">
        <x:f>IF(COUNT('Balance Sheet'!Y12,'Balance Sheet'!U12,'Income Statement'!K11,'Income Statement'!V11,'Income Statement'!W11,'Income Statement'!X11,'Income Statement'!Y11,'Income Statement'!R11,'Income Statement'!S11,'Income Statement'!T11,'Income Statement'!U11)=11,IF(('Income Statement'!K11+'Income Statement'!V11+'Income Statement'!W11+'Income Statement'!X11+'Income Statement'!Y11-'Income Statement'!R11-'Income Statement'!S11-'Income Statement'!T11-'Income Statement'!U11)&gt;0,('Balance Sheet'!Y12+'Balance Sheet'!U12)/2/('Income Statement'!K11+'Income Statement'!V11+'Income Statement'!W11+'Income Statement'!X11+'Income Statement'!Y11-'Income Statement'!R11-'Income Statement'!S11-'Income Statement'!T11-'Income Statement'!U11)*364,"n.m."),"")</x:f>
        <x:v>125.71819711120135</x:v>
      </x:c>
      <x:c r="Z35" s="96" t="n">
        <x:f>IF(COUNT('Balance Sheet'!Z12,'Balance Sheet'!V12,'Income Statement'!L11,'Income Statement'!Z11,'Income Statement'!V11)=5,IF(('Income Statement'!L11+'Income Statement'!Z11-'Income Statement'!V11)&gt;0,('Balance Sheet'!Z12+'Balance Sheet'!V12)/2/('Income Statement'!L11+'Income Statement'!Z11-'Income Statement'!V11)*364,"n.m."),"")</x:f>
        <x:v>129.53861665658397</x:v>
      </x:c>
      <x:c r="AA35" s="96" t="n">
        <x:f>IF(COUNT('Balance Sheet'!AA12,'Balance Sheet'!W12,'Income Statement'!L11,'Income Statement'!Z11,'Income Statement'!AA11,'Income Statement'!V11,'Income Statement'!W11)=7,IF(('Income Statement'!L11+'Income Statement'!Z11+'Income Statement'!AA11-'Income Statement'!V11-'Income Statement'!W11)&gt;0,('Balance Sheet'!AA12+'Balance Sheet'!W12)/2/('Income Statement'!L11+'Income Statement'!Z11+'Income Statement'!AA11-'Income Statement'!V11-'Income Statement'!W11)*364,"n.m."),"")</x:f>
        <x:v>124.06562901613594</x:v>
      </x:c>
    </x:row>
    <x:row r="36" ht="22" customHeight="1">
      <x:c r="A36" s="49" t="str">
        <x:v>DPO: unavailable; trade / capital AP not split</x:v>
      </x:c>
      <x:c r="B36" s="3"/>
      <x:c r="C36" s="97"/>
      <x:c r="D36" s="97"/>
      <x:c r="E36" s="97"/>
      <x:c r="F36" s="97"/>
      <x:c r="G36" s="97"/>
      <x:c r="H36" s="97"/>
      <x:c r="I36" s="97"/>
      <x:c r="J36" s="97"/>
      <x:c r="K36" s="97"/>
      <x:c r="L36" s="97"/>
      <x:c r="M36" s="95"/>
      <x:c r="N36" s="97"/>
      <x:c r="O36" s="97"/>
      <x:c r="P36" s="97"/>
      <x:c r="Q36" s="97"/>
      <x:c r="R36" s="97"/>
      <x:c r="S36" s="97"/>
      <x:c r="T36" s="97"/>
      <x:c r="U36" s="97"/>
      <x:c r="V36" s="97"/>
      <x:c r="W36" s="97"/>
      <x:c r="X36" s="97"/>
      <x:c r="Y36" s="97"/>
      <x:c r="Z36" s="97"/>
      <x:c r="AA36" s="97"/>
    </x:row>
    <x:row r="37" ht="22" customHeight="1">
      <x:c r="A37" s="49" t="str">
        <x:v>Cash conversion cycle: unavailable without clean DPO</x:v>
      </x:c>
      <x:c r="B37" s="3"/>
      <x:c r="C37" s="97"/>
      <x:c r="D37" s="97"/>
      <x:c r="E37" s="97"/>
      <x:c r="F37" s="97"/>
      <x:c r="G37" s="97"/>
      <x:c r="H37" s="97"/>
      <x:c r="I37" s="97"/>
      <x:c r="J37" s="97"/>
      <x:c r="K37" s="97"/>
      <x:c r="L37" s="97"/>
      <x:c r="M37" s="95"/>
      <x:c r="N37" s="97"/>
      <x:c r="O37" s="97"/>
      <x:c r="P37" s="97"/>
      <x:c r="Q37" s="97"/>
      <x:c r="R37" s="97"/>
      <x:c r="S37" s="97"/>
      <x:c r="T37" s="97"/>
      <x:c r="U37" s="97"/>
      <x:c r="V37" s="97"/>
      <x:c r="W37" s="97"/>
      <x:c r="X37" s="97"/>
      <x:c r="Y37" s="97"/>
      <x:c r="Z37" s="97"/>
      <x:c r="AA37" s="97"/>
    </x:row>
    <x:row r="38" ht="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row>
    <x:row r="39" ht="22" customHeight="1">
      <x:c r="A39" s="21" t="str">
        <x:v>Capital and returns</x:v>
      </x:c>
      <x:c r="B39" s="21" t="str">
        <x:v>Capital and returns</x:v>
      </x:c>
      <x:c r="C39" s="21" t="str">
        <x:v>Capital and returns</x:v>
      </x:c>
      <x:c r="D39" s="21" t="str">
        <x:v>Capital and returns</x:v>
      </x:c>
      <x:c r="E39" s="21" t="str">
        <x:v>Capital and returns</x:v>
      </x:c>
      <x:c r="F39" s="21" t="str">
        <x:v>Capital and returns</x:v>
      </x:c>
      <x:c r="G39" s="21" t="str">
        <x:v>Capital and returns</x:v>
      </x:c>
      <x:c r="H39" s="21" t="str">
        <x:v>Capital and returns</x:v>
      </x:c>
      <x:c r="I39" s="21" t="str">
        <x:v>Capital and returns</x:v>
      </x:c>
      <x:c r="J39" s="21" t="str">
        <x:v>Capital and returns</x:v>
      </x:c>
      <x:c r="K39" s="21" t="str">
        <x:v>Capital and returns</x:v>
      </x:c>
      <x:c r="L39" s="21" t="str">
        <x:v>Capital and returns</x:v>
      </x:c>
      <x:c r="M39" s="21" t="str">
        <x:v>Capital and returns</x:v>
      </x:c>
      <x:c r="N39" s="21" t="str">
        <x:v>Capital and returns</x:v>
      </x:c>
      <x:c r="O39" s="21" t="str">
        <x:v>Capital and returns</x:v>
      </x:c>
      <x:c r="P39" s="21" t="str">
        <x:v>Capital and returns</x:v>
      </x:c>
      <x:c r="Q39" s="21" t="str">
        <x:v>Capital and returns</x:v>
      </x:c>
      <x:c r="R39" s="21" t="str">
        <x:v>Capital and returns</x:v>
      </x:c>
      <x:c r="S39" s="21" t="str">
        <x:v>Capital and returns</x:v>
      </x:c>
      <x:c r="T39" s="21" t="str">
        <x:v>Capital and returns</x:v>
      </x:c>
      <x:c r="U39" s="21" t="str">
        <x:v>Capital and returns</x:v>
      </x:c>
      <x:c r="V39" s="21" t="str">
        <x:v>Capital and returns</x:v>
      </x:c>
      <x:c r="W39" s="21" t="str">
        <x:v>Capital and returns</x:v>
      </x:c>
      <x:c r="X39" s="21" t="str">
        <x:v>Capital and returns</x:v>
      </x:c>
      <x:c r="Y39" s="21" t="str">
        <x:v>Capital and returns</x:v>
      </x:c>
      <x:c r="Z39" s="21" t="str">
        <x:v>Capital and returns</x:v>
      </x:c>
      <x:c r="AA39" s="21" t="str">
        <x:v>Capital and returns</x:v>
      </x:c>
    </x:row>
    <x:row r="40" ht="18" customHeight="1">
      <x:c r="A40" s="22" t="str">
        <x:v>Operating IC = assets less identified investment and cash assets; operating liabilities are not deducted. NOPAT uses actual reported income-tax expense. Unsplit financial assets remain an explicit scope limitation; no minimum operating cash is assumed.</x:v>
      </x:c>
      <x:c r="B40" s="22" t="str">
        <x:v>Operating IC = assets less identified investment and cash assets; operating liabilities are not deducted. NOPAT uses actual reported income-tax expense. Unsplit financial assets remain an explicit scope limitation; no minimum operating cash is assumed.</x:v>
      </x:c>
      <x:c r="C40" s="22" t="str">
        <x:v>Operating IC = assets less identified investment and cash assets; operating liabilities are not deducted. NOPAT uses actual reported income-tax expense. Unsplit financial assets remain an explicit scope limitation; no minimum operating cash is assumed.</x:v>
      </x:c>
      <x:c r="D40" s="22" t="str">
        <x:v>Operating IC = assets less identified investment and cash assets; operating liabilities are not deducted. NOPAT uses actual reported income-tax expense. Unsplit financial assets remain an explicit scope limitation; no minimum operating cash is assumed.</x:v>
      </x:c>
      <x:c r="E40" s="22" t="str">
        <x:v>Operating IC = assets less identified investment and cash assets; operating liabilities are not deducted. NOPAT uses actual reported income-tax expense. Unsplit financial assets remain an explicit scope limitation; no minimum operating cash is assumed.</x:v>
      </x:c>
      <x:c r="F40" s="22" t="str">
        <x:v>Operating IC = assets less identified investment and cash assets; operating liabilities are not deducted. NOPAT uses actual reported income-tax expense. Unsplit financial assets remain an explicit scope limitation; no minimum operating cash is assumed.</x:v>
      </x:c>
      <x:c r="G40" s="22" t="str">
        <x:v>Operating IC = assets less identified investment and cash assets; operating liabilities are not deducted. NOPAT uses actual reported income-tax expense. Unsplit financial assets remain an explicit scope limitation; no minimum operating cash is assumed.</x:v>
      </x:c>
      <x:c r="H40" s="22" t="str">
        <x:v>Operating IC = assets less identified investment and cash assets; operating liabilities are not deducted. NOPAT uses actual reported income-tax expense. Unsplit financial assets remain an explicit scope limitation; no minimum operating cash is assumed.</x:v>
      </x:c>
      <x:c r="I40" s="22" t="str">
        <x:v>Operating IC = assets less identified investment and cash assets; operating liabilities are not deducted. NOPAT uses actual reported income-tax expense. Unsplit financial assets remain an explicit scope limitation; no minimum operating cash is assumed.</x:v>
      </x:c>
      <x:c r="J40" s="22" t="str">
        <x:v>Operating IC = assets less identified investment and cash assets; operating liabilities are not deducted. NOPAT uses actual reported income-tax expense. Unsplit financial assets remain an explicit scope limitation; no minimum operating cash is assumed.</x:v>
      </x:c>
      <x:c r="K40" s="22" t="str">
        <x:v>Operating IC = assets less identified investment and cash assets; operating liabilities are not deducted. NOPAT uses actual reported income-tax expense. Unsplit financial assets remain an explicit scope limitation; no minimum operating cash is assumed.</x:v>
      </x:c>
      <x:c r="L40" s="22" t="str">
        <x:v>Operating IC = assets less identified investment and cash assets; operating liabilities are not deducted. NOPAT uses actual reported income-tax expense. Unsplit financial assets remain an explicit scope limitation; no minimum operating cash is assumed.</x:v>
      </x:c>
      <x:c r="M40" s="22" t="str">
        <x:v>Operating IC = assets less identified investment and cash assets; operating liabilities are not deducted. NOPAT uses actual reported income-tax expense. Unsplit financial assets remain an explicit scope limitation; no minimum operating cash is assumed.</x:v>
      </x:c>
      <x:c r="N40" s="22" t="str">
        <x:v>Operating IC = assets less identified investment and cash assets; operating liabilities are not deducted. NOPAT uses actual reported income-tax expense. Unsplit financial assets remain an explicit scope limitation; no minimum operating cash is assumed.</x:v>
      </x:c>
      <x:c r="O40" s="22" t="str">
        <x:v>Operating IC = assets less identified investment and cash assets; operating liabilities are not deducted. NOPAT uses actual reported income-tax expense. Unsplit financial assets remain an explicit scope limitation; no minimum operating cash is assumed.</x:v>
      </x:c>
      <x:c r="P40" s="22" t="str">
        <x:v>Operating IC = assets less identified investment and cash assets; operating liabilities are not deducted. NOPAT uses actual reported income-tax expense. Unsplit financial assets remain an explicit scope limitation; no minimum operating cash is assumed.</x:v>
      </x:c>
      <x:c r="Q40" s="22" t="str">
        <x:v>Operating IC = assets less identified investment and cash assets; operating liabilities are not deducted. NOPAT uses actual reported income-tax expense. Unsplit financial assets remain an explicit scope limitation; no minimum operating cash is assumed.</x:v>
      </x:c>
      <x:c r="R40" s="22" t="str">
        <x:v>Operating IC = assets less identified investment and cash assets; operating liabilities are not deducted. NOPAT uses actual reported income-tax expense. Unsplit financial assets remain an explicit scope limitation; no minimum operating cash is assumed.</x:v>
      </x:c>
      <x:c r="S40" s="22" t="str">
        <x:v>Operating IC = assets less identified investment and cash assets; operating liabilities are not deducted. NOPAT uses actual reported income-tax expense. Unsplit financial assets remain an explicit scope limitation; no minimum operating cash is assumed.</x:v>
      </x:c>
      <x:c r="T40" s="22" t="str">
        <x:v>Operating IC = assets less identified investment and cash assets; operating liabilities are not deducted. NOPAT uses actual reported income-tax expense. Unsplit financial assets remain an explicit scope limitation; no minimum operating cash is assumed.</x:v>
      </x:c>
      <x:c r="U40" s="22" t="str">
        <x:v>Operating IC = assets less identified investment and cash assets; operating liabilities are not deducted. NOPAT uses actual reported income-tax expense. Unsplit financial assets remain an explicit scope limitation; no minimum operating cash is assumed.</x:v>
      </x:c>
      <x:c r="V40" s="22" t="str">
        <x:v>Operating IC = assets less identified investment and cash assets; operating liabilities are not deducted. NOPAT uses actual reported income-tax expense. Unsplit financial assets remain an explicit scope limitation; no minimum operating cash is assumed.</x:v>
      </x:c>
      <x:c r="W40" s="22" t="str">
        <x:v>Operating IC = assets less identified investment and cash assets; operating liabilities are not deducted. NOPAT uses actual reported income-tax expense. Unsplit financial assets remain an explicit scope limitation; no minimum operating cash is assumed.</x:v>
      </x:c>
      <x:c r="X40" s="22" t="str">
        <x:v>Operating IC = assets less identified investment and cash assets; operating liabilities are not deducted. NOPAT uses actual reported income-tax expense. Unsplit financial assets remain an explicit scope limitation; no minimum operating cash is assumed.</x:v>
      </x:c>
      <x:c r="Y40" s="22" t="str">
        <x:v>Operating IC = assets less identified investment and cash assets; operating liabilities are not deducted. NOPAT uses actual reported income-tax expense. Unsplit financial assets remain an explicit scope limitation; no minimum operating cash is assumed.</x:v>
      </x:c>
      <x:c r="Z40" s="22" t="str">
        <x:v>Operating IC = assets less identified investment and cash assets; operating liabilities are not deducted. NOPAT uses actual reported income-tax expense. Unsplit financial assets remain an explicit scope limitation; no minimum operating cash is assumed.</x:v>
      </x:c>
      <x:c r="AA40" s="22" t="str">
        <x:v>Operating IC = assets less identified investment and cash assets; operating liabilities are not deducted. NOPAT uses actual reported income-tax expense. Unsplit financial assets remain an explicit scope limitation; no minimum operating cash is assumed.</x:v>
      </x:c>
    </x:row>
    <x:row r="41" ht="22" customHeight="1">
      <x:c r="A41" s="49" t="str">
        <x:v>Identified investment / other financial assets</x:v>
      </x:c>
      <x:c r="B41" s="3"/>
      <x:c r="C41" s="61" t="n">
        <x:f>IF(COUNT('Balance Sheet'!C19,'Balance Sheet'!C21,'Assets &amp; Investments'!C27,'Assets &amp; Investments'!C28,'Assets &amp; Investments'!C19,'Assets &amp; Investments'!C21,'Assets &amp; Investments'!C29,'Assets &amp; Investments'!C17)=8,('Balance Sheet'!C19+'Balance Sheet'!C21+'Assets &amp; Investments'!C27+'Assets &amp; Investments'!C28+'Assets &amp; Investments'!C19+'Assets &amp; Investments'!C21+'Assets &amp; Investments'!C29+'Assets &amp; Investments'!C17),"")</x:f>
        <x:v>16399</x:v>
      </x:c>
      <x:c r="D41" s="61" t="n">
        <x:f>IF(COUNT('Balance Sheet'!D19,'Balance Sheet'!D21,'Assets &amp; Investments'!D27,'Assets &amp; Investments'!D28,'Assets &amp; Investments'!D19,'Assets &amp; Investments'!D21,'Assets &amp; Investments'!D17)=7,('Balance Sheet'!D19+'Balance Sheet'!D21+'Assets &amp; Investments'!D27+'Assets &amp; Investments'!D28+'Assets &amp; Investments'!D19+'Assets &amp; Investments'!D21+'Assets &amp; Investments'!D17),"")</x:f>
        <x:v>13544</x:v>
      </x:c>
      <x:c r="E41" s="61" t="n">
        <x:f>IF(COUNT('Balance Sheet'!E20,'Balance Sheet'!E21,'Assets &amp; Investments'!E19,'Assets &amp; Investments'!E21,'Assets &amp; Investments'!E17)=5,('Balance Sheet'!E20+'Balance Sheet'!E21+'Assets &amp; Investments'!E19+'Assets &amp; Investments'!E21+'Assets &amp; Investments'!E17),"")</x:f>
        <x:v>10513</x:v>
      </x:c>
      <x:c r="F41" s="61" t="n">
        <x:f>IF(COUNT('Balance Sheet'!F20,'Balance Sheet'!F21,'Assets &amp; Investments'!F19,'Assets &amp; Investments'!F21,'Assets &amp; Investments'!F17)=5,('Balance Sheet'!F20+'Balance Sheet'!F21+'Assets &amp; Investments'!F19+'Assets &amp; Investments'!F21+'Assets &amp; Investments'!F17),"")</x:f>
        <x:v>8147</x:v>
      </x:c>
      <x:c r="G41" s="61" t="n">
        <x:f>IF(COUNT('Balance Sheet'!G20,'Balance Sheet'!G21,'Assets &amp; Investments'!G19,'Assets &amp; Investments'!G21,'Assets &amp; Investments'!G17)=5,('Balance Sheet'!G20+'Balance Sheet'!G21+'Assets &amp; Investments'!G19+'Assets &amp; Investments'!G21+'Assets &amp; Investments'!G17),"")</x:f>
        <x:v>7940</x:v>
      </x:c>
      <x:c r="H41" s="61" t="n">
        <x:f>IF(COUNT('Balance Sheet'!H20,'Balance Sheet'!H21,'Assets &amp; Investments'!H19,'Assets &amp; Investments'!H21)=4,('Balance Sheet'!H20+'Balance Sheet'!H21+'Assets &amp; Investments'!H19+'Assets &amp; Investments'!H21),"")</x:f>
        <x:v>7347</x:v>
      </x:c>
      <x:c r="I41" s="61" t="n">
        <x:f>IF(COUNT('Balance Sheet'!I20,'Assets &amp; Investments'!I19,'Assets &amp; Investments'!I21,'Assets &amp; Investments'!I17)=4,('Balance Sheet'!I20+'Assets &amp; Investments'!I19+'Assets &amp; Investments'!I21+'Assets &amp; Investments'!I17),"")</x:f>
        <x:v>6365</x:v>
      </x:c>
      <x:c r="J41" s="61" t="n">
        <x:f>IF(COUNT('Balance Sheet'!J20,'Assets &amp; Investments'!J19)=2,('Balance Sheet'!J20+'Assets &amp; Investments'!J19),"")</x:f>
        <x:v>5829</x:v>
      </x:c>
      <x:c r="K41" s="61" t="n">
        <x:f>IF(COUNT('Balance Sheet'!K20)=1,('Balance Sheet'!K20),"")</x:f>
        <x:v>5383</x:v>
      </x:c>
      <x:c r="L41" s="61" t="n">
        <x:f>IF(COUNT('Balance Sheet'!L20)=1,('Balance Sheet'!L20),"")</x:f>
        <x:v>8512</x:v>
      </x:c>
      <x:c r="M41" s="51"/>
      <x:c r="N41" s="51"/>
      <x:c r="O41" s="51"/>
      <x:c r="P41" s="61" t="n">
        <x:f>IF(COUNT('Balance Sheet'!P20,'Assets &amp; Investments'!P19)=2,('Balance Sheet'!P20+'Assets &amp; Investments'!P19),"")</x:f>
        <x:v>5753</x:v>
      </x:c>
      <x:c r="Q41" s="61" t="n">
        <x:f>IF(COUNT('Balance Sheet'!J20,'Assets &amp; Investments'!J19)=2,('Balance Sheet'!J20+'Assets &amp; Investments'!J19),"")</x:f>
        <x:v>5829</x:v>
      </x:c>
      <x:c r="R41" s="61" t="n">
        <x:f>IF(COUNT('Balance Sheet'!R20)=1,('Balance Sheet'!R20),"")</x:f>
        <x:v>6139</x:v>
      </x:c>
      <x:c r="S41" s="61" t="n">
        <x:f>IF(COUNT('Balance Sheet'!S20)=1,('Balance Sheet'!S20),"")</x:f>
        <x:v>5824</x:v>
      </x:c>
      <x:c r="T41" s="61" t="n">
        <x:f>IF(COUNT('Balance Sheet'!T20)=1,('Balance Sheet'!T20),"")</x:f>
        <x:v>5496</x:v>
      </x:c>
      <x:c r="U41" s="61" t="n">
        <x:f>IF(COUNT('Balance Sheet'!K20)=1,('Balance Sheet'!K20),"")</x:f>
        <x:v>5383</x:v>
      </x:c>
      <x:c r="V41" s="61" t="n">
        <x:f>IF(COUNT('Balance Sheet'!V20)=1,('Balance Sheet'!V20),"")</x:f>
        <x:v>5027</x:v>
      </x:c>
      <x:c r="W41" s="61" t="n">
        <x:f>IF(COUNT('Balance Sheet'!W20)=1,('Balance Sheet'!W20),"")</x:f>
        <x:v>5383</x:v>
      </x:c>
      <x:c r="X41" s="61" t="n">
        <x:f>IF(COUNT('Balance Sheet'!X20)=1,('Balance Sheet'!X20),"")</x:f>
        <x:v>8667</x:v>
      </x:c>
      <x:c r="Y41" s="61" t="n">
        <x:f>IF(COUNT('Balance Sheet'!L20)=1,('Balance Sheet'!L20),"")</x:f>
        <x:v>8512</x:v>
      </x:c>
      <x:c r="Z41" s="61" t="n">
        <x:f>IF(COUNT('Balance Sheet'!Z20)=1,('Balance Sheet'!Z20),"")</x:f>
        <x:v>8481</x:v>
      </x:c>
      <x:c r="AA41" s="61" t="n">
        <x:f>IF(COUNT('Balance Sheet'!AA20)=1,('Balance Sheet'!AA20),"")</x:f>
        <x:v>8410</x:v>
      </x:c>
    </x:row>
    <x:row r="42" ht="22" customHeight="1">
      <x:c r="A42" s="49" t="str">
        <x:v>Restricted / held-for-sale cash outside BS cash</x:v>
      </x:c>
      <x:c r="B42" s="3"/>
      <x:c r="C42" s="52" t="n">
        <x:f>0</x:f>
        <x:v>0</x:v>
      </x:c>
      <x:c r="D42" s="52" t="n">
        <x:f>0</x:f>
        <x:v>0</x:v>
      </x:c>
      <x:c r="E42" s="52" t="n">
        <x:f>0</x:f>
        <x:v>0</x:v>
      </x:c>
      <x:c r="F42" s="52" t="n">
        <x:f>0</x:f>
        <x:v>0</x:v>
      </x:c>
      <x:c r="G42" s="52" t="n">
        <x:f>0</x:f>
        <x:v>0</x:v>
      </x:c>
      <x:c r="H42" s="52" t="n">
        <x:f>0</x:f>
        <x:v>0</x:v>
      </x:c>
      <x:c r="I42" s="52" t="n">
        <x:f>0</x:f>
        <x:v>0</x:v>
      </x:c>
      <x:c r="J42" s="52" t="n">
        <x:f>0</x:f>
        <x:v>0</x:v>
      </x:c>
      <x:c r="K42" s="52" t="n">
        <x:f>0</x:f>
        <x:v>0</x:v>
      </x:c>
      <x:c r="L42" s="61" t="n">
        <x:f>IF(COUNT('Assets &amp; Investments'!L24)=1,('Assets &amp; Investments'!L24),"")</x:f>
        <x:v>447</x:v>
      </x:c>
      <x:c r="M42" s="51"/>
      <x:c r="N42" s="51"/>
      <x:c r="O42" s="51"/>
      <x:c r="P42" s="52" t="n">
        <x:f>0</x:f>
        <x:v>0</x:v>
      </x:c>
      <x:c r="Q42" s="52" t="n">
        <x:f>0</x:f>
        <x:v>0</x:v>
      </x:c>
      <x:c r="R42" s="52" t="n">
        <x:f>0</x:f>
        <x:v>0</x:v>
      </x:c>
      <x:c r="S42" s="52" t="n">
        <x:f>0</x:f>
        <x:v>0</x:v>
      </x:c>
      <x:c r="T42" s="52" t="n">
        <x:f>0</x:f>
        <x:v>0</x:v>
      </x:c>
      <x:c r="U42" s="52" t="n">
        <x:f>0</x:f>
        <x:v>0</x:v>
      </x:c>
      <x:c r="V42" s="52" t="n">
        <x:f>0</x:f>
        <x:v>0</x:v>
      </x:c>
      <x:c r="W42" s="61" t="n">
        <x:f>IF(COUNT('Assets &amp; Investments'!W26)=1,('Assets &amp; Investments'!W26),"")</x:f>
        <x:v>50</x:v>
      </x:c>
      <x:c r="X42" s="52" t="n">
        <x:f>0</x:f>
        <x:v>0</x:v>
      </x:c>
      <x:c r="Y42" s="61" t="n">
        <x:f>IF(COUNT('Assets &amp; Investments'!L24)=1,('Assets &amp; Investments'!L24),"")</x:f>
        <x:v>447</x:v>
      </x:c>
      <x:c r="Z42" s="61" t="n">
        <x:f>IF(COUNT('Assets &amp; Investments'!Z24)=1,('Assets &amp; Investments'!Z24),"")</x:f>
        <x:v>448</x:v>
      </x:c>
      <x:c r="AA42" s="61" t="n">
        <x:f>IF(COUNT('Assets &amp; Investments'!AA25,'Assets &amp; Investments'!AA24)=2,('Assets &amp; Investments'!AA25+'Assets &amp; Investments'!AA24),"")</x:f>
        <x:v>723</x:v>
      </x:c>
    </x:row>
    <x:row r="43" ht="24" customHeight="1">
      <x:c r="A43" s="34" t="str">
        <x:v>Operating IC (identified financial-asset deductions)</x:v>
      </x:c>
      <x:c r="B43" s="35"/>
      <x:c r="C43" s="81" t="n">
        <x:f>IF(COUNT('Balance Sheet'!C25,C23,C41,C42)=4,'Balance Sheet'!C25-C23-C41-C42,"")</x:f>
        <x:v>79829</x:v>
      </x:c>
      <x:c r="D43" s="81" t="n">
        <x:f>IF(COUNT('Balance Sheet'!D25,D23,D41,D42)=4,'Balance Sheet'!D25-D23-D41-D42,"")</x:f>
        <x:v>95703</x:v>
      </x:c>
      <x:c r="E43" s="81" t="n">
        <x:f>IF(COUNT('Balance Sheet'!E25,E23,E41,E42)=4,'Balance Sheet'!E25-E23-E41-E42,"")</x:f>
        <x:v>105800</x:v>
      </x:c>
      <x:c r="F43" s="81" t="n">
        <x:f>IF(COUNT('Balance Sheet'!F25,F23,F41,F42)=4,'Balance Sheet'!F25-F23-F41-F42,"")</x:f>
        <x:v>115254</x:v>
      </x:c>
      <x:c r="G43" s="81" t="n">
        <x:f>IF(COUNT('Balance Sheet'!G25,G23,G41,G42)=4,'Balance Sheet'!G25-G23-G41-G42,"")</x:f>
        <x:v>121256</x:v>
      </x:c>
      <x:c r="H43" s="81" t="n">
        <x:f>IF(COUNT('Balance Sheet'!H25,H23,H41,H42)=4,'Balance Sheet'!H25-H23-H41-H42,"")</x:f>
        <x:v>132646</x:v>
      </x:c>
      <x:c r="I43" s="81" t="n">
        <x:f>IF(COUNT('Balance Sheet'!I25,I23,I41,I42)=4,'Balance Sheet'!I25-I23-I41-I42,"")</x:f>
        <x:v>147400</x:v>
      </x:c>
      <x:c r="J43" s="81" t="n">
        <x:f>IF(COUNT('Balance Sheet'!J25,J23,J41,J42)=4,'Balance Sheet'!J25-J23-J41-J42,"")</x:f>
        <x:v>160709</x:v>
      </x:c>
      <x:c r="K43" s="81" t="n">
        <x:f>IF(COUNT('Balance Sheet'!K25,K23,K41,K42)=4,'Balance Sheet'!K25-K23-K41-K42,"")</x:f>
        <x:v>169040</x:v>
      </x:c>
      <x:c r="L43" s="81" t="n">
        <x:f>IF(COUNT('Balance Sheet'!L25,L23,L41,L42)=4,'Balance Sheet'!L25-L23-L41-L42,"")</x:f>
        <x:v>165054</x:v>
      </x:c>
      <x:c r="M43" s="36"/>
      <x:c r="N43" s="81" t="str">
        <x:f>IF(COUNT('Balance Sheet'!N25,N23,N41,N42)=4,'Balance Sheet'!N25-N23-N41-N42,"")</x:f>
      </x:c>
      <x:c r="O43" s="81" t="str">
        <x:f>IF(COUNT('Balance Sheet'!O25,O23,O41,O42)=4,'Balance Sheet'!O25-O23-O41-O42,"")</x:f>
      </x:c>
      <x:c r="P43" s="81" t="n">
        <x:f>IF(COUNT('Balance Sheet'!P25,P23,P41,P42)=4,'Balance Sheet'!P25-P23-P41-P42,"")</x:f>
        <x:v>158054</x:v>
      </x:c>
      <x:c r="Q43" s="81" t="n">
        <x:f>IF(COUNT('Balance Sheet'!Q25,Q23,Q41,Q42)=4,'Balance Sheet'!Q25-Q23-Q41-Q42,"")</x:f>
        <x:v>160709</x:v>
      </x:c>
      <x:c r="R43" s="81" t="n">
        <x:f>IF(COUNT('Balance Sheet'!R25,R23,R41,R42)=4,'Balance Sheet'!R25-R23-R41-R42,"")</x:f>
        <x:v>165283</x:v>
      </x:c>
      <x:c r="S43" s="81" t="n">
        <x:f>IF(COUNT('Balance Sheet'!S25,S23,S41,S42)=4,'Balance Sheet'!S25-S23-S41-S42,"")</x:f>
        <x:v>171108</x:v>
      </x:c>
      <x:c r="T43" s="81" t="n">
        <x:f>IF(COUNT('Balance Sheet'!T25,T23,T41,T42)=4,'Balance Sheet'!T25-T23-T41-T42,"")</x:f>
        <x:v>163960</x:v>
      </x:c>
      <x:c r="U43" s="81" t="n">
        <x:f>IF(COUNT('Balance Sheet'!U25,U23,U41,U42)=4,'Balance Sheet'!U25-U23-U41-U42,"")</x:f>
        <x:v>169040</x:v>
      </x:c>
      <x:c r="V43" s="81" t="n">
        <x:f>IF(COUNT('Balance Sheet'!V25,V23,V41,V42)=4,'Balance Sheet'!V25-V23-V41-V42,"")</x:f>
        <x:v>166167</x:v>
      </x:c>
      <x:c r="W43" s="81" t="n">
        <x:f>IF(COUNT('Balance Sheet'!W25,W23,W41,W42)=4,'Balance Sheet'!W25-W23-W41-W42,"")</x:f>
        <x:v>165881</x:v>
      </x:c>
      <x:c r="X43" s="81" t="n">
        <x:f>IF(COUNT('Balance Sheet'!X25,X23,X41,X42)=4,'Balance Sheet'!X25-X23-X41-X42,"")</x:f>
        <x:v>164912</x:v>
      </x:c>
      <x:c r="Y43" s="81" t="n">
        <x:f>IF(COUNT('Balance Sheet'!Y25,Y23,Y41,Y42)=4,'Balance Sheet'!Y25-Y23-Y41-Y42,"")</x:f>
        <x:v>165054</x:v>
      </x:c>
      <x:c r="Z43" s="81" t="n">
        <x:f>IF(COUNT('Balance Sheet'!Z25,Z23,Z41,Z42)=4,'Balance Sheet'!Z25-Z23-Z41-Z42,"")</x:f>
        <x:v>163614</x:v>
      </x:c>
      <x:c r="AA43" s="81" t="n">
        <x:f>IF(COUNT('Balance Sheet'!AA25,AA23,AA41,AA42)=4,'Balance Sheet'!AA25-AA23-AA41-AA42,"")</x:f>
        <x:v>163579</x:v>
      </x:c>
    </x:row>
    <x:row r="44" ht="22" customHeight="1">
      <x:c r="A44" s="49" t="str">
        <x:v>Opening operating IC: 26 Dec 2015 inputs only</x:v>
      </x:c>
      <x:c r="B44" s="3"/>
      <x:c r="C44" s="61" t="n">
        <x:f>IF(COUNT('Balance Sheet'!C71,'Balance Sheet'!C66,'Balance Sheet'!C67,'Balance Sheet'!C68,'Balance Sheet'!C72,'Balance Sheet'!C73,'Balance Sheet'!C78,'Balance Sheet'!C80,'Balance Sheet'!C81,'Balance Sheet'!C82,'Balance Sheet'!C83,'Balance Sheet'!C84)=12,'Balance Sheet'!C71-'Balance Sheet'!C66-'Balance Sheet'!C67-'Balance Sheet'!C68-'Balance Sheet'!C72-'Balance Sheet'!C73-'Balance Sheet'!C78-'Balance Sheet'!C80-'Balance Sheet'!C81-'Balance Sheet'!C82-'Balance Sheet'!C83-'Balance Sheet'!C84,"")</x:f>
        <x:v>61978</x:v>
      </x:c>
      <x:c r="D44" s="51"/>
      <x:c r="E44" s="51"/>
      <x:c r="F44" s="51"/>
      <x:c r="G44" s="51"/>
      <x:c r="H44" s="51"/>
      <x:c r="I44" s="51"/>
      <x:c r="J44" s="51"/>
      <x:c r="K44" s="51"/>
      <x:c r="L44" s="51"/>
      <x:c r="M44" s="51"/>
      <x:c r="N44" s="51"/>
      <x:c r="O44" s="51"/>
      <x:c r="P44" s="51"/>
      <x:c r="Q44" s="51"/>
      <x:c r="R44" s="51"/>
      <x:c r="S44" s="51"/>
      <x:c r="T44" s="51"/>
      <x:c r="U44" s="51"/>
      <x:c r="V44" s="51"/>
      <x:c r="W44" s="51"/>
      <x:c r="X44" s="51"/>
      <x:c r="Y44" s="51"/>
      <x:c r="Z44" s="51"/>
      <x:c r="AA44" s="51"/>
    </x:row>
    <x:row r="45" ht="22" customHeight="1">
      <x:c r="A45" s="49" t="str">
        <x:v>NOPAT: operating income less actual tax expense</x:v>
      </x:c>
      <x:c r="B45" s="3"/>
      <x:c r="C45" s="61" t="n">
        <x:f>IF(COUNT('Income Statement'!C22,'Income Statement'!C30)=2,'Income Statement'!C22-'Income Statement'!C30,"")</x:f>
        <x:v>10254</x:v>
      </x:c>
      <x:c r="D45" s="61" t="n">
        <x:f>IF(COUNT('Income Statement'!D22,'Income Statement'!D30)=2,'Income Statement'!D22-'Income Statement'!D30,"")</x:f>
        <x:v>7185</x:v>
      </x:c>
      <x:c r="E45" s="61" t="n">
        <x:f>IF(COUNT('Income Statement'!E22,'Income Statement'!E30)=2,'Income Statement'!E22-'Income Statement'!E30,"")</x:f>
        <x:v>21052</x:v>
      </x:c>
      <x:c r="F45" s="61" t="n">
        <x:f>IF(COUNT('Income Statement'!F22,'Income Statement'!F30)=2,'Income Statement'!F22-'Income Statement'!F30,"")</x:f>
        <x:v>19025</x:v>
      </x:c>
      <x:c r="G45" s="61" t="n">
        <x:f>IF(COUNT('Income Statement'!G22,'Income Statement'!G30)=2,'Income Statement'!G22-'Income Statement'!G30,"")</x:f>
        <x:v>19499</x:v>
      </x:c>
      <x:c r="H45" s="61" t="n">
        <x:f>IF(COUNT('Income Statement'!H22,'Income Statement'!H30)=2,'Income Statement'!H22-'Income Statement'!H30,"")</x:f>
        <x:v>17621</x:v>
      </x:c>
      <x:c r="I45" s="61" t="n">
        <x:f>IF(COUNT('Income Statement'!I22,'Income Statement'!I30)=2,'Income Statement'!I22-'Income Statement'!I30,"")</x:f>
        <x:v>2583</x:v>
      </x:c>
      <x:c r="J45" s="61" t="n">
        <x:f>IF(COUNT('Income Statement'!J22,'Income Statement'!J30)=2,'Income Statement'!J22-'Income Statement'!J30,"")</x:f>
        <x:v>1006</x:v>
      </x:c>
      <x:c r="K45" s="61" t="n">
        <x:f>IF(COUNT('Income Statement'!K22,'Income Statement'!K30)=2,'Income Statement'!K22-'Income Statement'!K30,"")</x:f>
        <x:v>-19701</x:v>
      </x:c>
      <x:c r="L45" s="61" t="n">
        <x:f>IF(COUNT('Income Statement'!L22,'Income Statement'!L30)=2,'Income Statement'!L22-'Income Statement'!L30,"")</x:f>
        <x:v>-3745</x:v>
      </x:c>
      <x:c r="M45" s="51"/>
      <x:c r="N45" s="75"/>
      <x:c r="O45" s="75"/>
      <x:c r="P45" s="75"/>
      <x:c r="Q45" s="75"/>
      <x:c r="R45" s="61" t="n">
        <x:f>IF(COUNT('Income Statement'!J22,'Income Statement'!R22,'Income Statement'!N22,'Income Statement'!J30,'Income Statement'!R30,'Income Statement'!N30)=6,('Income Statement'!J22+'Income Statement'!R22-'Income Statement'!N22)-('Income Statement'!J30+'Income Statement'!R30-'Income Statement'!N30),"")</x:f>
        <x:v>3297</x:v>
      </x:c>
      <x:c r="S45" s="61" t="n">
        <x:f>IF(COUNT('Income Statement'!J22,'Income Statement'!R22,'Income Statement'!S22,'Income Statement'!N22,'Income Statement'!O22,'Income Statement'!J30,'Income Statement'!R30,'Income Statement'!S30,'Income Statement'!N30,'Income Statement'!O30)=10,('Income Statement'!J22+'Income Statement'!R22+'Income Statement'!S22-'Income Statement'!N22-'Income Statement'!O22)-('Income Statement'!J30+'Income Statement'!R30+'Income Statement'!S30-'Income Statement'!N30-'Income Statement'!O30),"")</x:f>
        <x:v>410</x:v>
      </x:c>
      <x:c r="T45" s="61" t="n">
        <x:f>IF(COUNT('Income Statement'!J22,'Income Statement'!R22,'Income Statement'!S22,'Income Statement'!T22,'Income Statement'!N22,'Income Statement'!O22,'Income Statement'!P22,'Income Statement'!J30,'Income Statement'!R30,'Income Statement'!S30,'Income Statement'!T30,'Income Statement'!N30,'Income Statement'!O30,'Income Statement'!P30)=14,('Income Statement'!J22+'Income Statement'!R22+'Income Statement'!S22+'Income Statement'!T22-'Income Statement'!N22-'Income Statement'!O22-'Income Statement'!P22)-('Income Statement'!J30+'Income Statement'!R30+'Income Statement'!S30+'Income Statement'!T30-'Income Statement'!N30-'Income Statement'!O30-'Income Statement'!P30),"")</x:f>
        <x:v>-16904</x:v>
      </x:c>
      <x:c r="U45" s="61" t="n">
        <x:f>IF(COUNT('Income Statement'!J22,'Income Statement'!R22,'Income Statement'!S22,'Income Statement'!T22,'Income Statement'!U22,'Income Statement'!N22,'Income Statement'!O22,'Income Statement'!P22,'Income Statement'!Q22,'Income Statement'!J30,'Income Statement'!R30,'Income Statement'!S30,'Income Statement'!T30,'Income Statement'!U30,'Income Statement'!N30,'Income Statement'!O30,'Income Statement'!P30,'Income Statement'!Q30)=18,('Income Statement'!J22+'Income Statement'!R22+'Income Statement'!S22+'Income Statement'!T22+'Income Statement'!U22-'Income Statement'!N22-'Income Statement'!O22-'Income Statement'!P22-'Income Statement'!Q22)-('Income Statement'!J30+'Income Statement'!R30+'Income Statement'!S30+'Income Statement'!T30+'Income Statement'!U30-'Income Statement'!N30-'Income Statement'!O30-'Income Statement'!P30-'Income Statement'!Q30),"")</x:f>
        <x:v>-19701</x:v>
      </x:c>
      <x:c r="V45" s="61" t="n">
        <x:f>IF(COUNT('Income Statement'!K22,'Income Statement'!V22,'Income Statement'!R22,'Income Statement'!K30,'Income Statement'!V30,'Income Statement'!R30)=6,('Income Statement'!K22+'Income Statement'!V22-'Income Statement'!R22)-('Income Statement'!K30+'Income Statement'!V30-'Income Statement'!R30),"")</x:f>
        <x:v>-19516</x:v>
      </x:c>
      <x:c r="W45" s="61" t="n">
        <x:f>IF(COUNT('Income Statement'!K22,'Income Statement'!V22,'Income Statement'!W22,'Income Statement'!R22,'Income Statement'!S22,'Income Statement'!K30,'Income Statement'!V30,'Income Statement'!W30,'Income Statement'!R30,'Income Statement'!S30)=10,('Income Statement'!K22+'Income Statement'!V22+'Income Statement'!W22-'Income Statement'!R22-'Income Statement'!S22)-('Income Statement'!K30+'Income Statement'!V30+'Income Statement'!W30-'Income Statement'!R30-'Income Statement'!S30),"")</x:f>
        <x:v>-21333</x:v>
      </x:c>
      <x:c r="X45" s="61" t="n">
        <x:f>IF(COUNT('Income Statement'!K22,'Income Statement'!V22,'Income Statement'!W22,'Income Statement'!X22,'Income Statement'!R22,'Income Statement'!S22,'Income Statement'!T22,'Income Statement'!K30,'Income Statement'!V30,'Income Statement'!W30,'Income Statement'!X30,'Income Statement'!R30,'Income Statement'!S30,'Income Statement'!T30)=14,('Income Statement'!K22+'Income Statement'!V22+'Income Statement'!W22+'Income Statement'!X22-'Income Statement'!R22-'Income Statement'!S22-'Income Statement'!T22)-('Income Statement'!K30+'Income Statement'!V30+'Income Statement'!W30+'Income Statement'!X30-'Income Statement'!R30-'Income Statement'!S30-'Income Statement'!T30),"")</x:f>
        <x:v>-3994</x:v>
      </x:c>
      <x:c r="Y45" s="61" t="n">
        <x:f>IF(COUNT('Income Statement'!K22,'Income Statement'!V22,'Income Statement'!W22,'Income Statement'!X22,'Income Statement'!Y22,'Income Statement'!R22,'Income Statement'!S22,'Income Statement'!T22,'Income Statement'!U22,'Income Statement'!K30,'Income Statement'!V30,'Income Statement'!W30,'Income Statement'!X30,'Income Statement'!Y30,'Income Statement'!R30,'Income Statement'!S30,'Income Statement'!T30,'Income Statement'!U30)=18,('Income Statement'!K22+'Income Statement'!V22+'Income Statement'!W22+'Income Statement'!X22+'Income Statement'!Y22-'Income Statement'!R22-'Income Statement'!S22-'Income Statement'!T22-'Income Statement'!U22)-('Income Statement'!K30+'Income Statement'!V30+'Income Statement'!W30+'Income Statement'!X30+'Income Statement'!Y30-'Income Statement'!R30-'Income Statement'!S30-'Income Statement'!T30-'Income Statement'!U30),"")</x:f>
        <x:v>-3745</x:v>
      </x:c>
      <x:c r="Z45" s="61" t="n">
        <x:f>IF(COUNT('Income Statement'!L22,'Income Statement'!Z22,'Income Statement'!V22,'Income Statement'!L30,'Income Statement'!Z30,'Income Statement'!V30)=6,('Income Statement'!L22+'Income Statement'!Z22-'Income Statement'!V22)-('Income Statement'!L30+'Income Statement'!Z30-'Income Statement'!V30),"")</x:f>
        <x:v>-6614</x:v>
      </x:c>
      <x:c r="AA45" s="61" t="n">
        <x:f>IF(COUNT('Income Statement'!L22,'Income Statement'!Z22,'Income Statement'!AA22,'Income Statement'!V22,'Income Statement'!W22,'Income Statement'!L30,'Income Statement'!Z30,'Income Statement'!AA30,'Income Statement'!V30,'Income Statement'!W30)=10,('Income Statement'!L22+'Income Statement'!Z22+'Income Statement'!AA22-'Income Statement'!V22-'Income Statement'!W22)-('Income Statement'!L30+'Income Statement'!Z30+'Income Statement'!AA30-'Income Statement'!V30-'Income Statement'!W30),"")</x:f>
        <x:v>-1416</x:v>
      </x:c>
    </x:row>
    <x:row r="46" ht="22" customHeight="1">
      <x:c r="A46" s="49" t="str">
        <x:v>Average operating IC</x:v>
      </x:c>
      <x:c r="B46" s="3"/>
      <x:c r="C46" s="52" t="n">
        <x:f>IF(COUNT(C43,C44)=2,(C43+C44)/2,"")</x:f>
        <x:v>70903.5</x:v>
      </x:c>
      <x:c r="D46" s="52" t="n">
        <x:f>IF(COUNT(D43,C43)=2,(D43+C43)/2,"")</x:f>
        <x:v>87766</x:v>
      </x:c>
      <x:c r="E46" s="52" t="n">
        <x:f>IF(COUNT(E43,D43)=2,(E43+D43)/2,"")</x:f>
        <x:v>100751.5</x:v>
      </x:c>
      <x:c r="F46" s="52" t="n">
        <x:f>IF(COUNT(F43,E43)=2,(F43+E43)/2,"")</x:f>
        <x:v>110527</x:v>
      </x:c>
      <x:c r="G46" s="52" t="n">
        <x:f>IF(COUNT(G43,F43)=2,(G43+F43)/2,"")</x:f>
        <x:v>118255</x:v>
      </x:c>
      <x:c r="H46" s="52" t="n">
        <x:f>IF(COUNT(H43,G43)=2,(H43+G43)/2,"")</x:f>
        <x:v>126951</x:v>
      </x:c>
      <x:c r="I46" s="52" t="n">
        <x:f>IF(COUNT(I43,H43)=2,(I43+H43)/2,"")</x:f>
        <x:v>140023</x:v>
      </x:c>
      <x:c r="J46" s="52" t="n">
        <x:f>IF(COUNT(J43,I43)=2,(J43+I43)/2,"")</x:f>
        <x:v>154054.5</x:v>
      </x:c>
      <x:c r="K46" s="52" t="n">
        <x:f>IF(COUNT(K43,J43)=2,(K43+J43)/2,"")</x:f>
        <x:v>164874.5</x:v>
      </x:c>
      <x:c r="L46" s="52" t="n">
        <x:f>IF(COUNT(L43,K43)=2,(L43+K43)/2,"")</x:f>
        <x:v>167047</x:v>
      </x:c>
      <x:c r="M46" s="51"/>
      <x:c r="N46" s="75"/>
      <x:c r="O46" s="75"/>
      <x:c r="P46" s="75"/>
      <x:c r="Q46" s="75"/>
      <x:c r="R46" s="52" t="str">
        <x:f>IF(COUNT(R43,N43)=2,(R43+N43)/2,"")</x:f>
      </x:c>
      <x:c r="S46" s="52" t="str">
        <x:f>IF(COUNT(S43,O43)=2,(S43+O43)/2,"")</x:f>
      </x:c>
      <x:c r="T46" s="52" t="n">
        <x:f>IF(COUNT(T43,P43)=2,(T43+P43)/2,"")</x:f>
        <x:v>161007</x:v>
      </x:c>
      <x:c r="U46" s="52" t="n">
        <x:f>IF(COUNT(U43,Q43)=2,(U43+Q43)/2,"")</x:f>
        <x:v>164874.5</x:v>
      </x:c>
      <x:c r="V46" s="52" t="n">
        <x:f>IF(COUNT(V43,R43)=2,(V43+R43)/2,"")</x:f>
        <x:v>165725</x:v>
      </x:c>
      <x:c r="W46" s="52" t="n">
        <x:f>IF(COUNT(W43,S43)=2,(W43+S43)/2,"")</x:f>
        <x:v>168494.5</x:v>
      </x:c>
      <x:c r="X46" s="52" t="n">
        <x:f>IF(COUNT(X43,T43)=2,(X43+T43)/2,"")</x:f>
        <x:v>164436</x:v>
      </x:c>
      <x:c r="Y46" s="52" t="n">
        <x:f>IF(COUNT(Y43,U43)=2,(Y43+U43)/2,"")</x:f>
        <x:v>167047</x:v>
      </x:c>
      <x:c r="Z46" s="52" t="n">
        <x:f>IF(COUNT(Z43,V43)=2,(Z43+V43)/2,"")</x:f>
        <x:v>164890.5</x:v>
      </x:c>
      <x:c r="AA46" s="52" t="n">
        <x:f>IF(COUNT(AA43,W43)=2,(AA43+W43)/2,"")</x:f>
        <x:v>164730</x:v>
      </x:c>
    </x:row>
    <x:row r="47" ht="24" customHeight="1">
      <x:c r="A47" s="72" t="str">
        <x:v>Operating ROIC (identified-deduction basis)</x:v>
      </x:c>
      <x:c r="B47" s="35"/>
      <x:c r="C47" s="73" t="n">
        <x:f>IF(COUNT(C45,C46)=2,C45/C46,"")</x:f>
        <x:v>0.14461909496710318</x:v>
      </x:c>
      <x:c r="D47" s="73" t="n">
        <x:f>IF(COUNT(D45,D46)=2,D45/D46,"")</x:f>
        <x:v>0.08186541485313219</x:v>
      </x:c>
      <x:c r="E47" s="73" t="n">
        <x:f>IF(COUNT(E45,E46)=2,E45/E46,"")</x:f>
        <x:v>0.20894974268373176</x:v>
      </x:c>
      <x:c r="F47" s="73" t="n">
        <x:f>IF(COUNT(F45,F46)=2,F45/F46,"")</x:f>
        <x:v>0.1721298868149864</x:v>
      </x:c>
      <x:c r="G47" s="73" t="n">
        <x:f>IF(COUNT(G45,G46)=2,G45/G46,"")</x:f>
        <x:v>0.16488943385057714</x:v>
      </x:c>
      <x:c r="H47" s="73" t="n">
        <x:f>IF(COUNT(H45,H46)=2,H45/H46,"")</x:f>
        <x:v>0.13880158486345126</x:v>
      </x:c>
      <x:c r="I47" s="73" t="n">
        <x:f>IF(COUNT(I45,I46)=2,I45/I46,"")</x:f>
        <x:v>0.018446969426451368</x:v>
      </x:c>
      <x:c r="J47" s="73" t="n">
        <x:f>IF(COUNT(J45,J46)=2,J45/J46,"")</x:f>
        <x:v>0.006530156535511783</x:v>
      </x:c>
      <x:c r="K47" s="73" t="n">
        <x:f>IF(COUNT(K45,K46)=2,K45/K46,"")</x:f>
        <x:v>-0.11949088549169216</x:v>
      </x:c>
      <x:c r="L47" s="73" t="n">
        <x:f>IF(COUNT(L45,L46)=2,L45/L46,"")</x:f>
        <x:v>-0.02241884020664843</x:v>
      </x:c>
      <x:c r="M47" s="74"/>
      <x:c r="N47" s="73" t="str">
        <x:f>IF(COUNT(N45,N46)=2,N45/N46,"")</x:f>
      </x:c>
      <x:c r="O47" s="73" t="str">
        <x:f>IF(COUNT(O45,O46)=2,O45/O46,"")</x:f>
      </x:c>
      <x:c r="P47" s="73" t="str">
        <x:f>IF(COUNT(P45,P46)=2,P45/P46,"")</x:f>
      </x:c>
      <x:c r="Q47" s="73" t="str">
        <x:f>IF(COUNT(Q45,Q46)=2,Q45/Q46,"")</x:f>
      </x:c>
      <x:c r="R47" s="73" t="str">
        <x:f>IF(COUNT(R45,R46)=2,R45/R46,"")</x:f>
      </x:c>
      <x:c r="S47" s="73" t="str">
        <x:f>IF(COUNT(S45,S46)=2,S45/S46,"")</x:f>
      </x:c>
      <x:c r="T47" s="73" t="n">
        <x:f>IF(COUNT(T45,T46)=2,T45/T46,"")</x:f>
        <x:v>-0.10498922407100313</x:v>
      </x:c>
      <x:c r="U47" s="73" t="n">
        <x:f>IF(COUNT(U45,U46)=2,U45/U46,"")</x:f>
        <x:v>-0.11949088549169216</x:v>
      </x:c>
      <x:c r="V47" s="73" t="n">
        <x:f>IF(COUNT(V45,V46)=2,V45/V46,"")</x:f>
        <x:v>-0.11776135163674763</x:v>
      </x:c>
      <x:c r="W47" s="73" t="n">
        <x:f>IF(COUNT(W45,W46)=2,W45/W46,"")</x:f>
        <x:v>-0.12660947389974153</x:v>
      </x:c>
      <x:c r="X47" s="73" t="n">
        <x:f>IF(COUNT(X45,X46)=2,X45/X46,"")</x:f>
        <x:v>-0.024289085115181592</x:v>
      </x:c>
      <x:c r="Y47" s="73" t="n">
        <x:f>IF(COUNT(Y45,Y46)=2,Y45/Y46,"")</x:f>
        <x:v>-0.02241884020664843</x:v>
      </x:c>
      <x:c r="Z47" s="73" t="n">
        <x:f>IF(COUNT(Z45,Z46)=2,Z45/Z46,"")</x:f>
        <x:v>-0.04011146791355475</x:v>
      </x:c>
      <x:c r="AA47" s="73" t="n">
        <x:f>IF(COUNT(AA45,AA46)=2,AA45/AA46,"")</x:f>
        <x:v>-0.008595884174103077</x:v>
      </x:c>
    </x:row>
    <x:row r="48" ht="20" customHeight="1">
      <x:c r="A48" s="40" t="str">
        <x:v>Operating IC turnover</x:v>
      </x:c>
      <x:c r="B48" s="3"/>
      <x:c r="C48" s="92" t="n">
        <x:f>IF(COUNT('Income Statement'!C9,C46)=2,'Income Statement'!C9/C46,"")</x:f>
        <x:v>0.8375750139273802</x:v>
      </x:c>
      <x:c r="D48" s="92" t="n">
        <x:f>IF(COUNT('Income Statement'!D9,D46)=2,'Income Statement'!D9/D46,"")</x:f>
        <x:v>0.7150946835904565</x:v>
      </x:c>
      <x:c r="E48" s="92" t="n">
        <x:f>IF(COUNT('Income Statement'!E9,E46)=2,'Income Statement'!E9/E46,"")</x:f>
        <x:v>0.7031954859232865</x:v>
      </x:c>
      <x:c r="F48" s="92" t="n">
        <x:f>IF(COUNT('Income Statement'!F9,F46)=2,'Income Statement'!F9/F46,"")</x:f>
        <x:v>0.6511078740941127</x:v>
      </x:c>
      <x:c r="G48" s="92" t="n">
        <x:f>IF(COUNT('Income Statement'!G9,G46)=2,'Income Statement'!G9/G46,"")</x:f>
        <x:v>0.6584668724366834</x:v>
      </x:c>
      <x:c r="H48" s="92" t="n">
        <x:f>IF(COUNT('Income Statement'!H9,H46)=2,'Income Statement'!H9/H46,"")</x:f>
        <x:v>0.6224763885278572</x:v>
      </x:c>
      <x:c r="I48" s="92" t="n">
        <x:f>IF(COUNT('Income Statement'!I9,I46)=2,'Income Statement'!I9/I46,"")</x:f>
        <x:v>0.45031173450076056</x:v>
      </x:c>
      <x:c r="J48" s="92" t="n">
        <x:f>IF(COUNT('Income Statement'!J9,J46)=2,'Income Statement'!J9/J46,"")</x:f>
        <x:v>0.35200529682677234</x:v>
      </x:c>
      <x:c r="K48" s="92" t="n">
        <x:f>IF(COUNT('Income Statement'!K9,K46)=2,'Income Statement'!K9/K46,"")</x:f>
        <x:v>0.3220692102174684</x:v>
      </x:c>
      <x:c r="L48" s="92" t="n">
        <x:f>IF(COUNT('Income Statement'!L9,L46)=2,'Income Statement'!L9/L46,"")</x:f>
        <x:v>0.3163959843636821</x:v>
      </x:c>
      <x:c r="M48" s="91"/>
      <x:c r="N48" s="98"/>
      <x:c r="O48" s="98"/>
      <x:c r="P48" s="98"/>
      <x:c r="Q48" s="98"/>
      <x:c r="R48" s="92" t="str">
        <x:f>IF(COUNT('Income Statement'!J9,'Income Statement'!R9,'Income Statement'!N9,R46)=4,('Income Statement'!J9+'Income Statement'!R9-'Income Statement'!N9)/R46,"")</x:f>
      </x:c>
      <x:c r="S48" s="92" t="str">
        <x:f>IF(COUNT('Income Statement'!J9,'Income Statement'!R9,'Income Statement'!S9,'Income Statement'!N9,'Income Statement'!O9,S46)=6,('Income Statement'!J9+'Income Statement'!R9+'Income Statement'!S9-'Income Statement'!N9-'Income Statement'!O9)/S46,"")</x:f>
      </x:c>
      <x:c r="T48" s="92" t="n">
        <x:f>IF(COUNT('Income Statement'!J9,'Income Statement'!R9,'Income Statement'!S9,'Income Statement'!T9,'Income Statement'!N9,'Income Statement'!O9,'Income Statement'!P9,T46)=8,('Income Statement'!J9+'Income Statement'!R9+'Income Statement'!S9+'Income Statement'!T9-'Income Statement'!N9-'Income Statement'!O9-'Income Statement'!P9)/T46,"")</x:f>
        <x:v>0.33692323936226376</x:v>
      </x:c>
      <x:c r="U48" s="92" t="n">
        <x:f>IF(COUNT('Income Statement'!J9,'Income Statement'!R9,'Income Statement'!S9,'Income Statement'!T9,'Income Statement'!U9,'Income Statement'!N9,'Income Statement'!O9,'Income Statement'!P9,'Income Statement'!Q9,U46)=10,('Income Statement'!J9+'Income Statement'!R9+'Income Statement'!S9+'Income Statement'!T9+'Income Statement'!U9-'Income Statement'!N9-'Income Statement'!O9-'Income Statement'!P9-'Income Statement'!Q9)/U46,"")</x:f>
        <x:v>0.3220692102174684</x:v>
      </x:c>
      <x:c r="V48" s="92" t="n">
        <x:f>IF(COUNT('Income Statement'!K9,'Income Statement'!V9,'Income Statement'!R9,V46)=4,('Income Statement'!K9+'Income Statement'!V9-'Income Statement'!R9)/V46,"")</x:f>
        <x:v>0.3200724091114799</x:v>
      </x:c>
      <x:c r="W48" s="92" t="n">
        <x:f>IF(COUNT('Income Statement'!K9,'Income Statement'!V9,'Income Statement'!W9,'Income Statement'!R9,'Income Statement'!S9,W46)=6,('Income Statement'!K9+'Income Statement'!V9+'Income Statement'!W9-'Income Statement'!R9-'Income Statement'!S9)/W46,"")</x:f>
        <x:v>0.3149657703960663</x:v>
      </x:c>
      <x:c r="X48" s="92" t="n">
        <x:f>IF(COUNT('Income Statement'!K9,'Income Statement'!V9,'Income Statement'!W9,'Income Statement'!X9,'Income Statement'!R9,'Income Statement'!S9,'Income Statement'!T9,X46)=8,('Income Statement'!K9+'Income Statement'!V9+'Income Statement'!W9+'Income Statement'!X9-'Income Statement'!R9-'Income Statement'!S9-'Income Statement'!T9)/X46,"")</x:f>
        <x:v>0.32498358023790413</x:v>
      </x:c>
      <x:c r="Y48" s="92" t="n">
        <x:f>IF(COUNT('Income Statement'!K9,'Income Statement'!V9,'Income Statement'!W9,'Income Statement'!X9,'Income Statement'!Y9,'Income Statement'!R9,'Income Statement'!S9,'Income Statement'!T9,'Income Statement'!U9,Y46)=10,('Income Statement'!K9+'Income Statement'!V9+'Income Statement'!W9+'Income Statement'!X9+'Income Statement'!Y9-'Income Statement'!R9-'Income Statement'!S9-'Income Statement'!T9-'Income Statement'!U9)/Y46,"")</x:f>
        <x:v>0.3163959843636821</x:v>
      </x:c>
      <x:c r="Z48" s="92" t="n">
        <x:f>IF(COUNT('Income Statement'!L9,'Income Statement'!Z9,'Income Statement'!V9,Z46)=4,('Income Statement'!L9+'Income Statement'!Z9-'Income Statement'!V9)/Z46,"")</x:f>
        <x:v>0.3260527440938077</x:v>
      </x:c>
      <x:c r="AA48" s="92" t="n">
        <x:f>IF(COUNT('Income Statement'!L9,'Income Statement'!Z9,'Income Statement'!AA9,'Income Statement'!V9,'Income Statement'!W9,AA46)=6,('Income Statement'!L9+'Income Statement'!Z9+'Income Statement'!AA9-'Income Statement'!V9-'Income Statement'!W9)/AA46,"")</x:f>
        <x:v>0.346215018515146</x:v>
      </x:c>
    </x:row>
    <x:row r="49" ht="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row>
    <x:row r="50" ht="22"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row>
  </x:sheetData>
  <x:mergeCells>
    <x:mergeCell ref="A1:AA1"/>
    <x:mergeCell ref="A2:AA2"/>
    <x:mergeCell ref="A7:AA7"/>
    <x:mergeCell ref="A8:AA8"/>
    <x:mergeCell ref="A21:AA21"/>
    <x:mergeCell ref="A22:AA22"/>
    <x:mergeCell ref="A28:AA28"/>
    <x:mergeCell ref="A29:AA29"/>
    <x:mergeCell ref="A39:AA39"/>
    <x:mergeCell ref="A40:AA40"/>
  </x:mergeCells>
  <x:pageMargins left="0.7" right="0.7" top="0.75" bottom="0.75" header="0.3" footer="0.3"/>
</x:worksheet>
</file>

<file path=xl/worksheets/sheet6.xml><?xml version="1.0" encoding="utf-8"?>
<worksheet xmlns="http://schemas.openxmlformats.org/spreadsheetml/2006/main">
  <sheetPr>
    <tabColor rgb="FF20746C"/>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Segments</v>
      </c>
      <c r="B1" s="6" t="str">
        <v>Intel Corporation — Segments</v>
      </c>
      <c r="C1" s="6" t="str">
        <v>Intel Corporation — Segments</v>
      </c>
      <c r="D1" s="6" t="str">
        <v>Intel Corporation — Segments</v>
      </c>
      <c r="E1" s="6" t="str">
        <v>Intel Corporation — Segments</v>
      </c>
      <c r="F1" s="6" t="str">
        <v>Intel Corporation — Segments</v>
      </c>
      <c r="G1" s="6" t="str">
        <v>Intel Corporation — Segments</v>
      </c>
      <c r="H1" s="6" t="str">
        <v>Intel Corporation — Segments</v>
      </c>
      <c r="I1" s="6" t="str">
        <v>Intel Corporation — Segments</v>
      </c>
      <c r="J1" s="6" t="str">
        <v>Intel Corporation — Segments</v>
      </c>
      <c r="K1" s="6" t="str">
        <v>Intel Corporation — Segments</v>
      </c>
      <c r="L1" s="6" t="str">
        <v>Intel Corporation — Segments</v>
      </c>
      <c r="M1" s="6" t="str">
        <v>Intel Corporation — Segments</v>
      </c>
      <c r="N1" s="6" t="str">
        <v>Intel Corporation — Segments</v>
      </c>
      <c r="O1" s="6" t="str">
        <v>Intel Corporation — Segments</v>
      </c>
      <c r="P1" s="6" t="str">
        <v>Intel Corporation — Segments</v>
      </c>
      <c r="Q1" s="6" t="str">
        <v>Intel Corporation — Segments</v>
      </c>
      <c r="R1" s="6" t="str">
        <v>Intel Corporation — Segments</v>
      </c>
      <c r="S1" s="6" t="str">
        <v>Intel Corporation — Segments</v>
      </c>
      <c r="T1" s="6" t="str">
        <v>Intel Corporation — Segments</v>
      </c>
      <c r="U1" s="6" t="str">
        <v>Intel Corporation — Segments</v>
      </c>
      <c r="V1" s="6" t="str">
        <v>Intel Corporation — Segments</v>
      </c>
      <c r="W1" s="6" t="str">
        <v>Intel Corporation — Segments</v>
      </c>
      <c r="X1" s="6" t="str">
        <v>Intel Corporation — Segments</v>
      </c>
      <c r="Y1" s="6" t="str">
        <v>Intel Corporation — Segments</v>
      </c>
      <c r="Z1" s="6" t="str">
        <v>Intel Corporation — Segments</v>
      </c>
      <c r="AA1" s="6" t="str">
        <v>Intel Corporation — Segments</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2025 reporting framework: Net revenue</v>
      </c>
      <c r="B7" s="21" t="str">
        <v>2025 reporting framework: Net revenue</v>
      </c>
      <c r="C7" s="21" t="str">
        <v>2025 reporting framework: Net revenue</v>
      </c>
      <c r="D7" s="21" t="str">
        <v>2025 reporting framework: Net revenue</v>
      </c>
      <c r="E7" s="21" t="str">
        <v>2025 reporting framework: Net revenue</v>
      </c>
      <c r="F7" s="21" t="str">
        <v>2025 reporting framework: Net revenue</v>
      </c>
      <c r="G7" s="21" t="str">
        <v>2025 reporting framework: Net revenue</v>
      </c>
      <c r="H7" s="21" t="str">
        <v>2025 reporting framework: Net revenue</v>
      </c>
      <c r="I7" s="21" t="str">
        <v>2025 reporting framework: Net revenue</v>
      </c>
      <c r="J7" s="21" t="str">
        <v>2025 reporting framework: Net revenue</v>
      </c>
      <c r="K7" s="21" t="str">
        <v>2025 reporting framework: Net revenue</v>
      </c>
      <c r="L7" s="21" t="str">
        <v>2025 reporting framework: Net revenue</v>
      </c>
      <c r="M7" s="21" t="str">
        <v>2025 reporting framework: Net revenue</v>
      </c>
      <c r="N7" s="21" t="str">
        <v>2025 reporting framework: Net revenue</v>
      </c>
      <c r="O7" s="21" t="str">
        <v>2025 reporting framework: Net revenue</v>
      </c>
      <c r="P7" s="21" t="str">
        <v>2025 reporting framework: Net revenue</v>
      </c>
      <c r="Q7" s="21" t="str">
        <v>2025 reporting framework: Net revenue</v>
      </c>
      <c r="R7" s="21" t="str">
        <v>2025 reporting framework: Net revenue</v>
      </c>
      <c r="S7" s="21" t="str">
        <v>2025 reporting framework: Net revenue</v>
      </c>
      <c r="T7" s="21" t="str">
        <v>2025 reporting framework: Net revenue</v>
      </c>
      <c r="U7" s="21" t="str">
        <v>2025 reporting framework: Net revenue</v>
      </c>
      <c r="V7" s="21" t="str">
        <v>2025 reporting framework: Net revenue</v>
      </c>
      <c r="W7" s="21" t="str">
        <v>2025 reporting framework: Net revenue</v>
      </c>
      <c r="X7" s="21" t="str">
        <v>2025 reporting framework: Net revenue</v>
      </c>
      <c r="Y7" s="21" t="str">
        <v>2025 reporting framework: Net revenue</v>
      </c>
      <c r="Z7" s="21" t="str">
        <v>2025 reporting framework: Net revenue</v>
      </c>
      <c r="AA7" s="21" t="str">
        <v>2025 reporting framework: Net revenue</v>
      </c>
    </row>
    <row r="8" ht="18" customHeight="1">
      <c r="A8" s="22" t="str">
        <v>2023–2025 annuals use the 2025 segment framework. Q2 2026 CCPG is the renamed CCG where source comparatives agree; legacy frameworks below are not spliced into this series.</v>
      </c>
      <c r="B8" s="22" t="str">
        <v>2023–2025 annuals use the 2025 segment framework. Q2 2026 CCPG is the renamed CCG where source comparatives agree; legacy frameworks below are not spliced into this series.</v>
      </c>
      <c r="C8" s="22" t="str">
        <v>2023–2025 annuals use the 2025 segment framework. Q2 2026 CCPG is the renamed CCG where source comparatives agree; legacy frameworks below are not spliced into this series.</v>
      </c>
      <c r="D8" s="22" t="str">
        <v>2023–2025 annuals use the 2025 segment framework. Q2 2026 CCPG is the renamed CCG where source comparatives agree; legacy frameworks below are not spliced into this series.</v>
      </c>
      <c r="E8" s="22" t="str">
        <v>2023–2025 annuals use the 2025 segment framework. Q2 2026 CCPG is the renamed CCG where source comparatives agree; legacy frameworks below are not spliced into this series.</v>
      </c>
      <c r="F8" s="22" t="str">
        <v>2023–2025 annuals use the 2025 segment framework. Q2 2026 CCPG is the renamed CCG where source comparatives agree; legacy frameworks below are not spliced into this series.</v>
      </c>
      <c r="G8" s="22" t="str">
        <v>2023–2025 annuals use the 2025 segment framework. Q2 2026 CCPG is the renamed CCG where source comparatives agree; legacy frameworks below are not spliced into this series.</v>
      </c>
      <c r="H8" s="22" t="str">
        <v>2023–2025 annuals use the 2025 segment framework. Q2 2026 CCPG is the renamed CCG where source comparatives agree; legacy frameworks below are not spliced into this series.</v>
      </c>
      <c r="I8" s="22" t="str">
        <v>2023–2025 annuals use the 2025 segment framework. Q2 2026 CCPG is the renamed CCG where source comparatives agree; legacy frameworks below are not spliced into this series.</v>
      </c>
      <c r="J8" s="22" t="str">
        <v>2023–2025 annuals use the 2025 segment framework. Q2 2026 CCPG is the renamed CCG where source comparatives agree; legacy frameworks below are not spliced into this series.</v>
      </c>
      <c r="K8" s="22" t="str">
        <v>2023–2025 annuals use the 2025 segment framework. Q2 2026 CCPG is the renamed CCG where source comparatives agree; legacy frameworks below are not spliced into this series.</v>
      </c>
      <c r="L8" s="22" t="str">
        <v>2023–2025 annuals use the 2025 segment framework. Q2 2026 CCPG is the renamed CCG where source comparatives agree; legacy frameworks below are not spliced into this series.</v>
      </c>
      <c r="M8" s="22" t="str">
        <v>2023–2025 annuals use the 2025 segment framework. Q2 2026 CCPG is the renamed CCG where source comparatives agree; legacy frameworks below are not spliced into this series.</v>
      </c>
      <c r="N8" s="22" t="str">
        <v>2023–2025 annuals use the 2025 segment framework. Q2 2026 CCPG is the renamed CCG where source comparatives agree; legacy frameworks below are not spliced into this series.</v>
      </c>
      <c r="O8" s="22" t="str">
        <v>2023–2025 annuals use the 2025 segment framework. Q2 2026 CCPG is the renamed CCG where source comparatives agree; legacy frameworks below are not spliced into this series.</v>
      </c>
      <c r="P8" s="22" t="str">
        <v>2023–2025 annuals use the 2025 segment framework. Q2 2026 CCPG is the renamed CCG where source comparatives agree; legacy frameworks below are not spliced into this series.</v>
      </c>
      <c r="Q8" s="22" t="str">
        <v>2023–2025 annuals use the 2025 segment framework. Q2 2026 CCPG is the renamed CCG where source comparatives agree; legacy frameworks below are not spliced into this series.</v>
      </c>
      <c r="R8" s="22" t="str">
        <v>2023–2025 annuals use the 2025 segment framework. Q2 2026 CCPG is the renamed CCG where source comparatives agree; legacy frameworks below are not spliced into this series.</v>
      </c>
      <c r="S8" s="22" t="str">
        <v>2023–2025 annuals use the 2025 segment framework. Q2 2026 CCPG is the renamed CCG where source comparatives agree; legacy frameworks below are not spliced into this series.</v>
      </c>
      <c r="T8" s="22" t="str">
        <v>2023–2025 annuals use the 2025 segment framework. Q2 2026 CCPG is the renamed CCG where source comparatives agree; legacy frameworks below are not spliced into this series.</v>
      </c>
      <c r="U8" s="22" t="str">
        <v>2023–2025 annuals use the 2025 segment framework. Q2 2026 CCPG is the renamed CCG where source comparatives agree; legacy frameworks below are not spliced into this series.</v>
      </c>
      <c r="V8" s="22" t="str">
        <v>2023–2025 annuals use the 2025 segment framework. Q2 2026 CCPG is the renamed CCG where source comparatives agree; legacy frameworks below are not spliced into this series.</v>
      </c>
      <c r="W8" s="22" t="str">
        <v>2023–2025 annuals use the 2025 segment framework. Q2 2026 CCPG is the renamed CCG where source comparatives agree; legacy frameworks below are not spliced into this series.</v>
      </c>
      <c r="X8" s="22" t="str">
        <v>2023–2025 annuals use the 2025 segment framework. Q2 2026 CCPG is the renamed CCG where source comparatives agree; legacy frameworks below are not spliced into this series.</v>
      </c>
      <c r="Y8" s="22" t="str">
        <v>2023–2025 annuals use the 2025 segment framework. Q2 2026 CCPG is the renamed CCG where source comparatives agree; legacy frameworks below are not spliced into this series.</v>
      </c>
      <c r="Z8" s="22" t="str">
        <v>2023–2025 annuals use the 2025 segment framework. Q2 2026 CCPG is the renamed CCG where source comparatives agree; legacy frameworks below are not spliced into this series.</v>
      </c>
      <c r="AA8" s="22" t="str">
        <v>2023–2025 annuals use the 2025 segment framework. Q2 2026 CCPG is the renamed CCG where source comparatives agree; legacy frameworks below are not spliced into this series.</v>
      </c>
    </row>
    <row r="9" ht="22" customHeight="1">
      <c r="A9" s="49" t="str">
        <v>Revenue - CCG</v>
      </c>
      <c r="B9" s="3"/>
      <c r="C9" s="51"/>
      <c r="D9" s="51"/>
      <c r="E9" s="51"/>
      <c r="F9" s="51"/>
      <c r="G9" s="51"/>
      <c r="H9" s="51"/>
      <c r="I9" s="51"/>
      <c r="J9" s="51" t="n">
        <v>32305</v>
      </c>
      <c r="K9" s="51" t="n">
        <v>33346</v>
      </c>
      <c r="L9" s="51" t="n">
        <v>32228</v>
      </c>
      <c r="M9" s="51"/>
      <c r="N9" s="51"/>
      <c r="O9" s="51"/>
      <c r="P9" s="51"/>
      <c r="Q9" s="52" t="str">
        <f>IF(COUNT(J9,N9,O9,P9)=4,J9-N9-O9-P9,"")</f>
      </c>
      <c r="R9" s="51" t="n">
        <v>8273</v>
      </c>
      <c r="S9" s="51" t="n">
        <v>8143</v>
      </c>
      <c r="T9" s="51" t="n">
        <v>8161</v>
      </c>
      <c r="U9" s="52" t="n">
        <f>IF(COUNT(K9,R9,S9,T9)=4,K9-R9-S9-T9,"")</f>
        <v>8769</v>
      </c>
      <c r="V9" s="51" t="n">
        <v>7629</v>
      </c>
      <c r="W9" s="51" t="n">
        <v>7871</v>
      </c>
      <c r="X9" s="51" t="n">
        <v>8535</v>
      </c>
      <c r="Y9" s="52" t="n">
        <f>IF(COUNT(L9,V9,W9,X9)=4,L9-V9-W9-X9,"")</f>
        <v>8193</v>
      </c>
      <c r="Z9" s="51" t="n">
        <v>7727</v>
      </c>
      <c r="AA9" s="51" t="n">
        <v>8877</v>
      </c>
    </row>
    <row r="10" ht="22" customHeight="1">
      <c r="A10" s="49" t="str">
        <v>Revenue - DCAI</v>
      </c>
      <c r="B10" s="3"/>
      <c r="C10" s="51"/>
      <c r="D10" s="51"/>
      <c r="E10" s="51"/>
      <c r="F10" s="51"/>
      <c r="G10" s="51"/>
      <c r="H10" s="51"/>
      <c r="I10" s="51"/>
      <c r="J10" s="51" t="n">
        <v>15980</v>
      </c>
      <c r="K10" s="51" t="n">
        <v>16125</v>
      </c>
      <c r="L10" s="51" t="n">
        <v>16919</v>
      </c>
      <c r="M10" s="51"/>
      <c r="N10" s="51"/>
      <c r="O10" s="51"/>
      <c r="P10" s="51"/>
      <c r="Q10" s="52" t="str">
        <f>IF(COUNT(J10,N10,O10,P10)=4,J10-N10-O10-P10,"")</f>
      </c>
      <c r="R10" s="51" t="n">
        <v>3828</v>
      </c>
      <c r="S10" s="51" t="n">
        <v>3805</v>
      </c>
      <c r="T10" s="51" t="n">
        <v>4141</v>
      </c>
      <c r="U10" s="52" t="n">
        <f>IF(COUNT(K10,R10,S10,T10)=4,K10-R10-S10-T10,"")</f>
        <v>4351</v>
      </c>
      <c r="V10" s="51" t="n">
        <v>4126</v>
      </c>
      <c r="W10" s="51" t="n">
        <v>3939</v>
      </c>
      <c r="X10" s="51" t="n">
        <v>4117</v>
      </c>
      <c r="Y10" s="52" t="n">
        <f>IF(COUNT(L10,V10,W10,X10)=4,L10-V10-W10-X10,"")</f>
        <v>4737</v>
      </c>
      <c r="Z10" s="51" t="n">
        <v>5052</v>
      </c>
      <c r="AA10" s="51" t="n">
        <v>6262</v>
      </c>
    </row>
    <row r="11" ht="24" customHeight="1">
      <c r="A11" s="34" t="str">
        <v>Revenue - Total Intel Products</v>
      </c>
      <c r="B11" s="35"/>
      <c r="C11" s="36"/>
      <c r="D11" s="36"/>
      <c r="E11" s="36"/>
      <c r="F11" s="36"/>
      <c r="G11" s="36"/>
      <c r="H11" s="36"/>
      <c r="I11" s="36"/>
      <c r="J11" s="36" t="n">
        <v>48285</v>
      </c>
      <c r="K11" s="36" t="n">
        <v>49471</v>
      </c>
      <c r="L11" s="36" t="n">
        <v>49147</v>
      </c>
      <c r="M11" s="36"/>
      <c r="N11" s="36"/>
      <c r="O11" s="36"/>
      <c r="P11" s="36"/>
      <c r="Q11" s="37" t="str">
        <f>IF(COUNT(J11,N11,O11,P11)=4,J11-N11-O11-P11,"")</f>
      </c>
      <c r="R11" s="36" t="n">
        <v>12101</v>
      </c>
      <c r="S11" s="36" t="n">
        <v>11948</v>
      </c>
      <c r="T11" s="36" t="n">
        <v>12302</v>
      </c>
      <c r="U11" s="37" t="n">
        <f>IF(COUNT(K11,R11,S11,T11)=4,K11-R11-S11-T11,"")</f>
        <v>13120</v>
      </c>
      <c r="V11" s="36" t="n">
        <v>11755</v>
      </c>
      <c r="W11" s="36" t="n">
        <v>11810</v>
      </c>
      <c r="X11" s="36" t="n">
        <v>12652</v>
      </c>
      <c r="Y11" s="37" t="n">
        <f>IF(COUNT(L11,V11,W11,X11)=4,L11-V11-W11-X11,"")</f>
        <v>12930</v>
      </c>
      <c r="Z11" s="36" t="n">
        <v>12779</v>
      </c>
      <c r="AA11" s="36" t="n">
        <v>15139</v>
      </c>
    </row>
    <row r="12" ht="22" customHeight="1">
      <c r="A12" s="49" t="str">
        <v>Revenue - Intel Foundry</v>
      </c>
      <c r="B12" s="3"/>
      <c r="C12" s="51"/>
      <c r="D12" s="51"/>
      <c r="E12" s="51"/>
      <c r="F12" s="51"/>
      <c r="G12" s="51"/>
      <c r="H12" s="51"/>
      <c r="I12" s="51"/>
      <c r="J12" s="51" t="n">
        <v>18504</v>
      </c>
      <c r="K12" s="51" t="n">
        <v>17317</v>
      </c>
      <c r="L12" s="51" t="n">
        <v>17826</v>
      </c>
      <c r="M12" s="51"/>
      <c r="N12" s="51"/>
      <c r="O12" s="51"/>
      <c r="P12" s="51"/>
      <c r="Q12" s="52" t="str">
        <f>IF(COUNT(J12,N12,O12,P12)=4,J12-N12-O12-P12,"")</f>
      </c>
      <c r="R12" s="51" t="n">
        <v>4356</v>
      </c>
      <c r="S12" s="51" t="n">
        <v>4282</v>
      </c>
      <c r="T12" s="51" t="n">
        <v>4339</v>
      </c>
      <c r="U12" s="52" t="n">
        <f>IF(COUNT(K12,R12,S12,T12)=4,K12-R12-S12-T12,"")</f>
        <v>4340</v>
      </c>
      <c r="V12" s="51" t="n">
        <v>4667</v>
      </c>
      <c r="W12" s="51" t="n">
        <v>4417</v>
      </c>
      <c r="X12" s="51" t="n">
        <v>4235</v>
      </c>
      <c r="Y12" s="52" t="n">
        <f>IF(COUNT(L12,V12,W12,X12)=4,L12-V12-W12-X12,"")</f>
        <v>4507</v>
      </c>
      <c r="Z12" s="51" t="n">
        <v>5421</v>
      </c>
      <c r="AA12" s="51" t="n">
        <v>5765</v>
      </c>
    </row>
    <row r="13" ht="22" customHeight="1">
      <c r="A13" s="49" t="str">
        <v>Revenue - All Other</v>
      </c>
      <c r="B13" s="3"/>
      <c r="C13" s="51"/>
      <c r="D13" s="51"/>
      <c r="E13" s="51"/>
      <c r="F13" s="51"/>
      <c r="G13" s="51"/>
      <c r="H13" s="51"/>
      <c r="I13" s="51"/>
      <c r="J13" s="51" t="n">
        <v>5463</v>
      </c>
      <c r="K13" s="51" t="n">
        <v>3601</v>
      </c>
      <c r="L13" s="51" t="n">
        <v>3563</v>
      </c>
      <c r="M13" s="51"/>
      <c r="N13" s="51"/>
      <c r="O13" s="51"/>
      <c r="P13" s="51"/>
      <c r="Q13" s="52" t="str">
        <f>IF(COUNT(J13,N13,O13,P13)=4,J13-N13-O13-P13,"")</f>
      </c>
      <c r="R13" s="51" t="n">
        <v>643</v>
      </c>
      <c r="S13" s="51" t="n">
        <v>881</v>
      </c>
      <c r="T13" s="51" t="n">
        <v>964</v>
      </c>
      <c r="U13" s="52" t="n">
        <f>IF(COUNT(K13,R13,S13,T13)=4,K13-R13-S13-T13,"")</f>
        <v>1113</v>
      </c>
      <c r="V13" s="51" t="n">
        <v>943</v>
      </c>
      <c r="W13" s="51" t="n">
        <v>1053</v>
      </c>
      <c r="X13" s="51" t="n">
        <v>993</v>
      </c>
      <c r="Y13" s="52" t="n">
        <f>IF(COUNT(L13,V13,W13,X13)=4,L13-V13-W13-X13,"")</f>
        <v>574</v>
      </c>
      <c r="Z13" s="51" t="n">
        <v>628</v>
      </c>
      <c r="AA13" s="51" t="n">
        <v>701</v>
      </c>
    </row>
    <row r="14" ht="22" customHeight="1">
      <c r="A14" s="49" t="str">
        <v>Revenue - Corporate Unallocated</v>
      </c>
      <c r="B14" s="3"/>
      <c r="C14" s="51"/>
      <c r="D14" s="51"/>
      <c r="E14" s="51"/>
      <c r="F14" s="51"/>
      <c r="G14" s="51"/>
      <c r="H14" s="51"/>
      <c r="I14" s="51"/>
      <c r="J14" s="51" t="n">
        <v>0</v>
      </c>
      <c r="K14" s="51" t="n">
        <v>0</v>
      </c>
      <c r="L14" s="51" t="n">
        <v>0</v>
      </c>
      <c r="M14" s="51"/>
      <c r="N14" s="51"/>
      <c r="O14" s="51"/>
      <c r="P14" s="51"/>
      <c r="Q14" s="52" t="str">
        <f>IF(COUNT(J14,N14,O14,P14)=4,J14-N14-O14-P14,"")</f>
      </c>
      <c r="R14" s="51" t="n">
        <v>0</v>
      </c>
      <c r="S14" s="51" t="n">
        <v>0</v>
      </c>
      <c r="T14" s="51" t="n">
        <v>0</v>
      </c>
      <c r="U14" s="52" t="n">
        <f>IF(COUNT(K14,R14,S14,T14)=4,K14-R14-S14-T14,"")</f>
        <v>0</v>
      </c>
      <c r="V14" s="51" t="n">
        <v>0</v>
      </c>
      <c r="W14" s="51" t="n">
        <v>0</v>
      </c>
      <c r="X14" s="51" t="n">
        <v>0</v>
      </c>
      <c r="Y14" s="52" t="n">
        <f>IF(COUNT(L14,V14,W14,X14)=4,L14-V14-W14-X14,"")</f>
        <v>0</v>
      </c>
      <c r="Z14" s="51" t="n">
        <v>0</v>
      </c>
      <c r="AA14" s="51" t="n">
        <v>0</v>
      </c>
    </row>
    <row r="15" ht="22" customHeight="1">
      <c r="A15" s="49" t="str">
        <v>Revenue - Intersegment Eliminations</v>
      </c>
      <c r="B15" s="3"/>
      <c r="C15" s="51"/>
      <c r="D15" s="51"/>
      <c r="E15" s="51"/>
      <c r="F15" s="51"/>
      <c r="G15" s="51"/>
      <c r="H15" s="51"/>
      <c r="I15" s="51"/>
      <c r="J15" s="51" t="n">
        <v>-18024</v>
      </c>
      <c r="K15" s="51" t="n">
        <v>-17288</v>
      </c>
      <c r="L15" s="51" t="n">
        <v>-17683</v>
      </c>
      <c r="M15" s="51"/>
      <c r="N15" s="51"/>
      <c r="O15" s="51"/>
      <c r="P15" s="51"/>
      <c r="Q15" s="52" t="str">
        <f>IF(COUNT(J15,N15,O15,P15)=4,J15-N15-O15-P15,"")</f>
      </c>
      <c r="R15" s="51" t="n">
        <v>-4376</v>
      </c>
      <c r="S15" s="51" t="n">
        <v>-4278</v>
      </c>
      <c r="T15" s="51" t="n">
        <v>-4321</v>
      </c>
      <c r="U15" s="52" t="n">
        <f>IF(COUNT(K15,R15,S15,T15)=4,K15-R15-S15-T15,"")</f>
        <v>-4313</v>
      </c>
      <c r="V15" s="51" t="n">
        <v>-4698</v>
      </c>
      <c r="W15" s="51" t="n">
        <v>-4421</v>
      </c>
      <c r="X15" s="51" t="n">
        <v>-4227</v>
      </c>
      <c r="Y15" s="52" t="n">
        <f>IF(COUNT(L15,V15,W15,X15)=4,L15-V15-W15-X15,"")</f>
        <v>-4337</v>
      </c>
      <c r="Z15" s="51" t="n">
        <v>-5251</v>
      </c>
      <c r="AA15" s="51" t="n">
        <v>-5477</v>
      </c>
    </row>
    <row r="16" ht="24" customHeight="1">
      <c r="A16" s="34" t="str">
        <v>Revenue - Total Consolidated</v>
      </c>
      <c r="B16" s="35"/>
      <c r="C16" s="36"/>
      <c r="D16" s="36"/>
      <c r="E16" s="36"/>
      <c r="F16" s="36"/>
      <c r="G16" s="36"/>
      <c r="H16" s="36"/>
      <c r="I16" s="36"/>
      <c r="J16" s="36" t="n">
        <v>54228</v>
      </c>
      <c r="K16" s="36" t="n">
        <v>53101</v>
      </c>
      <c r="L16" s="36" t="n">
        <v>52853</v>
      </c>
      <c r="M16" s="36"/>
      <c r="N16" s="36"/>
      <c r="O16" s="36"/>
      <c r="P16" s="36"/>
      <c r="Q16" s="37" t="str">
        <f>IF(COUNT(J16,N16,O16,P16)=4,J16-N16-O16-P16,"")</f>
      </c>
      <c r="R16" s="36" t="n">
        <v>12724</v>
      </c>
      <c r="S16" s="36" t="n">
        <v>12833</v>
      </c>
      <c r="T16" s="36" t="n">
        <v>13284</v>
      </c>
      <c r="U16" s="37" t="n">
        <f>IF(COUNT(K16,R16,S16,T16)=4,K16-R16-S16-T16,"")</f>
        <v>14260</v>
      </c>
      <c r="V16" s="36" t="n">
        <v>12667</v>
      </c>
      <c r="W16" s="36" t="n">
        <v>12859</v>
      </c>
      <c r="X16" s="36" t="n">
        <v>13653</v>
      </c>
      <c r="Y16" s="37" t="n">
        <f>IF(COUNT(L16,V16,W16,X16)=4,L16-V16-W16-X16,"")</f>
        <v>13674</v>
      </c>
      <c r="Z16" s="36" t="n">
        <v>13577</v>
      </c>
      <c r="AA16" s="36" t="n">
        <v>16128</v>
      </c>
    </row>
    <row r="17" ht="22" customHeight="1">
      <c r="A17" s="49" t="str">
        <v>Check: segment lines - printed total (should be 0)</v>
      </c>
      <c r="B17" s="3"/>
      <c r="C17" s="59"/>
      <c r="D17" s="59"/>
      <c r="E17" s="59"/>
      <c r="F17" s="59"/>
      <c r="G17" s="59"/>
      <c r="H17" s="59"/>
      <c r="I17" s="59"/>
      <c r="J17" s="59" t="n">
        <f>IF(COUNT(J9,J10,J12,J13,J14,J15,J16)=7,J9+J10+J12+J13+J14+J15-J16,"")</f>
        <v>0</v>
      </c>
      <c r="K17" s="59" t="n">
        <f>IF(COUNT(K9,K10,K12,K13,K14,K15,K16)=7,K9+K10+K12+K13+K14+K15-K16,"")</f>
        <v>0</v>
      </c>
      <c r="L17" s="59" t="n">
        <f>IF(COUNT(L9,L10,L12,L13,L14,L15,L16)=7,L9+L10+L12+L13+L14+L15-L16,"")</f>
        <v>0</v>
      </c>
      <c r="M17" s="59"/>
      <c r="N17" s="59"/>
      <c r="O17" s="59"/>
      <c r="P17" s="59"/>
      <c r="Q17" s="59" t="str">
        <f>IF(COUNT(Q9,Q10,Q12,Q13,Q14,Q15,Q16)=7,Q9+Q10+Q12+Q13+Q14+Q15-Q16,"")</f>
      </c>
      <c r="R17" s="59" t="n">
        <f>IF(COUNT(R9,R10,R12,R13,R14,R15,R16)=7,R9+R10+R12+R13+R14+R15-R16,"")</f>
        <v>0</v>
      </c>
      <c r="S17" s="59" t="n">
        <f>IF(COUNT(S9,S10,S12,S13,S14,S15,S16)=7,S9+S10+S12+S13+S14+S15-S16,"")</f>
        <v>0</v>
      </c>
      <c r="T17" s="59" t="n">
        <f>IF(COUNT(T9,T10,T12,T13,T14,T15,T16)=7,T9+T10+T12+T13+T14+T15-T16,"")</f>
        <v>0</v>
      </c>
      <c r="U17" s="59" t="n">
        <f>IF(COUNT(U9,U10,U12,U13,U14,U15,U16)=7,U9+U10+U12+U13+U14+U15-U16,"")</f>
        <v>0</v>
      </c>
      <c r="V17" s="59" t="n">
        <f>IF(COUNT(V9,V10,V12,V13,V14,V15,V16)=7,V9+V10+V12+V13+V14+V15-V16,"")</f>
        <v>0</v>
      </c>
      <c r="W17" s="59" t="n">
        <f>IF(COUNT(W9,W10,W12,W13,W14,W15,W16)=7,W9+W10+W12+W13+W14+W15-W16,"")</f>
        <v>0</v>
      </c>
      <c r="X17" s="59" t="n">
        <f>IF(COUNT(X9,X10,X12,X13,X14,X15,X16)=7,X9+X10+X12+X13+X14+X15-X16,"")</f>
        <v>0</v>
      </c>
      <c r="Y17" s="59" t="n">
        <f>IF(COUNT(Y9,Y10,Y12,Y13,Y14,Y15,Y16)=7,Y9+Y10+Y12+Y13+Y14+Y15-Y16,"")</f>
        <v>0</v>
      </c>
      <c r="Z17" s="59" t="n">
        <f>IF(COUNT(Z9,Z10,Z12,Z13,Z14,Z15,Z16)=7,Z9+Z10+Z12+Z13+Z14+Z15-Z16,"")</f>
        <v>0</v>
      </c>
      <c r="AA17" s="59" t="n">
        <f>IF(COUNT(AA9,AA10,AA12,AA13,AA14,AA15,AA16)=7,AA9+AA10+AA12+AA13+AA14+AA15-AA16,"")</f>
        <v>0</v>
      </c>
    </row>
    <row r="18" ht="8"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ht="22" customHeight="1">
      <c r="A19" s="21" t="str">
        <v>2025 reporting framework: Operating income (loss)</v>
      </c>
      <c r="B19" s="21" t="str">
        <v>2025 reporting framework: Operating income (loss)</v>
      </c>
      <c r="C19" s="21" t="str">
        <v>2025 reporting framework: Operating income (loss)</v>
      </c>
      <c r="D19" s="21" t="str">
        <v>2025 reporting framework: Operating income (loss)</v>
      </c>
      <c r="E19" s="21" t="str">
        <v>2025 reporting framework: Operating income (loss)</v>
      </c>
      <c r="F19" s="21" t="str">
        <v>2025 reporting framework: Operating income (loss)</v>
      </c>
      <c r="G19" s="21" t="str">
        <v>2025 reporting framework: Operating income (loss)</v>
      </c>
      <c r="H19" s="21" t="str">
        <v>2025 reporting framework: Operating income (loss)</v>
      </c>
      <c r="I19" s="21" t="str">
        <v>2025 reporting framework: Operating income (loss)</v>
      </c>
      <c r="J19" s="21" t="str">
        <v>2025 reporting framework: Operating income (loss)</v>
      </c>
      <c r="K19" s="21" t="str">
        <v>2025 reporting framework: Operating income (loss)</v>
      </c>
      <c r="L19" s="21" t="str">
        <v>2025 reporting framework: Operating income (loss)</v>
      </c>
      <c r="M19" s="21" t="str">
        <v>2025 reporting framework: Operating income (loss)</v>
      </c>
      <c r="N19" s="21" t="str">
        <v>2025 reporting framework: Operating income (loss)</v>
      </c>
      <c r="O19" s="21" t="str">
        <v>2025 reporting framework: Operating income (loss)</v>
      </c>
      <c r="P19" s="21" t="str">
        <v>2025 reporting framework: Operating income (loss)</v>
      </c>
      <c r="Q19" s="21" t="str">
        <v>2025 reporting framework: Operating income (loss)</v>
      </c>
      <c r="R19" s="21" t="str">
        <v>2025 reporting framework: Operating income (loss)</v>
      </c>
      <c r="S19" s="21" t="str">
        <v>2025 reporting framework: Operating income (loss)</v>
      </c>
      <c r="T19" s="21" t="str">
        <v>2025 reporting framework: Operating income (loss)</v>
      </c>
      <c r="U19" s="21" t="str">
        <v>2025 reporting framework: Operating income (loss)</v>
      </c>
      <c r="V19" s="21" t="str">
        <v>2025 reporting framework: Operating income (loss)</v>
      </c>
      <c r="W19" s="21" t="str">
        <v>2025 reporting framework: Operating income (loss)</v>
      </c>
      <c r="X19" s="21" t="str">
        <v>2025 reporting framework: Operating income (loss)</v>
      </c>
      <c r="Y19" s="21" t="str">
        <v>2025 reporting framework: Operating income (loss)</v>
      </c>
      <c r="Z19" s="21" t="str">
        <v>2025 reporting framework: Operating income (loss)</v>
      </c>
      <c r="AA19" s="21" t="str">
        <v>2025 reporting framework: Operating income (loss)</v>
      </c>
    </row>
    <row r="20" ht="18" customHeight="1">
      <c r="A20" s="22" t="str">
        <v>2023–2025 annuals use the 2025 segment framework. Q2 2026 CCPG is the renamed CCG where source comparatives agree; legacy frameworks below are not spliced into this series.</v>
      </c>
      <c r="B20" s="22" t="str">
        <v>2023–2025 annuals use the 2025 segment framework. Q2 2026 CCPG is the renamed CCG where source comparatives agree; legacy frameworks below are not spliced into this series.</v>
      </c>
      <c r="C20" s="22" t="str">
        <v>2023–2025 annuals use the 2025 segment framework. Q2 2026 CCPG is the renamed CCG where source comparatives agree; legacy frameworks below are not spliced into this series.</v>
      </c>
      <c r="D20" s="22" t="str">
        <v>2023–2025 annuals use the 2025 segment framework. Q2 2026 CCPG is the renamed CCG where source comparatives agree; legacy frameworks below are not spliced into this series.</v>
      </c>
      <c r="E20" s="22" t="str">
        <v>2023–2025 annuals use the 2025 segment framework. Q2 2026 CCPG is the renamed CCG where source comparatives agree; legacy frameworks below are not spliced into this series.</v>
      </c>
      <c r="F20" s="22" t="str">
        <v>2023–2025 annuals use the 2025 segment framework. Q2 2026 CCPG is the renamed CCG where source comparatives agree; legacy frameworks below are not spliced into this series.</v>
      </c>
      <c r="G20" s="22" t="str">
        <v>2023–2025 annuals use the 2025 segment framework. Q2 2026 CCPG is the renamed CCG where source comparatives agree; legacy frameworks below are not spliced into this series.</v>
      </c>
      <c r="H20" s="22" t="str">
        <v>2023–2025 annuals use the 2025 segment framework. Q2 2026 CCPG is the renamed CCG where source comparatives agree; legacy frameworks below are not spliced into this series.</v>
      </c>
      <c r="I20" s="22" t="str">
        <v>2023–2025 annuals use the 2025 segment framework. Q2 2026 CCPG is the renamed CCG where source comparatives agree; legacy frameworks below are not spliced into this series.</v>
      </c>
      <c r="J20" s="22" t="str">
        <v>2023–2025 annuals use the 2025 segment framework. Q2 2026 CCPG is the renamed CCG where source comparatives agree; legacy frameworks below are not spliced into this series.</v>
      </c>
      <c r="K20" s="22" t="str">
        <v>2023–2025 annuals use the 2025 segment framework. Q2 2026 CCPG is the renamed CCG where source comparatives agree; legacy frameworks below are not spliced into this series.</v>
      </c>
      <c r="L20" s="22" t="str">
        <v>2023–2025 annuals use the 2025 segment framework. Q2 2026 CCPG is the renamed CCG where source comparatives agree; legacy frameworks below are not spliced into this series.</v>
      </c>
      <c r="M20" s="22" t="str">
        <v>2023–2025 annuals use the 2025 segment framework. Q2 2026 CCPG is the renamed CCG where source comparatives agree; legacy frameworks below are not spliced into this series.</v>
      </c>
      <c r="N20" s="22" t="str">
        <v>2023–2025 annuals use the 2025 segment framework. Q2 2026 CCPG is the renamed CCG where source comparatives agree; legacy frameworks below are not spliced into this series.</v>
      </c>
      <c r="O20" s="22" t="str">
        <v>2023–2025 annuals use the 2025 segment framework. Q2 2026 CCPG is the renamed CCG where source comparatives agree; legacy frameworks below are not spliced into this series.</v>
      </c>
      <c r="P20" s="22" t="str">
        <v>2023–2025 annuals use the 2025 segment framework. Q2 2026 CCPG is the renamed CCG where source comparatives agree; legacy frameworks below are not spliced into this series.</v>
      </c>
      <c r="Q20" s="22" t="str">
        <v>2023–2025 annuals use the 2025 segment framework. Q2 2026 CCPG is the renamed CCG where source comparatives agree; legacy frameworks below are not spliced into this series.</v>
      </c>
      <c r="R20" s="22" t="str">
        <v>2023–2025 annuals use the 2025 segment framework. Q2 2026 CCPG is the renamed CCG where source comparatives agree; legacy frameworks below are not spliced into this series.</v>
      </c>
      <c r="S20" s="22" t="str">
        <v>2023–2025 annuals use the 2025 segment framework. Q2 2026 CCPG is the renamed CCG where source comparatives agree; legacy frameworks below are not spliced into this series.</v>
      </c>
      <c r="T20" s="22" t="str">
        <v>2023–2025 annuals use the 2025 segment framework. Q2 2026 CCPG is the renamed CCG where source comparatives agree; legacy frameworks below are not spliced into this series.</v>
      </c>
      <c r="U20" s="22" t="str">
        <v>2023–2025 annuals use the 2025 segment framework. Q2 2026 CCPG is the renamed CCG where source comparatives agree; legacy frameworks below are not spliced into this series.</v>
      </c>
      <c r="V20" s="22" t="str">
        <v>2023–2025 annuals use the 2025 segment framework. Q2 2026 CCPG is the renamed CCG where source comparatives agree; legacy frameworks below are not spliced into this series.</v>
      </c>
      <c r="W20" s="22" t="str">
        <v>2023–2025 annuals use the 2025 segment framework. Q2 2026 CCPG is the renamed CCG where source comparatives agree; legacy frameworks below are not spliced into this series.</v>
      </c>
      <c r="X20" s="22" t="str">
        <v>2023–2025 annuals use the 2025 segment framework. Q2 2026 CCPG is the renamed CCG where source comparatives agree; legacy frameworks below are not spliced into this series.</v>
      </c>
      <c r="Y20" s="22" t="str">
        <v>2023–2025 annuals use the 2025 segment framework. Q2 2026 CCPG is the renamed CCG where source comparatives agree; legacy frameworks below are not spliced into this series.</v>
      </c>
      <c r="Z20" s="22" t="str">
        <v>2023–2025 annuals use the 2025 segment framework. Q2 2026 CCPG is the renamed CCG where source comparatives agree; legacy frameworks below are not spliced into this series.</v>
      </c>
      <c r="AA20" s="22" t="str">
        <v>2023–2025 annuals use the 2025 segment framework. Q2 2026 CCPG is the renamed CCG where source comparatives agree; legacy frameworks below are not spliced into this series.</v>
      </c>
    </row>
    <row r="21" ht="22" customHeight="1">
      <c r="A21" s="49" t="str">
        <v>Operating income (loss) - CCG</v>
      </c>
      <c r="B21" s="3"/>
      <c r="C21" s="51"/>
      <c r="D21" s="51"/>
      <c r="E21" s="51"/>
      <c r="F21" s="51"/>
      <c r="G21" s="51"/>
      <c r="H21" s="51"/>
      <c r="I21" s="51"/>
      <c r="J21" s="51" t="n">
        <v>10128</v>
      </c>
      <c r="K21" s="51" t="n">
        <v>11594</v>
      </c>
      <c r="L21" s="51" t="n">
        <v>9317</v>
      </c>
      <c r="M21" s="51"/>
      <c r="N21" s="51"/>
      <c r="O21" s="51"/>
      <c r="P21" s="51"/>
      <c r="Q21" s="52" t="str">
        <f>IF(COUNT(J21,N21,O21,P21)=4,J21-N21-O21-P21,"")</f>
      </c>
      <c r="R21" s="51" t="n">
        <v>2822</v>
      </c>
      <c r="S21" s="51" t="n">
        <v>2641</v>
      </c>
      <c r="T21" s="51" t="n">
        <v>2937</v>
      </c>
      <c r="U21" s="52" t="n">
        <f>IF(COUNT(K21,R21,S21,T21)=4,K21-R21-S21-T21,"")</f>
        <v>3194</v>
      </c>
      <c r="V21" s="51" t="n">
        <v>2361</v>
      </c>
      <c r="W21" s="51" t="n">
        <v>2053</v>
      </c>
      <c r="X21" s="51" t="n">
        <v>2694</v>
      </c>
      <c r="Y21" s="52" t="n">
        <f>IF(COUNT(L21,V21,W21,X21)=4,L21-V21-W21-X21,"")</f>
        <v>2209</v>
      </c>
      <c r="Z21" s="51" t="n">
        <v>2516</v>
      </c>
      <c r="AA21" s="51" t="n">
        <v>2343</v>
      </c>
    </row>
    <row r="22" ht="22" customHeight="1">
      <c r="A22" s="49" t="str">
        <v>Operating income (loss) - DCAI</v>
      </c>
      <c r="B22" s="3"/>
      <c r="C22" s="51"/>
      <c r="D22" s="51"/>
      <c r="E22" s="51"/>
      <c r="F22" s="51"/>
      <c r="G22" s="51"/>
      <c r="H22" s="51"/>
      <c r="I22" s="51"/>
      <c r="J22" s="51" t="n">
        <v>945</v>
      </c>
      <c r="K22" s="51" t="n">
        <v>1414</v>
      </c>
      <c r="L22" s="51" t="n">
        <v>3422</v>
      </c>
      <c r="M22" s="51"/>
      <c r="N22" s="51"/>
      <c r="O22" s="51"/>
      <c r="P22" s="51"/>
      <c r="Q22" s="52" t="str">
        <f>IF(COUNT(J22,N22,O22,P22)=4,J22-N22-O22-P22,"")</f>
      </c>
      <c r="R22" s="51" t="n">
        <v>417</v>
      </c>
      <c r="S22" s="51" t="n">
        <v>242</v>
      </c>
      <c r="T22" s="51" t="n">
        <v>381</v>
      </c>
      <c r="U22" s="52" t="n">
        <f>IF(COUNT(K22,R22,S22,T22)=4,K22-R22-S22-T22,"")</f>
        <v>374</v>
      </c>
      <c r="V22" s="51" t="n">
        <v>575</v>
      </c>
      <c r="W22" s="51" t="n">
        <v>633</v>
      </c>
      <c r="X22" s="51" t="n">
        <v>964</v>
      </c>
      <c r="Y22" s="52" t="n">
        <f>IF(COUNT(L22,V22,W22,X22)=4,L22-V22-W22-X22,"")</f>
        <v>1250</v>
      </c>
      <c r="Z22" s="51" t="n">
        <v>1542</v>
      </c>
      <c r="AA22" s="51" t="n">
        <v>2474</v>
      </c>
    </row>
    <row r="23" ht="24" customHeight="1">
      <c r="A23" s="34" t="str">
        <v>Operating income (loss) - Total Intel Products</v>
      </c>
      <c r="B23" s="35"/>
      <c r="C23" s="36"/>
      <c r="D23" s="36"/>
      <c r="E23" s="36"/>
      <c r="F23" s="36"/>
      <c r="G23" s="36"/>
      <c r="H23" s="36"/>
      <c r="I23" s="36"/>
      <c r="J23" s="36" t="n">
        <v>11073</v>
      </c>
      <c r="K23" s="36" t="n">
        <v>13008</v>
      </c>
      <c r="L23" s="36" t="n">
        <v>12739</v>
      </c>
      <c r="M23" s="36"/>
      <c r="N23" s="36"/>
      <c r="O23" s="36"/>
      <c r="P23" s="36"/>
      <c r="Q23" s="37" t="str">
        <f>IF(COUNT(J23,N23,O23,P23)=4,J23-N23-O23-P23,"")</f>
      </c>
      <c r="R23" s="36" t="n">
        <v>3239</v>
      </c>
      <c r="S23" s="36" t="n">
        <v>2883</v>
      </c>
      <c r="T23" s="36" t="n">
        <v>3318</v>
      </c>
      <c r="U23" s="37" t="n">
        <f>IF(COUNT(K23,R23,S23,T23)=4,K23-R23-S23-T23,"")</f>
        <v>3568</v>
      </c>
      <c r="V23" s="36" t="n">
        <v>2936</v>
      </c>
      <c r="W23" s="36" t="n">
        <v>2686</v>
      </c>
      <c r="X23" s="36" t="n">
        <v>3658</v>
      </c>
      <c r="Y23" s="37" t="n">
        <f>IF(COUNT(L23,V23,W23,X23)=4,L23-V23-W23-X23,"")</f>
        <v>3459</v>
      </c>
      <c r="Z23" s="36" t="n">
        <v>4058</v>
      </c>
      <c r="AA23" s="36" t="n">
        <v>4817</v>
      </c>
    </row>
    <row r="24" ht="22" customHeight="1">
      <c r="A24" s="49" t="str">
        <v>Operating income (loss) - Intel Foundry</v>
      </c>
      <c r="B24" s="3"/>
      <c r="C24" s="51"/>
      <c r="D24" s="51"/>
      <c r="E24" s="51"/>
      <c r="F24" s="51"/>
      <c r="G24" s="51"/>
      <c r="H24" s="51"/>
      <c r="I24" s="51"/>
      <c r="J24" s="51" t="n">
        <v>-7083</v>
      </c>
      <c r="K24" s="51" t="n">
        <v>-13291</v>
      </c>
      <c r="L24" s="51" t="n">
        <v>-10318</v>
      </c>
      <c r="M24" s="51"/>
      <c r="N24" s="51"/>
      <c r="O24" s="51"/>
      <c r="P24" s="51"/>
      <c r="Q24" s="52" t="str">
        <f>IF(COUNT(J24,N24,O24,P24)=4,J24-N24-O24-P24,"")</f>
      </c>
      <c r="R24" s="51" t="n">
        <v>-2441</v>
      </c>
      <c r="S24" s="51" t="n">
        <v>-2802</v>
      </c>
      <c r="T24" s="51" t="n">
        <v>-5799</v>
      </c>
      <c r="U24" s="52" t="n">
        <f>IF(COUNT(K24,R24,S24,T24)=4,K24-R24-S24-T24,"")</f>
        <v>-2249</v>
      </c>
      <c r="V24" s="51" t="n">
        <v>-2320</v>
      </c>
      <c r="W24" s="51" t="n">
        <v>-3168</v>
      </c>
      <c r="X24" s="51" t="n">
        <v>-2321</v>
      </c>
      <c r="Y24" s="52" t="n">
        <f>IF(COUNT(L24,V24,W24,X24)=4,L24-V24-W24-X24,"")</f>
        <v>-2509</v>
      </c>
      <c r="Z24" s="51" t="n">
        <v>-2437</v>
      </c>
      <c r="AA24" s="51" t="n">
        <v>-2089</v>
      </c>
    </row>
    <row r="25" ht="22" customHeight="1">
      <c r="A25" s="49" t="str">
        <v>Operating income (loss) - All Other</v>
      </c>
      <c r="B25" s="3"/>
      <c r="C25" s="51"/>
      <c r="D25" s="51"/>
      <c r="E25" s="51"/>
      <c r="F25" s="51"/>
      <c r="G25" s="51"/>
      <c r="H25" s="51"/>
      <c r="I25" s="51"/>
      <c r="J25" s="51" t="n">
        <v>1507</v>
      </c>
      <c r="K25" s="51" t="n">
        <v>-57</v>
      </c>
      <c r="L25" s="51" t="n">
        <v>264</v>
      </c>
      <c r="M25" s="51"/>
      <c r="N25" s="51"/>
      <c r="O25" s="51"/>
      <c r="P25" s="51"/>
      <c r="Q25" s="52" t="str">
        <f>IF(COUNT(J25,N25,O25,P25)=4,J25-N25-O25-P25,"")</f>
      </c>
      <c r="R25" s="51" t="n">
        <v>-170</v>
      </c>
      <c r="S25" s="51" t="n">
        <v>-46</v>
      </c>
      <c r="T25" s="51" t="n">
        <v>5</v>
      </c>
      <c r="U25" s="52" t="n">
        <f>IF(COUNT(K25,R25,S25,T25)=4,K25-R25-S25-T25,"")</f>
        <v>154</v>
      </c>
      <c r="V25" s="51" t="n">
        <v>103</v>
      </c>
      <c r="W25" s="51" t="n">
        <v>69</v>
      </c>
      <c r="X25" s="51" t="n">
        <v>100</v>
      </c>
      <c r="Y25" s="52" t="n">
        <f>IF(COUNT(L25,V25,W25,X25)=4,L25-V25-W25-X25,"")</f>
        <v>-8</v>
      </c>
      <c r="Z25" s="51" t="n">
        <v>102</v>
      </c>
      <c r="AA25" s="51" t="n">
        <v>230</v>
      </c>
    </row>
    <row r="26" ht="22" customHeight="1">
      <c r="A26" s="49" t="str">
        <v>Operating income (loss) - Corporate Unallocated</v>
      </c>
      <c r="B26" s="3"/>
      <c r="C26" s="51"/>
      <c r="D26" s="51"/>
      <c r="E26" s="51"/>
      <c r="F26" s="51"/>
      <c r="G26" s="51"/>
      <c r="H26" s="51"/>
      <c r="I26" s="51"/>
      <c r="J26" s="51" t="n">
        <v>-5199</v>
      </c>
      <c r="K26" s="51" t="n">
        <v>-11177</v>
      </c>
      <c r="L26" s="51" t="n">
        <v>-5518</v>
      </c>
      <c r="M26" s="51"/>
      <c r="N26" s="51"/>
      <c r="O26" s="51"/>
      <c r="P26" s="51"/>
      <c r="Q26" s="52" t="str">
        <f>IF(COUNT(J26,N26,O26,P26)=4,J26-N26-O26-P26,"")</f>
      </c>
      <c r="R26" s="51" t="n">
        <v>-2187</v>
      </c>
      <c r="S26" s="51" t="n">
        <v>-1708</v>
      </c>
      <c r="T26" s="51" t="n">
        <v>-6502</v>
      </c>
      <c r="U26" s="52" t="n">
        <f>IF(COUNT(K26,R26,S26,T26)=4,K26-R26-S26-T26,"")</f>
        <v>-780</v>
      </c>
      <c r="V26" s="51" t="n">
        <v>-1260</v>
      </c>
      <c r="W26" s="51" t="n">
        <v>-2755</v>
      </c>
      <c r="X26" s="51" t="n">
        <v>-782</v>
      </c>
      <c r="Y26" s="52" t="n">
        <f>IF(COUNT(L26,V26,W26,X26)=4,L26-V26-W26-X26,"")</f>
        <v>-721</v>
      </c>
      <c r="Z26" s="51" t="n">
        <v>-5080</v>
      </c>
      <c r="AA26" s="51" t="n">
        <v>-1416</v>
      </c>
    </row>
    <row r="27" ht="22" customHeight="1">
      <c r="A27" s="49" t="str">
        <v>Operating income (loss) - Intersegment Eliminations</v>
      </c>
      <c r="B27" s="3"/>
      <c r="C27" s="51"/>
      <c r="D27" s="51"/>
      <c r="E27" s="51"/>
      <c r="F27" s="51"/>
      <c r="G27" s="51"/>
      <c r="H27" s="51"/>
      <c r="I27" s="51"/>
      <c r="J27" s="51" t="n">
        <v>-205</v>
      </c>
      <c r="K27" s="51" t="n">
        <v>-161</v>
      </c>
      <c r="L27" s="51" t="n">
        <v>619</v>
      </c>
      <c r="M27" s="51"/>
      <c r="N27" s="51"/>
      <c r="O27" s="51"/>
      <c r="P27" s="51"/>
      <c r="Q27" s="52" t="str">
        <f>IF(COUNT(J27,N27,O27,P27)=4,J27-N27-O27-P27,"")</f>
      </c>
      <c r="R27" s="51" t="n">
        <v>490</v>
      </c>
      <c r="S27" s="51" t="n">
        <v>-291</v>
      </c>
      <c r="T27" s="51" t="n">
        <v>-79</v>
      </c>
      <c r="U27" s="52" t="n">
        <f>IF(COUNT(K27,R27,S27,T27)=4,K27-R27-S27-T27,"")</f>
        <v>-281</v>
      </c>
      <c r="V27" s="51" t="n">
        <v>240</v>
      </c>
      <c r="W27" s="51" t="n">
        <v>-8</v>
      </c>
      <c r="X27" s="51" t="n">
        <v>28</v>
      </c>
      <c r="Y27" s="52" t="n">
        <f>IF(COUNT(L27,V27,W27,X27)=4,L27-V27-W27-X27,"")</f>
        <v>359</v>
      </c>
      <c r="Z27" s="51" t="n">
        <v>221</v>
      </c>
      <c r="AA27" s="51" t="n">
        <v>254</v>
      </c>
    </row>
    <row r="28" ht="24" customHeight="1">
      <c r="A28" s="34" t="str">
        <v>Operating income (loss) - Total Consolidated</v>
      </c>
      <c r="B28" s="35"/>
      <c r="C28" s="36"/>
      <c r="D28" s="36"/>
      <c r="E28" s="36"/>
      <c r="F28" s="36"/>
      <c r="G28" s="36"/>
      <c r="H28" s="36"/>
      <c r="I28" s="36"/>
      <c r="J28" s="36" t="n">
        <v>93</v>
      </c>
      <c r="K28" s="36" t="n">
        <v>-11678</v>
      </c>
      <c r="L28" s="36" t="n">
        <v>-2214</v>
      </c>
      <c r="M28" s="36"/>
      <c r="N28" s="36"/>
      <c r="O28" s="36"/>
      <c r="P28" s="36"/>
      <c r="Q28" s="37" t="str">
        <f>IF(COUNT(J28,N28,O28,P28)=4,J28-N28-O28-P28,"")</f>
      </c>
      <c r="R28" s="36" t="n">
        <v>-1069</v>
      </c>
      <c r="S28" s="36" t="n">
        <v>-1964</v>
      </c>
      <c r="T28" s="36" t="n">
        <v>-9057</v>
      </c>
      <c r="U28" s="37" t="n">
        <f>IF(COUNT(K28,R28,S28,T28)=4,K28-R28-S28-T28,"")</f>
        <v>412</v>
      </c>
      <c r="V28" s="36" t="n">
        <v>-301</v>
      </c>
      <c r="W28" s="36" t="n">
        <v>-3176</v>
      </c>
      <c r="X28" s="36" t="n">
        <v>683</v>
      </c>
      <c r="Y28" s="37" t="n">
        <f>IF(COUNT(L28,V28,W28,X28)=4,L28-V28-W28-X28,"")</f>
        <v>580</v>
      </c>
      <c r="Z28" s="36" t="n">
        <v>-3136</v>
      </c>
      <c r="AA28" s="36" t="n">
        <v>1796</v>
      </c>
    </row>
    <row r="29" ht="22" customHeight="1">
      <c r="A29" s="49" t="str">
        <v>Check: segment lines - printed total (should be 0)</v>
      </c>
      <c r="B29" s="3"/>
      <c r="C29" s="59"/>
      <c r="D29" s="59"/>
      <c r="E29" s="59"/>
      <c r="F29" s="59"/>
      <c r="G29" s="59"/>
      <c r="H29" s="59"/>
      <c r="I29" s="59"/>
      <c r="J29" s="59" t="n">
        <f>IF(COUNT(J21,J22,J24,J25,J26,J27,J28)=7,J21+J22+J24+J25+J26+J27-J28,"")</f>
        <v>0</v>
      </c>
      <c r="K29" s="59" t="n">
        <f>IF(COUNT(K21,K22,K24,K25,K26,K27,K28)=7,K21+K22+K24+K25+K26+K27-K28,"")</f>
        <v>0</v>
      </c>
      <c r="L29" s="59" t="n">
        <f>IF(COUNT(L21,L22,L24,L25,L26,L27,L28)=7,L21+L22+L24+L25+L26+L27-L28,"")</f>
        <v>0</v>
      </c>
      <c r="M29" s="59"/>
      <c r="N29" s="59"/>
      <c r="O29" s="59"/>
      <c r="P29" s="59"/>
      <c r="Q29" s="59" t="str">
        <f>IF(COUNT(Q21,Q22,Q24,Q25,Q26,Q27,Q28)=7,Q21+Q22+Q24+Q25+Q26+Q27-Q28,"")</f>
      </c>
      <c r="R29" s="59" t="n">
        <f>IF(COUNT(R21,R22,R24,R25,R26,R27,R28)=7,R21+R22+R24+R25+R26+R27-R28,"")</f>
        <v>0</v>
      </c>
      <c r="S29" s="59" t="n">
        <f>IF(COUNT(S21,S22,S24,S25,S26,S27,S28)=7,S21+S22+S24+S25+S26+S27-S28,"")</f>
        <v>0</v>
      </c>
      <c r="T29" s="59" t="n">
        <f>IF(COUNT(T21,T22,T24,T25,T26,T27,T28)=7,T21+T22+T24+T25+T26+T27-T28,"")</f>
        <v>0</v>
      </c>
      <c r="U29" s="59" t="n">
        <f>IF(COUNT(U21,U22,U24,U25,U26,U27,U28)=7,U21+U22+U24+U25+U26+U27-U28,"")</f>
        <v>0</v>
      </c>
      <c r="V29" s="59" t="n">
        <f>IF(COUNT(V21,V22,V24,V25,V26,V27,V28)=7,V21+V22+V24+V25+V26+V27-V28,"")</f>
        <v>0</v>
      </c>
      <c r="W29" s="59" t="n">
        <f>IF(COUNT(W21,W22,W24,W25,W26,W27,W28)=7,W21+W22+W24+W25+W26+W27-W28,"")</f>
        <v>0</v>
      </c>
      <c r="X29" s="59" t="n">
        <f>IF(COUNT(X21,X22,X24,X25,X26,X27,X28)=7,X21+X22+X24+X25+X26+X27-X28,"")</f>
        <v>0</v>
      </c>
      <c r="Y29" s="59" t="n">
        <f>IF(COUNT(Y21,Y22,Y24,Y25,Y26,Y27,Y28)=7,Y21+Y22+Y24+Y25+Y26+Y27-Y28,"")</f>
        <v>0</v>
      </c>
      <c r="Z29" s="59" t="n">
        <f>IF(COUNT(Z21,Z22,Z24,Z25,Z26,Z27,Z28)=7,Z21+Z22+Z24+Z25+Z26+Z27-Z28,"")</f>
        <v>0</v>
      </c>
      <c r="AA29" s="59" t="n">
        <f>IF(COUNT(AA21,AA22,AA24,AA25,AA26,AA27,AA28)=7,AA21+AA22+AA24+AA25+AA26+AA27-AA28,"")</f>
        <v>0</v>
      </c>
    </row>
    <row r="30" ht="8"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22" customHeight="1">
      <c r="A31" s="21" t="str">
        <v>2025 reporting framework: Cost of sales and operating expenses</v>
      </c>
      <c r="B31" s="21" t="str">
        <v>2025 reporting framework: Cost of sales and operating expenses</v>
      </c>
      <c r="C31" s="21" t="str">
        <v>2025 reporting framework: Cost of sales and operating expenses</v>
      </c>
      <c r="D31" s="21" t="str">
        <v>2025 reporting framework: Cost of sales and operating expenses</v>
      </c>
      <c r="E31" s="21" t="str">
        <v>2025 reporting framework: Cost of sales and operating expenses</v>
      </c>
      <c r="F31" s="21" t="str">
        <v>2025 reporting framework: Cost of sales and operating expenses</v>
      </c>
      <c r="G31" s="21" t="str">
        <v>2025 reporting framework: Cost of sales and operating expenses</v>
      </c>
      <c r="H31" s="21" t="str">
        <v>2025 reporting framework: Cost of sales and operating expenses</v>
      </c>
      <c r="I31" s="21" t="str">
        <v>2025 reporting framework: Cost of sales and operating expenses</v>
      </c>
      <c r="J31" s="21" t="str">
        <v>2025 reporting framework: Cost of sales and operating expenses</v>
      </c>
      <c r="K31" s="21" t="str">
        <v>2025 reporting framework: Cost of sales and operating expenses</v>
      </c>
      <c r="L31" s="21" t="str">
        <v>2025 reporting framework: Cost of sales and operating expenses</v>
      </c>
      <c r="M31" s="21" t="str">
        <v>2025 reporting framework: Cost of sales and operating expenses</v>
      </c>
      <c r="N31" s="21" t="str">
        <v>2025 reporting framework: Cost of sales and operating expenses</v>
      </c>
      <c r="O31" s="21" t="str">
        <v>2025 reporting framework: Cost of sales and operating expenses</v>
      </c>
      <c r="P31" s="21" t="str">
        <v>2025 reporting framework: Cost of sales and operating expenses</v>
      </c>
      <c r="Q31" s="21" t="str">
        <v>2025 reporting framework: Cost of sales and operating expenses</v>
      </c>
      <c r="R31" s="21" t="str">
        <v>2025 reporting framework: Cost of sales and operating expenses</v>
      </c>
      <c r="S31" s="21" t="str">
        <v>2025 reporting framework: Cost of sales and operating expenses</v>
      </c>
      <c r="T31" s="21" t="str">
        <v>2025 reporting framework: Cost of sales and operating expenses</v>
      </c>
      <c r="U31" s="21" t="str">
        <v>2025 reporting framework: Cost of sales and operating expenses</v>
      </c>
      <c r="V31" s="21" t="str">
        <v>2025 reporting framework: Cost of sales and operating expenses</v>
      </c>
      <c r="W31" s="21" t="str">
        <v>2025 reporting framework: Cost of sales and operating expenses</v>
      </c>
      <c r="X31" s="21" t="str">
        <v>2025 reporting framework: Cost of sales and operating expenses</v>
      </c>
      <c r="Y31" s="21" t="str">
        <v>2025 reporting framework: Cost of sales and operating expenses</v>
      </c>
      <c r="Z31" s="21" t="str">
        <v>2025 reporting framework: Cost of sales and operating expenses</v>
      </c>
      <c r="AA31" s="21" t="str">
        <v>2025 reporting framework: Cost of sales and operating expenses</v>
      </c>
    </row>
    <row r="32" ht="18" customHeight="1">
      <c r="A32" s="22" t="str">
        <v>2023–2025 annuals use the 2025 segment framework. Q2 2026 CCPG is the renamed CCG where source comparatives agree; legacy frameworks below are not spliced into this series.</v>
      </c>
      <c r="B32" s="22" t="str">
        <v>2023–2025 annuals use the 2025 segment framework. Q2 2026 CCPG is the renamed CCG where source comparatives agree; legacy frameworks below are not spliced into this series.</v>
      </c>
      <c r="C32" s="22" t="str">
        <v>2023–2025 annuals use the 2025 segment framework. Q2 2026 CCPG is the renamed CCG where source comparatives agree; legacy frameworks below are not spliced into this series.</v>
      </c>
      <c r="D32" s="22" t="str">
        <v>2023–2025 annuals use the 2025 segment framework. Q2 2026 CCPG is the renamed CCG where source comparatives agree; legacy frameworks below are not spliced into this series.</v>
      </c>
      <c r="E32" s="22" t="str">
        <v>2023–2025 annuals use the 2025 segment framework. Q2 2026 CCPG is the renamed CCG where source comparatives agree; legacy frameworks below are not spliced into this series.</v>
      </c>
      <c r="F32" s="22" t="str">
        <v>2023–2025 annuals use the 2025 segment framework. Q2 2026 CCPG is the renamed CCG where source comparatives agree; legacy frameworks below are not spliced into this series.</v>
      </c>
      <c r="G32" s="22" t="str">
        <v>2023–2025 annuals use the 2025 segment framework. Q2 2026 CCPG is the renamed CCG where source comparatives agree; legacy frameworks below are not spliced into this series.</v>
      </c>
      <c r="H32" s="22" t="str">
        <v>2023–2025 annuals use the 2025 segment framework. Q2 2026 CCPG is the renamed CCG where source comparatives agree; legacy frameworks below are not spliced into this series.</v>
      </c>
      <c r="I32" s="22" t="str">
        <v>2023–2025 annuals use the 2025 segment framework. Q2 2026 CCPG is the renamed CCG where source comparatives agree; legacy frameworks below are not spliced into this series.</v>
      </c>
      <c r="J32" s="22" t="str">
        <v>2023–2025 annuals use the 2025 segment framework. Q2 2026 CCPG is the renamed CCG where source comparatives agree; legacy frameworks below are not spliced into this series.</v>
      </c>
      <c r="K32" s="22" t="str">
        <v>2023–2025 annuals use the 2025 segment framework. Q2 2026 CCPG is the renamed CCG where source comparatives agree; legacy frameworks below are not spliced into this series.</v>
      </c>
      <c r="L32" s="22" t="str">
        <v>2023–2025 annuals use the 2025 segment framework. Q2 2026 CCPG is the renamed CCG where source comparatives agree; legacy frameworks below are not spliced into this series.</v>
      </c>
      <c r="M32" s="22" t="str">
        <v>2023–2025 annuals use the 2025 segment framework. Q2 2026 CCPG is the renamed CCG where source comparatives agree; legacy frameworks below are not spliced into this series.</v>
      </c>
      <c r="N32" s="22" t="str">
        <v>2023–2025 annuals use the 2025 segment framework. Q2 2026 CCPG is the renamed CCG where source comparatives agree; legacy frameworks below are not spliced into this series.</v>
      </c>
      <c r="O32" s="22" t="str">
        <v>2023–2025 annuals use the 2025 segment framework. Q2 2026 CCPG is the renamed CCG where source comparatives agree; legacy frameworks below are not spliced into this series.</v>
      </c>
      <c r="P32" s="22" t="str">
        <v>2023–2025 annuals use the 2025 segment framework. Q2 2026 CCPG is the renamed CCG where source comparatives agree; legacy frameworks below are not spliced into this series.</v>
      </c>
      <c r="Q32" s="22" t="str">
        <v>2023–2025 annuals use the 2025 segment framework. Q2 2026 CCPG is the renamed CCG where source comparatives agree; legacy frameworks below are not spliced into this series.</v>
      </c>
      <c r="R32" s="22" t="str">
        <v>2023–2025 annuals use the 2025 segment framework. Q2 2026 CCPG is the renamed CCG where source comparatives agree; legacy frameworks below are not spliced into this series.</v>
      </c>
      <c r="S32" s="22" t="str">
        <v>2023–2025 annuals use the 2025 segment framework. Q2 2026 CCPG is the renamed CCG where source comparatives agree; legacy frameworks below are not spliced into this series.</v>
      </c>
      <c r="T32" s="22" t="str">
        <v>2023–2025 annuals use the 2025 segment framework. Q2 2026 CCPG is the renamed CCG where source comparatives agree; legacy frameworks below are not spliced into this series.</v>
      </c>
      <c r="U32" s="22" t="str">
        <v>2023–2025 annuals use the 2025 segment framework. Q2 2026 CCPG is the renamed CCG where source comparatives agree; legacy frameworks below are not spliced into this series.</v>
      </c>
      <c r="V32" s="22" t="str">
        <v>2023–2025 annuals use the 2025 segment framework. Q2 2026 CCPG is the renamed CCG where source comparatives agree; legacy frameworks below are not spliced into this series.</v>
      </c>
      <c r="W32" s="22" t="str">
        <v>2023–2025 annuals use the 2025 segment framework. Q2 2026 CCPG is the renamed CCG where source comparatives agree; legacy frameworks below are not spliced into this series.</v>
      </c>
      <c r="X32" s="22" t="str">
        <v>2023–2025 annuals use the 2025 segment framework. Q2 2026 CCPG is the renamed CCG where source comparatives agree; legacy frameworks below are not spliced into this series.</v>
      </c>
      <c r="Y32" s="22" t="str">
        <v>2023–2025 annuals use the 2025 segment framework. Q2 2026 CCPG is the renamed CCG where source comparatives agree; legacy frameworks below are not spliced into this series.</v>
      </c>
      <c r="Z32" s="22" t="str">
        <v>2023–2025 annuals use the 2025 segment framework. Q2 2026 CCPG is the renamed CCG where source comparatives agree; legacy frameworks below are not spliced into this series.</v>
      </c>
      <c r="AA32" s="22" t="str">
        <v>2023–2025 annuals use the 2025 segment framework. Q2 2026 CCPG is the renamed CCG where source comparatives agree; legacy frameworks below are not spliced into this series.</v>
      </c>
    </row>
    <row r="33" ht="22" customHeight="1">
      <c r="A33" s="49" t="str">
        <v>Cost of sales and operating expenses - CCG</v>
      </c>
      <c r="B33" s="3"/>
      <c r="C33" s="51"/>
      <c r="D33" s="51"/>
      <c r="E33" s="51"/>
      <c r="F33" s="51"/>
      <c r="G33" s="51"/>
      <c r="H33" s="51"/>
      <c r="I33" s="51"/>
      <c r="J33" s="51" t="n">
        <v>22177</v>
      </c>
      <c r="K33" s="51" t="n">
        <v>21752</v>
      </c>
      <c r="L33" s="51" t="n">
        <v>22911</v>
      </c>
      <c r="M33" s="51"/>
      <c r="N33" s="51"/>
      <c r="O33" s="51"/>
      <c r="P33" s="51"/>
      <c r="Q33" s="52" t="str">
        <f>IF(COUNT(J33,N33,O33,P33)=4,J33-N33-O33-P33,"")</f>
      </c>
      <c r="R33" s="51"/>
      <c r="S33" s="51" t="n">
        <v>5502</v>
      </c>
      <c r="T33" s="51" t="n">
        <v>5224</v>
      </c>
      <c r="U33" s="52" t="str">
        <f>IF(COUNT(K33,R33,S33,T33)=4,K33-R33-S33-T33,"")</f>
      </c>
      <c r="V33" s="51" t="n">
        <v>5268</v>
      </c>
      <c r="W33" s="51" t="n">
        <v>5818</v>
      </c>
      <c r="X33" s="51" t="n">
        <v>5841</v>
      </c>
      <c r="Y33" s="52" t="n">
        <f>IF(COUNT(L33,V33,W33,X33)=4,L33-V33-W33-X33,"")</f>
        <v>5984</v>
      </c>
      <c r="Z33" s="51" t="n">
        <v>5211</v>
      </c>
      <c r="AA33" s="51" t="n">
        <v>6534</v>
      </c>
    </row>
    <row r="34" ht="22" customHeight="1">
      <c r="A34" s="49" t="str">
        <v>Cost of sales and operating expenses - DCAI</v>
      </c>
      <c r="B34" s="3"/>
      <c r="C34" s="51"/>
      <c r="D34" s="51"/>
      <c r="E34" s="51"/>
      <c r="F34" s="51"/>
      <c r="G34" s="51"/>
      <c r="H34" s="51"/>
      <c r="I34" s="51"/>
      <c r="J34" s="51" t="n">
        <v>15035</v>
      </c>
      <c r="K34" s="51" t="n">
        <v>14711</v>
      </c>
      <c r="L34" s="51" t="n">
        <v>13497</v>
      </c>
      <c r="M34" s="51"/>
      <c r="N34" s="51"/>
      <c r="O34" s="51"/>
      <c r="P34" s="51"/>
      <c r="Q34" s="52" t="str">
        <f>IF(COUNT(J34,N34,O34,P34)=4,J34-N34-O34-P34,"")</f>
      </c>
      <c r="R34" s="51"/>
      <c r="S34" s="51" t="n">
        <v>3563</v>
      </c>
      <c r="T34" s="51" t="n">
        <v>3760</v>
      </c>
      <c r="U34" s="52" t="str">
        <f>IF(COUNT(K34,R34,S34,T34)=4,K34-R34-S34-T34,"")</f>
      </c>
      <c r="V34" s="51" t="n">
        <v>3551</v>
      </c>
      <c r="W34" s="51" t="n">
        <v>3306</v>
      </c>
      <c r="X34" s="51" t="n">
        <v>3153</v>
      </c>
      <c r="Y34" s="52" t="n">
        <f>IF(COUNT(L34,V34,W34,X34)=4,L34-V34-W34-X34,"")</f>
        <v>3487</v>
      </c>
      <c r="Z34" s="51" t="n">
        <v>3510</v>
      </c>
      <c r="AA34" s="51" t="n">
        <v>3788</v>
      </c>
    </row>
    <row r="35" ht="36" customHeight="1">
      <c r="A35" s="34" t="str">
        <v>Cost of sales and operating expenses - Total Intel Products</v>
      </c>
      <c r="B35" s="35"/>
      <c r="C35" s="36"/>
      <c r="D35" s="36"/>
      <c r="E35" s="36"/>
      <c r="F35" s="36"/>
      <c r="G35" s="36"/>
      <c r="H35" s="36"/>
      <c r="I35" s="36"/>
      <c r="J35" s="36" t="n">
        <v>37212</v>
      </c>
      <c r="K35" s="36" t="n">
        <v>36463</v>
      </c>
      <c r="L35" s="36" t="n">
        <v>36408</v>
      </c>
      <c r="M35" s="36"/>
      <c r="N35" s="36"/>
      <c r="O35" s="36"/>
      <c r="P35" s="36"/>
      <c r="Q35" s="37" t="str">
        <f>IF(COUNT(J35,N35,O35,P35)=4,J35-N35-O35-P35,"")</f>
      </c>
      <c r="R35" s="36"/>
      <c r="S35" s="36" t="n">
        <v>9065</v>
      </c>
      <c r="T35" s="36" t="n">
        <v>8984</v>
      </c>
      <c r="U35" s="37" t="str">
        <f>IF(COUNT(K35,R35,S35,T35)=4,K35-R35-S35-T35,"")</f>
      </c>
      <c r="V35" s="36" t="n">
        <v>8819</v>
      </c>
      <c r="W35" s="36" t="n">
        <v>9124</v>
      </c>
      <c r="X35" s="36" t="n">
        <v>8994</v>
      </c>
      <c r="Y35" s="37" t="n">
        <f>IF(COUNT(L35,V35,W35,X35)=4,L35-V35-W35-X35,"")</f>
        <v>9471</v>
      </c>
      <c r="Z35" s="36" t="n">
        <v>8721</v>
      </c>
      <c r="AA35" s="36" t="n">
        <v>10322</v>
      </c>
    </row>
    <row r="36" ht="22" customHeight="1">
      <c r="A36" s="49" t="str">
        <v>Cost of sales and operating expenses - Intel Foundry</v>
      </c>
      <c r="B36" s="3"/>
      <c r="C36" s="51"/>
      <c r="D36" s="51"/>
      <c r="E36" s="51"/>
      <c r="F36" s="51"/>
      <c r="G36" s="51"/>
      <c r="H36" s="51"/>
      <c r="I36" s="51"/>
      <c r="J36" s="51" t="n">
        <v>25587</v>
      </c>
      <c r="K36" s="51" t="n">
        <v>30608</v>
      </c>
      <c r="L36" s="51" t="n">
        <v>28144</v>
      </c>
      <c r="M36" s="51"/>
      <c r="N36" s="51"/>
      <c r="O36" s="51"/>
      <c r="P36" s="51"/>
      <c r="Q36" s="52" t="str">
        <f>IF(COUNT(J36,N36,O36,P36)=4,J36-N36-O36-P36,"")</f>
      </c>
      <c r="R36" s="51"/>
      <c r="S36" s="51" t="n">
        <v>7084</v>
      </c>
      <c r="T36" s="51" t="n">
        <v>10138</v>
      </c>
      <c r="U36" s="52" t="str">
        <f>IF(COUNT(K36,R36,S36,T36)=4,K36-R36-S36-T36,"")</f>
      </c>
      <c r="V36" s="51" t="n">
        <v>6987</v>
      </c>
      <c r="W36" s="51" t="n">
        <v>7585</v>
      </c>
      <c r="X36" s="51" t="n">
        <v>6556</v>
      </c>
      <c r="Y36" s="52" t="n">
        <f>IF(COUNT(L36,V36,W36,X36)=4,L36-V36-W36-X36,"")</f>
        <v>7016</v>
      </c>
      <c r="Z36" s="51" t="n">
        <v>7858</v>
      </c>
      <c r="AA36" s="51" t="n">
        <v>7854</v>
      </c>
    </row>
    <row r="37" ht="22" customHeight="1">
      <c r="A37" s="49" t="str">
        <v>Cost of sales and operating expenses - All Other</v>
      </c>
      <c r="B37" s="3"/>
      <c r="C37" s="51"/>
      <c r="D37" s="51"/>
      <c r="E37" s="51"/>
      <c r="F37" s="51"/>
      <c r="G37" s="51"/>
      <c r="H37" s="51"/>
      <c r="I37" s="51"/>
      <c r="J37" s="51" t="n">
        <v>3956</v>
      </c>
      <c r="K37" s="51" t="n">
        <v>3658</v>
      </c>
      <c r="L37" s="51" t="n">
        <v>3299</v>
      </c>
      <c r="M37" s="51"/>
      <c r="N37" s="51"/>
      <c r="O37" s="51"/>
      <c r="P37" s="51"/>
      <c r="Q37" s="52" t="str">
        <f>IF(COUNT(J37,N37,O37,P37)=4,J37-N37-O37-P37,"")</f>
      </c>
      <c r="R37" s="51"/>
      <c r="S37" s="51" t="n">
        <v>927</v>
      </c>
      <c r="T37" s="51" t="n">
        <v>959</v>
      </c>
      <c r="U37" s="52" t="str">
        <f>IF(COUNT(K37,R37,S37,T37)=4,K37-R37-S37-T37,"")</f>
      </c>
      <c r="V37" s="51" t="n">
        <v>840</v>
      </c>
      <c r="W37" s="51" t="n">
        <v>984</v>
      </c>
      <c r="X37" s="51" t="n">
        <v>893</v>
      </c>
      <c r="Y37" s="52" t="n">
        <f>IF(COUNT(L37,V37,W37,X37)=4,L37-V37-W37-X37,"")</f>
        <v>582</v>
      </c>
      <c r="Z37" s="51" t="n">
        <v>526</v>
      </c>
      <c r="AA37" s="51" t="n">
        <v>471</v>
      </c>
    </row>
    <row r="38" ht="36" customHeight="1">
      <c r="A38" s="49" t="str">
        <v>Cost of sales and operating expenses - Corporate Unallocated</v>
      </c>
      <c r="B38" s="3"/>
      <c r="C38" s="51"/>
      <c r="D38" s="51"/>
      <c r="E38" s="51"/>
      <c r="F38" s="51"/>
      <c r="G38" s="51"/>
      <c r="H38" s="51"/>
      <c r="I38" s="51"/>
      <c r="J38" s="51" t="n">
        <v>5199</v>
      </c>
      <c r="K38" s="51" t="n">
        <v>11177</v>
      </c>
      <c r="L38" s="51" t="n">
        <v>5518</v>
      </c>
      <c r="M38" s="51"/>
      <c r="N38" s="51"/>
      <c r="O38" s="51"/>
      <c r="P38" s="51"/>
      <c r="Q38" s="52" t="str">
        <f>IF(COUNT(J38,N38,O38,P38)=4,J38-N38-O38-P38,"")</f>
      </c>
      <c r="R38" s="51"/>
      <c r="S38" s="51" t="n">
        <v>1708</v>
      </c>
      <c r="T38" s="51" t="n">
        <v>6502</v>
      </c>
      <c r="U38" s="52" t="str">
        <f>IF(COUNT(K38,R38,S38,T38)=4,K38-R38-S38-T38,"")</f>
      </c>
      <c r="V38" s="51" t="n">
        <v>1260</v>
      </c>
      <c r="W38" s="51" t="n">
        <v>2755</v>
      </c>
      <c r="X38" s="51" t="n">
        <v>782</v>
      </c>
      <c r="Y38" s="52" t="n">
        <f>IF(COUNT(L38,V38,W38,X38)=4,L38-V38-W38-X38,"")</f>
        <v>721</v>
      </c>
      <c r="Z38" s="51" t="n">
        <v>5080</v>
      </c>
      <c r="AA38" s="51" t="n">
        <v>1416</v>
      </c>
    </row>
    <row r="39" ht="36" customHeight="1">
      <c r="A39" s="49" t="str">
        <v>Cost of sales and operating expenses - Intersegment Eliminations</v>
      </c>
      <c r="B39" s="3"/>
      <c r="C39" s="51"/>
      <c r="D39" s="51"/>
      <c r="E39" s="51"/>
      <c r="F39" s="51"/>
      <c r="G39" s="51"/>
      <c r="H39" s="51"/>
      <c r="I39" s="51"/>
      <c r="J39" s="51" t="n">
        <v>-17819</v>
      </c>
      <c r="K39" s="51" t="n">
        <v>-17127</v>
      </c>
      <c r="L39" s="51" t="n">
        <v>-18302</v>
      </c>
      <c r="M39" s="51"/>
      <c r="N39" s="51"/>
      <c r="O39" s="51"/>
      <c r="P39" s="51"/>
      <c r="Q39" s="52" t="str">
        <f>IF(COUNT(J39,N39,O39,P39)=4,J39-N39-O39-P39,"")</f>
      </c>
      <c r="R39" s="51"/>
      <c r="S39" s="51" t="n">
        <v>-3987</v>
      </c>
      <c r="T39" s="51" t="n">
        <v>-4242</v>
      </c>
      <c r="U39" s="52" t="str">
        <f>IF(COUNT(K39,R39,S39,T39)=4,K39-R39-S39-T39,"")</f>
      </c>
      <c r="V39" s="51" t="n">
        <v>-4938</v>
      </c>
      <c r="W39" s="51" t="n">
        <v>-4413</v>
      </c>
      <c r="X39" s="51" t="n">
        <v>-4255</v>
      </c>
      <c r="Y39" s="52" t="n">
        <f>IF(COUNT(L39,V39,W39,X39)=4,L39-V39-W39-X39,"")</f>
        <v>-4696</v>
      </c>
      <c r="Z39" s="51" t="n">
        <v>-5472</v>
      </c>
      <c r="AA39" s="51" t="n">
        <v>-5731</v>
      </c>
    </row>
    <row r="40" ht="24" customHeight="1">
      <c r="A40" s="34" t="str">
        <v>Cost of sales and operating expenses - Total Consolidated</v>
      </c>
      <c r="B40" s="35"/>
      <c r="C40" s="36"/>
      <c r="D40" s="36"/>
      <c r="E40" s="36"/>
      <c r="F40" s="36"/>
      <c r="G40" s="36"/>
      <c r="H40" s="36"/>
      <c r="I40" s="36"/>
      <c r="J40" s="36" t="n">
        <v>54135</v>
      </c>
      <c r="K40" s="36" t="n">
        <v>64779</v>
      </c>
      <c r="L40" s="36" t="n">
        <v>55067</v>
      </c>
      <c r="M40" s="36"/>
      <c r="N40" s="36"/>
      <c r="O40" s="36"/>
      <c r="P40" s="36"/>
      <c r="Q40" s="37" t="str">
        <f>IF(COUNT(J40,N40,O40,P40)=4,J40-N40-O40-P40,"")</f>
      </c>
      <c r="R40" s="36"/>
      <c r="S40" s="36" t="n">
        <v>14797</v>
      </c>
      <c r="T40" s="36" t="n">
        <v>22341</v>
      </c>
      <c r="U40" s="37" t="str">
        <f>IF(COUNT(K40,R40,S40,T40)=4,K40-R40-S40-T40,"")</f>
      </c>
      <c r="V40" s="36" t="n">
        <v>12968</v>
      </c>
      <c r="W40" s="36" t="n">
        <v>16035</v>
      </c>
      <c r="X40" s="36" t="n">
        <v>12970</v>
      </c>
      <c r="Y40" s="37" t="n">
        <f>IF(COUNT(L40,V40,W40,X40)=4,L40-V40-W40-X40,"")</f>
        <v>13094</v>
      </c>
      <c r="Z40" s="36" t="n">
        <v>16713</v>
      </c>
      <c r="AA40" s="36" t="n">
        <v>14332</v>
      </c>
    </row>
    <row r="41" ht="22" customHeight="1">
      <c r="A41" s="49" t="str">
        <v>Check: segment lines - printed total (should be 0)</v>
      </c>
      <c r="B41" s="3"/>
      <c r="C41" s="59"/>
      <c r="D41" s="59"/>
      <c r="E41" s="59"/>
      <c r="F41" s="59"/>
      <c r="G41" s="59"/>
      <c r="H41" s="59"/>
      <c r="I41" s="59"/>
      <c r="J41" s="59" t="n">
        <f>IF(COUNT(J33,J34,J36,J37,J38,J39,J40)=7,J33+J34+J36+J37+J38+J39-J40,"")</f>
        <v>0</v>
      </c>
      <c r="K41" s="59" t="n">
        <f>IF(COUNT(K33,K34,K36,K37,K38,K39,K40)=7,K33+K34+K36+K37+K38+K39-K40,"")</f>
        <v>0</v>
      </c>
      <c r="L41" s="59" t="n">
        <f>IF(COUNT(L33,L34,L36,L37,L38,L39,L40)=7,L33+L34+L36+L37+L38+L39-L40,"")</f>
        <v>0</v>
      </c>
      <c r="M41" s="59"/>
      <c r="N41" s="59"/>
      <c r="O41" s="59"/>
      <c r="P41" s="59"/>
      <c r="Q41" s="59" t="str">
        <f>IF(COUNT(Q33,Q34,Q36,Q37,Q38,Q39,Q40)=7,Q33+Q34+Q36+Q37+Q38+Q39-Q40,"")</f>
      </c>
      <c r="R41" s="59"/>
      <c r="S41" s="59" t="n">
        <f>IF(COUNT(S33,S34,S36,S37,S38,S39,S40)=7,S33+S34+S36+S37+S38+S39-S40,"")</f>
        <v>0</v>
      </c>
      <c r="T41" s="59" t="n">
        <f>IF(COUNT(T33,T34,T36,T37,T38,T39,T40)=7,T33+T34+T36+T37+T38+T39-T40,"")</f>
        <v>0</v>
      </c>
      <c r="U41" s="59" t="str">
        <f>IF(COUNT(U33,U34,U36,U37,U38,U39,U40)=7,U33+U34+U36+U37+U38+U39-U40,"")</f>
      </c>
      <c r="V41" s="59" t="n">
        <f>IF(COUNT(V33,V34,V36,V37,V38,V39,V40)=7,V33+V34+V36+V37+V38+V39-V40,"")</f>
        <v>0</v>
      </c>
      <c r="W41" s="59" t="n">
        <f>IF(COUNT(W33,W34,W36,W37,W38,W39,W40)=7,W33+W34+W36+W37+W38+W39-W40,"")</f>
        <v>0</v>
      </c>
      <c r="X41" s="59" t="n">
        <f>IF(COUNT(X33,X34,X36,X37,X38,X39,X40)=7,X33+X34+X36+X37+X38+X39-X40,"")</f>
        <v>0</v>
      </c>
      <c r="Y41" s="59" t="n">
        <f>IF(COUNT(Y33,Y34,Y36,Y37,Y38,Y39,Y40)=7,Y33+Y34+Y36+Y37+Y38+Y39-Y40,"")</f>
        <v>0</v>
      </c>
      <c r="Z41" s="59" t="n">
        <f>IF(COUNT(Z33,Z34,Z36,Z37,Z38,Z39,Z40)=7,Z33+Z34+Z36+Z37+Z38+Z39-Z40,"")</f>
        <v>0</v>
      </c>
      <c r="AA41" s="59" t="n">
        <f>IF(COUNT(AA33,AA34,AA36,AA37,AA38,AA39,AA40)=7,AA33+AA34+AA36+AA37+AA38+AA39-AA40,"")</f>
        <v>0</v>
      </c>
    </row>
    <row r="42" ht="8"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22" customHeight="1">
      <c r="A43" s="21" t="str">
        <v>2025 reporting framework: Cost of sales</v>
      </c>
      <c r="B43" s="21" t="str">
        <v>2025 reporting framework: Cost of sales</v>
      </c>
      <c r="C43" s="21" t="str">
        <v>2025 reporting framework: Cost of sales</v>
      </c>
      <c r="D43" s="21" t="str">
        <v>2025 reporting framework: Cost of sales</v>
      </c>
      <c r="E43" s="21" t="str">
        <v>2025 reporting framework: Cost of sales</v>
      </c>
      <c r="F43" s="21" t="str">
        <v>2025 reporting framework: Cost of sales</v>
      </c>
      <c r="G43" s="21" t="str">
        <v>2025 reporting framework: Cost of sales</v>
      </c>
      <c r="H43" s="21" t="str">
        <v>2025 reporting framework: Cost of sales</v>
      </c>
      <c r="I43" s="21" t="str">
        <v>2025 reporting framework: Cost of sales</v>
      </c>
      <c r="J43" s="21" t="str">
        <v>2025 reporting framework: Cost of sales</v>
      </c>
      <c r="K43" s="21" t="str">
        <v>2025 reporting framework: Cost of sales</v>
      </c>
      <c r="L43" s="21" t="str">
        <v>2025 reporting framework: Cost of sales</v>
      </c>
      <c r="M43" s="21" t="str">
        <v>2025 reporting framework: Cost of sales</v>
      </c>
      <c r="N43" s="21" t="str">
        <v>2025 reporting framework: Cost of sales</v>
      </c>
      <c r="O43" s="21" t="str">
        <v>2025 reporting framework: Cost of sales</v>
      </c>
      <c r="P43" s="21" t="str">
        <v>2025 reporting framework: Cost of sales</v>
      </c>
      <c r="Q43" s="21" t="str">
        <v>2025 reporting framework: Cost of sales</v>
      </c>
      <c r="R43" s="21" t="str">
        <v>2025 reporting framework: Cost of sales</v>
      </c>
      <c r="S43" s="21" t="str">
        <v>2025 reporting framework: Cost of sales</v>
      </c>
      <c r="T43" s="21" t="str">
        <v>2025 reporting framework: Cost of sales</v>
      </c>
      <c r="U43" s="21" t="str">
        <v>2025 reporting framework: Cost of sales</v>
      </c>
      <c r="V43" s="21" t="str">
        <v>2025 reporting framework: Cost of sales</v>
      </c>
      <c r="W43" s="21" t="str">
        <v>2025 reporting framework: Cost of sales</v>
      </c>
      <c r="X43" s="21" t="str">
        <v>2025 reporting framework: Cost of sales</v>
      </c>
      <c r="Y43" s="21" t="str">
        <v>2025 reporting framework: Cost of sales</v>
      </c>
      <c r="Z43" s="21" t="str">
        <v>2025 reporting framework: Cost of sales</v>
      </c>
      <c r="AA43" s="21" t="str">
        <v>2025 reporting framework: Cost of sales</v>
      </c>
    </row>
    <row r="44" ht="18" customHeight="1">
      <c r="A44" s="22" t="str">
        <v>2023–2025 annuals use the 2025 segment framework. Q2 2026 CCPG is the renamed CCG where source comparatives agree; legacy frameworks below are not spliced into this series.</v>
      </c>
      <c r="B44" s="22" t="str">
        <v>2023–2025 annuals use the 2025 segment framework. Q2 2026 CCPG is the renamed CCG where source comparatives agree; legacy frameworks below are not spliced into this series.</v>
      </c>
      <c r="C44" s="22" t="str">
        <v>2023–2025 annuals use the 2025 segment framework. Q2 2026 CCPG is the renamed CCG where source comparatives agree; legacy frameworks below are not spliced into this series.</v>
      </c>
      <c r="D44" s="22" t="str">
        <v>2023–2025 annuals use the 2025 segment framework. Q2 2026 CCPG is the renamed CCG where source comparatives agree; legacy frameworks below are not spliced into this series.</v>
      </c>
      <c r="E44" s="22" t="str">
        <v>2023–2025 annuals use the 2025 segment framework. Q2 2026 CCPG is the renamed CCG where source comparatives agree; legacy frameworks below are not spliced into this series.</v>
      </c>
      <c r="F44" s="22" t="str">
        <v>2023–2025 annuals use the 2025 segment framework. Q2 2026 CCPG is the renamed CCG where source comparatives agree; legacy frameworks below are not spliced into this series.</v>
      </c>
      <c r="G44" s="22" t="str">
        <v>2023–2025 annuals use the 2025 segment framework. Q2 2026 CCPG is the renamed CCG where source comparatives agree; legacy frameworks below are not spliced into this series.</v>
      </c>
      <c r="H44" s="22" t="str">
        <v>2023–2025 annuals use the 2025 segment framework. Q2 2026 CCPG is the renamed CCG where source comparatives agree; legacy frameworks below are not spliced into this series.</v>
      </c>
      <c r="I44" s="22" t="str">
        <v>2023–2025 annuals use the 2025 segment framework. Q2 2026 CCPG is the renamed CCG where source comparatives agree; legacy frameworks below are not spliced into this series.</v>
      </c>
      <c r="J44" s="22" t="str">
        <v>2023–2025 annuals use the 2025 segment framework. Q2 2026 CCPG is the renamed CCG where source comparatives agree; legacy frameworks below are not spliced into this series.</v>
      </c>
      <c r="K44" s="22" t="str">
        <v>2023–2025 annuals use the 2025 segment framework. Q2 2026 CCPG is the renamed CCG where source comparatives agree; legacy frameworks below are not spliced into this series.</v>
      </c>
      <c r="L44" s="22" t="str">
        <v>2023–2025 annuals use the 2025 segment framework. Q2 2026 CCPG is the renamed CCG where source comparatives agree; legacy frameworks below are not spliced into this series.</v>
      </c>
      <c r="M44" s="22" t="str">
        <v>2023–2025 annuals use the 2025 segment framework. Q2 2026 CCPG is the renamed CCG where source comparatives agree; legacy frameworks below are not spliced into this series.</v>
      </c>
      <c r="N44" s="22" t="str">
        <v>2023–2025 annuals use the 2025 segment framework. Q2 2026 CCPG is the renamed CCG where source comparatives agree; legacy frameworks below are not spliced into this series.</v>
      </c>
      <c r="O44" s="22" t="str">
        <v>2023–2025 annuals use the 2025 segment framework. Q2 2026 CCPG is the renamed CCG where source comparatives agree; legacy frameworks below are not spliced into this series.</v>
      </c>
      <c r="P44" s="22" t="str">
        <v>2023–2025 annuals use the 2025 segment framework. Q2 2026 CCPG is the renamed CCG where source comparatives agree; legacy frameworks below are not spliced into this series.</v>
      </c>
      <c r="Q44" s="22" t="str">
        <v>2023–2025 annuals use the 2025 segment framework. Q2 2026 CCPG is the renamed CCG where source comparatives agree; legacy frameworks below are not spliced into this series.</v>
      </c>
      <c r="R44" s="22" t="str">
        <v>2023–2025 annuals use the 2025 segment framework. Q2 2026 CCPG is the renamed CCG where source comparatives agree; legacy frameworks below are not spliced into this series.</v>
      </c>
      <c r="S44" s="22" t="str">
        <v>2023–2025 annuals use the 2025 segment framework. Q2 2026 CCPG is the renamed CCG where source comparatives agree; legacy frameworks below are not spliced into this series.</v>
      </c>
      <c r="T44" s="22" t="str">
        <v>2023–2025 annuals use the 2025 segment framework. Q2 2026 CCPG is the renamed CCG where source comparatives agree; legacy frameworks below are not spliced into this series.</v>
      </c>
      <c r="U44" s="22" t="str">
        <v>2023–2025 annuals use the 2025 segment framework. Q2 2026 CCPG is the renamed CCG where source comparatives agree; legacy frameworks below are not spliced into this series.</v>
      </c>
      <c r="V44" s="22" t="str">
        <v>2023–2025 annuals use the 2025 segment framework. Q2 2026 CCPG is the renamed CCG where source comparatives agree; legacy frameworks below are not spliced into this series.</v>
      </c>
      <c r="W44" s="22" t="str">
        <v>2023–2025 annuals use the 2025 segment framework. Q2 2026 CCPG is the renamed CCG where source comparatives agree; legacy frameworks below are not spliced into this series.</v>
      </c>
      <c r="X44" s="22" t="str">
        <v>2023–2025 annuals use the 2025 segment framework. Q2 2026 CCPG is the renamed CCG where source comparatives agree; legacy frameworks below are not spliced into this series.</v>
      </c>
      <c r="Y44" s="22" t="str">
        <v>2023–2025 annuals use the 2025 segment framework. Q2 2026 CCPG is the renamed CCG where source comparatives agree; legacy frameworks below are not spliced into this series.</v>
      </c>
      <c r="Z44" s="22" t="str">
        <v>2023–2025 annuals use the 2025 segment framework. Q2 2026 CCPG is the renamed CCG where source comparatives agree; legacy frameworks below are not spliced into this series.</v>
      </c>
      <c r="AA44" s="22" t="str">
        <v>2023–2025 annuals use the 2025 segment framework. Q2 2026 CCPG is the renamed CCG where source comparatives agree; legacy frameworks below are not spliced into this series.</v>
      </c>
    </row>
    <row r="45" ht="22" customHeight="1">
      <c r="A45" s="49" t="str">
        <v>Cost of sales - CCG</v>
      </c>
      <c r="B45" s="3"/>
      <c r="C45" s="51"/>
      <c r="D45" s="51"/>
      <c r="E45" s="51"/>
      <c r="F45" s="51"/>
      <c r="G45" s="51"/>
      <c r="H45" s="51"/>
      <c r="I45" s="51"/>
      <c r="J45" s="51"/>
      <c r="K45" s="51"/>
      <c r="L45" s="51"/>
      <c r="M45" s="51"/>
      <c r="N45" s="51"/>
      <c r="O45" s="51"/>
      <c r="P45" s="51"/>
      <c r="Q45" s="52" t="str">
        <f>IF(COUNT(J45,N45,O45,P45)=4,J45-N45-O45-P45,"")</f>
      </c>
      <c r="R45" s="51" t="n">
        <v>4004</v>
      </c>
      <c r="S45" s="51"/>
      <c r="T45" s="51"/>
      <c r="U45" s="52" t="str">
        <f>IF(COUNT(K45,R45,S45,T45)=4,K45-R45-S45-T45,"")</f>
      </c>
      <c r="V45" s="51" t="n">
        <v>3984</v>
      </c>
      <c r="W45" s="51"/>
      <c r="X45" s="51"/>
      <c r="Y45" s="52" t="str">
        <f>IF(COUNT(L45,V45,W45,X45)=4,L45-V45-W45-X45,"")</f>
      </c>
      <c r="Z45" s="51"/>
      <c r="AA45" s="51"/>
    </row>
    <row r="46" ht="22" customHeight="1">
      <c r="A46" s="49" t="str">
        <v>Cost of sales - DCAI</v>
      </c>
      <c r="B46" s="3"/>
      <c r="C46" s="51"/>
      <c r="D46" s="51"/>
      <c r="E46" s="51"/>
      <c r="F46" s="51"/>
      <c r="G46" s="51"/>
      <c r="H46" s="51"/>
      <c r="I46" s="51"/>
      <c r="J46" s="51"/>
      <c r="K46" s="51"/>
      <c r="L46" s="51"/>
      <c r="M46" s="51"/>
      <c r="N46" s="51"/>
      <c r="O46" s="51"/>
      <c r="P46" s="51"/>
      <c r="Q46" s="52" t="str">
        <f>IF(COUNT(J46,N46,O46,P46)=4,J46-N46-O46-P46,"")</f>
      </c>
      <c r="R46" s="51" t="n">
        <v>1745</v>
      </c>
      <c r="S46" s="51"/>
      <c r="T46" s="51"/>
      <c r="U46" s="52" t="str">
        <f>IF(COUNT(K46,R46,S46,T46)=4,K46-R46-S46-T46,"")</f>
      </c>
      <c r="V46" s="51" t="n">
        <v>2359</v>
      </c>
      <c r="W46" s="51"/>
      <c r="X46" s="51"/>
      <c r="Y46" s="52" t="str">
        <f>IF(COUNT(L46,V46,W46,X46)=4,L46-V46-W46-X46,"")</f>
      </c>
      <c r="Z46" s="51"/>
      <c r="AA46" s="51"/>
    </row>
    <row r="47" ht="24" customHeight="1">
      <c r="A47" s="34" t="str">
        <v>Cost of sales - Total Intel Products</v>
      </c>
      <c r="B47" s="35"/>
      <c r="C47" s="36"/>
      <c r="D47" s="36"/>
      <c r="E47" s="36"/>
      <c r="F47" s="36"/>
      <c r="G47" s="36"/>
      <c r="H47" s="36"/>
      <c r="I47" s="36"/>
      <c r="J47" s="36"/>
      <c r="K47" s="36"/>
      <c r="L47" s="36"/>
      <c r="M47" s="36"/>
      <c r="N47" s="36"/>
      <c r="O47" s="36"/>
      <c r="P47" s="36"/>
      <c r="Q47" s="37" t="str">
        <f>IF(COUNT(J47,N47,O47,P47)=4,J47-N47-O47-P47,"")</f>
      </c>
      <c r="R47" s="36" t="n">
        <v>5749</v>
      </c>
      <c r="S47" s="36"/>
      <c r="T47" s="36"/>
      <c r="U47" s="37" t="str">
        <f>IF(COUNT(K47,R47,S47,T47)=4,K47-R47-S47-T47,"")</f>
      </c>
      <c r="V47" s="36" t="n">
        <v>6343</v>
      </c>
      <c r="W47" s="36"/>
      <c r="X47" s="36"/>
      <c r="Y47" s="37" t="str">
        <f>IF(COUNT(L47,V47,W47,X47)=4,L47-V47-W47-X47,"")</f>
      </c>
      <c r="Z47" s="36"/>
      <c r="AA47" s="36"/>
    </row>
    <row r="48" ht="22" customHeight="1">
      <c r="A48" s="49" t="str">
        <v>Cost of sales - Intel Foundry</v>
      </c>
      <c r="B48" s="3"/>
      <c r="C48" s="51"/>
      <c r="D48" s="51"/>
      <c r="E48" s="51"/>
      <c r="F48" s="51"/>
      <c r="G48" s="51"/>
      <c r="H48" s="51"/>
      <c r="I48" s="51"/>
      <c r="J48" s="51"/>
      <c r="K48" s="51"/>
      <c r="L48" s="51"/>
      <c r="M48" s="51"/>
      <c r="N48" s="51"/>
      <c r="O48" s="51"/>
      <c r="P48" s="51"/>
      <c r="Q48" s="52" t="str">
        <f>IF(COUNT(J48,N48,O48,P48)=4,J48-N48-O48-P48,"")</f>
      </c>
      <c r="R48" s="51" t="n">
        <v>5617</v>
      </c>
      <c r="S48" s="51"/>
      <c r="T48" s="51"/>
      <c r="U48" s="52" t="str">
        <f>IF(COUNT(K48,R48,S48,T48)=4,K48-R48-S48-T48,"")</f>
      </c>
      <c r="V48" s="51" t="n">
        <v>5946</v>
      </c>
      <c r="W48" s="51"/>
      <c r="X48" s="51"/>
      <c r="Y48" s="52" t="str">
        <f>IF(COUNT(L48,V48,W48,X48)=4,L48-V48-W48-X48,"")</f>
      </c>
      <c r="Z48" s="51"/>
      <c r="AA48" s="51"/>
    </row>
    <row r="49" ht="22" customHeight="1">
      <c r="A49" s="49" t="str">
        <v>Cost of sales - All Other</v>
      </c>
      <c r="B49" s="3"/>
      <c r="C49" s="51"/>
      <c r="D49" s="51"/>
      <c r="E49" s="51"/>
      <c r="F49" s="51"/>
      <c r="G49" s="51"/>
      <c r="H49" s="51"/>
      <c r="I49" s="51"/>
      <c r="J49" s="51"/>
      <c r="K49" s="51"/>
      <c r="L49" s="51"/>
      <c r="M49" s="51"/>
      <c r="N49" s="51"/>
      <c r="O49" s="51"/>
      <c r="P49" s="51"/>
      <c r="Q49" s="52" t="str">
        <f>IF(COUNT(J49,N49,O49,P49)=4,J49-N49-O49-P49,"")</f>
      </c>
      <c r="R49" s="51" t="n">
        <v>341</v>
      </c>
      <c r="S49" s="51"/>
      <c r="T49" s="51"/>
      <c r="U49" s="52" t="str">
        <f>IF(COUNT(K49,R49,S49,T49)=4,K49-R49-S49-T49,"")</f>
      </c>
      <c r="V49" s="51" t="n">
        <v>396</v>
      </c>
      <c r="W49" s="51"/>
      <c r="X49" s="51"/>
      <c r="Y49" s="52" t="str">
        <f>IF(COUNT(L49,V49,W49,X49)=4,L49-V49-W49-X49,"")</f>
      </c>
      <c r="Z49" s="51"/>
      <c r="AA49" s="51"/>
    </row>
    <row r="50" ht="22" customHeight="1">
      <c r="A50" s="49" t="str">
        <v>Cost of sales - Corporate Unallocated</v>
      </c>
      <c r="B50" s="3"/>
      <c r="C50" s="51"/>
      <c r="D50" s="51"/>
      <c r="E50" s="51"/>
      <c r="F50" s="51"/>
      <c r="G50" s="51"/>
      <c r="H50" s="51"/>
      <c r="I50" s="51"/>
      <c r="J50" s="51"/>
      <c r="K50" s="51"/>
      <c r="L50" s="51"/>
      <c r="M50" s="51"/>
      <c r="N50" s="51"/>
      <c r="O50" s="51"/>
      <c r="P50" s="51"/>
      <c r="Q50" s="52" t="str">
        <f>IF(COUNT(J50,N50,O50,P50)=4,J50-N50-O50-P50,"")</f>
      </c>
      <c r="R50" s="51" t="n">
        <v>701</v>
      </c>
      <c r="S50" s="51"/>
      <c r="T50" s="51"/>
      <c r="U50" s="52" t="str">
        <f>IF(COUNT(K50,R50,S50,T50)=4,K50-R50-S50-T50,"")</f>
      </c>
      <c r="V50" s="51" t="n">
        <v>377</v>
      </c>
      <c r="W50" s="51"/>
      <c r="X50" s="51"/>
      <c r="Y50" s="52" t="str">
        <f>IF(COUNT(L50,V50,W50,X50)=4,L50-V50-W50-X50,"")</f>
      </c>
      <c r="Z50" s="51"/>
      <c r="AA50" s="51"/>
    </row>
    <row r="51" ht="22" customHeight="1">
      <c r="A51" s="49" t="str">
        <v>Cost of sales - Intersegment Eliminations</v>
      </c>
      <c r="B51" s="3"/>
      <c r="C51" s="51"/>
      <c r="D51" s="51"/>
      <c r="E51" s="51"/>
      <c r="F51" s="51"/>
      <c r="G51" s="51"/>
      <c r="H51" s="51"/>
      <c r="I51" s="51"/>
      <c r="J51" s="51"/>
      <c r="K51" s="51"/>
      <c r="L51" s="51"/>
      <c r="M51" s="51"/>
      <c r="N51" s="51"/>
      <c r="O51" s="51"/>
      <c r="P51" s="51"/>
      <c r="Q51" s="52" t="str">
        <f>IF(COUNT(J51,N51,O51,P51)=4,J51-N51-O51-P51,"")</f>
      </c>
      <c r="R51" s="51" t="n">
        <v>-4901</v>
      </c>
      <c r="S51" s="51"/>
      <c r="T51" s="51"/>
      <c r="U51" s="52" t="str">
        <f>IF(COUNT(K51,R51,S51,T51)=4,K51-R51-S51-T51,"")</f>
      </c>
      <c r="V51" s="51" t="n">
        <v>-5067</v>
      </c>
      <c r="W51" s="51"/>
      <c r="X51" s="51"/>
      <c r="Y51" s="52" t="str">
        <f>IF(COUNT(L51,V51,W51,X51)=4,L51-V51-W51-X51,"")</f>
      </c>
      <c r="Z51" s="51"/>
      <c r="AA51" s="51"/>
    </row>
    <row r="52" ht="24" customHeight="1">
      <c r="A52" s="34" t="str">
        <v>Cost of sales - Total Consolidated</v>
      </c>
      <c r="B52" s="35"/>
      <c r="C52" s="36"/>
      <c r="D52" s="36"/>
      <c r="E52" s="36"/>
      <c r="F52" s="36"/>
      <c r="G52" s="36"/>
      <c r="H52" s="36"/>
      <c r="I52" s="36"/>
      <c r="J52" s="36"/>
      <c r="K52" s="36"/>
      <c r="L52" s="36"/>
      <c r="M52" s="36"/>
      <c r="N52" s="36"/>
      <c r="O52" s="36"/>
      <c r="P52" s="36"/>
      <c r="Q52" s="37" t="str">
        <f>IF(COUNT(J52,N52,O52,P52)=4,J52-N52-O52-P52,"")</f>
      </c>
      <c r="R52" s="36" t="n">
        <v>7507</v>
      </c>
      <c r="S52" s="36"/>
      <c r="T52" s="36"/>
      <c r="U52" s="37" t="str">
        <f>IF(COUNT(K52,R52,S52,T52)=4,K52-R52-S52-T52,"")</f>
      </c>
      <c r="V52" s="36" t="n">
        <v>7995</v>
      </c>
      <c r="W52" s="36"/>
      <c r="X52" s="36"/>
      <c r="Y52" s="37" t="str">
        <f>IF(COUNT(L52,V52,W52,X52)=4,L52-V52-W52-X52,"")</f>
      </c>
      <c r="Z52" s="36"/>
      <c r="AA52" s="36"/>
    </row>
    <row r="53" ht="22" customHeight="1">
      <c r="A53" s="49" t="str">
        <v>Check: segment lines - printed total (should be 0)</v>
      </c>
      <c r="B53" s="3"/>
      <c r="C53" s="59"/>
      <c r="D53" s="59"/>
      <c r="E53" s="59"/>
      <c r="F53" s="59"/>
      <c r="G53" s="59"/>
      <c r="H53" s="59"/>
      <c r="I53" s="59"/>
      <c r="J53" s="59"/>
      <c r="K53" s="59"/>
      <c r="L53" s="59"/>
      <c r="M53" s="59"/>
      <c r="N53" s="59"/>
      <c r="O53" s="59"/>
      <c r="P53" s="59"/>
      <c r="Q53" s="59"/>
      <c r="R53" s="59" t="n">
        <f>IF(COUNT(R45,R46,R48,R49,R50,R51,R52)=7,R45+R46+R48+R49+R50+R51-R52,"")</f>
        <v>0</v>
      </c>
      <c r="S53" s="59"/>
      <c r="T53" s="59"/>
      <c r="U53" s="59"/>
      <c r="V53" s="59" t="n">
        <f>IF(COUNT(V45,V46,V48,V49,V50,V51,V52)=7,V45+V46+V48+V49+V50+V51-V52,"")</f>
        <v>0</v>
      </c>
      <c r="W53" s="59"/>
      <c r="X53" s="59"/>
      <c r="Y53" s="59"/>
      <c r="Z53" s="59"/>
      <c r="AA53" s="59"/>
    </row>
    <row r="54" ht="8"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22" customHeight="1">
      <c r="A55" s="21" t="str">
        <v>2025 reporting framework: Operating expenses</v>
      </c>
      <c r="B55" s="21" t="str">
        <v>2025 reporting framework: Operating expenses</v>
      </c>
      <c r="C55" s="21" t="str">
        <v>2025 reporting framework: Operating expenses</v>
      </c>
      <c r="D55" s="21" t="str">
        <v>2025 reporting framework: Operating expenses</v>
      </c>
      <c r="E55" s="21" t="str">
        <v>2025 reporting framework: Operating expenses</v>
      </c>
      <c r="F55" s="21" t="str">
        <v>2025 reporting framework: Operating expenses</v>
      </c>
      <c r="G55" s="21" t="str">
        <v>2025 reporting framework: Operating expenses</v>
      </c>
      <c r="H55" s="21" t="str">
        <v>2025 reporting framework: Operating expenses</v>
      </c>
      <c r="I55" s="21" t="str">
        <v>2025 reporting framework: Operating expenses</v>
      </c>
      <c r="J55" s="21" t="str">
        <v>2025 reporting framework: Operating expenses</v>
      </c>
      <c r="K55" s="21" t="str">
        <v>2025 reporting framework: Operating expenses</v>
      </c>
      <c r="L55" s="21" t="str">
        <v>2025 reporting framework: Operating expenses</v>
      </c>
      <c r="M55" s="21" t="str">
        <v>2025 reporting framework: Operating expenses</v>
      </c>
      <c r="N55" s="21" t="str">
        <v>2025 reporting framework: Operating expenses</v>
      </c>
      <c r="O55" s="21" t="str">
        <v>2025 reporting framework: Operating expenses</v>
      </c>
      <c r="P55" s="21" t="str">
        <v>2025 reporting framework: Operating expenses</v>
      </c>
      <c r="Q55" s="21" t="str">
        <v>2025 reporting framework: Operating expenses</v>
      </c>
      <c r="R55" s="21" t="str">
        <v>2025 reporting framework: Operating expenses</v>
      </c>
      <c r="S55" s="21" t="str">
        <v>2025 reporting framework: Operating expenses</v>
      </c>
      <c r="T55" s="21" t="str">
        <v>2025 reporting framework: Operating expenses</v>
      </c>
      <c r="U55" s="21" t="str">
        <v>2025 reporting framework: Operating expenses</v>
      </c>
      <c r="V55" s="21" t="str">
        <v>2025 reporting framework: Operating expenses</v>
      </c>
      <c r="W55" s="21" t="str">
        <v>2025 reporting framework: Operating expenses</v>
      </c>
      <c r="X55" s="21" t="str">
        <v>2025 reporting framework: Operating expenses</v>
      </c>
      <c r="Y55" s="21" t="str">
        <v>2025 reporting framework: Operating expenses</v>
      </c>
      <c r="Z55" s="21" t="str">
        <v>2025 reporting framework: Operating expenses</v>
      </c>
      <c r="AA55" s="21" t="str">
        <v>2025 reporting framework: Operating expenses</v>
      </c>
    </row>
    <row r="56" ht="18" customHeight="1">
      <c r="A56" s="22" t="str">
        <v>2023–2025 annuals use the 2025 segment framework. Q2 2026 CCPG is the renamed CCG where source comparatives agree; legacy frameworks below are not spliced into this series.</v>
      </c>
      <c r="B56" s="22" t="str">
        <v>2023–2025 annuals use the 2025 segment framework. Q2 2026 CCPG is the renamed CCG where source comparatives agree; legacy frameworks below are not spliced into this series.</v>
      </c>
      <c r="C56" s="22" t="str">
        <v>2023–2025 annuals use the 2025 segment framework. Q2 2026 CCPG is the renamed CCG where source comparatives agree; legacy frameworks below are not spliced into this series.</v>
      </c>
      <c r="D56" s="22" t="str">
        <v>2023–2025 annuals use the 2025 segment framework. Q2 2026 CCPG is the renamed CCG where source comparatives agree; legacy frameworks below are not spliced into this series.</v>
      </c>
      <c r="E56" s="22" t="str">
        <v>2023–2025 annuals use the 2025 segment framework. Q2 2026 CCPG is the renamed CCG where source comparatives agree; legacy frameworks below are not spliced into this series.</v>
      </c>
      <c r="F56" s="22" t="str">
        <v>2023–2025 annuals use the 2025 segment framework. Q2 2026 CCPG is the renamed CCG where source comparatives agree; legacy frameworks below are not spliced into this series.</v>
      </c>
      <c r="G56" s="22" t="str">
        <v>2023–2025 annuals use the 2025 segment framework. Q2 2026 CCPG is the renamed CCG where source comparatives agree; legacy frameworks below are not spliced into this series.</v>
      </c>
      <c r="H56" s="22" t="str">
        <v>2023–2025 annuals use the 2025 segment framework. Q2 2026 CCPG is the renamed CCG where source comparatives agree; legacy frameworks below are not spliced into this series.</v>
      </c>
      <c r="I56" s="22" t="str">
        <v>2023–2025 annuals use the 2025 segment framework. Q2 2026 CCPG is the renamed CCG where source comparatives agree; legacy frameworks below are not spliced into this series.</v>
      </c>
      <c r="J56" s="22" t="str">
        <v>2023–2025 annuals use the 2025 segment framework. Q2 2026 CCPG is the renamed CCG where source comparatives agree; legacy frameworks below are not spliced into this series.</v>
      </c>
      <c r="K56" s="22" t="str">
        <v>2023–2025 annuals use the 2025 segment framework. Q2 2026 CCPG is the renamed CCG where source comparatives agree; legacy frameworks below are not spliced into this series.</v>
      </c>
      <c r="L56" s="22" t="str">
        <v>2023–2025 annuals use the 2025 segment framework. Q2 2026 CCPG is the renamed CCG where source comparatives agree; legacy frameworks below are not spliced into this series.</v>
      </c>
      <c r="M56" s="22" t="str">
        <v>2023–2025 annuals use the 2025 segment framework. Q2 2026 CCPG is the renamed CCG where source comparatives agree; legacy frameworks below are not spliced into this series.</v>
      </c>
      <c r="N56" s="22" t="str">
        <v>2023–2025 annuals use the 2025 segment framework. Q2 2026 CCPG is the renamed CCG where source comparatives agree; legacy frameworks below are not spliced into this series.</v>
      </c>
      <c r="O56" s="22" t="str">
        <v>2023–2025 annuals use the 2025 segment framework. Q2 2026 CCPG is the renamed CCG where source comparatives agree; legacy frameworks below are not spliced into this series.</v>
      </c>
      <c r="P56" s="22" t="str">
        <v>2023–2025 annuals use the 2025 segment framework. Q2 2026 CCPG is the renamed CCG where source comparatives agree; legacy frameworks below are not spliced into this series.</v>
      </c>
      <c r="Q56" s="22" t="str">
        <v>2023–2025 annuals use the 2025 segment framework. Q2 2026 CCPG is the renamed CCG where source comparatives agree; legacy frameworks below are not spliced into this series.</v>
      </c>
      <c r="R56" s="22" t="str">
        <v>2023–2025 annuals use the 2025 segment framework. Q2 2026 CCPG is the renamed CCG where source comparatives agree; legacy frameworks below are not spliced into this series.</v>
      </c>
      <c r="S56" s="22" t="str">
        <v>2023–2025 annuals use the 2025 segment framework. Q2 2026 CCPG is the renamed CCG where source comparatives agree; legacy frameworks below are not spliced into this series.</v>
      </c>
      <c r="T56" s="22" t="str">
        <v>2023–2025 annuals use the 2025 segment framework. Q2 2026 CCPG is the renamed CCG where source comparatives agree; legacy frameworks below are not spliced into this series.</v>
      </c>
      <c r="U56" s="22" t="str">
        <v>2023–2025 annuals use the 2025 segment framework. Q2 2026 CCPG is the renamed CCG where source comparatives agree; legacy frameworks below are not spliced into this series.</v>
      </c>
      <c r="V56" s="22" t="str">
        <v>2023–2025 annuals use the 2025 segment framework. Q2 2026 CCPG is the renamed CCG where source comparatives agree; legacy frameworks below are not spliced into this series.</v>
      </c>
      <c r="W56" s="22" t="str">
        <v>2023–2025 annuals use the 2025 segment framework. Q2 2026 CCPG is the renamed CCG where source comparatives agree; legacy frameworks below are not spliced into this series.</v>
      </c>
      <c r="X56" s="22" t="str">
        <v>2023–2025 annuals use the 2025 segment framework. Q2 2026 CCPG is the renamed CCG where source comparatives agree; legacy frameworks below are not spliced into this series.</v>
      </c>
      <c r="Y56" s="22" t="str">
        <v>2023–2025 annuals use the 2025 segment framework. Q2 2026 CCPG is the renamed CCG where source comparatives agree; legacy frameworks below are not spliced into this series.</v>
      </c>
      <c r="Z56" s="22" t="str">
        <v>2023–2025 annuals use the 2025 segment framework. Q2 2026 CCPG is the renamed CCG where source comparatives agree; legacy frameworks below are not spliced into this series.</v>
      </c>
      <c r="AA56" s="22" t="str">
        <v>2023–2025 annuals use the 2025 segment framework. Q2 2026 CCPG is the renamed CCG where source comparatives agree; legacy frameworks below are not spliced into this series.</v>
      </c>
    </row>
    <row r="57" ht="22" customHeight="1">
      <c r="A57" s="49" t="str">
        <v>Operating expenses - CCG</v>
      </c>
      <c r="B57" s="3"/>
      <c r="C57" s="51"/>
      <c r="D57" s="51"/>
      <c r="E57" s="51"/>
      <c r="F57" s="51"/>
      <c r="G57" s="51"/>
      <c r="H57" s="51"/>
      <c r="I57" s="51"/>
      <c r="J57" s="51"/>
      <c r="K57" s="51"/>
      <c r="L57" s="51"/>
      <c r="M57" s="51"/>
      <c r="N57" s="51"/>
      <c r="O57" s="51"/>
      <c r="P57" s="51"/>
      <c r="Q57" s="52" t="str">
        <f>IF(COUNT(J57,N57,O57,P57)=4,J57-N57-O57-P57,"")</f>
      </c>
      <c r="R57" s="51" t="n">
        <v>1447</v>
      </c>
      <c r="S57" s="51"/>
      <c r="T57" s="51"/>
      <c r="U57" s="52" t="str">
        <f>IF(COUNT(K57,R57,S57,T57)=4,K57-R57-S57-T57,"")</f>
      </c>
      <c r="V57" s="51" t="n">
        <v>1284</v>
      </c>
      <c r="W57" s="51"/>
      <c r="X57" s="51"/>
      <c r="Y57" s="52" t="str">
        <f>IF(COUNT(L57,V57,W57,X57)=4,L57-V57-W57-X57,"")</f>
      </c>
      <c r="Z57" s="51"/>
      <c r="AA57" s="51"/>
    </row>
    <row r="58" ht="22" customHeight="1">
      <c r="A58" s="49" t="str">
        <v>Operating expenses - DCAI</v>
      </c>
      <c r="B58" s="3"/>
      <c r="C58" s="51"/>
      <c r="D58" s="51"/>
      <c r="E58" s="51"/>
      <c r="F58" s="51"/>
      <c r="G58" s="51"/>
      <c r="H58" s="51"/>
      <c r="I58" s="51"/>
      <c r="J58" s="51"/>
      <c r="K58" s="51"/>
      <c r="L58" s="51"/>
      <c r="M58" s="51"/>
      <c r="N58" s="51"/>
      <c r="O58" s="51"/>
      <c r="P58" s="51"/>
      <c r="Q58" s="52" t="str">
        <f>IF(COUNT(J58,N58,O58,P58)=4,J58-N58-O58-P58,"")</f>
      </c>
      <c r="R58" s="51" t="n">
        <v>1666</v>
      </c>
      <c r="S58" s="51"/>
      <c r="T58" s="51"/>
      <c r="U58" s="52" t="str">
        <f>IF(COUNT(K58,R58,S58,T58)=4,K58-R58-S58-T58,"")</f>
      </c>
      <c r="V58" s="51" t="n">
        <v>1192</v>
      </c>
      <c r="W58" s="51"/>
      <c r="X58" s="51"/>
      <c r="Y58" s="52" t="str">
        <f>IF(COUNT(L58,V58,W58,X58)=4,L58-V58-W58-X58,"")</f>
      </c>
      <c r="Z58" s="51"/>
      <c r="AA58" s="51"/>
    </row>
    <row r="59" ht="24" customHeight="1">
      <c r="A59" s="34" t="str">
        <v>Operating expenses - Total Intel Products</v>
      </c>
      <c r="B59" s="35"/>
      <c r="C59" s="36"/>
      <c r="D59" s="36"/>
      <c r="E59" s="36"/>
      <c r="F59" s="36"/>
      <c r="G59" s="36"/>
      <c r="H59" s="36"/>
      <c r="I59" s="36"/>
      <c r="J59" s="36"/>
      <c r="K59" s="36"/>
      <c r="L59" s="36"/>
      <c r="M59" s="36"/>
      <c r="N59" s="36"/>
      <c r="O59" s="36"/>
      <c r="P59" s="36"/>
      <c r="Q59" s="37" t="str">
        <f>IF(COUNT(J59,N59,O59,P59)=4,J59-N59-O59-P59,"")</f>
      </c>
      <c r="R59" s="36" t="n">
        <v>3113</v>
      </c>
      <c r="S59" s="36"/>
      <c r="T59" s="36"/>
      <c r="U59" s="37" t="str">
        <f>IF(COUNT(K59,R59,S59,T59)=4,K59-R59-S59-T59,"")</f>
      </c>
      <c r="V59" s="36" t="n">
        <v>2476</v>
      </c>
      <c r="W59" s="36"/>
      <c r="X59" s="36"/>
      <c r="Y59" s="37" t="str">
        <f>IF(COUNT(L59,V59,W59,X59)=4,L59-V59-W59-X59,"")</f>
      </c>
      <c r="Z59" s="36"/>
      <c r="AA59" s="36"/>
    </row>
    <row r="60" ht="22" customHeight="1">
      <c r="A60" s="49" t="str">
        <v>Operating expenses - Intel Foundry</v>
      </c>
      <c r="B60" s="3"/>
      <c r="C60" s="51"/>
      <c r="D60" s="51"/>
      <c r="E60" s="51"/>
      <c r="F60" s="51"/>
      <c r="G60" s="51"/>
      <c r="H60" s="51"/>
      <c r="I60" s="51"/>
      <c r="J60" s="51"/>
      <c r="K60" s="51"/>
      <c r="L60" s="51"/>
      <c r="M60" s="51"/>
      <c r="N60" s="51"/>
      <c r="O60" s="51"/>
      <c r="P60" s="51"/>
      <c r="Q60" s="52" t="str">
        <f>IF(COUNT(J60,N60,O60,P60)=4,J60-N60-O60-P60,"")</f>
      </c>
      <c r="R60" s="51" t="n">
        <v>1180</v>
      </c>
      <c r="S60" s="51"/>
      <c r="T60" s="51"/>
      <c r="U60" s="52" t="str">
        <f>IF(COUNT(K60,R60,S60,T60)=4,K60-R60-S60-T60,"")</f>
      </c>
      <c r="V60" s="51" t="n">
        <v>1041</v>
      </c>
      <c r="W60" s="51"/>
      <c r="X60" s="51"/>
      <c r="Y60" s="52" t="str">
        <f>IF(COUNT(L60,V60,W60,X60)=4,L60-V60-W60-X60,"")</f>
      </c>
      <c r="Z60" s="51"/>
      <c r="AA60" s="51"/>
    </row>
    <row r="61" ht="22" customHeight="1">
      <c r="A61" s="49" t="str">
        <v>Operating expenses - All Other</v>
      </c>
      <c r="B61" s="3"/>
      <c r="C61" s="51"/>
      <c r="D61" s="51"/>
      <c r="E61" s="51"/>
      <c r="F61" s="51"/>
      <c r="G61" s="51"/>
      <c r="H61" s="51"/>
      <c r="I61" s="51"/>
      <c r="J61" s="51"/>
      <c r="K61" s="51"/>
      <c r="L61" s="51"/>
      <c r="M61" s="51"/>
      <c r="N61" s="51"/>
      <c r="O61" s="51"/>
      <c r="P61" s="51"/>
      <c r="Q61" s="52" t="str">
        <f>IF(COUNT(J61,N61,O61,P61)=4,J61-N61-O61-P61,"")</f>
      </c>
      <c r="R61" s="51" t="n">
        <v>472</v>
      </c>
      <c r="S61" s="51"/>
      <c r="T61" s="51"/>
      <c r="U61" s="52" t="str">
        <f>IF(COUNT(K61,R61,S61,T61)=4,K61-R61-S61-T61,"")</f>
      </c>
      <c r="V61" s="51" t="n">
        <v>444</v>
      </c>
      <c r="W61" s="51"/>
      <c r="X61" s="51"/>
      <c r="Y61" s="52" t="str">
        <f>IF(COUNT(L61,V61,W61,X61)=4,L61-V61-W61-X61,"")</f>
      </c>
      <c r="Z61" s="51"/>
      <c r="AA61" s="51"/>
    </row>
    <row r="62" ht="22" customHeight="1">
      <c r="A62" s="49" t="str">
        <v>Operating expenses - Corporate Unallocated</v>
      </c>
      <c r="B62" s="3"/>
      <c r="C62" s="51"/>
      <c r="D62" s="51"/>
      <c r="E62" s="51"/>
      <c r="F62" s="51"/>
      <c r="G62" s="51"/>
      <c r="H62" s="51"/>
      <c r="I62" s="51"/>
      <c r="J62" s="51"/>
      <c r="K62" s="51"/>
      <c r="L62" s="51"/>
      <c r="M62" s="51"/>
      <c r="N62" s="51"/>
      <c r="O62" s="51"/>
      <c r="P62" s="51"/>
      <c r="Q62" s="52" t="str">
        <f>IF(COUNT(J62,N62,O62,P62)=4,J62-N62-O62-P62,"")</f>
      </c>
      <c r="R62" s="51" t="n">
        <v>1486</v>
      </c>
      <c r="S62" s="51"/>
      <c r="T62" s="51"/>
      <c r="U62" s="52" t="str">
        <f>IF(COUNT(K62,R62,S62,T62)=4,K62-R62-S62-T62,"")</f>
      </c>
      <c r="V62" s="51" t="n">
        <v>883</v>
      </c>
      <c r="W62" s="51"/>
      <c r="X62" s="51"/>
      <c r="Y62" s="52" t="str">
        <f>IF(COUNT(L62,V62,W62,X62)=4,L62-V62-W62-X62,"")</f>
      </c>
      <c r="Z62" s="51"/>
      <c r="AA62" s="51"/>
    </row>
    <row r="63" ht="22" customHeight="1">
      <c r="A63" s="49" t="str">
        <v>Operating expenses - Intersegment Eliminations</v>
      </c>
      <c r="B63" s="3"/>
      <c r="C63" s="51"/>
      <c r="D63" s="51"/>
      <c r="E63" s="51"/>
      <c r="F63" s="51"/>
      <c r="G63" s="51"/>
      <c r="H63" s="51"/>
      <c r="I63" s="51"/>
      <c r="J63" s="51"/>
      <c r="K63" s="51"/>
      <c r="L63" s="51"/>
      <c r="M63" s="51"/>
      <c r="N63" s="51"/>
      <c r="O63" s="51"/>
      <c r="P63" s="51"/>
      <c r="Q63" s="52" t="str">
        <f>IF(COUNT(J63,N63,O63,P63)=4,J63-N63-O63-P63,"")</f>
      </c>
      <c r="R63" s="51" t="n">
        <v>35</v>
      </c>
      <c r="S63" s="51"/>
      <c r="T63" s="51"/>
      <c r="U63" s="52" t="str">
        <f>IF(COUNT(K63,R63,S63,T63)=4,K63-R63-S63-T63,"")</f>
      </c>
      <c r="V63" s="51" t="n">
        <v>129</v>
      </c>
      <c r="W63" s="51"/>
      <c r="X63" s="51"/>
      <c r="Y63" s="52" t="str">
        <f>IF(COUNT(L63,V63,W63,X63)=4,L63-V63-W63-X63,"")</f>
      </c>
      <c r="Z63" s="51"/>
      <c r="AA63" s="51"/>
    </row>
    <row r="64" ht="24" customHeight="1">
      <c r="A64" s="34" t="str">
        <v>Operating expenses - Total Consolidated</v>
      </c>
      <c r="B64" s="35"/>
      <c r="C64" s="36"/>
      <c r="D64" s="36"/>
      <c r="E64" s="36"/>
      <c r="F64" s="36"/>
      <c r="G64" s="36"/>
      <c r="H64" s="36"/>
      <c r="I64" s="36"/>
      <c r="J64" s="36"/>
      <c r="K64" s="36"/>
      <c r="L64" s="36"/>
      <c r="M64" s="36"/>
      <c r="N64" s="36"/>
      <c r="O64" s="36"/>
      <c r="P64" s="36"/>
      <c r="Q64" s="37" t="str">
        <f>IF(COUNT(J64,N64,O64,P64)=4,J64-N64-O64-P64,"")</f>
      </c>
      <c r="R64" s="36" t="n">
        <v>6286</v>
      </c>
      <c r="S64" s="36"/>
      <c r="T64" s="36"/>
      <c r="U64" s="37" t="str">
        <f>IF(COUNT(K64,R64,S64,T64)=4,K64-R64-S64-T64,"")</f>
      </c>
      <c r="V64" s="36" t="n">
        <v>4973</v>
      </c>
      <c r="W64" s="36"/>
      <c r="X64" s="36"/>
      <c r="Y64" s="37" t="str">
        <f>IF(COUNT(L64,V64,W64,X64)=4,L64-V64-W64-X64,"")</f>
      </c>
      <c r="Z64" s="36"/>
      <c r="AA64" s="36"/>
    </row>
    <row r="65" ht="22" customHeight="1">
      <c r="A65" s="49" t="str">
        <v>Check: segment lines - printed total (should be 0)</v>
      </c>
      <c r="B65" s="3"/>
      <c r="C65" s="59"/>
      <c r="D65" s="59"/>
      <c r="E65" s="59"/>
      <c r="F65" s="59"/>
      <c r="G65" s="59"/>
      <c r="H65" s="59"/>
      <c r="I65" s="59"/>
      <c r="J65" s="59"/>
      <c r="K65" s="59"/>
      <c r="L65" s="59"/>
      <c r="M65" s="59"/>
      <c r="N65" s="59"/>
      <c r="O65" s="59"/>
      <c r="P65" s="59"/>
      <c r="Q65" s="59"/>
      <c r="R65" s="59" t="n">
        <f>IF(COUNT(R57,R58,R60,R61,R62,R63,R64)=7,R57+R58+R60+R61+R62+R63-R64,"")</f>
        <v>0</v>
      </c>
      <c r="S65" s="59"/>
      <c r="T65" s="59"/>
      <c r="U65" s="59"/>
      <c r="V65" s="59" t="n">
        <f>IF(COUNT(V57,V58,V60,V61,V62,V63,V64)=7,V57+V58+V60+V61+V62+V63-V64,"")</f>
        <v>0</v>
      </c>
      <c r="W65" s="59"/>
      <c r="X65" s="59"/>
      <c r="Y65" s="59"/>
      <c r="Z65" s="59"/>
      <c r="AA65" s="59"/>
    </row>
    <row r="66" ht="8"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22" customHeight="1">
      <c r="A67" s="21" t="str">
        <v>2025 reporting framework: Corporate unallocated - composition</v>
      </c>
      <c r="B67" s="21" t="str">
        <v>2025 reporting framework: Corporate unallocated - composition</v>
      </c>
      <c r="C67" s="21" t="str">
        <v>2025 reporting framework: Corporate unallocated - composition</v>
      </c>
      <c r="D67" s="21" t="str">
        <v>2025 reporting framework: Corporate unallocated - composition</v>
      </c>
      <c r="E67" s="21" t="str">
        <v>2025 reporting framework: Corporate unallocated - composition</v>
      </c>
      <c r="F67" s="21" t="str">
        <v>2025 reporting framework: Corporate unallocated - composition</v>
      </c>
      <c r="G67" s="21" t="str">
        <v>2025 reporting framework: Corporate unallocated - composition</v>
      </c>
      <c r="H67" s="21" t="str">
        <v>2025 reporting framework: Corporate unallocated - composition</v>
      </c>
      <c r="I67" s="21" t="str">
        <v>2025 reporting framework: Corporate unallocated - composition</v>
      </c>
      <c r="J67" s="21" t="str">
        <v>2025 reporting framework: Corporate unallocated - composition</v>
      </c>
      <c r="K67" s="21" t="str">
        <v>2025 reporting framework: Corporate unallocated - composition</v>
      </c>
      <c r="L67" s="21" t="str">
        <v>2025 reporting framework: Corporate unallocated - composition</v>
      </c>
      <c r="M67" s="21" t="str">
        <v>2025 reporting framework: Corporate unallocated - composition</v>
      </c>
      <c r="N67" s="21" t="str">
        <v>2025 reporting framework: Corporate unallocated - composition</v>
      </c>
      <c r="O67" s="21" t="str">
        <v>2025 reporting framework: Corporate unallocated - composition</v>
      </c>
      <c r="P67" s="21" t="str">
        <v>2025 reporting framework: Corporate unallocated - composition</v>
      </c>
      <c r="Q67" s="21" t="str">
        <v>2025 reporting framework: Corporate unallocated - composition</v>
      </c>
      <c r="R67" s="21" t="str">
        <v>2025 reporting framework: Corporate unallocated - composition</v>
      </c>
      <c r="S67" s="21" t="str">
        <v>2025 reporting framework: Corporate unallocated - composition</v>
      </c>
      <c r="T67" s="21" t="str">
        <v>2025 reporting framework: Corporate unallocated - composition</v>
      </c>
      <c r="U67" s="21" t="str">
        <v>2025 reporting framework: Corporate unallocated - composition</v>
      </c>
      <c r="V67" s="21" t="str">
        <v>2025 reporting framework: Corporate unallocated - composition</v>
      </c>
      <c r="W67" s="21" t="str">
        <v>2025 reporting framework: Corporate unallocated - composition</v>
      </c>
      <c r="X67" s="21" t="str">
        <v>2025 reporting framework: Corporate unallocated - composition</v>
      </c>
      <c r="Y67" s="21" t="str">
        <v>2025 reporting framework: Corporate unallocated - composition</v>
      </c>
      <c r="Z67" s="21" t="str">
        <v>2025 reporting framework: Corporate unallocated - composition</v>
      </c>
      <c r="AA67" s="21" t="str">
        <v>2025 reporting framework: Corporate unallocated - composition</v>
      </c>
    </row>
    <row r="68" ht="18" customHeight="1">
      <c r="A68" s="22" t="str">
        <v>2023–2025 annuals use the 2025 segment framework. Q2 2026 CCPG is the renamed CCG where source comparatives agree; legacy frameworks below are not spliced into this series.</v>
      </c>
      <c r="B68" s="22" t="str">
        <v>2023–2025 annuals use the 2025 segment framework. Q2 2026 CCPG is the renamed CCG where source comparatives agree; legacy frameworks below are not spliced into this series.</v>
      </c>
      <c r="C68" s="22" t="str">
        <v>2023–2025 annuals use the 2025 segment framework. Q2 2026 CCPG is the renamed CCG where source comparatives agree; legacy frameworks below are not spliced into this series.</v>
      </c>
      <c r="D68" s="22" t="str">
        <v>2023–2025 annuals use the 2025 segment framework. Q2 2026 CCPG is the renamed CCG where source comparatives agree; legacy frameworks below are not spliced into this series.</v>
      </c>
      <c r="E68" s="22" t="str">
        <v>2023–2025 annuals use the 2025 segment framework. Q2 2026 CCPG is the renamed CCG where source comparatives agree; legacy frameworks below are not spliced into this series.</v>
      </c>
      <c r="F68" s="22" t="str">
        <v>2023–2025 annuals use the 2025 segment framework. Q2 2026 CCPG is the renamed CCG where source comparatives agree; legacy frameworks below are not spliced into this series.</v>
      </c>
      <c r="G68" s="22" t="str">
        <v>2023–2025 annuals use the 2025 segment framework. Q2 2026 CCPG is the renamed CCG where source comparatives agree; legacy frameworks below are not spliced into this series.</v>
      </c>
      <c r="H68" s="22" t="str">
        <v>2023–2025 annuals use the 2025 segment framework. Q2 2026 CCPG is the renamed CCG where source comparatives agree; legacy frameworks below are not spliced into this series.</v>
      </c>
      <c r="I68" s="22" t="str">
        <v>2023–2025 annuals use the 2025 segment framework. Q2 2026 CCPG is the renamed CCG where source comparatives agree; legacy frameworks below are not spliced into this series.</v>
      </c>
      <c r="J68" s="22" t="str">
        <v>2023–2025 annuals use the 2025 segment framework. Q2 2026 CCPG is the renamed CCG where source comparatives agree; legacy frameworks below are not spliced into this series.</v>
      </c>
      <c r="K68" s="22" t="str">
        <v>2023–2025 annuals use the 2025 segment framework. Q2 2026 CCPG is the renamed CCG where source comparatives agree; legacy frameworks below are not spliced into this series.</v>
      </c>
      <c r="L68" s="22" t="str">
        <v>2023–2025 annuals use the 2025 segment framework. Q2 2026 CCPG is the renamed CCG where source comparatives agree; legacy frameworks below are not spliced into this series.</v>
      </c>
      <c r="M68" s="22" t="str">
        <v>2023–2025 annuals use the 2025 segment framework. Q2 2026 CCPG is the renamed CCG where source comparatives agree; legacy frameworks below are not spliced into this series.</v>
      </c>
      <c r="N68" s="22" t="str">
        <v>2023–2025 annuals use the 2025 segment framework. Q2 2026 CCPG is the renamed CCG where source comparatives agree; legacy frameworks below are not spliced into this series.</v>
      </c>
      <c r="O68" s="22" t="str">
        <v>2023–2025 annuals use the 2025 segment framework. Q2 2026 CCPG is the renamed CCG where source comparatives agree; legacy frameworks below are not spliced into this series.</v>
      </c>
      <c r="P68" s="22" t="str">
        <v>2023–2025 annuals use the 2025 segment framework. Q2 2026 CCPG is the renamed CCG where source comparatives agree; legacy frameworks below are not spliced into this series.</v>
      </c>
      <c r="Q68" s="22" t="str">
        <v>2023–2025 annuals use the 2025 segment framework. Q2 2026 CCPG is the renamed CCG where source comparatives agree; legacy frameworks below are not spliced into this series.</v>
      </c>
      <c r="R68" s="22" t="str">
        <v>2023–2025 annuals use the 2025 segment framework. Q2 2026 CCPG is the renamed CCG where source comparatives agree; legacy frameworks below are not spliced into this series.</v>
      </c>
      <c r="S68" s="22" t="str">
        <v>2023–2025 annuals use the 2025 segment framework. Q2 2026 CCPG is the renamed CCG where source comparatives agree; legacy frameworks below are not spliced into this series.</v>
      </c>
      <c r="T68" s="22" t="str">
        <v>2023–2025 annuals use the 2025 segment framework. Q2 2026 CCPG is the renamed CCG where source comparatives agree; legacy frameworks below are not spliced into this series.</v>
      </c>
      <c r="U68" s="22" t="str">
        <v>2023–2025 annuals use the 2025 segment framework. Q2 2026 CCPG is the renamed CCG where source comparatives agree; legacy frameworks below are not spliced into this series.</v>
      </c>
      <c r="V68" s="22" t="str">
        <v>2023–2025 annuals use the 2025 segment framework. Q2 2026 CCPG is the renamed CCG where source comparatives agree; legacy frameworks below are not spliced into this series.</v>
      </c>
      <c r="W68" s="22" t="str">
        <v>2023–2025 annuals use the 2025 segment framework. Q2 2026 CCPG is the renamed CCG where source comparatives agree; legacy frameworks below are not spliced into this series.</v>
      </c>
      <c r="X68" s="22" t="str">
        <v>2023–2025 annuals use the 2025 segment framework. Q2 2026 CCPG is the renamed CCG where source comparatives agree; legacy frameworks below are not spliced into this series.</v>
      </c>
      <c r="Y68" s="22" t="str">
        <v>2023–2025 annuals use the 2025 segment framework. Q2 2026 CCPG is the renamed CCG where source comparatives agree; legacy frameworks below are not spliced into this series.</v>
      </c>
      <c r="Z68" s="22" t="str">
        <v>2023–2025 annuals use the 2025 segment framework. Q2 2026 CCPG is the renamed CCG where source comparatives agree; legacy frameworks below are not spliced into this series.</v>
      </c>
      <c r="AA68" s="22" t="str">
        <v>2023–2025 annuals use the 2025 segment framework. Q2 2026 CCPG is the renamed CCG where source comparatives agree; legacy frameworks below are not spliced into this series.</v>
      </c>
    </row>
    <row r="69" ht="22" customHeight="1">
      <c r="A69" s="49" t="str">
        <v>Restructuring and other charges</v>
      </c>
      <c r="B69" s="3"/>
      <c r="C69" s="51"/>
      <c r="D69" s="51"/>
      <c r="E69" s="51"/>
      <c r="F69" s="51"/>
      <c r="G69" s="51"/>
      <c r="H69" s="51"/>
      <c r="I69" s="51"/>
      <c r="J69" s="51" t="n">
        <v>-62</v>
      </c>
      <c r="K69" s="51" t="n">
        <v>6970</v>
      </c>
      <c r="L69" s="51" t="n">
        <v>2191</v>
      </c>
      <c r="M69" s="51"/>
      <c r="N69" s="51"/>
      <c r="O69" s="51"/>
      <c r="P69" s="51"/>
      <c r="Q69" s="52" t="str">
        <f>IF(COUNT(J69,N69,O69,P69)=4,J69-N69-O69-P69,"")</f>
      </c>
      <c r="R69" s="51"/>
      <c r="S69" s="51" t="n">
        <v>943</v>
      </c>
      <c r="T69" s="51" t="n">
        <v>5622</v>
      </c>
      <c r="U69" s="52" t="str">
        <f>IF(COUNT(K69,R69,S69,T69)=4,K69-R69-S69-T69,"")</f>
      </c>
      <c r="V69" s="51" t="n">
        <v>156</v>
      </c>
      <c r="W69" s="51" t="n">
        <v>1890</v>
      </c>
      <c r="X69" s="51" t="n">
        <v>175</v>
      </c>
      <c r="Y69" s="52" t="n">
        <f>IF(COUNT(L69,V69,W69,X69)=4,L69-V69-W69-X69,"")</f>
        <v>-30</v>
      </c>
      <c r="Z69" s="51" t="n">
        <v>4070</v>
      </c>
      <c r="AA69" s="51"/>
    </row>
    <row r="70" ht="22" customHeight="1">
      <c r="A70" s="49" t="str">
        <v>Share-based compensation</v>
      </c>
      <c r="B70" s="3"/>
      <c r="C70" s="51"/>
      <c r="D70" s="51"/>
      <c r="E70" s="51"/>
      <c r="F70" s="51"/>
      <c r="G70" s="51"/>
      <c r="H70" s="51"/>
      <c r="I70" s="51"/>
      <c r="J70" s="51" t="n">
        <v>3229</v>
      </c>
      <c r="K70" s="51" t="n">
        <v>3410</v>
      </c>
      <c r="L70" s="51" t="n">
        <v>2434</v>
      </c>
      <c r="M70" s="51"/>
      <c r="N70" s="51"/>
      <c r="O70" s="51"/>
      <c r="P70" s="51"/>
      <c r="Q70" s="52" t="str">
        <f>IF(COUNT(J70,N70,O70,P70)=4,J70-N70-O70-P70,"")</f>
      </c>
      <c r="R70" s="51"/>
      <c r="S70" s="51" t="n">
        <v>780</v>
      </c>
      <c r="T70" s="51" t="n">
        <v>800</v>
      </c>
      <c r="U70" s="52" t="str">
        <f>IF(COUNT(K70,R70,S70,T70)=4,K70-R70-S70-T70,"")</f>
      </c>
      <c r="V70" s="51" t="n">
        <v>684</v>
      </c>
      <c r="W70" s="51" t="n">
        <v>664</v>
      </c>
      <c r="X70" s="51" t="n">
        <v>548</v>
      </c>
      <c r="Y70" s="52" t="n">
        <f>IF(COUNT(L70,V70,W70,X70)=4,L70-V70-W70-X70,"")</f>
        <v>538</v>
      </c>
      <c r="Z70" s="51" t="n">
        <v>621</v>
      </c>
      <c r="AA70" s="51"/>
    </row>
    <row r="71" ht="22" customHeight="1">
      <c r="A71" s="49" t="str">
        <v>Acquisition-related costs</v>
      </c>
      <c r="B71" s="3"/>
      <c r="C71" s="51"/>
      <c r="D71" s="51"/>
      <c r="E71" s="51"/>
      <c r="F71" s="51"/>
      <c r="G71" s="51"/>
      <c r="H71" s="51"/>
      <c r="I71" s="51"/>
      <c r="J71" s="51" t="n">
        <v>1407</v>
      </c>
      <c r="K71" s="51" t="n">
        <v>1044</v>
      </c>
      <c r="L71" s="51" t="n">
        <v>505</v>
      </c>
      <c r="M71" s="51"/>
      <c r="N71" s="51"/>
      <c r="O71" s="51"/>
      <c r="P71" s="51"/>
      <c r="Q71" s="52" t="str">
        <f>IF(COUNT(J71,N71,O71,P71)=4,J71-N71-O71-P71,"")</f>
      </c>
      <c r="R71" s="51"/>
      <c r="S71" s="51" t="n">
        <v>265</v>
      </c>
      <c r="T71" s="51" t="n">
        <v>266</v>
      </c>
      <c r="U71" s="52" t="str">
        <f>IF(COUNT(K71,R71,S71,T71)=4,K71-R71-S71-T71,"")</f>
      </c>
      <c r="V71" s="51" t="n">
        <v>151</v>
      </c>
      <c r="W71" s="51" t="n">
        <v>119</v>
      </c>
      <c r="X71" s="51" t="n">
        <v>118</v>
      </c>
      <c r="Y71" s="52" t="n">
        <f>IF(COUNT(L71,V71,W71,X71)=4,L71-V71-W71-X71,"")</f>
        <v>117</v>
      </c>
      <c r="Z71" s="51" t="n">
        <v>113</v>
      </c>
      <c r="AA71" s="51"/>
    </row>
    <row r="72" ht="22" customHeight="1">
      <c r="A72" s="49" t="str">
        <v>CORP UNALLOCATED: Other</v>
      </c>
      <c r="B72" s="3"/>
      <c r="C72" s="51"/>
      <c r="D72" s="51"/>
      <c r="E72" s="51"/>
      <c r="F72" s="51"/>
      <c r="G72" s="51"/>
      <c r="H72" s="51"/>
      <c r="I72" s="51"/>
      <c r="J72" s="51" t="n">
        <v>625</v>
      </c>
      <c r="K72" s="51" t="n">
        <v>-247</v>
      </c>
      <c r="L72" s="51" t="n">
        <v>388</v>
      </c>
      <c r="M72" s="51"/>
      <c r="N72" s="51"/>
      <c r="O72" s="51"/>
      <c r="P72" s="51"/>
      <c r="Q72" s="52" t="str">
        <f>IF(COUNT(J72,N72,O72,P72)=4,J72-N72-O72-P72,"")</f>
      </c>
      <c r="R72" s="51"/>
      <c r="S72" s="51" t="n">
        <v>-280</v>
      </c>
      <c r="T72" s="51" t="n">
        <v>-186</v>
      </c>
      <c r="U72" s="52" t="str">
        <f>IF(COUNT(K72,R72,S72,T72)=4,K72-R72-S72-T72,"")</f>
      </c>
      <c r="V72" s="51" t="n">
        <v>269</v>
      </c>
      <c r="W72" s="51" t="n">
        <v>82</v>
      </c>
      <c r="X72" s="51" t="n">
        <v>-59</v>
      </c>
      <c r="Y72" s="52" t="n">
        <f>IF(COUNT(L72,V72,W72,X72)=4,L72-V72-W72-X72,"")</f>
        <v>96</v>
      </c>
      <c r="Z72" s="51" t="n">
        <v>276</v>
      </c>
      <c r="AA72" s="51"/>
    </row>
    <row r="73" ht="24" customHeight="1">
      <c r="A73" s="34" t="str">
        <v>Total corporate unallocated expenses</v>
      </c>
      <c r="B73" s="35"/>
      <c r="C73" s="36"/>
      <c r="D73" s="36"/>
      <c r="E73" s="36"/>
      <c r="F73" s="36"/>
      <c r="G73" s="36"/>
      <c r="H73" s="36"/>
      <c r="I73" s="36"/>
      <c r="J73" s="36" t="n">
        <v>5199</v>
      </c>
      <c r="K73" s="36" t="n">
        <v>11177</v>
      </c>
      <c r="L73" s="36" t="n">
        <v>5518</v>
      </c>
      <c r="M73" s="36"/>
      <c r="N73" s="36"/>
      <c r="O73" s="36"/>
      <c r="P73" s="36"/>
      <c r="Q73" s="37" t="str">
        <f>IF(COUNT(J73,N73,O73,P73)=4,J73-N73-O73-P73,"")</f>
      </c>
      <c r="R73" s="36"/>
      <c r="S73" s="36" t="n">
        <v>1708</v>
      </c>
      <c r="T73" s="36" t="n">
        <v>6502</v>
      </c>
      <c r="U73" s="37" t="str">
        <f>IF(COUNT(K73,R73,S73,T73)=4,K73-R73-S73-T73,"")</f>
      </c>
      <c r="V73" s="36" t="n">
        <v>1260</v>
      </c>
      <c r="W73" s="36" t="n">
        <v>2755</v>
      </c>
      <c r="X73" s="36" t="n">
        <v>782</v>
      </c>
      <c r="Y73" s="37" t="n">
        <f>IF(COUNT(L73,V73,W73,X73)=4,L73-V73-W73-X73,"")</f>
        <v>721</v>
      </c>
      <c r="Z73" s="36" t="n">
        <v>5080</v>
      </c>
      <c r="AA73" s="36"/>
    </row>
    <row r="74" ht="22" customHeight="1">
      <c r="A74" s="49" t="str">
        <v>Acquisition-related costs - Cost of Sales</v>
      </c>
      <c r="B74" s="3"/>
      <c r="C74" s="51"/>
      <c r="D74" s="51"/>
      <c r="E74" s="51"/>
      <c r="F74" s="51"/>
      <c r="G74" s="51"/>
      <c r="H74" s="51"/>
      <c r="I74" s="51"/>
      <c r="J74" s="51"/>
      <c r="K74" s="51"/>
      <c r="L74" s="51"/>
      <c r="M74" s="51"/>
      <c r="N74" s="51"/>
      <c r="O74" s="51"/>
      <c r="P74" s="51"/>
      <c r="Q74" s="52" t="str">
        <f>IF(COUNT(J74,N74,O74,P74)=4,J74-N74-O74-P74,"")</f>
      </c>
      <c r="R74" s="51" t="n">
        <v>224</v>
      </c>
      <c r="S74" s="51"/>
      <c r="T74" s="51"/>
      <c r="U74" s="52" t="str">
        <f>IF(COUNT(K74,R74,S74,T74)=4,K74-R74-S74-T74,"")</f>
      </c>
      <c r="V74" s="51" t="n">
        <v>114</v>
      </c>
      <c r="W74" s="51"/>
      <c r="X74" s="51"/>
      <c r="Y74" s="52" t="str">
        <f>IF(COUNT(L74,V74,W74,X74)=4,L74-V74-W74-X74,"")</f>
      </c>
      <c r="Z74" s="51"/>
      <c r="AA74" s="51"/>
    </row>
    <row r="75" ht="22" customHeight="1">
      <c r="A75" s="49" t="str">
        <v>Acquisition-related costs - Operating Expenses</v>
      </c>
      <c r="B75" s="3"/>
      <c r="C75" s="51"/>
      <c r="D75" s="51"/>
      <c r="E75" s="51"/>
      <c r="F75" s="51"/>
      <c r="G75" s="51"/>
      <c r="H75" s="51"/>
      <c r="I75" s="51"/>
      <c r="J75" s="51"/>
      <c r="K75" s="51"/>
      <c r="L75" s="51"/>
      <c r="M75" s="51"/>
      <c r="N75" s="51"/>
      <c r="O75" s="51"/>
      <c r="P75" s="51"/>
      <c r="Q75" s="52" t="str">
        <f>IF(COUNT(J75,N75,O75,P75)=4,J75-N75-O75-P75,"")</f>
      </c>
      <c r="R75" s="51" t="n">
        <v>41</v>
      </c>
      <c r="S75" s="51"/>
      <c r="T75" s="51"/>
      <c r="U75" s="52" t="str">
        <f>IF(COUNT(K75,R75,S75,T75)=4,K75-R75-S75-T75,"")</f>
      </c>
      <c r="V75" s="51" t="n">
        <v>37</v>
      </c>
      <c r="W75" s="51"/>
      <c r="X75" s="51"/>
      <c r="Y75" s="52" t="str">
        <f>IF(COUNT(L75,V75,W75,X75)=4,L75-V75-W75-X75,"")</f>
      </c>
      <c r="Z75" s="51"/>
      <c r="AA75" s="51"/>
    </row>
    <row r="76" ht="22" customHeight="1">
      <c r="A76" s="49" t="str">
        <v>Acquisition-related costs - Total</v>
      </c>
      <c r="B76" s="3"/>
      <c r="C76" s="51"/>
      <c r="D76" s="51"/>
      <c r="E76" s="51"/>
      <c r="F76" s="51"/>
      <c r="G76" s="51"/>
      <c r="H76" s="51"/>
      <c r="I76" s="51"/>
      <c r="J76" s="51"/>
      <c r="K76" s="51"/>
      <c r="L76" s="51"/>
      <c r="M76" s="51"/>
      <c r="N76" s="51"/>
      <c r="O76" s="51"/>
      <c r="P76" s="51"/>
      <c r="Q76" s="52" t="str">
        <f>IF(COUNT(J76,N76,O76,P76)=4,J76-N76-O76-P76,"")</f>
      </c>
      <c r="R76" s="51" t="n">
        <v>265</v>
      </c>
      <c r="S76" s="51"/>
      <c r="T76" s="51"/>
      <c r="U76" s="52" t="str">
        <f>IF(COUNT(K76,R76,S76,T76)=4,K76-R76-S76-T76,"")</f>
      </c>
      <c r="V76" s="51" t="n">
        <v>151</v>
      </c>
      <c r="W76" s="51"/>
      <c r="X76" s="51"/>
      <c r="Y76" s="52" t="str">
        <f>IF(COUNT(L76,V76,W76,X76)=4,L76-V76-W76-X76,"")</f>
      </c>
      <c r="Z76" s="51"/>
      <c r="AA76" s="51"/>
    </row>
    <row r="77" ht="22" customHeight="1">
      <c r="A77" s="49" t="str">
        <v>Share-based compensation - Cost of Sales</v>
      </c>
      <c r="B77" s="3"/>
      <c r="C77" s="51"/>
      <c r="D77" s="51"/>
      <c r="E77" s="51"/>
      <c r="F77" s="51"/>
      <c r="G77" s="51"/>
      <c r="H77" s="51"/>
      <c r="I77" s="51"/>
      <c r="J77" s="51"/>
      <c r="K77" s="51"/>
      <c r="L77" s="51"/>
      <c r="M77" s="51"/>
      <c r="N77" s="51"/>
      <c r="O77" s="51"/>
      <c r="P77" s="51"/>
      <c r="Q77" s="52" t="str">
        <f>IF(COUNT(J77,N77,O77,P77)=4,J77-N77-O77-P77,"")</f>
      </c>
      <c r="R77" s="51" t="n">
        <v>298</v>
      </c>
      <c r="S77" s="51"/>
      <c r="T77" s="51"/>
      <c r="U77" s="52" t="str">
        <f>IF(COUNT(K77,R77,S77,T77)=4,K77-R77-S77-T77,"")</f>
      </c>
      <c r="V77" s="51" t="n">
        <v>175</v>
      </c>
      <c r="W77" s="51"/>
      <c r="X77" s="51"/>
      <c r="Y77" s="52" t="str">
        <f>IF(COUNT(L77,V77,W77,X77)=4,L77-V77-W77-X77,"")</f>
      </c>
      <c r="Z77" s="51"/>
      <c r="AA77" s="51"/>
    </row>
    <row r="78" ht="22" customHeight="1">
      <c r="A78" s="49" t="str">
        <v>Share-based compensation - Operating Expenses</v>
      </c>
      <c r="B78" s="3"/>
      <c r="C78" s="51"/>
      <c r="D78" s="51"/>
      <c r="E78" s="51"/>
      <c r="F78" s="51"/>
      <c r="G78" s="51"/>
      <c r="H78" s="51"/>
      <c r="I78" s="51"/>
      <c r="J78" s="51"/>
      <c r="K78" s="51"/>
      <c r="L78" s="51"/>
      <c r="M78" s="51"/>
      <c r="N78" s="51"/>
      <c r="O78" s="51"/>
      <c r="P78" s="51"/>
      <c r="Q78" s="52" t="str">
        <f>IF(COUNT(J78,N78,O78,P78)=4,J78-N78-O78-P78,"")</f>
      </c>
      <c r="R78" s="51" t="n">
        <v>881</v>
      </c>
      <c r="S78" s="51"/>
      <c r="T78" s="51"/>
      <c r="U78" s="52" t="str">
        <f>IF(COUNT(K78,R78,S78,T78)=4,K78-R78-S78-T78,"")</f>
      </c>
      <c r="V78" s="51" t="n">
        <v>509</v>
      </c>
      <c r="W78" s="51"/>
      <c r="X78" s="51"/>
      <c r="Y78" s="52" t="str">
        <f>IF(COUNT(L78,V78,W78,X78)=4,L78-V78-W78-X78,"")</f>
      </c>
      <c r="Z78" s="51"/>
      <c r="AA78" s="51"/>
    </row>
    <row r="79" ht="22" customHeight="1">
      <c r="A79" s="49" t="str">
        <v>Share-based compensation - Total</v>
      </c>
      <c r="B79" s="3"/>
      <c r="C79" s="51"/>
      <c r="D79" s="51"/>
      <c r="E79" s="51"/>
      <c r="F79" s="51"/>
      <c r="G79" s="51"/>
      <c r="H79" s="51"/>
      <c r="I79" s="51"/>
      <c r="J79" s="51"/>
      <c r="K79" s="51"/>
      <c r="L79" s="51"/>
      <c r="M79" s="51"/>
      <c r="N79" s="51"/>
      <c r="O79" s="51"/>
      <c r="P79" s="51"/>
      <c r="Q79" s="52" t="str">
        <f>IF(COUNT(J79,N79,O79,P79)=4,J79-N79-O79-P79,"")</f>
      </c>
      <c r="R79" s="51" t="n">
        <v>1179</v>
      </c>
      <c r="S79" s="51"/>
      <c r="T79" s="51"/>
      <c r="U79" s="52" t="str">
        <f>IF(COUNT(K79,R79,S79,T79)=4,K79-R79-S79-T79,"")</f>
      </c>
      <c r="V79" s="51" t="n">
        <v>684</v>
      </c>
      <c r="W79" s="51"/>
      <c r="X79" s="51"/>
      <c r="Y79" s="52" t="str">
        <f>IF(COUNT(L79,V79,W79,X79)=4,L79-V79-W79-X79,"")</f>
      </c>
      <c r="Z79" s="51"/>
      <c r="AA79" s="51"/>
    </row>
    <row r="80" ht="22" customHeight="1">
      <c r="A80" s="49" t="str">
        <v>Restructuring and other charges - Cost of Sales</v>
      </c>
      <c r="B80" s="3"/>
      <c r="C80" s="51"/>
      <c r="D80" s="51"/>
      <c r="E80" s="51"/>
      <c r="F80" s="51"/>
      <c r="G80" s="51"/>
      <c r="H80" s="51"/>
      <c r="I80" s="51"/>
      <c r="J80" s="51"/>
      <c r="K80" s="51"/>
      <c r="L80" s="51"/>
      <c r="M80" s="51"/>
      <c r="N80" s="51"/>
      <c r="O80" s="51"/>
      <c r="P80" s="51"/>
      <c r="Q80" s="52" t="str">
        <f>IF(COUNT(J80,N80,O80,P80)=4,J80-N80-O80-P80,"")</f>
      </c>
      <c r="R80" s="51" t="n">
        <v>0</v>
      </c>
      <c r="S80" s="51"/>
      <c r="T80" s="51"/>
      <c r="U80" s="52" t="str">
        <f>IF(COUNT(K80,R80,S80,T80)=4,K80-R80-S80-T80,"")</f>
      </c>
      <c r="V80" s="51" t="n">
        <v>0</v>
      </c>
      <c r="W80" s="51"/>
      <c r="X80" s="51"/>
      <c r="Y80" s="52" t="str">
        <f>IF(COUNT(L80,V80,W80,X80)=4,L80-V80-W80-X80,"")</f>
      </c>
      <c r="Z80" s="51"/>
      <c r="AA80" s="51"/>
    </row>
    <row r="81" ht="22" customHeight="1">
      <c r="A81" s="49" t="str">
        <v>Restructuring and other charges - Operating Expenses</v>
      </c>
      <c r="B81" s="3"/>
      <c r="C81" s="51"/>
      <c r="D81" s="51"/>
      <c r="E81" s="51"/>
      <c r="F81" s="51"/>
      <c r="G81" s="51"/>
      <c r="H81" s="51"/>
      <c r="I81" s="51"/>
      <c r="J81" s="51"/>
      <c r="K81" s="51"/>
      <c r="L81" s="51"/>
      <c r="M81" s="51"/>
      <c r="N81" s="51"/>
      <c r="O81" s="51"/>
      <c r="P81" s="51"/>
      <c r="Q81" s="52" t="str">
        <f>IF(COUNT(J81,N81,O81,P81)=4,J81-N81-O81-P81,"")</f>
      </c>
      <c r="R81" s="51" t="n">
        <v>348</v>
      </c>
      <c r="S81" s="51"/>
      <c r="T81" s="51"/>
      <c r="U81" s="52" t="str">
        <f>IF(COUNT(K81,R81,S81,T81)=4,K81-R81-S81-T81,"")</f>
      </c>
      <c r="V81" s="51" t="n">
        <v>156</v>
      </c>
      <c r="W81" s="51"/>
      <c r="X81" s="51"/>
      <c r="Y81" s="52" t="str">
        <f>IF(COUNT(L81,V81,W81,X81)=4,L81-V81-W81-X81,"")</f>
      </c>
      <c r="Z81" s="51"/>
      <c r="AA81" s="51"/>
    </row>
    <row r="82" ht="22" customHeight="1">
      <c r="A82" s="49" t="str">
        <v>Restructuring and other charges - Total</v>
      </c>
      <c r="B82" s="3"/>
      <c r="C82" s="51"/>
      <c r="D82" s="51"/>
      <c r="E82" s="51"/>
      <c r="F82" s="51"/>
      <c r="G82" s="51"/>
      <c r="H82" s="51"/>
      <c r="I82" s="51"/>
      <c r="J82" s="51"/>
      <c r="K82" s="51"/>
      <c r="L82" s="51"/>
      <c r="M82" s="51"/>
      <c r="N82" s="51"/>
      <c r="O82" s="51"/>
      <c r="P82" s="51"/>
      <c r="Q82" s="52" t="str">
        <f>IF(COUNT(J82,N82,O82,P82)=4,J82-N82-O82-P82,"")</f>
      </c>
      <c r="R82" s="51" t="n">
        <v>348</v>
      </c>
      <c r="S82" s="51"/>
      <c r="T82" s="51"/>
      <c r="U82" s="52" t="str">
        <f>IF(COUNT(K82,R82,S82,T82)=4,K82-R82-S82-T82,"")</f>
      </c>
      <c r="V82" s="51" t="n">
        <v>156</v>
      </c>
      <c r="W82" s="51"/>
      <c r="X82" s="51"/>
      <c r="Y82" s="52" t="str">
        <f>IF(COUNT(L82,V82,W82,X82)=4,L82-V82-W82-X82,"")</f>
      </c>
      <c r="Z82" s="51"/>
      <c r="AA82" s="51"/>
    </row>
    <row r="83" ht="22" customHeight="1">
      <c r="A83" s="49" t="str">
        <v>Other - Cost of Sales</v>
      </c>
      <c r="B83" s="3"/>
      <c r="C83" s="51"/>
      <c r="D83" s="51"/>
      <c r="E83" s="51"/>
      <c r="F83" s="51"/>
      <c r="G83" s="51"/>
      <c r="H83" s="51"/>
      <c r="I83" s="51"/>
      <c r="J83" s="51"/>
      <c r="K83" s="51"/>
      <c r="L83" s="51"/>
      <c r="M83" s="51"/>
      <c r="N83" s="51"/>
      <c r="O83" s="51"/>
      <c r="P83" s="51"/>
      <c r="Q83" s="52" t="str">
        <f>IF(COUNT(J83,N83,O83,P83)=4,J83-N83-O83-P83,"")</f>
      </c>
      <c r="R83" s="51" t="n">
        <v>179</v>
      </c>
      <c r="S83" s="51"/>
      <c r="T83" s="51"/>
      <c r="U83" s="52" t="str">
        <f>IF(COUNT(K83,R83,S83,T83)=4,K83-R83-S83-T83,"")</f>
      </c>
      <c r="V83" s="51" t="n">
        <v>88</v>
      </c>
      <c r="W83" s="51"/>
      <c r="X83" s="51"/>
      <c r="Y83" s="52" t="str">
        <f>IF(COUNT(L83,V83,W83,X83)=4,L83-V83-W83-X83,"")</f>
      </c>
      <c r="Z83" s="51"/>
      <c r="AA83" s="51"/>
    </row>
    <row r="84" ht="22" customHeight="1">
      <c r="A84" s="49" t="str">
        <v>Other - Operating Expenses</v>
      </c>
      <c r="B84" s="3"/>
      <c r="C84" s="51"/>
      <c r="D84" s="51"/>
      <c r="E84" s="51"/>
      <c r="F84" s="51"/>
      <c r="G84" s="51"/>
      <c r="H84" s="51"/>
      <c r="I84" s="51"/>
      <c r="J84" s="51"/>
      <c r="K84" s="51"/>
      <c r="L84" s="51"/>
      <c r="M84" s="51"/>
      <c r="N84" s="51"/>
      <c r="O84" s="51"/>
      <c r="P84" s="51"/>
      <c r="Q84" s="52" t="str">
        <f>IF(COUNT(J84,N84,O84,P84)=4,J84-N84-O84-P84,"")</f>
      </c>
      <c r="R84" s="51" t="n">
        <v>216</v>
      </c>
      <c r="S84" s="51"/>
      <c r="T84" s="51"/>
      <c r="U84" s="52" t="str">
        <f>IF(COUNT(K84,R84,S84,T84)=4,K84-R84-S84-T84,"")</f>
      </c>
      <c r="V84" s="51" t="n">
        <v>181</v>
      </c>
      <c r="W84" s="51"/>
      <c r="X84" s="51"/>
      <c r="Y84" s="52" t="str">
        <f>IF(COUNT(L84,V84,W84,X84)=4,L84-V84-W84-X84,"")</f>
      </c>
      <c r="Z84" s="51"/>
      <c r="AA84" s="51"/>
    </row>
    <row r="85" ht="22" customHeight="1">
      <c r="A85" s="49" t="str">
        <v>Other - Total</v>
      </c>
      <c r="B85" s="3"/>
      <c r="C85" s="51"/>
      <c r="D85" s="51"/>
      <c r="E85" s="51"/>
      <c r="F85" s="51"/>
      <c r="G85" s="51"/>
      <c r="H85" s="51"/>
      <c r="I85" s="51"/>
      <c r="J85" s="51"/>
      <c r="K85" s="51"/>
      <c r="L85" s="51"/>
      <c r="M85" s="51"/>
      <c r="N85" s="51"/>
      <c r="O85" s="51"/>
      <c r="P85" s="51"/>
      <c r="Q85" s="52" t="str">
        <f>IF(COUNT(J85,N85,O85,P85)=4,J85-N85-O85-P85,"")</f>
      </c>
      <c r="R85" s="51" t="n">
        <v>395</v>
      </c>
      <c r="S85" s="51"/>
      <c r="T85" s="51"/>
      <c r="U85" s="52" t="str">
        <f>IF(COUNT(K85,R85,S85,T85)=4,K85-R85-S85-T85,"")</f>
      </c>
      <c r="V85" s="51" t="n">
        <v>269</v>
      </c>
      <c r="W85" s="51"/>
      <c r="X85" s="51"/>
      <c r="Y85" s="52" t="str">
        <f>IF(COUNT(L85,V85,W85,X85)=4,L85-V85-W85-X85,"")</f>
      </c>
      <c r="Z85" s="51"/>
      <c r="AA85" s="51"/>
    </row>
    <row r="86" ht="24" customHeight="1">
      <c r="A86" s="34" t="str">
        <v>Total corporate unallocated expenses - Cost of Sales</v>
      </c>
      <c r="B86" s="35"/>
      <c r="C86" s="36"/>
      <c r="D86" s="36"/>
      <c r="E86" s="36"/>
      <c r="F86" s="36"/>
      <c r="G86" s="36"/>
      <c r="H86" s="36"/>
      <c r="I86" s="36"/>
      <c r="J86" s="36"/>
      <c r="K86" s="36"/>
      <c r="L86" s="36"/>
      <c r="M86" s="36"/>
      <c r="N86" s="36"/>
      <c r="O86" s="36"/>
      <c r="P86" s="36"/>
      <c r="Q86" s="37" t="str">
        <f>IF(COUNT(J86,N86,O86,P86)=4,J86-N86-O86-P86,"")</f>
      </c>
      <c r="R86" s="36" t="n">
        <v>701</v>
      </c>
      <c r="S86" s="36"/>
      <c r="T86" s="36"/>
      <c r="U86" s="37" t="str">
        <f>IF(COUNT(K86,R86,S86,T86)=4,K86-R86-S86-T86,"")</f>
      </c>
      <c r="V86" s="36" t="n">
        <v>377</v>
      </c>
      <c r="W86" s="36"/>
      <c r="X86" s="36"/>
      <c r="Y86" s="37" t="str">
        <f>IF(COUNT(L86,V86,W86,X86)=4,L86-V86-W86-X86,"")</f>
      </c>
      <c r="Z86" s="36"/>
      <c r="AA86" s="36"/>
    </row>
    <row r="87" ht="24" customHeight="1">
      <c r="A87" s="34" t="str">
        <v>Total corporate unallocated expenses - Operating Expenses</v>
      </c>
      <c r="B87" s="35"/>
      <c r="C87" s="36"/>
      <c r="D87" s="36"/>
      <c r="E87" s="36"/>
      <c r="F87" s="36"/>
      <c r="G87" s="36"/>
      <c r="H87" s="36"/>
      <c r="I87" s="36"/>
      <c r="J87" s="36"/>
      <c r="K87" s="36"/>
      <c r="L87" s="36"/>
      <c r="M87" s="36"/>
      <c r="N87" s="36"/>
      <c r="O87" s="36"/>
      <c r="P87" s="36"/>
      <c r="Q87" s="37" t="str">
        <f>IF(COUNT(J87,N87,O87,P87)=4,J87-N87-O87-P87,"")</f>
      </c>
      <c r="R87" s="36" t="n">
        <v>1486</v>
      </c>
      <c r="S87" s="36"/>
      <c r="T87" s="36"/>
      <c r="U87" s="37" t="str">
        <f>IF(COUNT(K87,R87,S87,T87)=4,K87-R87-S87-T87,"")</f>
      </c>
      <c r="V87" s="36" t="n">
        <v>883</v>
      </c>
      <c r="W87" s="36"/>
      <c r="X87" s="36"/>
      <c r="Y87" s="37" t="str">
        <f>IF(COUNT(L87,V87,W87,X87)=4,L87-V87-W87-X87,"")</f>
      </c>
      <c r="Z87" s="36"/>
      <c r="AA87" s="36"/>
    </row>
    <row r="88" ht="24" customHeight="1">
      <c r="A88" s="34" t="str">
        <v>Total corporate unallocated expenses</v>
      </c>
      <c r="B88" s="35"/>
      <c r="C88" s="36"/>
      <c r="D88" s="36"/>
      <c r="E88" s="36"/>
      <c r="F88" s="36"/>
      <c r="G88" s="36"/>
      <c r="H88" s="36"/>
      <c r="I88" s="36"/>
      <c r="J88" s="36"/>
      <c r="K88" s="36"/>
      <c r="L88" s="36"/>
      <c r="M88" s="36"/>
      <c r="N88" s="36"/>
      <c r="O88" s="36"/>
      <c r="P88" s="36"/>
      <c r="Q88" s="37" t="str">
        <f>IF(COUNT(J88,N88,O88,P88)=4,J88-N88-O88-P88,"")</f>
      </c>
      <c r="R88" s="36" t="n">
        <v>2187</v>
      </c>
      <c r="S88" s="36"/>
      <c r="T88" s="36"/>
      <c r="U88" s="37" t="str">
        <f>IF(COUNT(K88,R88,S88,T88)=4,K88-R88-S88-T88,"")</f>
      </c>
      <c r="V88" s="36" t="n">
        <v>1260</v>
      </c>
      <c r="W88" s="36"/>
      <c r="X88" s="36"/>
      <c r="Y88" s="37" t="str">
        <f>IF(COUNT(L88,V88,W88,X88)=4,L88-V88-W88-X88,"")</f>
      </c>
      <c r="Z88" s="36"/>
      <c r="AA88" s="36"/>
    </row>
    <row r="89" ht="8"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22" customHeight="1">
      <c r="A90" s="21" t="str">
        <v>2026 supplementary segment detail: Corporate unallocated - composition</v>
      </c>
      <c r="B90" s="21" t="str">
        <v>2026 supplementary segment detail: Corporate unallocated - composition</v>
      </c>
      <c r="C90" s="21" t="str">
        <v>2026 supplementary segment detail: Corporate unallocated - composition</v>
      </c>
      <c r="D90" s="21" t="str">
        <v>2026 supplementary segment detail: Corporate unallocated - composition</v>
      </c>
      <c r="E90" s="21" t="str">
        <v>2026 supplementary segment detail: Corporate unallocated - composition</v>
      </c>
      <c r="F90" s="21" t="str">
        <v>2026 supplementary segment detail: Corporate unallocated - composition</v>
      </c>
      <c r="G90" s="21" t="str">
        <v>2026 supplementary segment detail: Corporate unallocated - composition</v>
      </c>
      <c r="H90" s="21" t="str">
        <v>2026 supplementary segment detail: Corporate unallocated - composition</v>
      </c>
      <c r="I90" s="21" t="str">
        <v>2026 supplementary segment detail: Corporate unallocated - composition</v>
      </c>
      <c r="J90" s="21" t="str">
        <v>2026 supplementary segment detail: Corporate unallocated - composition</v>
      </c>
      <c r="K90" s="21" t="str">
        <v>2026 supplementary segment detail: Corporate unallocated - composition</v>
      </c>
      <c r="L90" s="21" t="str">
        <v>2026 supplementary segment detail: Corporate unallocated - composition</v>
      </c>
      <c r="M90" s="21" t="str">
        <v>2026 supplementary segment detail: Corporate unallocated - composition</v>
      </c>
      <c r="N90" s="21" t="str">
        <v>2026 supplementary segment detail: Corporate unallocated - composition</v>
      </c>
      <c r="O90" s="21" t="str">
        <v>2026 supplementary segment detail: Corporate unallocated - composition</v>
      </c>
      <c r="P90" s="21" t="str">
        <v>2026 supplementary segment detail: Corporate unallocated - composition</v>
      </c>
      <c r="Q90" s="21" t="str">
        <v>2026 supplementary segment detail: Corporate unallocated - composition</v>
      </c>
      <c r="R90" s="21" t="str">
        <v>2026 supplementary segment detail: Corporate unallocated - composition</v>
      </c>
      <c r="S90" s="21" t="str">
        <v>2026 supplementary segment detail: Corporate unallocated - composition</v>
      </c>
      <c r="T90" s="21" t="str">
        <v>2026 supplementary segment detail: Corporate unallocated - composition</v>
      </c>
      <c r="U90" s="21" t="str">
        <v>2026 supplementary segment detail: Corporate unallocated - composition</v>
      </c>
      <c r="V90" s="21" t="str">
        <v>2026 supplementary segment detail: Corporate unallocated - composition</v>
      </c>
      <c r="W90" s="21" t="str">
        <v>2026 supplementary segment detail: Corporate unallocated - composition</v>
      </c>
      <c r="X90" s="21" t="str">
        <v>2026 supplementary segment detail: Corporate unallocated - composition</v>
      </c>
      <c r="Y90" s="21" t="str">
        <v>2026 supplementary segment detail: Corporate unallocated - composition</v>
      </c>
      <c r="Z90" s="21" t="str">
        <v>2026 supplementary segment detail: Corporate unallocated - composition</v>
      </c>
      <c r="AA90" s="21" t="str">
        <v>2026 supplementary segment detail: Corporate unallocated - composition</v>
      </c>
    </row>
    <row r="91" ht="18" customHeight="1">
      <c r="A91" s="22" t="str">
        <v>Source rows that cannot be matched unambiguously to the 2025 framework are retained separately.</v>
      </c>
      <c r="B91" s="22" t="str">
        <v>Source rows that cannot be matched unambiguously to the 2025 framework are retained separately.</v>
      </c>
      <c r="C91" s="22" t="str">
        <v>Source rows that cannot be matched unambiguously to the 2025 framework are retained separately.</v>
      </c>
      <c r="D91" s="22" t="str">
        <v>Source rows that cannot be matched unambiguously to the 2025 framework are retained separately.</v>
      </c>
      <c r="E91" s="22" t="str">
        <v>Source rows that cannot be matched unambiguously to the 2025 framework are retained separately.</v>
      </c>
      <c r="F91" s="22" t="str">
        <v>Source rows that cannot be matched unambiguously to the 2025 framework are retained separately.</v>
      </c>
      <c r="G91" s="22" t="str">
        <v>Source rows that cannot be matched unambiguously to the 2025 framework are retained separately.</v>
      </c>
      <c r="H91" s="22" t="str">
        <v>Source rows that cannot be matched unambiguously to the 2025 framework are retained separately.</v>
      </c>
      <c r="I91" s="22" t="str">
        <v>Source rows that cannot be matched unambiguously to the 2025 framework are retained separately.</v>
      </c>
      <c r="J91" s="22" t="str">
        <v>Source rows that cannot be matched unambiguously to the 2025 framework are retained separately.</v>
      </c>
      <c r="K91" s="22" t="str">
        <v>Source rows that cannot be matched unambiguously to the 2025 framework are retained separately.</v>
      </c>
      <c r="L91" s="22" t="str">
        <v>Source rows that cannot be matched unambiguously to the 2025 framework are retained separately.</v>
      </c>
      <c r="M91" s="22" t="str">
        <v>Source rows that cannot be matched unambiguously to the 2025 framework are retained separately.</v>
      </c>
      <c r="N91" s="22" t="str">
        <v>Source rows that cannot be matched unambiguously to the 2025 framework are retained separately.</v>
      </c>
      <c r="O91" s="22" t="str">
        <v>Source rows that cannot be matched unambiguously to the 2025 framework are retained separately.</v>
      </c>
      <c r="P91" s="22" t="str">
        <v>Source rows that cannot be matched unambiguously to the 2025 framework are retained separately.</v>
      </c>
      <c r="Q91" s="22" t="str">
        <v>Source rows that cannot be matched unambiguously to the 2025 framework are retained separately.</v>
      </c>
      <c r="R91" s="22" t="str">
        <v>Source rows that cannot be matched unambiguously to the 2025 framework are retained separately.</v>
      </c>
      <c r="S91" s="22" t="str">
        <v>Source rows that cannot be matched unambiguously to the 2025 framework are retained separately.</v>
      </c>
      <c r="T91" s="22" t="str">
        <v>Source rows that cannot be matched unambiguously to the 2025 framework are retained separately.</v>
      </c>
      <c r="U91" s="22" t="str">
        <v>Source rows that cannot be matched unambiguously to the 2025 framework are retained separately.</v>
      </c>
      <c r="V91" s="22" t="str">
        <v>Source rows that cannot be matched unambiguously to the 2025 framework are retained separately.</v>
      </c>
      <c r="W91" s="22" t="str">
        <v>Source rows that cannot be matched unambiguously to the 2025 framework are retained separately.</v>
      </c>
      <c r="X91" s="22" t="str">
        <v>Source rows that cannot be matched unambiguously to the 2025 framework are retained separately.</v>
      </c>
      <c r="Y91" s="22" t="str">
        <v>Source rows that cannot be matched unambiguously to the 2025 framework are retained separately.</v>
      </c>
      <c r="Z91" s="22" t="str">
        <v>Source rows that cannot be matched unambiguously to the 2025 framework are retained separately.</v>
      </c>
      <c r="AA91" s="22" t="str">
        <v>Source rows that cannot be matched unambiguously to the 2025 framework are retained separately.</v>
      </c>
    </row>
    <row r="92" ht="22" customHeight="1">
      <c r="A92" s="49" t="str">
        <v>Restructuring and other charges</v>
      </c>
      <c r="B92" s="3"/>
      <c r="C92" s="51"/>
      <c r="D92" s="51"/>
      <c r="E92" s="51"/>
      <c r="F92" s="51"/>
      <c r="G92" s="51"/>
      <c r="H92" s="51"/>
      <c r="I92" s="51"/>
      <c r="J92" s="51"/>
      <c r="K92" s="51"/>
      <c r="L92" s="51"/>
      <c r="M92" s="51"/>
      <c r="N92" s="51"/>
      <c r="O92" s="51"/>
      <c r="P92" s="51"/>
      <c r="Q92" s="52" t="str">
        <f>IF(COUNT(J92,N92,O92,P92)=4,J92-N92-O92-P92,"")</f>
      </c>
      <c r="R92" s="51"/>
      <c r="S92" s="51"/>
      <c r="T92" s="51"/>
      <c r="U92" s="52" t="str">
        <f>IF(COUNT(K92,R92,S92,T92)=4,K92-R92-S92-T92,"")</f>
      </c>
      <c r="V92" s="51"/>
      <c r="W92" s="51" t="n">
        <v>1890</v>
      </c>
      <c r="X92" s="51"/>
      <c r="Y92" s="52" t="str">
        <f>IF(COUNT(L92,V92,W92,X92)=4,L92-V92-W92-X92,"")</f>
      </c>
      <c r="Z92" s="51"/>
      <c r="AA92" s="51" t="n">
        <v>170</v>
      </c>
    </row>
    <row r="93" ht="22" customHeight="1">
      <c r="A93" s="49" t="str">
        <v>Share-based compensation</v>
      </c>
      <c r="B93" s="3"/>
      <c r="C93" s="51"/>
      <c r="D93" s="51"/>
      <c r="E93" s="51"/>
      <c r="F93" s="51"/>
      <c r="G93" s="51"/>
      <c r="H93" s="51"/>
      <c r="I93" s="51"/>
      <c r="J93" s="51"/>
      <c r="K93" s="51"/>
      <c r="L93" s="51"/>
      <c r="M93" s="51"/>
      <c r="N93" s="51"/>
      <c r="O93" s="51"/>
      <c r="P93" s="51"/>
      <c r="Q93" s="52" t="str">
        <f>IF(COUNT(J93,N93,O93,P93)=4,J93-N93-O93-P93,"")</f>
      </c>
      <c r="R93" s="51"/>
      <c r="S93" s="51"/>
      <c r="T93" s="51"/>
      <c r="U93" s="52" t="str">
        <f>IF(COUNT(K93,R93,S93,T93)=4,K93-R93-S93-T93,"")</f>
      </c>
      <c r="V93" s="51"/>
      <c r="W93" s="51" t="n">
        <v>664</v>
      </c>
      <c r="X93" s="51"/>
      <c r="Y93" s="52" t="str">
        <f>IF(COUNT(L93,V93,W93,X93)=4,L93-V93-W93-X93,"")</f>
      </c>
      <c r="Z93" s="51"/>
      <c r="AA93" s="51" t="n">
        <v>687</v>
      </c>
    </row>
    <row r="94" ht="22" customHeight="1">
      <c r="A94" s="49" t="str">
        <v>Acquisition-related costs</v>
      </c>
      <c r="B94" s="3"/>
      <c r="C94" s="51"/>
      <c r="D94" s="51"/>
      <c r="E94" s="51"/>
      <c r="F94" s="51"/>
      <c r="G94" s="51"/>
      <c r="H94" s="51"/>
      <c r="I94" s="51"/>
      <c r="J94" s="51"/>
      <c r="K94" s="51"/>
      <c r="L94" s="51"/>
      <c r="M94" s="51"/>
      <c r="N94" s="51"/>
      <c r="O94" s="51"/>
      <c r="P94" s="51"/>
      <c r="Q94" s="52" t="str">
        <f>IF(COUNT(J94,N94,O94,P94)=4,J94-N94-O94-P94,"")</f>
      </c>
      <c r="R94" s="51"/>
      <c r="S94" s="51"/>
      <c r="T94" s="51"/>
      <c r="U94" s="52" t="str">
        <f>IF(COUNT(K94,R94,S94,T94)=4,K94-R94-S94-T94,"")</f>
      </c>
      <c r="V94" s="51"/>
      <c r="W94" s="51" t="n">
        <v>119</v>
      </c>
      <c r="X94" s="51"/>
      <c r="Y94" s="52" t="str">
        <f>IF(COUNT(L94,V94,W94,X94)=4,L94-V94-W94-X94,"")</f>
      </c>
      <c r="Z94" s="51"/>
      <c r="AA94" s="51" t="n">
        <v>117</v>
      </c>
    </row>
    <row r="95" ht="22" customHeight="1">
      <c r="A95" s="49" t="str">
        <v>CORP UNALLOCATED: Other</v>
      </c>
      <c r="B95" s="3"/>
      <c r="C95" s="51"/>
      <c r="D95" s="51"/>
      <c r="E95" s="51"/>
      <c r="F95" s="51"/>
      <c r="G95" s="51"/>
      <c r="H95" s="51"/>
      <c r="I95" s="51"/>
      <c r="J95" s="51"/>
      <c r="K95" s="51"/>
      <c r="L95" s="51"/>
      <c r="M95" s="51"/>
      <c r="N95" s="51"/>
      <c r="O95" s="51"/>
      <c r="P95" s="51"/>
      <c r="Q95" s="52" t="str">
        <f>IF(COUNT(J95,N95,O95,P95)=4,J95-N95-O95-P95,"")</f>
      </c>
      <c r="R95" s="51"/>
      <c r="S95" s="51"/>
      <c r="T95" s="51"/>
      <c r="U95" s="52" t="str">
        <f>IF(COUNT(K95,R95,S95,T95)=4,K95-R95-S95-T95,"")</f>
      </c>
      <c r="V95" s="51"/>
      <c r="W95" s="51" t="n">
        <v>82</v>
      </c>
      <c r="X95" s="51"/>
      <c r="Y95" s="52" t="str">
        <f>IF(COUNT(L95,V95,W95,X95)=4,L95-V95-W95-X95,"")</f>
      </c>
      <c r="Z95" s="51"/>
      <c r="AA95" s="51" t="n">
        <v>442</v>
      </c>
    </row>
    <row r="96" ht="24" customHeight="1">
      <c r="A96" s="34" t="str">
        <v>Total corporate unallocated expenses</v>
      </c>
      <c r="B96" s="35"/>
      <c r="C96" s="36"/>
      <c r="D96" s="36"/>
      <c r="E96" s="36"/>
      <c r="F96" s="36"/>
      <c r="G96" s="36"/>
      <c r="H96" s="36"/>
      <c r="I96" s="36"/>
      <c r="J96" s="36"/>
      <c r="K96" s="36"/>
      <c r="L96" s="36"/>
      <c r="M96" s="36"/>
      <c r="N96" s="36"/>
      <c r="O96" s="36"/>
      <c r="P96" s="36"/>
      <c r="Q96" s="37" t="str">
        <f>IF(COUNT(J96,N96,O96,P96)=4,J96-N96-O96-P96,"")</f>
      </c>
      <c r="R96" s="36"/>
      <c r="S96" s="36"/>
      <c r="T96" s="36"/>
      <c r="U96" s="37" t="str">
        <f>IF(COUNT(K96,R96,S96,T96)=4,K96-R96-S96-T96,"")</f>
      </c>
      <c r="V96" s="36"/>
      <c r="W96" s="36" t="n">
        <v>2755</v>
      </c>
      <c r="X96" s="36"/>
      <c r="Y96" s="37" t="str">
        <f>IF(COUNT(L96,V96,W96,X96)=4,L96-V96-W96-X96,"")</f>
      </c>
      <c r="Z96" s="36"/>
      <c r="AA96" s="36" t="n">
        <v>1416</v>
      </c>
    </row>
    <row r="97" ht="8"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22" customHeight="1">
      <c r="A98" s="21" t="str">
        <v>FY2016 reporting framework: Net revenue</v>
      </c>
      <c r="B98" s="21" t="str">
        <v>FY2016 reporting framework: Net revenue</v>
      </c>
      <c r="C98" s="21" t="str">
        <v>FY2016 reporting framework: Net revenue</v>
      </c>
      <c r="D98" s="21" t="str">
        <v>FY2016 reporting framework: Net revenue</v>
      </c>
      <c r="E98" s="21" t="str">
        <v>FY2016 reporting framework: Net revenue</v>
      </c>
      <c r="F98" s="21" t="str">
        <v>FY2016 reporting framework: Net revenue</v>
      </c>
      <c r="G98" s="21" t="str">
        <v>FY2016 reporting framework: Net revenue</v>
      </c>
      <c r="H98" s="21" t="str">
        <v>FY2016 reporting framework: Net revenue</v>
      </c>
      <c r="I98" s="21" t="str">
        <v>FY2016 reporting framework: Net revenue</v>
      </c>
      <c r="J98" s="21" t="str">
        <v>FY2016 reporting framework: Net revenue</v>
      </c>
      <c r="K98" s="21" t="str">
        <v>FY2016 reporting framework: Net revenue</v>
      </c>
      <c r="L98" s="21" t="str">
        <v>FY2016 reporting framework: Net revenue</v>
      </c>
      <c r="M98" s="21" t="str">
        <v>FY2016 reporting framework: Net revenue</v>
      </c>
      <c r="N98" s="21" t="str">
        <v>FY2016 reporting framework: Net revenue</v>
      </c>
      <c r="O98" s="21" t="str">
        <v>FY2016 reporting framework: Net revenue</v>
      </c>
      <c r="P98" s="21" t="str">
        <v>FY2016 reporting framework: Net revenue</v>
      </c>
      <c r="Q98" s="21" t="str">
        <v>FY2016 reporting framework: Net revenue</v>
      </c>
      <c r="R98" s="21" t="str">
        <v>FY2016 reporting framework: Net revenue</v>
      </c>
      <c r="S98" s="21" t="str">
        <v>FY2016 reporting framework: Net revenue</v>
      </c>
      <c r="T98" s="21" t="str">
        <v>FY2016 reporting framework: Net revenue</v>
      </c>
      <c r="U98" s="21" t="str">
        <v>FY2016 reporting framework: Net revenue</v>
      </c>
      <c r="V98" s="21" t="str">
        <v>FY2016 reporting framework: Net revenue</v>
      </c>
      <c r="W98" s="21" t="str">
        <v>FY2016 reporting framework: Net revenue</v>
      </c>
      <c r="X98" s="21" t="str">
        <v>FY2016 reporting framework: Net revenue</v>
      </c>
      <c r="Y98" s="21" t="str">
        <v>FY2016 reporting framework: Net revenue</v>
      </c>
      <c r="Z98" s="21" t="str">
        <v>FY2016 reporting framework: Net revenue</v>
      </c>
      <c r="AA98" s="21" t="str">
        <v>FY2016 reporting framework: Net revenue</v>
      </c>
    </row>
    <row r="99" ht="18" customHeight="1">
      <c r="A99" s="22" t="str">
        <v>Historical segment definitions differ from the current framework; compare within this section only.</v>
      </c>
      <c r="B99" s="22" t="str">
        <v>Historical segment definitions differ from the current framework; compare within this section only.</v>
      </c>
      <c r="C99" s="22" t="str">
        <v>Historical segment definitions differ from the current framework; compare within this section only.</v>
      </c>
      <c r="D99" s="22" t="str">
        <v>Historical segment definitions differ from the current framework; compare within this section only.</v>
      </c>
      <c r="E99" s="22" t="str">
        <v>Historical segment definitions differ from the current framework; compare within this section only.</v>
      </c>
      <c r="F99" s="22" t="str">
        <v>Historical segment definitions differ from the current framework; compare within this section only.</v>
      </c>
      <c r="G99" s="22" t="str">
        <v>Historical segment definitions differ from the current framework; compare within this section only.</v>
      </c>
      <c r="H99" s="22" t="str">
        <v>Historical segment definitions differ from the current framework; compare within this section only.</v>
      </c>
      <c r="I99" s="22" t="str">
        <v>Historical segment definitions differ from the current framework; compare within this section only.</v>
      </c>
      <c r="J99" s="22" t="str">
        <v>Historical segment definitions differ from the current framework; compare within this section only.</v>
      </c>
      <c r="K99" s="22" t="str">
        <v>Historical segment definitions differ from the current framework; compare within this section only.</v>
      </c>
      <c r="L99" s="22" t="str">
        <v>Historical segment definitions differ from the current framework; compare within this section only.</v>
      </c>
      <c r="M99" s="22" t="str">
        <v>Historical segment definitions differ from the current framework; compare within this section only.</v>
      </c>
      <c r="N99" s="22" t="str">
        <v>Historical segment definitions differ from the current framework; compare within this section only.</v>
      </c>
      <c r="O99" s="22" t="str">
        <v>Historical segment definitions differ from the current framework; compare within this section only.</v>
      </c>
      <c r="P99" s="22" t="str">
        <v>Historical segment definitions differ from the current framework; compare within this section only.</v>
      </c>
      <c r="Q99" s="22" t="str">
        <v>Historical segment definitions differ from the current framework; compare within this section only.</v>
      </c>
      <c r="R99" s="22" t="str">
        <v>Historical segment definitions differ from the current framework; compare within this section only.</v>
      </c>
      <c r="S99" s="22" t="str">
        <v>Historical segment definitions differ from the current framework; compare within this section only.</v>
      </c>
      <c r="T99" s="22" t="str">
        <v>Historical segment definitions differ from the current framework; compare within this section only.</v>
      </c>
      <c r="U99" s="22" t="str">
        <v>Historical segment definitions differ from the current framework; compare within this section only.</v>
      </c>
      <c r="V99" s="22" t="str">
        <v>Historical segment definitions differ from the current framework; compare within this section only.</v>
      </c>
      <c r="W99" s="22" t="str">
        <v>Historical segment definitions differ from the current framework; compare within this section only.</v>
      </c>
      <c r="X99" s="22" t="str">
        <v>Historical segment definitions differ from the current framework; compare within this section only.</v>
      </c>
      <c r="Y99" s="22" t="str">
        <v>Historical segment definitions differ from the current framework; compare within this section only.</v>
      </c>
      <c r="Z99" s="22" t="str">
        <v>Historical segment definitions differ from the current framework; compare within this section only.</v>
      </c>
      <c r="AA99" s="22" t="str">
        <v>Historical segment definitions differ from the current framework; compare within this section only.</v>
      </c>
    </row>
    <row r="100" ht="22" customHeight="1">
      <c r="A100" s="53" t="str">
        <v>CCG PLATFORM: Platform</v>
      </c>
      <c r="B100" s="3"/>
      <c r="C100" s="51" t="n">
        <v>30751</v>
      </c>
      <c r="D100" s="51"/>
      <c r="E100" s="51"/>
      <c r="F100" s="51"/>
      <c r="G100" s="51"/>
      <c r="H100" s="51"/>
      <c r="I100" s="51"/>
      <c r="J100" s="51"/>
      <c r="K100" s="51"/>
      <c r="L100" s="51"/>
      <c r="M100" s="51"/>
      <c r="N100" s="51"/>
      <c r="O100" s="51"/>
      <c r="P100" s="51"/>
      <c r="Q100" s="52" t="str">
        <f>IF(COUNT(J100,N100,O100,P100)=4,J100-N100-O100-P100,"")</f>
      </c>
      <c r="R100" s="51"/>
      <c r="S100" s="51"/>
      <c r="T100" s="51"/>
      <c r="U100" s="52" t="str">
        <f>IF(COUNT(K100,R100,S100,T100)=4,K100-R100-S100-T100,"")</f>
      </c>
      <c r="V100" s="51"/>
      <c r="W100" s="51"/>
      <c r="X100" s="51"/>
      <c r="Y100" s="52" t="str">
        <f>IF(COUNT(L100,V100,W100,X100)=4,L100-V100-W100-X100,"")</f>
      </c>
      <c r="Z100" s="51"/>
      <c r="AA100" s="51"/>
    </row>
    <row r="101" ht="22" customHeight="1">
      <c r="A101" s="53" t="str">
        <v>CCG OTHER: Other</v>
      </c>
      <c r="B101" s="3"/>
      <c r="C101" s="51" t="n">
        <v>2157</v>
      </c>
      <c r="D101" s="51"/>
      <c r="E101" s="51"/>
      <c r="F101" s="51"/>
      <c r="G101" s="51"/>
      <c r="H101" s="51"/>
      <c r="I101" s="51"/>
      <c r="J101" s="51"/>
      <c r="K101" s="51"/>
      <c r="L101" s="51"/>
      <c r="M101" s="51"/>
      <c r="N101" s="51"/>
      <c r="O101" s="51"/>
      <c r="P101" s="51"/>
      <c r="Q101" s="52" t="str">
        <f>IF(COUNT(J101,N101,O101,P101)=4,J101-N101-O101-P101,"")</f>
      </c>
      <c r="R101" s="51"/>
      <c r="S101" s="51"/>
      <c r="T101" s="51"/>
      <c r="U101" s="52" t="str">
        <f>IF(COUNT(K101,R101,S101,T101)=4,K101-R101-S101-T101,"")</f>
      </c>
      <c r="V101" s="51"/>
      <c r="W101" s="51"/>
      <c r="X101" s="51"/>
      <c r="Y101" s="52" t="str">
        <f>IF(COUNT(L101,V101,W101,X101)=4,L101-V101-W101-X101,"")</f>
      </c>
      <c r="Z101" s="51"/>
      <c r="AA101" s="51"/>
    </row>
    <row r="102" ht="22" customHeight="1">
      <c r="A102" s="49" t="str">
        <v>[Client Computing Group total]</v>
      </c>
      <c r="B102" s="3"/>
      <c r="C102" s="51" t="n">
        <v>32908</v>
      </c>
      <c r="D102" s="51"/>
      <c r="E102" s="51"/>
      <c r="F102" s="51"/>
      <c r="G102" s="51"/>
      <c r="H102" s="51"/>
      <c r="I102" s="51"/>
      <c r="J102" s="51"/>
      <c r="K102" s="51"/>
      <c r="L102" s="51"/>
      <c r="M102" s="51"/>
      <c r="N102" s="51"/>
      <c r="O102" s="51"/>
      <c r="P102" s="51"/>
      <c r="Q102" s="52" t="str">
        <f>IF(COUNT(J102,N102,O102,P102)=4,J102-N102-O102-P102,"")</f>
      </c>
      <c r="R102" s="51"/>
      <c r="S102" s="51"/>
      <c r="T102" s="51"/>
      <c r="U102" s="52" t="str">
        <f>IF(COUNT(K102,R102,S102,T102)=4,K102-R102-S102-T102,"")</f>
      </c>
      <c r="V102" s="51"/>
      <c r="W102" s="51"/>
      <c r="X102" s="51"/>
      <c r="Y102" s="52" t="str">
        <f>IF(COUNT(L102,V102,W102,X102)=4,L102-V102-W102-X102,"")</f>
      </c>
      <c r="Z102" s="51"/>
      <c r="AA102" s="51"/>
    </row>
    <row r="103" ht="22" customHeight="1">
      <c r="A103" s="53" t="str">
        <v>DCG PLATFORM: Platform</v>
      </c>
      <c r="B103" s="3"/>
      <c r="C103" s="51" t="n">
        <v>15895</v>
      </c>
      <c r="D103" s="51"/>
      <c r="E103" s="51"/>
      <c r="F103" s="51"/>
      <c r="G103" s="51"/>
      <c r="H103" s="51"/>
      <c r="I103" s="51"/>
      <c r="J103" s="51"/>
      <c r="K103" s="51"/>
      <c r="L103" s="51"/>
      <c r="M103" s="51"/>
      <c r="N103" s="51"/>
      <c r="O103" s="51"/>
      <c r="P103" s="51"/>
      <c r="Q103" s="52" t="str">
        <f>IF(COUNT(J103,N103,O103,P103)=4,J103-N103-O103-P103,"")</f>
      </c>
      <c r="R103" s="51"/>
      <c r="S103" s="51"/>
      <c r="T103" s="51"/>
      <c r="U103" s="52" t="str">
        <f>IF(COUNT(K103,R103,S103,T103)=4,K103-R103-S103-T103,"")</f>
      </c>
      <c r="V103" s="51"/>
      <c r="W103" s="51"/>
      <c r="X103" s="51"/>
      <c r="Y103" s="52" t="str">
        <f>IF(COUNT(L103,V103,W103,X103)=4,L103-V103-W103-X103,"")</f>
      </c>
      <c r="Z103" s="51"/>
      <c r="AA103" s="51"/>
    </row>
    <row r="104" ht="22" customHeight="1">
      <c r="A104" s="53" t="str">
        <v>DCG OTHER: Other</v>
      </c>
      <c r="B104" s="3"/>
      <c r="C104" s="51" t="n">
        <v>1341</v>
      </c>
      <c r="D104" s="51"/>
      <c r="E104" s="51"/>
      <c r="F104" s="51"/>
      <c r="G104" s="51"/>
      <c r="H104" s="51"/>
      <c r="I104" s="51"/>
      <c r="J104" s="51"/>
      <c r="K104" s="51"/>
      <c r="L104" s="51"/>
      <c r="M104" s="51"/>
      <c r="N104" s="51"/>
      <c r="O104" s="51"/>
      <c r="P104" s="51"/>
      <c r="Q104" s="52" t="str">
        <f>IF(COUNT(J104,N104,O104,P104)=4,J104-N104-O104-P104,"")</f>
      </c>
      <c r="R104" s="51"/>
      <c r="S104" s="51"/>
      <c r="T104" s="51"/>
      <c r="U104" s="52" t="str">
        <f>IF(COUNT(K104,R104,S104,T104)=4,K104-R104-S104-T104,"")</f>
      </c>
      <c r="V104" s="51"/>
      <c r="W104" s="51"/>
      <c r="X104" s="51"/>
      <c r="Y104" s="52" t="str">
        <f>IF(COUNT(L104,V104,W104,X104)=4,L104-V104-W104-X104,"")</f>
      </c>
      <c r="Z104" s="51"/>
      <c r="AA104" s="51"/>
    </row>
    <row r="105" ht="22" customHeight="1">
      <c r="A105" s="49" t="str">
        <v>[Data Center Group total]</v>
      </c>
      <c r="B105" s="3"/>
      <c r="C105" s="51" t="n">
        <v>17236</v>
      </c>
      <c r="D105" s="51"/>
      <c r="E105" s="51"/>
      <c r="F105" s="51"/>
      <c r="G105" s="51"/>
      <c r="H105" s="51"/>
      <c r="I105" s="51"/>
      <c r="J105" s="51"/>
      <c r="K105" s="51"/>
      <c r="L105" s="51"/>
      <c r="M105" s="51"/>
      <c r="N105" s="51"/>
      <c r="O105" s="51"/>
      <c r="P105" s="51"/>
      <c r="Q105" s="52" t="str">
        <f>IF(COUNT(J105,N105,O105,P105)=4,J105-N105-O105-P105,"")</f>
      </c>
      <c r="R105" s="51"/>
      <c r="S105" s="51"/>
      <c r="T105" s="51"/>
      <c r="U105" s="52" t="str">
        <f>IF(COUNT(K105,R105,S105,T105)=4,K105-R105-S105-T105,"")</f>
      </c>
      <c r="V105" s="51"/>
      <c r="W105" s="51"/>
      <c r="X105" s="51"/>
      <c r="Y105" s="52" t="str">
        <f>IF(COUNT(L105,V105,W105,X105)=4,L105-V105-W105-X105,"")</f>
      </c>
      <c r="Z105" s="51"/>
      <c r="AA105" s="51"/>
    </row>
    <row r="106" ht="22" customHeight="1">
      <c r="A106" s="53" t="str">
        <v>IOTG PLATFORM: Platform</v>
      </c>
      <c r="B106" s="3"/>
      <c r="C106" s="51" t="n">
        <v>2290</v>
      </c>
      <c r="D106" s="51"/>
      <c r="E106" s="51"/>
      <c r="F106" s="51"/>
      <c r="G106" s="51"/>
      <c r="H106" s="51"/>
      <c r="I106" s="51"/>
      <c r="J106" s="51"/>
      <c r="K106" s="51"/>
      <c r="L106" s="51"/>
      <c r="M106" s="51"/>
      <c r="N106" s="51"/>
      <c r="O106" s="51"/>
      <c r="P106" s="51"/>
      <c r="Q106" s="52" t="str">
        <f>IF(COUNT(J106,N106,O106,P106)=4,J106-N106-O106-P106,"")</f>
      </c>
      <c r="R106" s="51"/>
      <c r="S106" s="51"/>
      <c r="T106" s="51"/>
      <c r="U106" s="52" t="str">
        <f>IF(COUNT(K106,R106,S106,T106)=4,K106-R106-S106-T106,"")</f>
      </c>
      <c r="V106" s="51"/>
      <c r="W106" s="51"/>
      <c r="X106" s="51"/>
      <c r="Y106" s="52" t="str">
        <f>IF(COUNT(L106,V106,W106,X106)=4,L106-V106-W106-X106,"")</f>
      </c>
      <c r="Z106" s="51"/>
      <c r="AA106" s="51"/>
    </row>
    <row r="107" ht="22" customHeight="1">
      <c r="A107" s="53" t="str">
        <v>IOTG OTHER: Other</v>
      </c>
      <c r="B107" s="3"/>
      <c r="C107" s="51" t="n">
        <v>348</v>
      </c>
      <c r="D107" s="51"/>
      <c r="E107" s="51"/>
      <c r="F107" s="51"/>
      <c r="G107" s="51"/>
      <c r="H107" s="51"/>
      <c r="I107" s="51"/>
      <c r="J107" s="51"/>
      <c r="K107" s="51"/>
      <c r="L107" s="51"/>
      <c r="M107" s="51"/>
      <c r="N107" s="51"/>
      <c r="O107" s="51"/>
      <c r="P107" s="51"/>
      <c r="Q107" s="52" t="str">
        <f>IF(COUNT(J107,N107,O107,P107)=4,J107-N107-O107-P107,"")</f>
      </c>
      <c r="R107" s="51"/>
      <c r="S107" s="51"/>
      <c r="T107" s="51"/>
      <c r="U107" s="52" t="str">
        <f>IF(COUNT(K107,R107,S107,T107)=4,K107-R107-S107-T107,"")</f>
      </c>
      <c r="V107" s="51"/>
      <c r="W107" s="51"/>
      <c r="X107" s="51"/>
      <c r="Y107" s="52" t="str">
        <f>IF(COUNT(L107,V107,W107,X107)=4,L107-V107-W107-X107,"")</f>
      </c>
      <c r="Z107" s="51"/>
      <c r="AA107" s="51"/>
    </row>
    <row r="108" ht="22" customHeight="1">
      <c r="A108" s="49" t="str">
        <v>[Internet of Things Group total]</v>
      </c>
      <c r="B108" s="3"/>
      <c r="C108" s="51" t="n">
        <v>2638</v>
      </c>
      <c r="D108" s="51"/>
      <c r="E108" s="51"/>
      <c r="F108" s="51"/>
      <c r="G108" s="51"/>
      <c r="H108" s="51"/>
      <c r="I108" s="51"/>
      <c r="J108" s="51"/>
      <c r="K108" s="51"/>
      <c r="L108" s="51"/>
      <c r="M108" s="51"/>
      <c r="N108" s="51"/>
      <c r="O108" s="51"/>
      <c r="P108" s="51"/>
      <c r="Q108" s="52" t="str">
        <f>IF(COUNT(J108,N108,O108,P108)=4,J108-N108-O108-P108,"")</f>
      </c>
      <c r="R108" s="51"/>
      <c r="S108" s="51"/>
      <c r="T108" s="51"/>
      <c r="U108" s="52" t="str">
        <f>IF(COUNT(K108,R108,S108,T108)=4,K108-R108-S108-T108,"")</f>
      </c>
      <c r="V108" s="51"/>
      <c r="W108" s="51"/>
      <c r="X108" s="51"/>
      <c r="Y108" s="52" t="str">
        <f>IF(COUNT(L108,V108,W108,X108)=4,L108-V108-W108-X108,"")</f>
      </c>
      <c r="Z108" s="51"/>
      <c r="AA108" s="51"/>
    </row>
    <row r="109" ht="22" customHeight="1">
      <c r="A109" s="49" t="str">
        <v>Non-Volatile Memory Solutions Group</v>
      </c>
      <c r="B109" s="3"/>
      <c r="C109" s="51" t="n">
        <v>2576</v>
      </c>
      <c r="D109" s="51"/>
      <c r="E109" s="51"/>
      <c r="F109" s="51"/>
      <c r="G109" s="51"/>
      <c r="H109" s="51"/>
      <c r="I109" s="51"/>
      <c r="J109" s="51"/>
      <c r="K109" s="51"/>
      <c r="L109" s="51"/>
      <c r="M109" s="51"/>
      <c r="N109" s="51"/>
      <c r="O109" s="51"/>
      <c r="P109" s="51"/>
      <c r="Q109" s="52" t="str">
        <f>IF(COUNT(J109,N109,O109,P109)=4,J109-N109-O109-P109,"")</f>
      </c>
      <c r="R109" s="51"/>
      <c r="S109" s="51"/>
      <c r="T109" s="51"/>
      <c r="U109" s="52" t="str">
        <f>IF(COUNT(K109,R109,S109,T109)=4,K109-R109-S109-T109,"")</f>
      </c>
      <c r="V109" s="51"/>
      <c r="W109" s="51"/>
      <c r="X109" s="51"/>
      <c r="Y109" s="52" t="str">
        <f>IF(COUNT(L109,V109,W109,X109)=4,L109-V109-W109-X109,"")</f>
      </c>
      <c r="Z109" s="51"/>
      <c r="AA109" s="51"/>
    </row>
    <row r="110" ht="22" customHeight="1">
      <c r="A110" s="49" t="str">
        <v>Intel Security Group</v>
      </c>
      <c r="B110" s="3"/>
      <c r="C110" s="51" t="n">
        <v>2161</v>
      </c>
      <c r="D110" s="51"/>
      <c r="E110" s="51"/>
      <c r="F110" s="51"/>
      <c r="G110" s="51"/>
      <c r="H110" s="51"/>
      <c r="I110" s="51"/>
      <c r="J110" s="51"/>
      <c r="K110" s="51"/>
      <c r="L110" s="51"/>
      <c r="M110" s="51"/>
      <c r="N110" s="51"/>
      <c r="O110" s="51"/>
      <c r="P110" s="51"/>
      <c r="Q110" s="52" t="str">
        <f>IF(COUNT(J110,N110,O110,P110)=4,J110-N110-O110-P110,"")</f>
      </c>
      <c r="R110" s="51"/>
      <c r="S110" s="51"/>
      <c r="T110" s="51"/>
      <c r="U110" s="52" t="str">
        <f>IF(COUNT(K110,R110,S110,T110)=4,K110-R110-S110-T110,"")</f>
      </c>
      <c r="V110" s="51"/>
      <c r="W110" s="51"/>
      <c r="X110" s="51"/>
      <c r="Y110" s="52" t="str">
        <f>IF(COUNT(L110,V110,W110,X110)=4,L110-V110-W110-X110,"")</f>
      </c>
      <c r="Z110" s="51"/>
      <c r="AA110" s="51"/>
    </row>
    <row r="111" ht="22" customHeight="1">
      <c r="A111" s="49" t="str">
        <v>Programmable Solutions Group</v>
      </c>
      <c r="B111" s="3"/>
      <c r="C111" s="51" t="n">
        <v>1669</v>
      </c>
      <c r="D111" s="51"/>
      <c r="E111" s="51"/>
      <c r="F111" s="51"/>
      <c r="G111" s="51"/>
      <c r="H111" s="51"/>
      <c r="I111" s="51"/>
      <c r="J111" s="51"/>
      <c r="K111" s="51"/>
      <c r="L111" s="51"/>
      <c r="M111" s="51"/>
      <c r="N111" s="51"/>
      <c r="O111" s="51"/>
      <c r="P111" s="51"/>
      <c r="Q111" s="52" t="str">
        <f>IF(COUNT(J111,N111,O111,P111)=4,J111-N111-O111-P111,"")</f>
      </c>
      <c r="R111" s="51"/>
      <c r="S111" s="51"/>
      <c r="T111" s="51"/>
      <c r="U111" s="52" t="str">
        <f>IF(COUNT(K111,R111,S111,T111)=4,K111-R111-S111-T111,"")</f>
      </c>
      <c r="V111" s="51"/>
      <c r="W111" s="51"/>
      <c r="X111" s="51"/>
      <c r="Y111" s="52" t="str">
        <f>IF(COUNT(L111,V111,W111,X111)=4,L111-V111-W111-X111,"")</f>
      </c>
      <c r="Z111" s="51"/>
      <c r="AA111" s="51"/>
    </row>
    <row r="112" ht="22" customHeight="1">
      <c r="A112" s="49" t="str">
        <v>All other</v>
      </c>
      <c r="B112" s="3"/>
      <c r="C112" s="51" t="n">
        <v>199</v>
      </c>
      <c r="D112" s="51"/>
      <c r="E112" s="51"/>
      <c r="F112" s="51"/>
      <c r="G112" s="51"/>
      <c r="H112" s="51"/>
      <c r="I112" s="51"/>
      <c r="J112" s="51"/>
      <c r="K112" s="51"/>
      <c r="L112" s="51"/>
      <c r="M112" s="51"/>
      <c r="N112" s="51"/>
      <c r="O112" s="51"/>
      <c r="P112" s="51"/>
      <c r="Q112" s="52" t="str">
        <f>IF(COUNT(J112,N112,O112,P112)=4,J112-N112-O112-P112,"")</f>
      </c>
      <c r="R112" s="51"/>
      <c r="S112" s="51"/>
      <c r="T112" s="51"/>
      <c r="U112" s="52" t="str">
        <f>IF(COUNT(K112,R112,S112,T112)=4,K112-R112-S112-T112,"")</f>
      </c>
      <c r="V112" s="51"/>
      <c r="W112" s="51"/>
      <c r="X112" s="51"/>
      <c r="Y112" s="52" t="str">
        <f>IF(COUNT(L112,V112,W112,X112)=4,L112-V112-W112-X112,"")</f>
      </c>
      <c r="Z112" s="51"/>
      <c r="AA112" s="51"/>
    </row>
    <row r="113" ht="24" customHeight="1">
      <c r="A113" s="34" t="str">
        <v>Total net revenue</v>
      </c>
      <c r="B113" s="35"/>
      <c r="C113" s="36" t="n">
        <v>59387</v>
      </c>
      <c r="D113" s="36"/>
      <c r="E113" s="36"/>
      <c r="F113" s="36"/>
      <c r="G113" s="36"/>
      <c r="H113" s="36"/>
      <c r="I113" s="36"/>
      <c r="J113" s="36"/>
      <c r="K113" s="36"/>
      <c r="L113" s="36"/>
      <c r="M113" s="36"/>
      <c r="N113" s="36"/>
      <c r="O113" s="36"/>
      <c r="P113" s="36"/>
      <c r="Q113" s="37" t="str">
        <f>IF(COUNT(J113,N113,O113,P113)=4,J113-N113-O113-P113,"")</f>
      </c>
      <c r="R113" s="36"/>
      <c r="S113" s="36"/>
      <c r="T113" s="36"/>
      <c r="U113" s="37" t="str">
        <f>IF(COUNT(K113,R113,S113,T113)=4,K113-R113-S113-T113,"")</f>
      </c>
      <c r="V113" s="36"/>
      <c r="W113" s="36"/>
      <c r="X113" s="36"/>
      <c r="Y113" s="37" t="str">
        <f>IF(COUNT(L113,V113,W113,X113)=4,L113-V113-W113-X113,"")</f>
      </c>
      <c r="Z113" s="36"/>
      <c r="AA113" s="36"/>
    </row>
    <row r="114" ht="22" customHeight="1">
      <c r="A114" s="49" t="str">
        <v>Check: segment lines - printed total (should be 0)</v>
      </c>
      <c r="B114" s="3"/>
      <c r="C114" s="59" t="n">
        <f>IF(COUNT(C102,C105,C108,C109,C110,C111,C112,C113)=8,C102+C105+C108+C109+C110+C111+C112-C113,"")</f>
        <v>0</v>
      </c>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row>
    <row r="115" ht="8"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22" customHeight="1">
      <c r="A116" s="21" t="str">
        <v>FY2016 reporting framework: Operating income (loss)</v>
      </c>
      <c r="B116" s="21" t="str">
        <v>FY2016 reporting framework: Operating income (loss)</v>
      </c>
      <c r="C116" s="21" t="str">
        <v>FY2016 reporting framework: Operating income (loss)</v>
      </c>
      <c r="D116" s="21" t="str">
        <v>FY2016 reporting framework: Operating income (loss)</v>
      </c>
      <c r="E116" s="21" t="str">
        <v>FY2016 reporting framework: Operating income (loss)</v>
      </c>
      <c r="F116" s="21" t="str">
        <v>FY2016 reporting framework: Operating income (loss)</v>
      </c>
      <c r="G116" s="21" t="str">
        <v>FY2016 reporting framework: Operating income (loss)</v>
      </c>
      <c r="H116" s="21" t="str">
        <v>FY2016 reporting framework: Operating income (loss)</v>
      </c>
      <c r="I116" s="21" t="str">
        <v>FY2016 reporting framework: Operating income (loss)</v>
      </c>
      <c r="J116" s="21" t="str">
        <v>FY2016 reporting framework: Operating income (loss)</v>
      </c>
      <c r="K116" s="21" t="str">
        <v>FY2016 reporting framework: Operating income (loss)</v>
      </c>
      <c r="L116" s="21" t="str">
        <v>FY2016 reporting framework: Operating income (loss)</v>
      </c>
      <c r="M116" s="21" t="str">
        <v>FY2016 reporting framework: Operating income (loss)</v>
      </c>
      <c r="N116" s="21" t="str">
        <v>FY2016 reporting framework: Operating income (loss)</v>
      </c>
      <c r="O116" s="21" t="str">
        <v>FY2016 reporting framework: Operating income (loss)</v>
      </c>
      <c r="P116" s="21" t="str">
        <v>FY2016 reporting framework: Operating income (loss)</v>
      </c>
      <c r="Q116" s="21" t="str">
        <v>FY2016 reporting framework: Operating income (loss)</v>
      </c>
      <c r="R116" s="21" t="str">
        <v>FY2016 reporting framework: Operating income (loss)</v>
      </c>
      <c r="S116" s="21" t="str">
        <v>FY2016 reporting framework: Operating income (loss)</v>
      </c>
      <c r="T116" s="21" t="str">
        <v>FY2016 reporting framework: Operating income (loss)</v>
      </c>
      <c r="U116" s="21" t="str">
        <v>FY2016 reporting framework: Operating income (loss)</v>
      </c>
      <c r="V116" s="21" t="str">
        <v>FY2016 reporting framework: Operating income (loss)</v>
      </c>
      <c r="W116" s="21" t="str">
        <v>FY2016 reporting framework: Operating income (loss)</v>
      </c>
      <c r="X116" s="21" t="str">
        <v>FY2016 reporting framework: Operating income (loss)</v>
      </c>
      <c r="Y116" s="21" t="str">
        <v>FY2016 reporting framework: Operating income (loss)</v>
      </c>
      <c r="Z116" s="21" t="str">
        <v>FY2016 reporting framework: Operating income (loss)</v>
      </c>
      <c r="AA116" s="21" t="str">
        <v>FY2016 reporting framework: Operating income (loss)</v>
      </c>
    </row>
    <row r="117" ht="18" customHeight="1">
      <c r="A117" s="22" t="str">
        <v>Historical segment definitions differ from the current framework; compare within this section only.</v>
      </c>
      <c r="B117" s="22" t="str">
        <v>Historical segment definitions differ from the current framework; compare within this section only.</v>
      </c>
      <c r="C117" s="22" t="str">
        <v>Historical segment definitions differ from the current framework; compare within this section only.</v>
      </c>
      <c r="D117" s="22" t="str">
        <v>Historical segment definitions differ from the current framework; compare within this section only.</v>
      </c>
      <c r="E117" s="22" t="str">
        <v>Historical segment definitions differ from the current framework; compare within this section only.</v>
      </c>
      <c r="F117" s="22" t="str">
        <v>Historical segment definitions differ from the current framework; compare within this section only.</v>
      </c>
      <c r="G117" s="22" t="str">
        <v>Historical segment definitions differ from the current framework; compare within this section only.</v>
      </c>
      <c r="H117" s="22" t="str">
        <v>Historical segment definitions differ from the current framework; compare within this section only.</v>
      </c>
      <c r="I117" s="22" t="str">
        <v>Historical segment definitions differ from the current framework; compare within this section only.</v>
      </c>
      <c r="J117" s="22" t="str">
        <v>Historical segment definitions differ from the current framework; compare within this section only.</v>
      </c>
      <c r="K117" s="22" t="str">
        <v>Historical segment definitions differ from the current framework; compare within this section only.</v>
      </c>
      <c r="L117" s="22" t="str">
        <v>Historical segment definitions differ from the current framework; compare within this section only.</v>
      </c>
      <c r="M117" s="22" t="str">
        <v>Historical segment definitions differ from the current framework; compare within this section only.</v>
      </c>
      <c r="N117" s="22" t="str">
        <v>Historical segment definitions differ from the current framework; compare within this section only.</v>
      </c>
      <c r="O117" s="22" t="str">
        <v>Historical segment definitions differ from the current framework; compare within this section only.</v>
      </c>
      <c r="P117" s="22" t="str">
        <v>Historical segment definitions differ from the current framework; compare within this section only.</v>
      </c>
      <c r="Q117" s="22" t="str">
        <v>Historical segment definitions differ from the current framework; compare within this section only.</v>
      </c>
      <c r="R117" s="22" t="str">
        <v>Historical segment definitions differ from the current framework; compare within this section only.</v>
      </c>
      <c r="S117" s="22" t="str">
        <v>Historical segment definitions differ from the current framework; compare within this section only.</v>
      </c>
      <c r="T117" s="22" t="str">
        <v>Historical segment definitions differ from the current framework; compare within this section only.</v>
      </c>
      <c r="U117" s="22" t="str">
        <v>Historical segment definitions differ from the current framework; compare within this section only.</v>
      </c>
      <c r="V117" s="22" t="str">
        <v>Historical segment definitions differ from the current framework; compare within this section only.</v>
      </c>
      <c r="W117" s="22" t="str">
        <v>Historical segment definitions differ from the current framework; compare within this section only.</v>
      </c>
      <c r="X117" s="22" t="str">
        <v>Historical segment definitions differ from the current framework; compare within this section only.</v>
      </c>
      <c r="Y117" s="22" t="str">
        <v>Historical segment definitions differ from the current framework; compare within this section only.</v>
      </c>
      <c r="Z117" s="22" t="str">
        <v>Historical segment definitions differ from the current framework; compare within this section only.</v>
      </c>
      <c r="AA117" s="22" t="str">
        <v>Historical segment definitions differ from the current framework; compare within this section only.</v>
      </c>
    </row>
    <row r="118" ht="22" customHeight="1">
      <c r="A118" s="49" t="str">
        <v>Client Computing Group</v>
      </c>
      <c r="B118" s="3"/>
      <c r="C118" s="51" t="n">
        <v>10646</v>
      </c>
      <c r="D118" s="51"/>
      <c r="E118" s="51"/>
      <c r="F118" s="51"/>
      <c r="G118" s="51"/>
      <c r="H118" s="51"/>
      <c r="I118" s="51"/>
      <c r="J118" s="51"/>
      <c r="K118" s="51"/>
      <c r="L118" s="51"/>
      <c r="M118" s="51"/>
      <c r="N118" s="51"/>
      <c r="O118" s="51"/>
      <c r="P118" s="51"/>
      <c r="Q118" s="52" t="str">
        <f>IF(COUNT(J118,N118,O118,P118)=4,J118-N118-O118-P118,"")</f>
      </c>
      <c r="R118" s="51"/>
      <c r="S118" s="51"/>
      <c r="T118" s="51"/>
      <c r="U118" s="52" t="str">
        <f>IF(COUNT(K118,R118,S118,T118)=4,K118-R118-S118-T118,"")</f>
      </c>
      <c r="V118" s="51"/>
      <c r="W118" s="51"/>
      <c r="X118" s="51"/>
      <c r="Y118" s="52" t="str">
        <f>IF(COUNT(L118,V118,W118,X118)=4,L118-V118-W118-X118,"")</f>
      </c>
      <c r="Z118" s="51"/>
      <c r="AA118" s="51"/>
    </row>
    <row r="119" ht="22" customHeight="1">
      <c r="A119" s="49" t="str">
        <v>Data Center Group</v>
      </c>
      <c r="B119" s="3"/>
      <c r="C119" s="51" t="n">
        <v>7520</v>
      </c>
      <c r="D119" s="51"/>
      <c r="E119" s="51"/>
      <c r="F119" s="51"/>
      <c r="G119" s="51"/>
      <c r="H119" s="51"/>
      <c r="I119" s="51"/>
      <c r="J119" s="51"/>
      <c r="K119" s="51"/>
      <c r="L119" s="51"/>
      <c r="M119" s="51"/>
      <c r="N119" s="51"/>
      <c r="O119" s="51"/>
      <c r="P119" s="51"/>
      <c r="Q119" s="52" t="str">
        <f>IF(COUNT(J119,N119,O119,P119)=4,J119-N119-O119-P119,"")</f>
      </c>
      <c r="R119" s="51"/>
      <c r="S119" s="51"/>
      <c r="T119" s="51"/>
      <c r="U119" s="52" t="str">
        <f>IF(COUNT(K119,R119,S119,T119)=4,K119-R119-S119-T119,"")</f>
      </c>
      <c r="V119" s="51"/>
      <c r="W119" s="51"/>
      <c r="X119" s="51"/>
      <c r="Y119" s="52" t="str">
        <f>IF(COUNT(L119,V119,W119,X119)=4,L119-V119-W119-X119,"")</f>
      </c>
      <c r="Z119" s="51"/>
      <c r="AA119" s="51"/>
    </row>
    <row r="120" ht="22" customHeight="1">
      <c r="A120" s="49" t="str">
        <v>Internet of Things Group</v>
      </c>
      <c r="B120" s="3"/>
      <c r="C120" s="51" t="n">
        <v>585</v>
      </c>
      <c r="D120" s="51"/>
      <c r="E120" s="51"/>
      <c r="F120" s="51"/>
      <c r="G120" s="51"/>
      <c r="H120" s="51"/>
      <c r="I120" s="51"/>
      <c r="J120" s="51"/>
      <c r="K120" s="51"/>
      <c r="L120" s="51"/>
      <c r="M120" s="51"/>
      <c r="N120" s="51"/>
      <c r="O120" s="51"/>
      <c r="P120" s="51"/>
      <c r="Q120" s="52" t="str">
        <f>IF(COUNT(J120,N120,O120,P120)=4,J120-N120-O120-P120,"")</f>
      </c>
      <c r="R120" s="51"/>
      <c r="S120" s="51"/>
      <c r="T120" s="51"/>
      <c r="U120" s="52" t="str">
        <f>IF(COUNT(K120,R120,S120,T120)=4,K120-R120-S120-T120,"")</f>
      </c>
      <c r="V120" s="51"/>
      <c r="W120" s="51"/>
      <c r="X120" s="51"/>
      <c r="Y120" s="52" t="str">
        <f>IF(COUNT(L120,V120,W120,X120)=4,L120-V120-W120-X120,"")</f>
      </c>
      <c r="Z120" s="51"/>
      <c r="AA120" s="51"/>
    </row>
    <row r="121" ht="22" customHeight="1">
      <c r="A121" s="49" t="str">
        <v>Non-Volatile Memory Solutions Group</v>
      </c>
      <c r="B121" s="3"/>
      <c r="C121" s="51" t="n">
        <v>-544</v>
      </c>
      <c r="D121" s="51"/>
      <c r="E121" s="51"/>
      <c r="F121" s="51"/>
      <c r="G121" s="51"/>
      <c r="H121" s="51"/>
      <c r="I121" s="51"/>
      <c r="J121" s="51"/>
      <c r="K121" s="51"/>
      <c r="L121" s="51"/>
      <c r="M121" s="51"/>
      <c r="N121" s="51"/>
      <c r="O121" s="51"/>
      <c r="P121" s="51"/>
      <c r="Q121" s="52" t="str">
        <f>IF(COUNT(J121,N121,O121,P121)=4,J121-N121-O121-P121,"")</f>
      </c>
      <c r="R121" s="51"/>
      <c r="S121" s="51"/>
      <c r="T121" s="51"/>
      <c r="U121" s="52" t="str">
        <f>IF(COUNT(K121,R121,S121,T121)=4,K121-R121-S121-T121,"")</f>
      </c>
      <c r="V121" s="51"/>
      <c r="W121" s="51"/>
      <c r="X121" s="51"/>
      <c r="Y121" s="52" t="str">
        <f>IF(COUNT(L121,V121,W121,X121)=4,L121-V121-W121-X121,"")</f>
      </c>
      <c r="Z121" s="51"/>
      <c r="AA121" s="51"/>
    </row>
    <row r="122" ht="22" customHeight="1">
      <c r="A122" s="49" t="str">
        <v>Intel Security Group</v>
      </c>
      <c r="B122" s="3"/>
      <c r="C122" s="51" t="n">
        <v>400</v>
      </c>
      <c r="D122" s="51"/>
      <c r="E122" s="51"/>
      <c r="F122" s="51"/>
      <c r="G122" s="51"/>
      <c r="H122" s="51"/>
      <c r="I122" s="51"/>
      <c r="J122" s="51"/>
      <c r="K122" s="51"/>
      <c r="L122" s="51"/>
      <c r="M122" s="51"/>
      <c r="N122" s="51"/>
      <c r="O122" s="51"/>
      <c r="P122" s="51"/>
      <c r="Q122" s="52" t="str">
        <f>IF(COUNT(J122,N122,O122,P122)=4,J122-N122-O122-P122,"")</f>
      </c>
      <c r="R122" s="51"/>
      <c r="S122" s="51"/>
      <c r="T122" s="51"/>
      <c r="U122" s="52" t="str">
        <f>IF(COUNT(K122,R122,S122,T122)=4,K122-R122-S122-T122,"")</f>
      </c>
      <c r="V122" s="51"/>
      <c r="W122" s="51"/>
      <c r="X122" s="51"/>
      <c r="Y122" s="52" t="str">
        <f>IF(COUNT(L122,V122,W122,X122)=4,L122-V122-W122-X122,"")</f>
      </c>
      <c r="Z122" s="51"/>
      <c r="AA122" s="51"/>
    </row>
    <row r="123" ht="22" customHeight="1">
      <c r="A123" s="49" t="str">
        <v>Programmable Solutions Group</v>
      </c>
      <c r="B123" s="3"/>
      <c r="C123" s="51" t="n">
        <v>-104</v>
      </c>
      <c r="D123" s="51"/>
      <c r="E123" s="51"/>
      <c r="F123" s="51"/>
      <c r="G123" s="51"/>
      <c r="H123" s="51"/>
      <c r="I123" s="51"/>
      <c r="J123" s="51"/>
      <c r="K123" s="51"/>
      <c r="L123" s="51"/>
      <c r="M123" s="51"/>
      <c r="N123" s="51"/>
      <c r="O123" s="51"/>
      <c r="P123" s="51"/>
      <c r="Q123" s="52" t="str">
        <f>IF(COUNT(J123,N123,O123,P123)=4,J123-N123-O123-P123,"")</f>
      </c>
      <c r="R123" s="51"/>
      <c r="S123" s="51"/>
      <c r="T123" s="51"/>
      <c r="U123" s="52" t="str">
        <f>IF(COUNT(K123,R123,S123,T123)=4,K123-R123-S123-T123,"")</f>
      </c>
      <c r="V123" s="51"/>
      <c r="W123" s="51"/>
      <c r="X123" s="51"/>
      <c r="Y123" s="52" t="str">
        <f>IF(COUNT(L123,V123,W123,X123)=4,L123-V123-W123-X123,"")</f>
      </c>
      <c r="Z123" s="51"/>
      <c r="AA123" s="51"/>
    </row>
    <row r="124" ht="22" customHeight="1">
      <c r="A124" s="49" t="str">
        <v>All other</v>
      </c>
      <c r="B124" s="3"/>
      <c r="C124" s="51" t="n">
        <v>-5629</v>
      </c>
      <c r="D124" s="51"/>
      <c r="E124" s="51"/>
      <c r="F124" s="51"/>
      <c r="G124" s="51"/>
      <c r="H124" s="51"/>
      <c r="I124" s="51"/>
      <c r="J124" s="51"/>
      <c r="K124" s="51"/>
      <c r="L124" s="51"/>
      <c r="M124" s="51"/>
      <c r="N124" s="51"/>
      <c r="O124" s="51"/>
      <c r="P124" s="51"/>
      <c r="Q124" s="52" t="str">
        <f>IF(COUNT(J124,N124,O124,P124)=4,J124-N124-O124-P124,"")</f>
      </c>
      <c r="R124" s="51"/>
      <c r="S124" s="51"/>
      <c r="T124" s="51"/>
      <c r="U124" s="52" t="str">
        <f>IF(COUNT(K124,R124,S124,T124)=4,K124-R124-S124-T124,"")</f>
      </c>
      <c r="V124" s="51"/>
      <c r="W124" s="51"/>
      <c r="X124" s="51"/>
      <c r="Y124" s="52" t="str">
        <f>IF(COUNT(L124,V124,W124,X124)=4,L124-V124-W124-X124,"")</f>
      </c>
      <c r="Z124" s="51"/>
      <c r="AA124" s="51"/>
    </row>
    <row r="125" ht="24" customHeight="1">
      <c r="A125" s="34" t="str">
        <v>Total operating income</v>
      </c>
      <c r="B125" s="35"/>
      <c r="C125" s="36" t="n">
        <v>12874</v>
      </c>
      <c r="D125" s="36"/>
      <c r="E125" s="36"/>
      <c r="F125" s="36"/>
      <c r="G125" s="36"/>
      <c r="H125" s="36"/>
      <c r="I125" s="36"/>
      <c r="J125" s="36"/>
      <c r="K125" s="36"/>
      <c r="L125" s="36"/>
      <c r="M125" s="36"/>
      <c r="N125" s="36"/>
      <c r="O125" s="36"/>
      <c r="P125" s="36"/>
      <c r="Q125" s="37" t="str">
        <f>IF(COUNT(J125,N125,O125,P125)=4,J125-N125-O125-P125,"")</f>
      </c>
      <c r="R125" s="36"/>
      <c r="S125" s="36"/>
      <c r="T125" s="36"/>
      <c r="U125" s="37" t="str">
        <f>IF(COUNT(K125,R125,S125,T125)=4,K125-R125-S125-T125,"")</f>
      </c>
      <c r="V125" s="36"/>
      <c r="W125" s="36"/>
      <c r="X125" s="36"/>
      <c r="Y125" s="37" t="str">
        <f>IF(COUNT(L125,V125,W125,X125)=4,L125-V125-W125-X125,"")</f>
      </c>
      <c r="Z125" s="36"/>
      <c r="AA125" s="36"/>
    </row>
    <row r="126" ht="22" customHeight="1">
      <c r="A126" s="49" t="str">
        <v>Check: segment lines - printed total (should be 0)</v>
      </c>
      <c r="B126" s="3"/>
      <c r="C126" s="59" t="n">
        <f>IF(COUNT(C118,C119,C120,C121,C122,C123,C124,C125)=8,C118+C119+C120+C121+C122+C123+C124-C125,"")</f>
        <v>0</v>
      </c>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row>
    <row r="127" ht="8"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22" customHeight="1">
      <c r="A128" s="21" t="str">
        <v>FY2017 reporting framework: Net revenue</v>
      </c>
      <c r="B128" s="21" t="str">
        <v>FY2017 reporting framework: Net revenue</v>
      </c>
      <c r="C128" s="21" t="str">
        <v>FY2017 reporting framework: Net revenue</v>
      </c>
      <c r="D128" s="21" t="str">
        <v>FY2017 reporting framework: Net revenue</v>
      </c>
      <c r="E128" s="21" t="str">
        <v>FY2017 reporting framework: Net revenue</v>
      </c>
      <c r="F128" s="21" t="str">
        <v>FY2017 reporting framework: Net revenue</v>
      </c>
      <c r="G128" s="21" t="str">
        <v>FY2017 reporting framework: Net revenue</v>
      </c>
      <c r="H128" s="21" t="str">
        <v>FY2017 reporting framework: Net revenue</v>
      </c>
      <c r="I128" s="21" t="str">
        <v>FY2017 reporting framework: Net revenue</v>
      </c>
      <c r="J128" s="21" t="str">
        <v>FY2017 reporting framework: Net revenue</v>
      </c>
      <c r="K128" s="21" t="str">
        <v>FY2017 reporting framework: Net revenue</v>
      </c>
      <c r="L128" s="21" t="str">
        <v>FY2017 reporting framework: Net revenue</v>
      </c>
      <c r="M128" s="21" t="str">
        <v>FY2017 reporting framework: Net revenue</v>
      </c>
      <c r="N128" s="21" t="str">
        <v>FY2017 reporting framework: Net revenue</v>
      </c>
      <c r="O128" s="21" t="str">
        <v>FY2017 reporting framework: Net revenue</v>
      </c>
      <c r="P128" s="21" t="str">
        <v>FY2017 reporting framework: Net revenue</v>
      </c>
      <c r="Q128" s="21" t="str">
        <v>FY2017 reporting framework: Net revenue</v>
      </c>
      <c r="R128" s="21" t="str">
        <v>FY2017 reporting framework: Net revenue</v>
      </c>
      <c r="S128" s="21" t="str">
        <v>FY2017 reporting framework: Net revenue</v>
      </c>
      <c r="T128" s="21" t="str">
        <v>FY2017 reporting framework: Net revenue</v>
      </c>
      <c r="U128" s="21" t="str">
        <v>FY2017 reporting framework: Net revenue</v>
      </c>
      <c r="V128" s="21" t="str">
        <v>FY2017 reporting framework: Net revenue</v>
      </c>
      <c r="W128" s="21" t="str">
        <v>FY2017 reporting framework: Net revenue</v>
      </c>
      <c r="X128" s="21" t="str">
        <v>FY2017 reporting framework: Net revenue</v>
      </c>
      <c r="Y128" s="21" t="str">
        <v>FY2017 reporting framework: Net revenue</v>
      </c>
      <c r="Z128" s="21" t="str">
        <v>FY2017 reporting framework: Net revenue</v>
      </c>
      <c r="AA128" s="21" t="str">
        <v>FY2017 reporting framework: Net revenue</v>
      </c>
    </row>
    <row r="129" ht="18" customHeight="1">
      <c r="A129" s="22" t="str">
        <v>Historical segment definitions differ from the current framework; compare within this section only.</v>
      </c>
      <c r="B129" s="22" t="str">
        <v>Historical segment definitions differ from the current framework; compare within this section only.</v>
      </c>
      <c r="C129" s="22" t="str">
        <v>Historical segment definitions differ from the current framework; compare within this section only.</v>
      </c>
      <c r="D129" s="22" t="str">
        <v>Historical segment definitions differ from the current framework; compare within this section only.</v>
      </c>
      <c r="E129" s="22" t="str">
        <v>Historical segment definitions differ from the current framework; compare within this section only.</v>
      </c>
      <c r="F129" s="22" t="str">
        <v>Historical segment definitions differ from the current framework; compare within this section only.</v>
      </c>
      <c r="G129" s="22" t="str">
        <v>Historical segment definitions differ from the current framework; compare within this section only.</v>
      </c>
      <c r="H129" s="22" t="str">
        <v>Historical segment definitions differ from the current framework; compare within this section only.</v>
      </c>
      <c r="I129" s="22" t="str">
        <v>Historical segment definitions differ from the current framework; compare within this section only.</v>
      </c>
      <c r="J129" s="22" t="str">
        <v>Historical segment definitions differ from the current framework; compare within this section only.</v>
      </c>
      <c r="K129" s="22" t="str">
        <v>Historical segment definitions differ from the current framework; compare within this section only.</v>
      </c>
      <c r="L129" s="22" t="str">
        <v>Historical segment definitions differ from the current framework; compare within this section only.</v>
      </c>
      <c r="M129" s="22" t="str">
        <v>Historical segment definitions differ from the current framework; compare within this section only.</v>
      </c>
      <c r="N129" s="22" t="str">
        <v>Historical segment definitions differ from the current framework; compare within this section only.</v>
      </c>
      <c r="O129" s="22" t="str">
        <v>Historical segment definitions differ from the current framework; compare within this section only.</v>
      </c>
      <c r="P129" s="22" t="str">
        <v>Historical segment definitions differ from the current framework; compare within this section only.</v>
      </c>
      <c r="Q129" s="22" t="str">
        <v>Historical segment definitions differ from the current framework; compare within this section only.</v>
      </c>
      <c r="R129" s="22" t="str">
        <v>Historical segment definitions differ from the current framework; compare within this section only.</v>
      </c>
      <c r="S129" s="22" t="str">
        <v>Historical segment definitions differ from the current framework; compare within this section only.</v>
      </c>
      <c r="T129" s="22" t="str">
        <v>Historical segment definitions differ from the current framework; compare within this section only.</v>
      </c>
      <c r="U129" s="22" t="str">
        <v>Historical segment definitions differ from the current framework; compare within this section only.</v>
      </c>
      <c r="V129" s="22" t="str">
        <v>Historical segment definitions differ from the current framework; compare within this section only.</v>
      </c>
      <c r="W129" s="22" t="str">
        <v>Historical segment definitions differ from the current framework; compare within this section only.</v>
      </c>
      <c r="X129" s="22" t="str">
        <v>Historical segment definitions differ from the current framework; compare within this section only.</v>
      </c>
      <c r="Y129" s="22" t="str">
        <v>Historical segment definitions differ from the current framework; compare within this section only.</v>
      </c>
      <c r="Z129" s="22" t="str">
        <v>Historical segment definitions differ from the current framework; compare within this section only.</v>
      </c>
      <c r="AA129" s="22" t="str">
        <v>Historical segment definitions differ from the current framework; compare within this section only.</v>
      </c>
    </row>
    <row r="130" ht="22" customHeight="1">
      <c r="A130" s="53" t="str">
        <v>CCG PLATFORM: Platform</v>
      </c>
      <c r="B130" s="3"/>
      <c r="C130" s="51" t="n">
        <v>30751</v>
      </c>
      <c r="D130" s="51" t="n">
        <v>31226</v>
      </c>
      <c r="E130" s="51" t="n">
        <v>33234</v>
      </c>
      <c r="F130" s="51"/>
      <c r="G130" s="51"/>
      <c r="H130" s="51"/>
      <c r="I130" s="51"/>
      <c r="J130" s="51"/>
      <c r="K130" s="51"/>
      <c r="L130" s="51"/>
      <c r="M130" s="51"/>
      <c r="N130" s="51"/>
      <c r="O130" s="51"/>
      <c r="P130" s="51"/>
      <c r="Q130" s="52" t="str">
        <f>IF(COUNT(J130,N130,O130,P130)=4,J130-N130-O130-P130,"")</f>
      </c>
      <c r="R130" s="51"/>
      <c r="S130" s="51"/>
      <c r="T130" s="51"/>
      <c r="U130" s="52" t="str">
        <f>IF(COUNT(K130,R130,S130,T130)=4,K130-R130-S130-T130,"")</f>
      </c>
      <c r="V130" s="51"/>
      <c r="W130" s="51"/>
      <c r="X130" s="51"/>
      <c r="Y130" s="52" t="str">
        <f>IF(COUNT(L130,V130,W130,X130)=4,L130-V130-W130-X130,"")</f>
      </c>
      <c r="Z130" s="51"/>
      <c r="AA130" s="51"/>
    </row>
    <row r="131" ht="22" customHeight="1">
      <c r="A131" s="53" t="str">
        <v>CCG ADJACENT: Adjacent</v>
      </c>
      <c r="B131" s="3"/>
      <c r="C131" s="51" t="n">
        <v>2157</v>
      </c>
      <c r="D131" s="51" t="n">
        <v>2777</v>
      </c>
      <c r="E131" s="51" t="n">
        <v>3770</v>
      </c>
      <c r="F131" s="51"/>
      <c r="G131" s="51"/>
      <c r="H131" s="51"/>
      <c r="I131" s="51"/>
      <c r="J131" s="51"/>
      <c r="K131" s="51"/>
      <c r="L131" s="51"/>
      <c r="M131" s="51"/>
      <c r="N131" s="51"/>
      <c r="O131" s="51"/>
      <c r="P131" s="51"/>
      <c r="Q131" s="52" t="str">
        <f>IF(COUNT(J131,N131,O131,P131)=4,J131-N131-O131-P131,"")</f>
      </c>
      <c r="R131" s="51"/>
      <c r="S131" s="51"/>
      <c r="T131" s="51"/>
      <c r="U131" s="52" t="str">
        <f>IF(COUNT(K131,R131,S131,T131)=4,K131-R131-S131-T131,"")</f>
      </c>
      <c r="V131" s="51"/>
      <c r="W131" s="51"/>
      <c r="X131" s="51"/>
      <c r="Y131" s="52" t="str">
        <f>IF(COUNT(L131,V131,W131,X131)=4,L131-V131-W131-X131,"")</f>
      </c>
      <c r="Z131" s="51"/>
      <c r="AA131" s="51"/>
    </row>
    <row r="132" ht="22" customHeight="1">
      <c r="A132" s="49" t="str">
        <v>[Client Computing Group total]</v>
      </c>
      <c r="B132" s="3"/>
      <c r="C132" s="51" t="n">
        <v>32908</v>
      </c>
      <c r="D132" s="51" t="n">
        <v>34003</v>
      </c>
      <c r="E132" s="51" t="n">
        <v>37004</v>
      </c>
      <c r="F132" s="51"/>
      <c r="G132" s="51"/>
      <c r="H132" s="51"/>
      <c r="I132" s="51"/>
      <c r="J132" s="51"/>
      <c r="K132" s="51"/>
      <c r="L132" s="51"/>
      <c r="M132" s="51"/>
      <c r="N132" s="51"/>
      <c r="O132" s="51"/>
      <c r="P132" s="51"/>
      <c r="Q132" s="52" t="str">
        <f>IF(COUNT(J132,N132,O132,P132)=4,J132-N132-O132-P132,"")</f>
      </c>
      <c r="R132" s="51"/>
      <c r="S132" s="51"/>
      <c r="T132" s="51"/>
      <c r="U132" s="52" t="str">
        <f>IF(COUNT(K132,R132,S132,T132)=4,K132-R132-S132-T132,"")</f>
      </c>
      <c r="V132" s="51"/>
      <c r="W132" s="51"/>
      <c r="X132" s="51"/>
      <c r="Y132" s="52" t="str">
        <f>IF(COUNT(L132,V132,W132,X132)=4,L132-V132-W132-X132,"")</f>
      </c>
      <c r="Z132" s="51"/>
      <c r="AA132" s="51"/>
    </row>
    <row r="133" ht="22" customHeight="1">
      <c r="A133" s="53" t="str">
        <v>DCG PLATFORM: Platform</v>
      </c>
      <c r="B133" s="3"/>
      <c r="C133" s="51" t="n">
        <v>15895</v>
      </c>
      <c r="D133" s="51" t="n">
        <v>17439</v>
      </c>
      <c r="E133" s="51" t="n">
        <v>21155</v>
      </c>
      <c r="F133" s="51"/>
      <c r="G133" s="51"/>
      <c r="H133" s="51"/>
      <c r="I133" s="51"/>
      <c r="J133" s="51"/>
      <c r="K133" s="51"/>
      <c r="L133" s="51"/>
      <c r="M133" s="51"/>
      <c r="N133" s="51"/>
      <c r="O133" s="51"/>
      <c r="P133" s="51"/>
      <c r="Q133" s="52" t="str">
        <f>IF(COUNT(J133,N133,O133,P133)=4,J133-N133-O133-P133,"")</f>
      </c>
      <c r="R133" s="51"/>
      <c r="S133" s="51"/>
      <c r="T133" s="51"/>
      <c r="U133" s="52" t="str">
        <f>IF(COUNT(K133,R133,S133,T133)=4,K133-R133-S133-T133,"")</f>
      </c>
      <c r="V133" s="51"/>
      <c r="W133" s="51"/>
      <c r="X133" s="51"/>
      <c r="Y133" s="52" t="str">
        <f>IF(COUNT(L133,V133,W133,X133)=4,L133-V133-W133-X133,"")</f>
      </c>
      <c r="Z133" s="51"/>
      <c r="AA133" s="51"/>
    </row>
    <row r="134" ht="22" customHeight="1">
      <c r="A134" s="53" t="str">
        <v>DCG ADJACENT: Adjacent</v>
      </c>
      <c r="B134" s="3"/>
      <c r="C134" s="51" t="n">
        <v>1341</v>
      </c>
      <c r="D134" s="51" t="n">
        <v>1625</v>
      </c>
      <c r="E134" s="51" t="n">
        <v>1836</v>
      </c>
      <c r="F134" s="51"/>
      <c r="G134" s="51"/>
      <c r="H134" s="51"/>
      <c r="I134" s="51"/>
      <c r="J134" s="51"/>
      <c r="K134" s="51"/>
      <c r="L134" s="51"/>
      <c r="M134" s="51"/>
      <c r="N134" s="51"/>
      <c r="O134" s="51"/>
      <c r="P134" s="51"/>
      <c r="Q134" s="52" t="str">
        <f>IF(COUNT(J134,N134,O134,P134)=4,J134-N134-O134-P134,"")</f>
      </c>
      <c r="R134" s="51"/>
      <c r="S134" s="51"/>
      <c r="T134" s="51"/>
      <c r="U134" s="52" t="str">
        <f>IF(COUNT(K134,R134,S134,T134)=4,K134-R134-S134-T134,"")</f>
      </c>
      <c r="V134" s="51"/>
      <c r="W134" s="51"/>
      <c r="X134" s="51"/>
      <c r="Y134" s="52" t="str">
        <f>IF(COUNT(L134,V134,W134,X134)=4,L134-V134-W134-X134,"")</f>
      </c>
      <c r="Z134" s="51"/>
      <c r="AA134" s="51"/>
    </row>
    <row r="135" ht="22" customHeight="1">
      <c r="A135" s="49" t="str">
        <v>[Data Center Group total]</v>
      </c>
      <c r="B135" s="3"/>
      <c r="C135" s="51" t="n">
        <v>17236</v>
      </c>
      <c r="D135" s="51" t="n">
        <v>19064</v>
      </c>
      <c r="E135" s="51" t="n">
        <v>22991</v>
      </c>
      <c r="F135" s="51"/>
      <c r="G135" s="51"/>
      <c r="H135" s="51"/>
      <c r="I135" s="51"/>
      <c r="J135" s="51"/>
      <c r="K135" s="51"/>
      <c r="L135" s="51"/>
      <c r="M135" s="51"/>
      <c r="N135" s="51"/>
      <c r="O135" s="51"/>
      <c r="P135" s="51"/>
      <c r="Q135" s="52" t="str">
        <f>IF(COUNT(J135,N135,O135,P135)=4,J135-N135-O135-P135,"")</f>
      </c>
      <c r="R135" s="51"/>
      <c r="S135" s="51"/>
      <c r="T135" s="51"/>
      <c r="U135" s="52" t="str">
        <f>IF(COUNT(K135,R135,S135,T135)=4,K135-R135-S135-T135,"")</f>
      </c>
      <c r="V135" s="51"/>
      <c r="W135" s="51"/>
      <c r="X135" s="51"/>
      <c r="Y135" s="52" t="str">
        <f>IF(COUNT(L135,V135,W135,X135)=4,L135-V135-W135-X135,"")</f>
      </c>
      <c r="Z135" s="51"/>
      <c r="AA135" s="51"/>
    </row>
    <row r="136" ht="22" customHeight="1">
      <c r="A136" s="53" t="str">
        <v>IOTG PLATFORM: Platform</v>
      </c>
      <c r="B136" s="3"/>
      <c r="C136" s="51" t="n">
        <v>2290</v>
      </c>
      <c r="D136" s="51" t="n">
        <v>2645</v>
      </c>
      <c r="E136" s="51" t="n">
        <v>3065</v>
      </c>
      <c r="F136" s="51"/>
      <c r="G136" s="51"/>
      <c r="H136" s="51"/>
      <c r="I136" s="51"/>
      <c r="J136" s="51"/>
      <c r="K136" s="51"/>
      <c r="L136" s="51"/>
      <c r="M136" s="51"/>
      <c r="N136" s="51"/>
      <c r="O136" s="51"/>
      <c r="P136" s="51"/>
      <c r="Q136" s="52" t="str">
        <f>IF(COUNT(J136,N136,O136,P136)=4,J136-N136-O136-P136,"")</f>
      </c>
      <c r="R136" s="51"/>
      <c r="S136" s="51"/>
      <c r="T136" s="51"/>
      <c r="U136" s="52" t="str">
        <f>IF(COUNT(K136,R136,S136,T136)=4,K136-R136-S136-T136,"")</f>
      </c>
      <c r="V136" s="51"/>
      <c r="W136" s="51"/>
      <c r="X136" s="51"/>
      <c r="Y136" s="52" t="str">
        <f>IF(COUNT(L136,V136,W136,X136)=4,L136-V136-W136-X136,"")</f>
      </c>
      <c r="Z136" s="51"/>
      <c r="AA136" s="51"/>
    </row>
    <row r="137" ht="22" customHeight="1">
      <c r="A137" s="53" t="str">
        <v>IOTG ADJACENT: Adjacent</v>
      </c>
      <c r="B137" s="3"/>
      <c r="C137" s="51" t="n">
        <v>348</v>
      </c>
      <c r="D137" s="51" t="n">
        <v>524</v>
      </c>
      <c r="E137" s="51" t="n">
        <v>390</v>
      </c>
      <c r="F137" s="51"/>
      <c r="G137" s="51"/>
      <c r="H137" s="51"/>
      <c r="I137" s="51"/>
      <c r="J137" s="51"/>
      <c r="K137" s="51"/>
      <c r="L137" s="51"/>
      <c r="M137" s="51"/>
      <c r="N137" s="51"/>
      <c r="O137" s="51"/>
      <c r="P137" s="51"/>
      <c r="Q137" s="52" t="str">
        <f>IF(COUNT(J137,N137,O137,P137)=4,J137-N137-O137-P137,"")</f>
      </c>
      <c r="R137" s="51"/>
      <c r="S137" s="51"/>
      <c r="T137" s="51"/>
      <c r="U137" s="52" t="str">
        <f>IF(COUNT(K137,R137,S137,T137)=4,K137-R137-S137-T137,"")</f>
      </c>
      <c r="V137" s="51"/>
      <c r="W137" s="51"/>
      <c r="X137" s="51"/>
      <c r="Y137" s="52" t="str">
        <f>IF(COUNT(L137,V137,W137,X137)=4,L137-V137-W137-X137,"")</f>
      </c>
      <c r="Z137" s="51"/>
      <c r="AA137" s="51"/>
    </row>
    <row r="138" ht="22" customHeight="1">
      <c r="A138" s="49" t="str">
        <v>[Internet of Things Group total]</v>
      </c>
      <c r="B138" s="3"/>
      <c r="C138" s="51" t="n">
        <v>2638</v>
      </c>
      <c r="D138" s="51" t="n">
        <v>3169</v>
      </c>
      <c r="E138" s="51" t="n">
        <v>3455</v>
      </c>
      <c r="F138" s="51"/>
      <c r="G138" s="51"/>
      <c r="H138" s="51"/>
      <c r="I138" s="51"/>
      <c r="J138" s="51"/>
      <c r="K138" s="51"/>
      <c r="L138" s="51"/>
      <c r="M138" s="51"/>
      <c r="N138" s="51"/>
      <c r="O138" s="51"/>
      <c r="P138" s="51"/>
      <c r="Q138" s="52" t="str">
        <f>IF(COUNT(J138,N138,O138,P138)=4,J138-N138-O138-P138,"")</f>
      </c>
      <c r="R138" s="51"/>
      <c r="S138" s="51"/>
      <c r="T138" s="51"/>
      <c r="U138" s="52" t="str">
        <f>IF(COUNT(K138,R138,S138,T138)=4,K138-R138-S138-T138,"")</f>
      </c>
      <c r="V138" s="51"/>
      <c r="W138" s="51"/>
      <c r="X138" s="51"/>
      <c r="Y138" s="52" t="str">
        <f>IF(COUNT(L138,V138,W138,X138)=4,L138-V138-W138-X138,"")</f>
      </c>
      <c r="Z138" s="51"/>
      <c r="AA138" s="51"/>
    </row>
    <row r="139" ht="22" customHeight="1">
      <c r="A139" s="49" t="str">
        <v>Non-Volatile Memory Solutions Group</v>
      </c>
      <c r="B139" s="3"/>
      <c r="C139" s="51" t="n">
        <v>2576</v>
      </c>
      <c r="D139" s="51" t="n">
        <v>3520</v>
      </c>
      <c r="E139" s="51" t="n">
        <v>4307</v>
      </c>
      <c r="F139" s="51"/>
      <c r="G139" s="51"/>
      <c r="H139" s="51"/>
      <c r="I139" s="51"/>
      <c r="J139" s="51"/>
      <c r="K139" s="51"/>
      <c r="L139" s="51"/>
      <c r="M139" s="51"/>
      <c r="N139" s="51"/>
      <c r="O139" s="51"/>
      <c r="P139" s="51"/>
      <c r="Q139" s="52" t="str">
        <f>IF(COUNT(J139,N139,O139,P139)=4,J139-N139-O139-P139,"")</f>
      </c>
      <c r="R139" s="51"/>
      <c r="S139" s="51"/>
      <c r="T139" s="51"/>
      <c r="U139" s="52" t="str">
        <f>IF(COUNT(K139,R139,S139,T139)=4,K139-R139-S139-T139,"")</f>
      </c>
      <c r="V139" s="51"/>
      <c r="W139" s="51"/>
      <c r="X139" s="51"/>
      <c r="Y139" s="52" t="str">
        <f>IF(COUNT(L139,V139,W139,X139)=4,L139-V139-W139-X139,"")</f>
      </c>
      <c r="Z139" s="51"/>
      <c r="AA139" s="51"/>
    </row>
    <row r="140" ht="22" customHeight="1">
      <c r="A140" s="49" t="str">
        <v>Programmable Solutions Group</v>
      </c>
      <c r="B140" s="3"/>
      <c r="C140" s="51" t="n">
        <v>1669</v>
      </c>
      <c r="D140" s="51" t="n">
        <v>1902</v>
      </c>
      <c r="E140" s="51" t="n">
        <v>2123</v>
      </c>
      <c r="F140" s="51"/>
      <c r="G140" s="51"/>
      <c r="H140" s="51"/>
      <c r="I140" s="51"/>
      <c r="J140" s="51"/>
      <c r="K140" s="51"/>
      <c r="L140" s="51"/>
      <c r="M140" s="51"/>
      <c r="N140" s="51"/>
      <c r="O140" s="51"/>
      <c r="P140" s="51"/>
      <c r="Q140" s="52" t="str">
        <f>IF(COUNT(J140,N140,O140,P140)=4,J140-N140-O140-P140,"")</f>
      </c>
      <c r="R140" s="51"/>
      <c r="S140" s="51"/>
      <c r="T140" s="51"/>
      <c r="U140" s="52" t="str">
        <f>IF(COUNT(K140,R140,S140,T140)=4,K140-R140-S140-T140,"")</f>
      </c>
      <c r="V140" s="51"/>
      <c r="W140" s="51"/>
      <c r="X140" s="51"/>
      <c r="Y140" s="52" t="str">
        <f>IF(COUNT(L140,V140,W140,X140)=4,L140-V140-W140-X140,"")</f>
      </c>
      <c r="Z140" s="51"/>
      <c r="AA140" s="51"/>
    </row>
    <row r="141" ht="22" customHeight="1">
      <c r="A141" s="49" t="str">
        <v>All other</v>
      </c>
      <c r="B141" s="3"/>
      <c r="C141" s="51" t="n">
        <v>2360</v>
      </c>
      <c r="D141" s="51" t="n">
        <v>1103</v>
      </c>
      <c r="E141" s="51" t="n">
        <v>968</v>
      </c>
      <c r="F141" s="51"/>
      <c r="G141" s="51"/>
      <c r="H141" s="51"/>
      <c r="I141" s="51"/>
      <c r="J141" s="51"/>
      <c r="K141" s="51"/>
      <c r="L141" s="51"/>
      <c r="M141" s="51"/>
      <c r="N141" s="51"/>
      <c r="O141" s="51"/>
      <c r="P141" s="51"/>
      <c r="Q141" s="52" t="str">
        <f>IF(COUNT(J141,N141,O141,P141)=4,J141-N141-O141-P141,"")</f>
      </c>
      <c r="R141" s="51"/>
      <c r="S141" s="51"/>
      <c r="T141" s="51"/>
      <c r="U141" s="52" t="str">
        <f>IF(COUNT(K141,R141,S141,T141)=4,K141-R141-S141-T141,"")</f>
      </c>
      <c r="V141" s="51"/>
      <c r="W141" s="51"/>
      <c r="X141" s="51"/>
      <c r="Y141" s="52" t="str">
        <f>IF(COUNT(L141,V141,W141,X141)=4,L141-V141-W141-X141,"")</f>
      </c>
      <c r="Z141" s="51"/>
      <c r="AA141" s="51"/>
    </row>
    <row r="142" ht="24" customHeight="1">
      <c r="A142" s="34" t="str">
        <v>Total net revenue</v>
      </c>
      <c r="B142" s="35"/>
      <c r="C142" s="36" t="n">
        <v>59387</v>
      </c>
      <c r="D142" s="36" t="n">
        <v>62761</v>
      </c>
      <c r="E142" s="36" t="n">
        <v>70848</v>
      </c>
      <c r="F142" s="36"/>
      <c r="G142" s="36"/>
      <c r="H142" s="36"/>
      <c r="I142" s="36"/>
      <c r="J142" s="36"/>
      <c r="K142" s="36"/>
      <c r="L142" s="36"/>
      <c r="M142" s="36"/>
      <c r="N142" s="36"/>
      <c r="O142" s="36"/>
      <c r="P142" s="36"/>
      <c r="Q142" s="37" t="str">
        <f>IF(COUNT(J142,N142,O142,P142)=4,J142-N142-O142-P142,"")</f>
      </c>
      <c r="R142" s="36"/>
      <c r="S142" s="36"/>
      <c r="T142" s="36"/>
      <c r="U142" s="37" t="str">
        <f>IF(COUNT(K142,R142,S142,T142)=4,K142-R142-S142-T142,"")</f>
      </c>
      <c r="V142" s="36"/>
      <c r="W142" s="36"/>
      <c r="X142" s="36"/>
      <c r="Y142" s="37" t="str">
        <f>IF(COUNT(L142,V142,W142,X142)=4,L142-V142-W142-X142,"")</f>
      </c>
      <c r="Z142" s="36"/>
      <c r="AA142" s="36"/>
    </row>
    <row r="143" ht="22" customHeight="1">
      <c r="A143" s="49" t="str">
        <v>Check: segment lines - printed total (should be 0)</v>
      </c>
      <c r="B143" s="3"/>
      <c r="C143" s="59" t="n">
        <f>IF(COUNT(C132,C135,C138,C139,C140,C141,C142)=7,C132+C135+C138+C139+C140+C141-C142,"")</f>
        <v>0</v>
      </c>
      <c r="D143" s="59" t="n">
        <f>IF(COUNT(D132,D135,D138,D139,D140,D141,D142)=7,D132+D135+D138+D139+D140+D141-D142,"")</f>
        <v>0</v>
      </c>
      <c r="E143" s="59" t="n">
        <f>IF(COUNT(E132,E135,E138,E139,E140,E141,E142)=7,E132+E135+E138+E139+E140+E141-E142,"")</f>
        <v>0</v>
      </c>
      <c r="F143" s="59"/>
      <c r="G143" s="59"/>
      <c r="H143" s="59"/>
      <c r="I143" s="59"/>
      <c r="J143" s="59"/>
      <c r="K143" s="59"/>
      <c r="L143" s="59"/>
      <c r="M143" s="59"/>
      <c r="N143" s="59"/>
      <c r="O143" s="59"/>
      <c r="P143" s="59"/>
      <c r="Q143" s="59"/>
      <c r="R143" s="59"/>
      <c r="S143" s="59"/>
      <c r="T143" s="59"/>
      <c r="U143" s="59"/>
      <c r="V143" s="59"/>
      <c r="W143" s="59"/>
      <c r="X143" s="59"/>
      <c r="Y143" s="59"/>
      <c r="Z143" s="59"/>
      <c r="AA143" s="59"/>
    </row>
    <row r="144" ht="8"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22" customHeight="1">
      <c r="A145" s="21" t="str">
        <v>FY2017 reporting framework: Operating income (loss)</v>
      </c>
      <c r="B145" s="21" t="str">
        <v>FY2017 reporting framework: Operating income (loss)</v>
      </c>
      <c r="C145" s="21" t="str">
        <v>FY2017 reporting framework: Operating income (loss)</v>
      </c>
      <c r="D145" s="21" t="str">
        <v>FY2017 reporting framework: Operating income (loss)</v>
      </c>
      <c r="E145" s="21" t="str">
        <v>FY2017 reporting framework: Operating income (loss)</v>
      </c>
      <c r="F145" s="21" t="str">
        <v>FY2017 reporting framework: Operating income (loss)</v>
      </c>
      <c r="G145" s="21" t="str">
        <v>FY2017 reporting framework: Operating income (loss)</v>
      </c>
      <c r="H145" s="21" t="str">
        <v>FY2017 reporting framework: Operating income (loss)</v>
      </c>
      <c r="I145" s="21" t="str">
        <v>FY2017 reporting framework: Operating income (loss)</v>
      </c>
      <c r="J145" s="21" t="str">
        <v>FY2017 reporting framework: Operating income (loss)</v>
      </c>
      <c r="K145" s="21" t="str">
        <v>FY2017 reporting framework: Operating income (loss)</v>
      </c>
      <c r="L145" s="21" t="str">
        <v>FY2017 reporting framework: Operating income (loss)</v>
      </c>
      <c r="M145" s="21" t="str">
        <v>FY2017 reporting framework: Operating income (loss)</v>
      </c>
      <c r="N145" s="21" t="str">
        <v>FY2017 reporting framework: Operating income (loss)</v>
      </c>
      <c r="O145" s="21" t="str">
        <v>FY2017 reporting framework: Operating income (loss)</v>
      </c>
      <c r="P145" s="21" t="str">
        <v>FY2017 reporting framework: Operating income (loss)</v>
      </c>
      <c r="Q145" s="21" t="str">
        <v>FY2017 reporting framework: Operating income (loss)</v>
      </c>
      <c r="R145" s="21" t="str">
        <v>FY2017 reporting framework: Operating income (loss)</v>
      </c>
      <c r="S145" s="21" t="str">
        <v>FY2017 reporting framework: Operating income (loss)</v>
      </c>
      <c r="T145" s="21" t="str">
        <v>FY2017 reporting framework: Operating income (loss)</v>
      </c>
      <c r="U145" s="21" t="str">
        <v>FY2017 reporting framework: Operating income (loss)</v>
      </c>
      <c r="V145" s="21" t="str">
        <v>FY2017 reporting framework: Operating income (loss)</v>
      </c>
      <c r="W145" s="21" t="str">
        <v>FY2017 reporting framework: Operating income (loss)</v>
      </c>
      <c r="X145" s="21" t="str">
        <v>FY2017 reporting framework: Operating income (loss)</v>
      </c>
      <c r="Y145" s="21" t="str">
        <v>FY2017 reporting framework: Operating income (loss)</v>
      </c>
      <c r="Z145" s="21" t="str">
        <v>FY2017 reporting framework: Operating income (loss)</v>
      </c>
      <c r="AA145" s="21" t="str">
        <v>FY2017 reporting framework: Operating income (loss)</v>
      </c>
    </row>
    <row r="146" ht="18" customHeight="1">
      <c r="A146" s="22" t="str">
        <v>Historical segment definitions differ from the current framework; compare within this section only.</v>
      </c>
      <c r="B146" s="22" t="str">
        <v>Historical segment definitions differ from the current framework; compare within this section only.</v>
      </c>
      <c r="C146" s="22" t="str">
        <v>Historical segment definitions differ from the current framework; compare within this section only.</v>
      </c>
      <c r="D146" s="22" t="str">
        <v>Historical segment definitions differ from the current framework; compare within this section only.</v>
      </c>
      <c r="E146" s="22" t="str">
        <v>Historical segment definitions differ from the current framework; compare within this section only.</v>
      </c>
      <c r="F146" s="22" t="str">
        <v>Historical segment definitions differ from the current framework; compare within this section only.</v>
      </c>
      <c r="G146" s="22" t="str">
        <v>Historical segment definitions differ from the current framework; compare within this section only.</v>
      </c>
      <c r="H146" s="22" t="str">
        <v>Historical segment definitions differ from the current framework; compare within this section only.</v>
      </c>
      <c r="I146" s="22" t="str">
        <v>Historical segment definitions differ from the current framework; compare within this section only.</v>
      </c>
      <c r="J146" s="22" t="str">
        <v>Historical segment definitions differ from the current framework; compare within this section only.</v>
      </c>
      <c r="K146" s="22" t="str">
        <v>Historical segment definitions differ from the current framework; compare within this section only.</v>
      </c>
      <c r="L146" s="22" t="str">
        <v>Historical segment definitions differ from the current framework; compare within this section only.</v>
      </c>
      <c r="M146" s="22" t="str">
        <v>Historical segment definitions differ from the current framework; compare within this section only.</v>
      </c>
      <c r="N146" s="22" t="str">
        <v>Historical segment definitions differ from the current framework; compare within this section only.</v>
      </c>
      <c r="O146" s="22" t="str">
        <v>Historical segment definitions differ from the current framework; compare within this section only.</v>
      </c>
      <c r="P146" s="22" t="str">
        <v>Historical segment definitions differ from the current framework; compare within this section only.</v>
      </c>
      <c r="Q146" s="22" t="str">
        <v>Historical segment definitions differ from the current framework; compare within this section only.</v>
      </c>
      <c r="R146" s="22" t="str">
        <v>Historical segment definitions differ from the current framework; compare within this section only.</v>
      </c>
      <c r="S146" s="22" t="str">
        <v>Historical segment definitions differ from the current framework; compare within this section only.</v>
      </c>
      <c r="T146" s="22" t="str">
        <v>Historical segment definitions differ from the current framework; compare within this section only.</v>
      </c>
      <c r="U146" s="22" t="str">
        <v>Historical segment definitions differ from the current framework; compare within this section only.</v>
      </c>
      <c r="V146" s="22" t="str">
        <v>Historical segment definitions differ from the current framework; compare within this section only.</v>
      </c>
      <c r="W146" s="22" t="str">
        <v>Historical segment definitions differ from the current framework; compare within this section only.</v>
      </c>
      <c r="X146" s="22" t="str">
        <v>Historical segment definitions differ from the current framework; compare within this section only.</v>
      </c>
      <c r="Y146" s="22" t="str">
        <v>Historical segment definitions differ from the current framework; compare within this section only.</v>
      </c>
      <c r="Z146" s="22" t="str">
        <v>Historical segment definitions differ from the current framework; compare within this section only.</v>
      </c>
      <c r="AA146" s="22" t="str">
        <v>Historical segment definitions differ from the current framework; compare within this section only.</v>
      </c>
    </row>
    <row r="147" ht="22" customHeight="1">
      <c r="A147" s="49" t="str">
        <v>Client Computing Group</v>
      </c>
      <c r="B147" s="3"/>
      <c r="C147" s="51" t="n">
        <v>10646</v>
      </c>
      <c r="D147" s="51" t="n">
        <v>12919</v>
      </c>
      <c r="E147" s="51" t="n">
        <v>14222</v>
      </c>
      <c r="F147" s="51"/>
      <c r="G147" s="51"/>
      <c r="H147" s="51"/>
      <c r="I147" s="51"/>
      <c r="J147" s="51"/>
      <c r="K147" s="51"/>
      <c r="L147" s="51"/>
      <c r="M147" s="51"/>
      <c r="N147" s="51"/>
      <c r="O147" s="51"/>
      <c r="P147" s="51"/>
      <c r="Q147" s="52" t="str">
        <f>IF(COUNT(J147,N147,O147,P147)=4,J147-N147-O147-P147,"")</f>
      </c>
      <c r="R147" s="51"/>
      <c r="S147" s="51"/>
      <c r="T147" s="51"/>
      <c r="U147" s="52" t="str">
        <f>IF(COUNT(K147,R147,S147,T147)=4,K147-R147-S147-T147,"")</f>
      </c>
      <c r="V147" s="51"/>
      <c r="W147" s="51"/>
      <c r="X147" s="51"/>
      <c r="Y147" s="52" t="str">
        <f>IF(COUNT(L147,V147,W147,X147)=4,L147-V147-W147-X147,"")</f>
      </c>
      <c r="Z147" s="51"/>
      <c r="AA147" s="51"/>
    </row>
    <row r="148" ht="22" customHeight="1">
      <c r="A148" s="49" t="str">
        <v>Data Center Group</v>
      </c>
      <c r="B148" s="3"/>
      <c r="C148" s="51" t="n">
        <v>7520</v>
      </c>
      <c r="D148" s="51" t="n">
        <v>8395</v>
      </c>
      <c r="E148" s="51" t="n">
        <v>11476</v>
      </c>
      <c r="F148" s="51"/>
      <c r="G148" s="51"/>
      <c r="H148" s="51"/>
      <c r="I148" s="51"/>
      <c r="J148" s="51"/>
      <c r="K148" s="51"/>
      <c r="L148" s="51"/>
      <c r="M148" s="51"/>
      <c r="N148" s="51"/>
      <c r="O148" s="51"/>
      <c r="P148" s="51"/>
      <c r="Q148" s="52" t="str">
        <f>IF(COUNT(J148,N148,O148,P148)=4,J148-N148-O148-P148,"")</f>
      </c>
      <c r="R148" s="51"/>
      <c r="S148" s="51"/>
      <c r="T148" s="51"/>
      <c r="U148" s="52" t="str">
        <f>IF(COUNT(K148,R148,S148,T148)=4,K148-R148-S148-T148,"")</f>
      </c>
      <c r="V148" s="51"/>
      <c r="W148" s="51"/>
      <c r="X148" s="51"/>
      <c r="Y148" s="52" t="str">
        <f>IF(COUNT(L148,V148,W148,X148)=4,L148-V148-W148-X148,"")</f>
      </c>
      <c r="Z148" s="51"/>
      <c r="AA148" s="51"/>
    </row>
    <row r="149" ht="22" customHeight="1">
      <c r="A149" s="49" t="str">
        <v>Internet of Things Group</v>
      </c>
      <c r="B149" s="3"/>
      <c r="C149" s="51" t="n">
        <v>585</v>
      </c>
      <c r="D149" s="51" t="n">
        <v>650</v>
      </c>
      <c r="E149" s="51" t="n">
        <v>980</v>
      </c>
      <c r="F149" s="51"/>
      <c r="G149" s="51"/>
      <c r="H149" s="51"/>
      <c r="I149" s="51"/>
      <c r="J149" s="51"/>
      <c r="K149" s="51"/>
      <c r="L149" s="51"/>
      <c r="M149" s="51"/>
      <c r="N149" s="51"/>
      <c r="O149" s="51"/>
      <c r="P149" s="51"/>
      <c r="Q149" s="52" t="str">
        <f>IF(COUNT(J149,N149,O149,P149)=4,J149-N149-O149-P149,"")</f>
      </c>
      <c r="R149" s="51"/>
      <c r="S149" s="51"/>
      <c r="T149" s="51"/>
      <c r="U149" s="52" t="str">
        <f>IF(COUNT(K149,R149,S149,T149)=4,K149-R149-S149-T149,"")</f>
      </c>
      <c r="V149" s="51"/>
      <c r="W149" s="51"/>
      <c r="X149" s="51"/>
      <c r="Y149" s="52" t="str">
        <f>IF(COUNT(L149,V149,W149,X149)=4,L149-V149-W149-X149,"")</f>
      </c>
      <c r="Z149" s="51"/>
      <c r="AA149" s="51"/>
    </row>
    <row r="150" ht="22" customHeight="1">
      <c r="A150" s="49" t="str">
        <v>Non-Volatile Memory Solutions Group</v>
      </c>
      <c r="B150" s="3"/>
      <c r="C150" s="51" t="n">
        <v>-544</v>
      </c>
      <c r="D150" s="51" t="n">
        <v>-260</v>
      </c>
      <c r="E150" s="51" t="n">
        <v>-5</v>
      </c>
      <c r="F150" s="51"/>
      <c r="G150" s="51"/>
      <c r="H150" s="51"/>
      <c r="I150" s="51"/>
      <c r="J150" s="51"/>
      <c r="K150" s="51"/>
      <c r="L150" s="51"/>
      <c r="M150" s="51"/>
      <c r="N150" s="51"/>
      <c r="O150" s="51"/>
      <c r="P150" s="51"/>
      <c r="Q150" s="52" t="str">
        <f>IF(COUNT(J150,N150,O150,P150)=4,J150-N150-O150-P150,"")</f>
      </c>
      <c r="R150" s="51"/>
      <c r="S150" s="51"/>
      <c r="T150" s="51"/>
      <c r="U150" s="52" t="str">
        <f>IF(COUNT(K150,R150,S150,T150)=4,K150-R150-S150-T150,"")</f>
      </c>
      <c r="V150" s="51"/>
      <c r="W150" s="51"/>
      <c r="X150" s="51"/>
      <c r="Y150" s="52" t="str">
        <f>IF(COUNT(L150,V150,W150,X150)=4,L150-V150-W150-X150,"")</f>
      </c>
      <c r="Z150" s="51"/>
      <c r="AA150" s="51"/>
    </row>
    <row r="151" ht="22" customHeight="1">
      <c r="A151" s="49" t="str">
        <v>Programmable Solutions Group</v>
      </c>
      <c r="B151" s="3"/>
      <c r="C151" s="51" t="n">
        <v>-104</v>
      </c>
      <c r="D151" s="51" t="n">
        <v>458</v>
      </c>
      <c r="E151" s="51" t="n">
        <v>466</v>
      </c>
      <c r="F151" s="51"/>
      <c r="G151" s="51"/>
      <c r="H151" s="51"/>
      <c r="I151" s="51"/>
      <c r="J151" s="51"/>
      <c r="K151" s="51"/>
      <c r="L151" s="51"/>
      <c r="M151" s="51"/>
      <c r="N151" s="51"/>
      <c r="O151" s="51"/>
      <c r="P151" s="51"/>
      <c r="Q151" s="52" t="str">
        <f>IF(COUNT(J151,N151,O151,P151)=4,J151-N151-O151-P151,"")</f>
      </c>
      <c r="R151" s="51"/>
      <c r="S151" s="51"/>
      <c r="T151" s="51"/>
      <c r="U151" s="52" t="str">
        <f>IF(COUNT(K151,R151,S151,T151)=4,K151-R151-S151-T151,"")</f>
      </c>
      <c r="V151" s="51"/>
      <c r="W151" s="51"/>
      <c r="X151" s="51"/>
      <c r="Y151" s="52" t="str">
        <f>IF(COUNT(L151,V151,W151,X151)=4,L151-V151-W151-X151,"")</f>
      </c>
      <c r="Z151" s="51"/>
      <c r="AA151" s="51"/>
    </row>
    <row r="152" ht="22" customHeight="1">
      <c r="A152" s="49" t="str">
        <v>All other</v>
      </c>
      <c r="B152" s="3"/>
      <c r="C152" s="51" t="n">
        <v>-5229</v>
      </c>
      <c r="D152" s="51" t="n">
        <v>-4226</v>
      </c>
      <c r="E152" s="51" t="n">
        <v>-3823</v>
      </c>
      <c r="F152" s="51"/>
      <c r="G152" s="51"/>
      <c r="H152" s="51"/>
      <c r="I152" s="51"/>
      <c r="J152" s="51"/>
      <c r="K152" s="51"/>
      <c r="L152" s="51"/>
      <c r="M152" s="51"/>
      <c r="N152" s="51"/>
      <c r="O152" s="51"/>
      <c r="P152" s="51"/>
      <c r="Q152" s="52" t="str">
        <f>IF(COUNT(J152,N152,O152,P152)=4,J152-N152-O152-P152,"")</f>
      </c>
      <c r="R152" s="51"/>
      <c r="S152" s="51"/>
      <c r="T152" s="51"/>
      <c r="U152" s="52" t="str">
        <f>IF(COUNT(K152,R152,S152,T152)=4,K152-R152-S152-T152,"")</f>
      </c>
      <c r="V152" s="51"/>
      <c r="W152" s="51"/>
      <c r="X152" s="51"/>
      <c r="Y152" s="52" t="str">
        <f>IF(COUNT(L152,V152,W152,X152)=4,L152-V152-W152-X152,"")</f>
      </c>
      <c r="Z152" s="51"/>
      <c r="AA152" s="51"/>
    </row>
    <row r="153" ht="24" customHeight="1">
      <c r="A153" s="34" t="str">
        <v>Total operating income</v>
      </c>
      <c r="B153" s="35"/>
      <c r="C153" s="36" t="n">
        <v>12874</v>
      </c>
      <c r="D153" s="36" t="n">
        <v>17936</v>
      </c>
      <c r="E153" s="36" t="n">
        <v>23316</v>
      </c>
      <c r="F153" s="36"/>
      <c r="G153" s="36"/>
      <c r="H153" s="36"/>
      <c r="I153" s="36"/>
      <c r="J153" s="36"/>
      <c r="K153" s="36"/>
      <c r="L153" s="36"/>
      <c r="M153" s="36"/>
      <c r="N153" s="36"/>
      <c r="O153" s="36"/>
      <c r="P153" s="36"/>
      <c r="Q153" s="37" t="str">
        <f>IF(COUNT(J153,N153,O153,P153)=4,J153-N153-O153-P153,"")</f>
      </c>
      <c r="R153" s="36"/>
      <c r="S153" s="36"/>
      <c r="T153" s="36"/>
      <c r="U153" s="37" t="str">
        <f>IF(COUNT(K153,R153,S153,T153)=4,K153-R153-S153-T153,"")</f>
      </c>
      <c r="V153" s="36"/>
      <c r="W153" s="36"/>
      <c r="X153" s="36"/>
      <c r="Y153" s="37" t="str">
        <f>IF(COUNT(L153,V153,W153,X153)=4,L153-V153-W153-X153,"")</f>
      </c>
      <c r="Z153" s="36"/>
      <c r="AA153" s="36"/>
    </row>
    <row r="154" ht="22" customHeight="1">
      <c r="A154" s="49" t="str">
        <v>Check: segment lines - printed total (should be 0)</v>
      </c>
      <c r="B154" s="3"/>
      <c r="C154" s="59" t="n">
        <f>IF(COUNT(C147,C148,C149,C150,C151,C152,C153)=7,C147+C148+C149+C150+C151+C152-C153,"")</f>
        <v>0</v>
      </c>
      <c r="D154" s="59" t="n">
        <f>IF(COUNT(D147,D148,D149,D150,D151,D152,D153)=7,D147+D148+D149+D150+D151+D152-D153,"")</f>
        <v>0</v>
      </c>
      <c r="E154" s="59" t="n">
        <f>IF(COUNT(E147,E148,E149,E150,E151,E152,E153)=7,E147+E148+E149+E150+E151+E152-E153,"")</f>
        <v>0</v>
      </c>
      <c r="F154" s="59"/>
      <c r="G154" s="59"/>
      <c r="H154" s="59"/>
      <c r="I154" s="59"/>
      <c r="J154" s="59"/>
      <c r="K154" s="59"/>
      <c r="L154" s="59"/>
      <c r="M154" s="59"/>
      <c r="N154" s="59"/>
      <c r="O154" s="59"/>
      <c r="P154" s="59"/>
      <c r="Q154" s="59"/>
      <c r="R154" s="59"/>
      <c r="S154" s="59"/>
      <c r="T154" s="59"/>
      <c r="U154" s="59"/>
      <c r="V154" s="59"/>
      <c r="W154" s="59"/>
      <c r="X154" s="59"/>
      <c r="Y154" s="59"/>
      <c r="Z154" s="59"/>
      <c r="AA154" s="59"/>
    </row>
    <row r="155" ht="8"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22" customHeight="1">
      <c r="A156" s="21" t="str">
        <v>FY2019 reporting framework: Net revenue</v>
      </c>
      <c r="B156" s="21" t="str">
        <v>FY2019 reporting framework: Net revenue</v>
      </c>
      <c r="C156" s="21" t="str">
        <v>FY2019 reporting framework: Net revenue</v>
      </c>
      <c r="D156" s="21" t="str">
        <v>FY2019 reporting framework: Net revenue</v>
      </c>
      <c r="E156" s="21" t="str">
        <v>FY2019 reporting framework: Net revenue</v>
      </c>
      <c r="F156" s="21" t="str">
        <v>FY2019 reporting framework: Net revenue</v>
      </c>
      <c r="G156" s="21" t="str">
        <v>FY2019 reporting framework: Net revenue</v>
      </c>
      <c r="H156" s="21" t="str">
        <v>FY2019 reporting framework: Net revenue</v>
      </c>
      <c r="I156" s="21" t="str">
        <v>FY2019 reporting framework: Net revenue</v>
      </c>
      <c r="J156" s="21" t="str">
        <v>FY2019 reporting framework: Net revenue</v>
      </c>
      <c r="K156" s="21" t="str">
        <v>FY2019 reporting framework: Net revenue</v>
      </c>
      <c r="L156" s="21" t="str">
        <v>FY2019 reporting framework: Net revenue</v>
      </c>
      <c r="M156" s="21" t="str">
        <v>FY2019 reporting framework: Net revenue</v>
      </c>
      <c r="N156" s="21" t="str">
        <v>FY2019 reporting framework: Net revenue</v>
      </c>
      <c r="O156" s="21" t="str">
        <v>FY2019 reporting framework: Net revenue</v>
      </c>
      <c r="P156" s="21" t="str">
        <v>FY2019 reporting framework: Net revenue</v>
      </c>
      <c r="Q156" s="21" t="str">
        <v>FY2019 reporting framework: Net revenue</v>
      </c>
      <c r="R156" s="21" t="str">
        <v>FY2019 reporting framework: Net revenue</v>
      </c>
      <c r="S156" s="21" t="str">
        <v>FY2019 reporting framework: Net revenue</v>
      </c>
      <c r="T156" s="21" t="str">
        <v>FY2019 reporting framework: Net revenue</v>
      </c>
      <c r="U156" s="21" t="str">
        <v>FY2019 reporting framework: Net revenue</v>
      </c>
      <c r="V156" s="21" t="str">
        <v>FY2019 reporting framework: Net revenue</v>
      </c>
      <c r="W156" s="21" t="str">
        <v>FY2019 reporting framework: Net revenue</v>
      </c>
      <c r="X156" s="21" t="str">
        <v>FY2019 reporting framework: Net revenue</v>
      </c>
      <c r="Y156" s="21" t="str">
        <v>FY2019 reporting framework: Net revenue</v>
      </c>
      <c r="Z156" s="21" t="str">
        <v>FY2019 reporting framework: Net revenue</v>
      </c>
      <c r="AA156" s="21" t="str">
        <v>FY2019 reporting framework: Net revenue</v>
      </c>
    </row>
    <row r="157" ht="18" customHeight="1">
      <c r="A157" s="22" t="str">
        <v>Historical segment definitions differ from the current framework; compare within this section only.</v>
      </c>
      <c r="B157" s="22" t="str">
        <v>Historical segment definitions differ from the current framework; compare within this section only.</v>
      </c>
      <c r="C157" s="22" t="str">
        <v>Historical segment definitions differ from the current framework; compare within this section only.</v>
      </c>
      <c r="D157" s="22" t="str">
        <v>Historical segment definitions differ from the current framework; compare within this section only.</v>
      </c>
      <c r="E157" s="22" t="str">
        <v>Historical segment definitions differ from the current framework; compare within this section only.</v>
      </c>
      <c r="F157" s="22" t="str">
        <v>Historical segment definitions differ from the current framework; compare within this section only.</v>
      </c>
      <c r="G157" s="22" t="str">
        <v>Historical segment definitions differ from the current framework; compare within this section only.</v>
      </c>
      <c r="H157" s="22" t="str">
        <v>Historical segment definitions differ from the current framework; compare within this section only.</v>
      </c>
      <c r="I157" s="22" t="str">
        <v>Historical segment definitions differ from the current framework; compare within this section only.</v>
      </c>
      <c r="J157" s="22" t="str">
        <v>Historical segment definitions differ from the current framework; compare within this section only.</v>
      </c>
      <c r="K157" s="22" t="str">
        <v>Historical segment definitions differ from the current framework; compare within this section only.</v>
      </c>
      <c r="L157" s="22" t="str">
        <v>Historical segment definitions differ from the current framework; compare within this section only.</v>
      </c>
      <c r="M157" s="22" t="str">
        <v>Historical segment definitions differ from the current framework; compare within this section only.</v>
      </c>
      <c r="N157" s="22" t="str">
        <v>Historical segment definitions differ from the current framework; compare within this section only.</v>
      </c>
      <c r="O157" s="22" t="str">
        <v>Historical segment definitions differ from the current framework; compare within this section only.</v>
      </c>
      <c r="P157" s="22" t="str">
        <v>Historical segment definitions differ from the current framework; compare within this section only.</v>
      </c>
      <c r="Q157" s="22" t="str">
        <v>Historical segment definitions differ from the current framework; compare within this section only.</v>
      </c>
      <c r="R157" s="22" t="str">
        <v>Historical segment definitions differ from the current framework; compare within this section only.</v>
      </c>
      <c r="S157" s="22" t="str">
        <v>Historical segment definitions differ from the current framework; compare within this section only.</v>
      </c>
      <c r="T157" s="22" t="str">
        <v>Historical segment definitions differ from the current framework; compare within this section only.</v>
      </c>
      <c r="U157" s="22" t="str">
        <v>Historical segment definitions differ from the current framework; compare within this section only.</v>
      </c>
      <c r="V157" s="22" t="str">
        <v>Historical segment definitions differ from the current framework; compare within this section only.</v>
      </c>
      <c r="W157" s="22" t="str">
        <v>Historical segment definitions differ from the current framework; compare within this section only.</v>
      </c>
      <c r="X157" s="22" t="str">
        <v>Historical segment definitions differ from the current framework; compare within this section only.</v>
      </c>
      <c r="Y157" s="22" t="str">
        <v>Historical segment definitions differ from the current framework; compare within this section only.</v>
      </c>
      <c r="Z157" s="22" t="str">
        <v>Historical segment definitions differ from the current framework; compare within this section only.</v>
      </c>
      <c r="AA157" s="22" t="str">
        <v>Historical segment definitions differ from the current framework; compare within this section only.</v>
      </c>
    </row>
    <row r="158" ht="22" customHeight="1">
      <c r="A158" s="53" t="str">
        <v>DCG PLATFORM: Platform</v>
      </c>
      <c r="B158" s="3"/>
      <c r="C158" s="51"/>
      <c r="D158" s="51" t="n">
        <v>17439</v>
      </c>
      <c r="E158" s="51" t="n">
        <v>21155</v>
      </c>
      <c r="F158" s="51" t="n">
        <v>21441</v>
      </c>
      <c r="G158" s="51" t="n">
        <v>23056</v>
      </c>
      <c r="H158" s="51"/>
      <c r="I158" s="51"/>
      <c r="J158" s="51"/>
      <c r="K158" s="51"/>
      <c r="L158" s="51"/>
      <c r="M158" s="51"/>
      <c r="N158" s="51"/>
      <c r="O158" s="51"/>
      <c r="P158" s="51"/>
      <c r="Q158" s="52" t="str">
        <f>IF(COUNT(J158,N158,O158,P158)=4,J158-N158-O158-P158,"")</f>
      </c>
      <c r="R158" s="51"/>
      <c r="S158" s="51"/>
      <c r="T158" s="51"/>
      <c r="U158" s="52" t="str">
        <f>IF(COUNT(K158,R158,S158,T158)=4,K158-R158-S158-T158,"")</f>
      </c>
      <c r="V158" s="51"/>
      <c r="W158" s="51"/>
      <c r="X158" s="51"/>
      <c r="Y158" s="52" t="str">
        <f>IF(COUNT(L158,V158,W158,X158)=4,L158-V158-W158-X158,"")</f>
      </c>
      <c r="Z158" s="51"/>
      <c r="AA158" s="51"/>
    </row>
    <row r="159" ht="22" customHeight="1">
      <c r="A159" s="53" t="str">
        <v>DCG ADJACENT: Adjacent</v>
      </c>
      <c r="B159" s="3"/>
      <c r="C159" s="51"/>
      <c r="D159" s="51" t="n">
        <v>1625</v>
      </c>
      <c r="E159" s="51" t="n">
        <v>1836</v>
      </c>
      <c r="F159" s="51" t="n">
        <v>2040</v>
      </c>
      <c r="G159" s="51" t="n">
        <v>3047</v>
      </c>
      <c r="H159" s="51"/>
      <c r="I159" s="51"/>
      <c r="J159" s="51"/>
      <c r="K159" s="51"/>
      <c r="L159" s="51"/>
      <c r="M159" s="51"/>
      <c r="N159" s="51"/>
      <c r="O159" s="51"/>
      <c r="P159" s="51"/>
      <c r="Q159" s="52" t="str">
        <f>IF(COUNT(J159,N159,O159,P159)=4,J159-N159-O159-P159,"")</f>
      </c>
      <c r="R159" s="51"/>
      <c r="S159" s="51"/>
      <c r="T159" s="51"/>
      <c r="U159" s="52" t="str">
        <f>IF(COUNT(K159,R159,S159,T159)=4,K159-R159-S159-T159,"")</f>
      </c>
      <c r="V159" s="51"/>
      <c r="W159" s="51"/>
      <c r="X159" s="51"/>
      <c r="Y159" s="52" t="str">
        <f>IF(COUNT(L159,V159,W159,X159)=4,L159-V159-W159-X159,"")</f>
      </c>
      <c r="Z159" s="51"/>
      <c r="AA159" s="51"/>
    </row>
    <row r="160" ht="22" customHeight="1">
      <c r="A160" s="49" t="str">
        <v>[Data Center Group total]</v>
      </c>
      <c r="B160" s="3"/>
      <c r="C160" s="51"/>
      <c r="D160" s="51" t="n">
        <v>19064</v>
      </c>
      <c r="E160" s="51" t="n">
        <v>22991</v>
      </c>
      <c r="F160" s="51" t="n">
        <v>23481</v>
      </c>
      <c r="G160" s="51" t="n">
        <v>26103</v>
      </c>
      <c r="H160" s="51"/>
      <c r="I160" s="51"/>
      <c r="J160" s="51"/>
      <c r="K160" s="51"/>
      <c r="L160" s="51"/>
      <c r="M160" s="51"/>
      <c r="N160" s="51"/>
      <c r="O160" s="51"/>
      <c r="P160" s="51"/>
      <c r="Q160" s="52" t="str">
        <f>IF(COUNT(J160,N160,O160,P160)=4,J160-N160-O160-P160,"")</f>
      </c>
      <c r="R160" s="51"/>
      <c r="S160" s="51"/>
      <c r="T160" s="51"/>
      <c r="U160" s="52" t="str">
        <f>IF(COUNT(K160,R160,S160,T160)=4,K160-R160-S160-T160,"")</f>
      </c>
      <c r="V160" s="51"/>
      <c r="W160" s="51"/>
      <c r="X160" s="51"/>
      <c r="Y160" s="52" t="str">
        <f>IF(COUNT(L160,V160,W160,X160)=4,L160-V160-W160-X160,"")</f>
      </c>
      <c r="Z160" s="51"/>
      <c r="AA160" s="51"/>
    </row>
    <row r="161" ht="22" customHeight="1">
      <c r="A161" s="49" t="str">
        <v>IOTG</v>
      </c>
      <c r="B161" s="3"/>
      <c r="C161" s="51"/>
      <c r="D161" s="51" t="n">
        <v>3169</v>
      </c>
      <c r="E161" s="51" t="n">
        <v>3455</v>
      </c>
      <c r="F161" s="51" t="n">
        <v>3821</v>
      </c>
      <c r="G161" s="51" t="n">
        <v>3007</v>
      </c>
      <c r="H161" s="51"/>
      <c r="I161" s="51"/>
      <c r="J161" s="51"/>
      <c r="K161" s="51"/>
      <c r="L161" s="51"/>
      <c r="M161" s="51"/>
      <c r="N161" s="51"/>
      <c r="O161" s="51"/>
      <c r="P161" s="51"/>
      <c r="Q161" s="52" t="str">
        <f>IF(COUNT(J161,N161,O161,P161)=4,J161-N161-O161-P161,"")</f>
      </c>
      <c r="R161" s="51"/>
      <c r="S161" s="51"/>
      <c r="T161" s="51"/>
      <c r="U161" s="52" t="str">
        <f>IF(COUNT(K161,R161,S161,T161)=4,K161-R161-S161-T161,"")</f>
      </c>
      <c r="V161" s="51"/>
      <c r="W161" s="51"/>
      <c r="X161" s="51"/>
      <c r="Y161" s="52" t="str">
        <f>IF(COUNT(L161,V161,W161,X161)=4,L161-V161-W161-X161,"")</f>
      </c>
      <c r="Z161" s="51"/>
      <c r="AA161" s="51"/>
    </row>
    <row r="162" ht="22" customHeight="1">
      <c r="A162" s="49" t="str">
        <v>Mobileye</v>
      </c>
      <c r="B162" s="3"/>
      <c r="C162" s="51"/>
      <c r="D162" s="51" t="n">
        <v>210</v>
      </c>
      <c r="E162" s="51" t="n">
        <v>698</v>
      </c>
      <c r="F162" s="51" t="n">
        <v>879</v>
      </c>
      <c r="G162" s="51" t="n">
        <v>967</v>
      </c>
      <c r="H162" s="51"/>
      <c r="I162" s="51"/>
      <c r="J162" s="51"/>
      <c r="K162" s="51"/>
      <c r="L162" s="51"/>
      <c r="M162" s="51"/>
      <c r="N162" s="51"/>
      <c r="O162" s="51"/>
      <c r="P162" s="51"/>
      <c r="Q162" s="52" t="str">
        <f>IF(COUNT(J162,N162,O162,P162)=4,J162-N162-O162-P162,"")</f>
      </c>
      <c r="R162" s="51"/>
      <c r="S162" s="51"/>
      <c r="T162" s="51"/>
      <c r="U162" s="52" t="str">
        <f>IF(COUNT(K162,R162,S162,T162)=4,K162-R162-S162-T162,"")</f>
      </c>
      <c r="V162" s="51"/>
      <c r="W162" s="51"/>
      <c r="X162" s="51"/>
      <c r="Y162" s="52" t="str">
        <f>IF(COUNT(L162,V162,W162,X162)=4,L162-V162-W162-X162,"")</f>
      </c>
      <c r="Z162" s="51"/>
      <c r="AA162" s="51"/>
    </row>
    <row r="163" ht="24" customHeight="1">
      <c r="A163" s="34" t="str">
        <v>[Internet of Things total]</v>
      </c>
      <c r="B163" s="35"/>
      <c r="C163" s="36"/>
      <c r="D163" s="36" t="n">
        <v>3379</v>
      </c>
      <c r="E163" s="36" t="n">
        <v>4153</v>
      </c>
      <c r="F163" s="36" t="n">
        <v>4700</v>
      </c>
      <c r="G163" s="36" t="n">
        <v>3974</v>
      </c>
      <c r="H163" s="36"/>
      <c r="I163" s="36"/>
      <c r="J163" s="36"/>
      <c r="K163" s="36"/>
      <c r="L163" s="36"/>
      <c r="M163" s="36"/>
      <c r="N163" s="36"/>
      <c r="O163" s="36"/>
      <c r="P163" s="36"/>
      <c r="Q163" s="37" t="str">
        <f>IF(COUNT(J163,N163,O163,P163)=4,J163-N163-O163-P163,"")</f>
      </c>
      <c r="R163" s="36"/>
      <c r="S163" s="36"/>
      <c r="T163" s="36"/>
      <c r="U163" s="37" t="str">
        <f>IF(COUNT(K163,R163,S163,T163)=4,K163-R163-S163-T163,"")</f>
      </c>
      <c r="V163" s="36"/>
      <c r="W163" s="36"/>
      <c r="X163" s="36"/>
      <c r="Y163" s="37" t="str">
        <f>IF(COUNT(L163,V163,W163,X163)=4,L163-V163-W163-X163,"")</f>
      </c>
      <c r="Z163" s="36"/>
      <c r="AA163" s="36"/>
    </row>
    <row r="164" ht="22" customHeight="1">
      <c r="A164" s="49" t="str">
        <v>Non-Volatile Memory Solutions Group</v>
      </c>
      <c r="B164" s="3"/>
      <c r="C164" s="51"/>
      <c r="D164" s="51" t="n">
        <v>3520</v>
      </c>
      <c r="E164" s="51" t="n">
        <v>4307</v>
      </c>
      <c r="F164" s="51" t="n">
        <v>4362</v>
      </c>
      <c r="G164" s="51" t="n">
        <v>5358</v>
      </c>
      <c r="H164" s="51"/>
      <c r="I164" s="51"/>
      <c r="J164" s="51"/>
      <c r="K164" s="51"/>
      <c r="L164" s="51"/>
      <c r="M164" s="51"/>
      <c r="N164" s="51"/>
      <c r="O164" s="51"/>
      <c r="P164" s="51"/>
      <c r="Q164" s="52" t="str">
        <f>IF(COUNT(J164,N164,O164,P164)=4,J164-N164-O164-P164,"")</f>
      </c>
      <c r="R164" s="51"/>
      <c r="S164" s="51"/>
      <c r="T164" s="51"/>
      <c r="U164" s="52" t="str">
        <f>IF(COUNT(K164,R164,S164,T164)=4,K164-R164-S164-T164,"")</f>
      </c>
      <c r="V164" s="51"/>
      <c r="W164" s="51"/>
      <c r="X164" s="51"/>
      <c r="Y164" s="52" t="str">
        <f>IF(COUNT(L164,V164,W164,X164)=4,L164-V164-W164-X164,"")</f>
      </c>
      <c r="Z164" s="51"/>
      <c r="AA164" s="51"/>
    </row>
    <row r="165" ht="22" customHeight="1">
      <c r="A165" s="49" t="str">
        <v>Programmable Solutions Group</v>
      </c>
      <c r="B165" s="3"/>
      <c r="C165" s="51"/>
      <c r="D165" s="51" t="n">
        <v>1902</v>
      </c>
      <c r="E165" s="51" t="n">
        <v>2123</v>
      </c>
      <c r="F165" s="51" t="n">
        <v>1987</v>
      </c>
      <c r="G165" s="51" t="n">
        <v>1853</v>
      </c>
      <c r="H165" s="51"/>
      <c r="I165" s="51"/>
      <c r="J165" s="51"/>
      <c r="K165" s="51"/>
      <c r="L165" s="51"/>
      <c r="M165" s="51"/>
      <c r="N165" s="51"/>
      <c r="O165" s="51"/>
      <c r="P165" s="51"/>
      <c r="Q165" s="52" t="str">
        <f>IF(COUNT(J165,N165,O165,P165)=4,J165-N165-O165-P165,"")</f>
      </c>
      <c r="R165" s="51"/>
      <c r="S165" s="51"/>
      <c r="T165" s="51"/>
      <c r="U165" s="52" t="str">
        <f>IF(COUNT(K165,R165,S165,T165)=4,K165-R165-S165-T165,"")</f>
      </c>
      <c r="V165" s="51"/>
      <c r="W165" s="51"/>
      <c r="X165" s="51"/>
      <c r="Y165" s="52" t="str">
        <f>IF(COUNT(L165,V165,W165,X165)=4,L165-V165-W165-X165,"")</f>
      </c>
      <c r="Z165" s="51"/>
      <c r="AA165" s="51"/>
    </row>
    <row r="166" ht="22" customHeight="1">
      <c r="A166" s="53" t="str">
        <v>CCG PLATFORM: Platform</v>
      </c>
      <c r="B166" s="3"/>
      <c r="C166" s="51"/>
      <c r="D166" s="51" t="n">
        <v>31226</v>
      </c>
      <c r="E166" s="51" t="n">
        <v>33234</v>
      </c>
      <c r="F166" s="51" t="n">
        <v>32681</v>
      </c>
      <c r="G166" s="51" t="n">
        <v>35642</v>
      </c>
      <c r="H166" s="51"/>
      <c r="I166" s="51"/>
      <c r="J166" s="51"/>
      <c r="K166" s="51"/>
      <c r="L166" s="51"/>
      <c r="M166" s="51"/>
      <c r="N166" s="51"/>
      <c r="O166" s="51"/>
      <c r="P166" s="51"/>
      <c r="Q166" s="52" t="str">
        <f>IF(COUNT(J166,N166,O166,P166)=4,J166-N166-O166-P166,"")</f>
      </c>
      <c r="R166" s="51"/>
      <c r="S166" s="51"/>
      <c r="T166" s="51"/>
      <c r="U166" s="52" t="str">
        <f>IF(COUNT(K166,R166,S166,T166)=4,K166-R166-S166-T166,"")</f>
      </c>
      <c r="V166" s="51"/>
      <c r="W166" s="51"/>
      <c r="X166" s="51"/>
      <c r="Y166" s="52" t="str">
        <f>IF(COUNT(L166,V166,W166,X166)=4,L166-V166-W166-X166,"")</f>
      </c>
      <c r="Z166" s="51"/>
      <c r="AA166" s="51"/>
    </row>
    <row r="167" ht="22" customHeight="1">
      <c r="A167" s="53" t="str">
        <v>CCG ADJACENT: Adjacent</v>
      </c>
      <c r="B167" s="3"/>
      <c r="C167" s="51"/>
      <c r="D167" s="51" t="n">
        <v>2777</v>
      </c>
      <c r="E167" s="51" t="n">
        <v>3770</v>
      </c>
      <c r="F167" s="51" t="n">
        <v>4465</v>
      </c>
      <c r="G167" s="51" t="n">
        <v>4415</v>
      </c>
      <c r="H167" s="51"/>
      <c r="I167" s="51"/>
      <c r="J167" s="51"/>
      <c r="K167" s="51"/>
      <c r="L167" s="51"/>
      <c r="M167" s="51"/>
      <c r="N167" s="51"/>
      <c r="O167" s="51"/>
      <c r="P167" s="51"/>
      <c r="Q167" s="52" t="str">
        <f>IF(COUNT(J167,N167,O167,P167)=4,J167-N167-O167-P167,"")</f>
      </c>
      <c r="R167" s="51"/>
      <c r="S167" s="51"/>
      <c r="T167" s="51"/>
      <c r="U167" s="52" t="str">
        <f>IF(COUNT(K167,R167,S167,T167)=4,K167-R167-S167-T167,"")</f>
      </c>
      <c r="V167" s="51"/>
      <c r="W167" s="51"/>
      <c r="X167" s="51"/>
      <c r="Y167" s="52" t="str">
        <f>IF(COUNT(L167,V167,W167,X167)=4,L167-V167-W167-X167,"")</f>
      </c>
      <c r="Z167" s="51"/>
      <c r="AA167" s="51"/>
    </row>
    <row r="168" ht="22" customHeight="1">
      <c r="A168" s="49" t="str">
        <v>[Client Computing Group total]</v>
      </c>
      <c r="B168" s="3"/>
      <c r="C168" s="51"/>
      <c r="D168" s="51" t="n">
        <v>34003</v>
      </c>
      <c r="E168" s="51" t="n">
        <v>37004</v>
      </c>
      <c r="F168" s="51" t="n">
        <v>37146</v>
      </c>
      <c r="G168" s="51" t="n">
        <v>40057</v>
      </c>
      <c r="H168" s="51"/>
      <c r="I168" s="51"/>
      <c r="J168" s="51"/>
      <c r="K168" s="51"/>
      <c r="L168" s="51"/>
      <c r="M168" s="51"/>
      <c r="N168" s="51"/>
      <c r="O168" s="51"/>
      <c r="P168" s="51"/>
      <c r="Q168" s="52" t="str">
        <f>IF(COUNT(J168,N168,O168,P168)=4,J168-N168-O168-P168,"")</f>
      </c>
      <c r="R168" s="51"/>
      <c r="S168" s="51"/>
      <c r="T168" s="51"/>
      <c r="U168" s="52" t="str">
        <f>IF(COUNT(K168,R168,S168,T168)=4,K168-R168-S168-T168,"")</f>
      </c>
      <c r="V168" s="51"/>
      <c r="W168" s="51"/>
      <c r="X168" s="51"/>
      <c r="Y168" s="52" t="str">
        <f>IF(COUNT(L168,V168,W168,X168)=4,L168-V168-W168-X168,"")</f>
      </c>
      <c r="Z168" s="51"/>
      <c r="AA168" s="51"/>
    </row>
    <row r="169" ht="22" customHeight="1">
      <c r="A169" s="49" t="str">
        <v>All other</v>
      </c>
      <c r="B169" s="3"/>
      <c r="C169" s="51"/>
      <c r="D169" s="51" t="n">
        <v>893</v>
      </c>
      <c r="E169" s="51" t="n">
        <v>270</v>
      </c>
      <c r="F169" s="51" t="n">
        <v>289</v>
      </c>
      <c r="G169" s="51" t="n">
        <v>522</v>
      </c>
      <c r="H169" s="51"/>
      <c r="I169" s="51"/>
      <c r="J169" s="51"/>
      <c r="K169" s="51"/>
      <c r="L169" s="51"/>
      <c r="M169" s="51"/>
      <c r="N169" s="51"/>
      <c r="O169" s="51"/>
      <c r="P169" s="51"/>
      <c r="Q169" s="52" t="str">
        <f>IF(COUNT(J169,N169,O169,P169)=4,J169-N169-O169-P169,"")</f>
      </c>
      <c r="R169" s="51"/>
      <c r="S169" s="51"/>
      <c r="T169" s="51"/>
      <c r="U169" s="52" t="str">
        <f>IF(COUNT(K169,R169,S169,T169)=4,K169-R169-S169-T169,"")</f>
      </c>
      <c r="V169" s="51"/>
      <c r="W169" s="51"/>
      <c r="X169" s="51"/>
      <c r="Y169" s="52" t="str">
        <f>IF(COUNT(L169,V169,W169,X169)=4,L169-V169-W169-X169,"")</f>
      </c>
      <c r="Z169" s="51"/>
      <c r="AA169" s="51"/>
    </row>
    <row r="170" ht="24" customHeight="1">
      <c r="A170" s="34" t="str">
        <v>Total net revenue</v>
      </c>
      <c r="B170" s="35"/>
      <c r="C170" s="36"/>
      <c r="D170" s="36" t="n">
        <v>62761</v>
      </c>
      <c r="E170" s="36" t="n">
        <v>70848</v>
      </c>
      <c r="F170" s="36" t="n">
        <v>71965</v>
      </c>
      <c r="G170" s="36" t="n">
        <v>77867</v>
      </c>
      <c r="H170" s="36"/>
      <c r="I170" s="36"/>
      <c r="J170" s="36"/>
      <c r="K170" s="36"/>
      <c r="L170" s="36"/>
      <c r="M170" s="36"/>
      <c r="N170" s="36"/>
      <c r="O170" s="36"/>
      <c r="P170" s="36"/>
      <c r="Q170" s="37" t="str">
        <f>IF(COUNT(J170,N170,O170,P170)=4,J170-N170-O170-P170,"")</f>
      </c>
      <c r="R170" s="36"/>
      <c r="S170" s="36"/>
      <c r="T170" s="36"/>
      <c r="U170" s="37" t="str">
        <f>IF(COUNT(K170,R170,S170,T170)=4,K170-R170-S170-T170,"")</f>
      </c>
      <c r="V170" s="36"/>
      <c r="W170" s="36"/>
      <c r="X170" s="36"/>
      <c r="Y170" s="37" t="str">
        <f>IF(COUNT(L170,V170,W170,X170)=4,L170-V170-W170-X170,"")</f>
      </c>
      <c r="Z170" s="36"/>
      <c r="AA170" s="36"/>
    </row>
    <row r="171" ht="22" customHeight="1">
      <c r="A171" s="49" t="str">
        <v>Check: segment lines - printed total (should be 0)</v>
      </c>
      <c r="B171" s="3"/>
      <c r="C171" s="59"/>
      <c r="D171" s="59" t="n">
        <f>IF(COUNT(D160,D161,D162,D164,D165,D168,D169,D170)=8,D160+D161+D162+D164+D165+D168+D169-D170,"")</f>
        <v>0</v>
      </c>
      <c r="E171" s="59" t="n">
        <f>IF(COUNT(E160,E161,E162,E164,E165,E168,E169,E170)=8,E160+E161+E162+E164+E165+E168+E169-E170,"")</f>
        <v>0</v>
      </c>
      <c r="F171" s="59" t="n">
        <f>IF(COUNT(F160,F161,F162,F164,F165,F168,F169,F170)=8,F160+F161+F162+F164+F165+F168+F169-F170,"")</f>
        <v>0</v>
      </c>
      <c r="G171" s="59" t="n">
        <f>IF(COUNT(G160,G161,G162,G164,G165,G168,G169,G170)=8,G160+G161+G162+G164+G165+G168+G169-G170,"")</f>
        <v>0</v>
      </c>
      <c r="H171" s="59"/>
      <c r="I171" s="59"/>
      <c r="J171" s="59"/>
      <c r="K171" s="59"/>
      <c r="L171" s="59"/>
      <c r="M171" s="59"/>
      <c r="N171" s="59"/>
      <c r="O171" s="59"/>
      <c r="P171" s="59"/>
      <c r="Q171" s="59"/>
      <c r="R171" s="59"/>
      <c r="S171" s="59"/>
      <c r="T171" s="59"/>
      <c r="U171" s="59"/>
      <c r="V171" s="59"/>
      <c r="W171" s="59"/>
      <c r="X171" s="59"/>
      <c r="Y171" s="59"/>
      <c r="Z171" s="59"/>
      <c r="AA171" s="59"/>
    </row>
    <row r="172" ht="8"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22" customHeight="1">
      <c r="A173" s="21" t="str">
        <v>FY2019 reporting framework: Operating income (loss)</v>
      </c>
      <c r="B173" s="21" t="str">
        <v>FY2019 reporting framework: Operating income (loss)</v>
      </c>
      <c r="C173" s="21" t="str">
        <v>FY2019 reporting framework: Operating income (loss)</v>
      </c>
      <c r="D173" s="21" t="str">
        <v>FY2019 reporting framework: Operating income (loss)</v>
      </c>
      <c r="E173" s="21" t="str">
        <v>FY2019 reporting framework: Operating income (loss)</v>
      </c>
      <c r="F173" s="21" t="str">
        <v>FY2019 reporting framework: Operating income (loss)</v>
      </c>
      <c r="G173" s="21" t="str">
        <v>FY2019 reporting framework: Operating income (loss)</v>
      </c>
      <c r="H173" s="21" t="str">
        <v>FY2019 reporting framework: Operating income (loss)</v>
      </c>
      <c r="I173" s="21" t="str">
        <v>FY2019 reporting framework: Operating income (loss)</v>
      </c>
      <c r="J173" s="21" t="str">
        <v>FY2019 reporting framework: Operating income (loss)</v>
      </c>
      <c r="K173" s="21" t="str">
        <v>FY2019 reporting framework: Operating income (loss)</v>
      </c>
      <c r="L173" s="21" t="str">
        <v>FY2019 reporting framework: Operating income (loss)</v>
      </c>
      <c r="M173" s="21" t="str">
        <v>FY2019 reporting framework: Operating income (loss)</v>
      </c>
      <c r="N173" s="21" t="str">
        <v>FY2019 reporting framework: Operating income (loss)</v>
      </c>
      <c r="O173" s="21" t="str">
        <v>FY2019 reporting framework: Operating income (loss)</v>
      </c>
      <c r="P173" s="21" t="str">
        <v>FY2019 reporting framework: Operating income (loss)</v>
      </c>
      <c r="Q173" s="21" t="str">
        <v>FY2019 reporting framework: Operating income (loss)</v>
      </c>
      <c r="R173" s="21" t="str">
        <v>FY2019 reporting framework: Operating income (loss)</v>
      </c>
      <c r="S173" s="21" t="str">
        <v>FY2019 reporting framework: Operating income (loss)</v>
      </c>
      <c r="T173" s="21" t="str">
        <v>FY2019 reporting framework: Operating income (loss)</v>
      </c>
      <c r="U173" s="21" t="str">
        <v>FY2019 reporting framework: Operating income (loss)</v>
      </c>
      <c r="V173" s="21" t="str">
        <v>FY2019 reporting framework: Operating income (loss)</v>
      </c>
      <c r="W173" s="21" t="str">
        <v>FY2019 reporting framework: Operating income (loss)</v>
      </c>
      <c r="X173" s="21" t="str">
        <v>FY2019 reporting framework: Operating income (loss)</v>
      </c>
      <c r="Y173" s="21" t="str">
        <v>FY2019 reporting framework: Operating income (loss)</v>
      </c>
      <c r="Z173" s="21" t="str">
        <v>FY2019 reporting framework: Operating income (loss)</v>
      </c>
      <c r="AA173" s="21" t="str">
        <v>FY2019 reporting framework: Operating income (loss)</v>
      </c>
    </row>
    <row r="174" ht="18" customHeight="1">
      <c r="A174" s="22" t="str">
        <v>Historical segment definitions differ from the current framework; compare within this section only.</v>
      </c>
      <c r="B174" s="22" t="str">
        <v>Historical segment definitions differ from the current framework; compare within this section only.</v>
      </c>
      <c r="C174" s="22" t="str">
        <v>Historical segment definitions differ from the current framework; compare within this section only.</v>
      </c>
      <c r="D174" s="22" t="str">
        <v>Historical segment definitions differ from the current framework; compare within this section only.</v>
      </c>
      <c r="E174" s="22" t="str">
        <v>Historical segment definitions differ from the current framework; compare within this section only.</v>
      </c>
      <c r="F174" s="22" t="str">
        <v>Historical segment definitions differ from the current framework; compare within this section only.</v>
      </c>
      <c r="G174" s="22" t="str">
        <v>Historical segment definitions differ from the current framework; compare within this section only.</v>
      </c>
      <c r="H174" s="22" t="str">
        <v>Historical segment definitions differ from the current framework; compare within this section only.</v>
      </c>
      <c r="I174" s="22" t="str">
        <v>Historical segment definitions differ from the current framework; compare within this section only.</v>
      </c>
      <c r="J174" s="22" t="str">
        <v>Historical segment definitions differ from the current framework; compare within this section only.</v>
      </c>
      <c r="K174" s="22" t="str">
        <v>Historical segment definitions differ from the current framework; compare within this section only.</v>
      </c>
      <c r="L174" s="22" t="str">
        <v>Historical segment definitions differ from the current framework; compare within this section only.</v>
      </c>
      <c r="M174" s="22" t="str">
        <v>Historical segment definitions differ from the current framework; compare within this section only.</v>
      </c>
      <c r="N174" s="22" t="str">
        <v>Historical segment definitions differ from the current framework; compare within this section only.</v>
      </c>
      <c r="O174" s="22" t="str">
        <v>Historical segment definitions differ from the current framework; compare within this section only.</v>
      </c>
      <c r="P174" s="22" t="str">
        <v>Historical segment definitions differ from the current framework; compare within this section only.</v>
      </c>
      <c r="Q174" s="22" t="str">
        <v>Historical segment definitions differ from the current framework; compare within this section only.</v>
      </c>
      <c r="R174" s="22" t="str">
        <v>Historical segment definitions differ from the current framework; compare within this section only.</v>
      </c>
      <c r="S174" s="22" t="str">
        <v>Historical segment definitions differ from the current framework; compare within this section only.</v>
      </c>
      <c r="T174" s="22" t="str">
        <v>Historical segment definitions differ from the current framework; compare within this section only.</v>
      </c>
      <c r="U174" s="22" t="str">
        <v>Historical segment definitions differ from the current framework; compare within this section only.</v>
      </c>
      <c r="V174" s="22" t="str">
        <v>Historical segment definitions differ from the current framework; compare within this section only.</v>
      </c>
      <c r="W174" s="22" t="str">
        <v>Historical segment definitions differ from the current framework; compare within this section only.</v>
      </c>
      <c r="X174" s="22" t="str">
        <v>Historical segment definitions differ from the current framework; compare within this section only.</v>
      </c>
      <c r="Y174" s="22" t="str">
        <v>Historical segment definitions differ from the current framework; compare within this section only.</v>
      </c>
      <c r="Z174" s="22" t="str">
        <v>Historical segment definitions differ from the current framework; compare within this section only.</v>
      </c>
      <c r="AA174" s="22" t="str">
        <v>Historical segment definitions differ from the current framework; compare within this section only.</v>
      </c>
    </row>
    <row r="175" ht="22" customHeight="1">
      <c r="A175" s="49" t="str">
        <v>Data Center Group</v>
      </c>
      <c r="B175" s="3"/>
      <c r="C175" s="51"/>
      <c r="D175" s="51" t="n">
        <v>8395</v>
      </c>
      <c r="E175" s="51" t="n">
        <v>11476</v>
      </c>
      <c r="F175" s="51" t="n">
        <v>10227</v>
      </c>
      <c r="G175" s="51" t="n">
        <v>10571</v>
      </c>
      <c r="H175" s="51"/>
      <c r="I175" s="51"/>
      <c r="J175" s="51"/>
      <c r="K175" s="51"/>
      <c r="L175" s="51"/>
      <c r="M175" s="51"/>
      <c r="N175" s="51"/>
      <c r="O175" s="51"/>
      <c r="P175" s="51"/>
      <c r="Q175" s="52" t="str">
        <f>IF(COUNT(J175,N175,O175,P175)=4,J175-N175-O175-P175,"")</f>
      </c>
      <c r="R175" s="51"/>
      <c r="S175" s="51"/>
      <c r="T175" s="51"/>
      <c r="U175" s="52" t="str">
        <f>IF(COUNT(K175,R175,S175,T175)=4,K175-R175-S175-T175,"")</f>
      </c>
      <c r="V175" s="51"/>
      <c r="W175" s="51"/>
      <c r="X175" s="51"/>
      <c r="Y175" s="52" t="str">
        <f>IF(COUNT(L175,V175,W175,X175)=4,L175-V175-W175-X175,"")</f>
      </c>
      <c r="Z175" s="51"/>
      <c r="AA175" s="51"/>
    </row>
    <row r="176" ht="22" customHeight="1">
      <c r="A176" s="49" t="str">
        <v>IOTG</v>
      </c>
      <c r="B176" s="3"/>
      <c r="C176" s="51"/>
      <c r="D176" s="51" t="n">
        <v>650</v>
      </c>
      <c r="E176" s="51" t="n">
        <v>980</v>
      </c>
      <c r="F176" s="51" t="n">
        <v>1097</v>
      </c>
      <c r="G176" s="51" t="n">
        <v>497</v>
      </c>
      <c r="H176" s="51"/>
      <c r="I176" s="51"/>
      <c r="J176" s="51"/>
      <c r="K176" s="51"/>
      <c r="L176" s="51"/>
      <c r="M176" s="51"/>
      <c r="N176" s="51"/>
      <c r="O176" s="51"/>
      <c r="P176" s="51"/>
      <c r="Q176" s="52" t="str">
        <f>IF(COUNT(J176,N176,O176,P176)=4,J176-N176-O176-P176,"")</f>
      </c>
      <c r="R176" s="51"/>
      <c r="S176" s="51"/>
      <c r="T176" s="51"/>
      <c r="U176" s="52" t="str">
        <f>IF(COUNT(K176,R176,S176,T176)=4,K176-R176-S176-T176,"")</f>
      </c>
      <c r="V176" s="51"/>
      <c r="W176" s="51"/>
      <c r="X176" s="51"/>
      <c r="Y176" s="52" t="str">
        <f>IF(COUNT(L176,V176,W176,X176)=4,L176-V176-W176-X176,"")</f>
      </c>
      <c r="Z176" s="51"/>
      <c r="AA176" s="51"/>
    </row>
    <row r="177" ht="22" customHeight="1">
      <c r="A177" s="49" t="str">
        <v>Mobileye</v>
      </c>
      <c r="B177" s="3"/>
      <c r="C177" s="51"/>
      <c r="D177" s="51" t="n">
        <v>-28</v>
      </c>
      <c r="E177" s="51" t="n">
        <v>143</v>
      </c>
      <c r="F177" s="51" t="n">
        <v>245</v>
      </c>
      <c r="G177" s="51" t="n">
        <v>241</v>
      </c>
      <c r="H177" s="51"/>
      <c r="I177" s="51"/>
      <c r="J177" s="51"/>
      <c r="K177" s="51"/>
      <c r="L177" s="51"/>
      <c r="M177" s="51"/>
      <c r="N177" s="51"/>
      <c r="O177" s="51"/>
      <c r="P177" s="51"/>
      <c r="Q177" s="52" t="str">
        <f>IF(COUNT(J177,N177,O177,P177)=4,J177-N177-O177-P177,"")</f>
      </c>
      <c r="R177" s="51"/>
      <c r="S177" s="51"/>
      <c r="T177" s="51"/>
      <c r="U177" s="52" t="str">
        <f>IF(COUNT(K177,R177,S177,T177)=4,K177-R177-S177-T177,"")</f>
      </c>
      <c r="V177" s="51"/>
      <c r="W177" s="51"/>
      <c r="X177" s="51"/>
      <c r="Y177" s="52" t="str">
        <f>IF(COUNT(L177,V177,W177,X177)=4,L177-V177-W177-X177,"")</f>
      </c>
      <c r="Z177" s="51"/>
      <c r="AA177" s="51"/>
    </row>
    <row r="178" ht="24" customHeight="1">
      <c r="A178" s="34" t="str">
        <v>[Internet of Things total]</v>
      </c>
      <c r="B178" s="35"/>
      <c r="C178" s="36"/>
      <c r="D178" s="36" t="n">
        <v>622</v>
      </c>
      <c r="E178" s="36" t="n">
        <v>1123</v>
      </c>
      <c r="F178" s="36" t="n">
        <v>1342</v>
      </c>
      <c r="G178" s="36" t="n">
        <v>738</v>
      </c>
      <c r="H178" s="36"/>
      <c r="I178" s="36"/>
      <c r="J178" s="36"/>
      <c r="K178" s="36"/>
      <c r="L178" s="36"/>
      <c r="M178" s="36"/>
      <c r="N178" s="36"/>
      <c r="O178" s="36"/>
      <c r="P178" s="36"/>
      <c r="Q178" s="37" t="str">
        <f>IF(COUNT(J178,N178,O178,P178)=4,J178-N178-O178-P178,"")</f>
      </c>
      <c r="R178" s="36"/>
      <c r="S178" s="36"/>
      <c r="T178" s="36"/>
      <c r="U178" s="37" t="str">
        <f>IF(COUNT(K178,R178,S178,T178)=4,K178-R178-S178-T178,"")</f>
      </c>
      <c r="V178" s="36"/>
      <c r="W178" s="36"/>
      <c r="X178" s="36"/>
      <c r="Y178" s="37" t="str">
        <f>IF(COUNT(L178,V178,W178,X178)=4,L178-V178-W178-X178,"")</f>
      </c>
      <c r="Z178" s="36"/>
      <c r="AA178" s="36"/>
    </row>
    <row r="179" ht="22" customHeight="1">
      <c r="A179" s="49" t="str">
        <v>Non-Volatile Memory Solutions Group</v>
      </c>
      <c r="B179" s="3"/>
      <c r="C179" s="51"/>
      <c r="D179" s="51" t="n">
        <v>-260</v>
      </c>
      <c r="E179" s="51" t="n">
        <v>-5</v>
      </c>
      <c r="F179" s="51" t="n">
        <v>-1176</v>
      </c>
      <c r="G179" s="51" t="n">
        <v>361</v>
      </c>
      <c r="H179" s="51"/>
      <c r="I179" s="51"/>
      <c r="J179" s="51"/>
      <c r="K179" s="51"/>
      <c r="L179" s="51"/>
      <c r="M179" s="51"/>
      <c r="N179" s="51"/>
      <c r="O179" s="51"/>
      <c r="P179" s="51"/>
      <c r="Q179" s="52" t="str">
        <f>IF(COUNT(J179,N179,O179,P179)=4,J179-N179-O179-P179,"")</f>
      </c>
      <c r="R179" s="51"/>
      <c r="S179" s="51"/>
      <c r="T179" s="51"/>
      <c r="U179" s="52" t="str">
        <f>IF(COUNT(K179,R179,S179,T179)=4,K179-R179-S179-T179,"")</f>
      </c>
      <c r="V179" s="51"/>
      <c r="W179" s="51"/>
      <c r="X179" s="51"/>
      <c r="Y179" s="52" t="str">
        <f>IF(COUNT(L179,V179,W179,X179)=4,L179-V179-W179-X179,"")</f>
      </c>
      <c r="Z179" s="51"/>
      <c r="AA179" s="51"/>
    </row>
    <row r="180" ht="22" customHeight="1">
      <c r="A180" s="49" t="str">
        <v>Programmable Solutions Group</v>
      </c>
      <c r="B180" s="3"/>
      <c r="C180" s="51"/>
      <c r="D180" s="51" t="n">
        <v>458</v>
      </c>
      <c r="E180" s="51" t="n">
        <v>466</v>
      </c>
      <c r="F180" s="51" t="n">
        <v>318</v>
      </c>
      <c r="G180" s="51" t="n">
        <v>260</v>
      </c>
      <c r="H180" s="51"/>
      <c r="I180" s="51"/>
      <c r="J180" s="51"/>
      <c r="K180" s="51"/>
      <c r="L180" s="51"/>
      <c r="M180" s="51"/>
      <c r="N180" s="51"/>
      <c r="O180" s="51"/>
      <c r="P180" s="51"/>
      <c r="Q180" s="52" t="str">
        <f>IF(COUNT(J180,N180,O180,P180)=4,J180-N180-O180-P180,"")</f>
      </c>
      <c r="R180" s="51"/>
      <c r="S180" s="51"/>
      <c r="T180" s="51"/>
      <c r="U180" s="52" t="str">
        <f>IF(COUNT(K180,R180,S180,T180)=4,K180-R180-S180-T180,"")</f>
      </c>
      <c r="V180" s="51"/>
      <c r="W180" s="51"/>
      <c r="X180" s="51"/>
      <c r="Y180" s="52" t="str">
        <f>IF(COUNT(L180,V180,W180,X180)=4,L180-V180-W180-X180,"")</f>
      </c>
      <c r="Z180" s="51"/>
      <c r="AA180" s="51"/>
    </row>
    <row r="181" ht="22" customHeight="1">
      <c r="A181" s="49" t="str">
        <v>Client Computing Group</v>
      </c>
      <c r="B181" s="3"/>
      <c r="C181" s="51"/>
      <c r="D181" s="51" t="n">
        <v>12919</v>
      </c>
      <c r="E181" s="51" t="n">
        <v>14222</v>
      </c>
      <c r="F181" s="51" t="n">
        <v>15202</v>
      </c>
      <c r="G181" s="51" t="n">
        <v>15129</v>
      </c>
      <c r="H181" s="51"/>
      <c r="I181" s="51"/>
      <c r="J181" s="51"/>
      <c r="K181" s="51"/>
      <c r="L181" s="51"/>
      <c r="M181" s="51"/>
      <c r="N181" s="51"/>
      <c r="O181" s="51"/>
      <c r="P181" s="51"/>
      <c r="Q181" s="52" t="str">
        <f>IF(COUNT(J181,N181,O181,P181)=4,J181-N181-O181-P181,"")</f>
      </c>
      <c r="R181" s="51"/>
      <c r="S181" s="51"/>
      <c r="T181" s="51"/>
      <c r="U181" s="52" t="str">
        <f>IF(COUNT(K181,R181,S181,T181)=4,K181-R181-S181-T181,"")</f>
      </c>
      <c r="V181" s="51"/>
      <c r="W181" s="51"/>
      <c r="X181" s="51"/>
      <c r="Y181" s="52" t="str">
        <f>IF(COUNT(L181,V181,W181,X181)=4,L181-V181-W181-X181,"")</f>
      </c>
      <c r="Z181" s="51"/>
      <c r="AA181" s="51"/>
    </row>
    <row r="182" ht="22" customHeight="1">
      <c r="A182" s="49" t="str">
        <v>All other</v>
      </c>
      <c r="B182" s="3"/>
      <c r="C182" s="51"/>
      <c r="D182" s="51" t="n">
        <v>-4084</v>
      </c>
      <c r="E182" s="51" t="n">
        <v>-3966</v>
      </c>
      <c r="F182" s="51" t="n">
        <v>-3878</v>
      </c>
      <c r="G182" s="51" t="n">
        <v>-3381</v>
      </c>
      <c r="H182" s="51"/>
      <c r="I182" s="51"/>
      <c r="J182" s="51"/>
      <c r="K182" s="51"/>
      <c r="L182" s="51"/>
      <c r="M182" s="51"/>
      <c r="N182" s="51"/>
      <c r="O182" s="51"/>
      <c r="P182" s="51"/>
      <c r="Q182" s="52" t="str">
        <f>IF(COUNT(J182,N182,O182,P182)=4,J182-N182-O182-P182,"")</f>
      </c>
      <c r="R182" s="51"/>
      <c r="S182" s="51"/>
      <c r="T182" s="51"/>
      <c r="U182" s="52" t="str">
        <f>IF(COUNT(K182,R182,S182,T182)=4,K182-R182-S182-T182,"")</f>
      </c>
      <c r="V182" s="51"/>
      <c r="W182" s="51"/>
      <c r="X182" s="51"/>
      <c r="Y182" s="52" t="str">
        <f>IF(COUNT(L182,V182,W182,X182)=4,L182-V182-W182-X182,"")</f>
      </c>
      <c r="Z182" s="51"/>
      <c r="AA182" s="51"/>
    </row>
    <row r="183" ht="24" customHeight="1">
      <c r="A183" s="34" t="str">
        <v>Total operating income</v>
      </c>
      <c r="B183" s="35"/>
      <c r="C183" s="36"/>
      <c r="D183" s="36" t="n">
        <v>18050</v>
      </c>
      <c r="E183" s="36" t="n">
        <v>23316</v>
      </c>
      <c r="F183" s="36" t="n">
        <v>22035</v>
      </c>
      <c r="G183" s="36" t="n">
        <v>23678</v>
      </c>
      <c r="H183" s="36"/>
      <c r="I183" s="36"/>
      <c r="J183" s="36"/>
      <c r="K183" s="36"/>
      <c r="L183" s="36"/>
      <c r="M183" s="36"/>
      <c r="N183" s="36"/>
      <c r="O183" s="36"/>
      <c r="P183" s="36"/>
      <c r="Q183" s="37" t="str">
        <f>IF(COUNT(J183,N183,O183,P183)=4,J183-N183-O183-P183,"")</f>
      </c>
      <c r="R183" s="36"/>
      <c r="S183" s="36"/>
      <c r="T183" s="36"/>
      <c r="U183" s="37" t="str">
        <f>IF(COUNT(K183,R183,S183,T183)=4,K183-R183-S183-T183,"")</f>
      </c>
      <c r="V183" s="36"/>
      <c r="W183" s="36"/>
      <c r="X183" s="36"/>
      <c r="Y183" s="37" t="str">
        <f>IF(COUNT(L183,V183,W183,X183)=4,L183-V183-W183-X183,"")</f>
      </c>
      <c r="Z183" s="36"/>
      <c r="AA183" s="36"/>
    </row>
    <row r="184" ht="22" customHeight="1">
      <c r="A184" s="49" t="str">
        <v>Check: segment lines - printed total (should be 0)</v>
      </c>
      <c r="B184" s="3"/>
      <c r="C184" s="59"/>
      <c r="D184" s="59" t="n">
        <f>IF(COUNT(D175,D176,D177,D179,D180,D181,D182,D183)=8,D175+D176+D177+D179+D180+D181+D182-D183,"")</f>
        <v>0</v>
      </c>
      <c r="E184" s="59" t="n">
        <f>IF(COUNT(E175,E176,E177,E179,E180,E181,E182,E183)=8,E175+E176+E177+E179+E180+E181+E182-E183,"")</f>
        <v>0</v>
      </c>
      <c r="F184" s="59" t="n">
        <f>IF(COUNT(F175,F176,F177,F179,F180,F181,F182,F183)=8,F175+F176+F177+F179+F180+F181+F182-F183,"")</f>
        <v>0</v>
      </c>
      <c r="G184" s="59" t="n">
        <f>IF(COUNT(G175,G176,G177,G179,G180,G181,G182,G183)=8,G175+G176+G177+G179+G180+G181+G182-G183,"")</f>
        <v>0</v>
      </c>
      <c r="H184" s="59"/>
      <c r="I184" s="59"/>
      <c r="J184" s="59"/>
      <c r="K184" s="59"/>
      <c r="L184" s="59"/>
      <c r="M184" s="59"/>
      <c r="N184" s="59"/>
      <c r="O184" s="59"/>
      <c r="P184" s="59"/>
      <c r="Q184" s="59"/>
      <c r="R184" s="59"/>
      <c r="S184" s="59"/>
      <c r="T184" s="59"/>
      <c r="U184" s="59"/>
      <c r="V184" s="59"/>
      <c r="W184" s="59"/>
      <c r="X184" s="59"/>
      <c r="Y184" s="59"/>
      <c r="Z184" s="59"/>
      <c r="AA184" s="59"/>
    </row>
    <row r="185" ht="8"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22" customHeight="1">
      <c r="A186" s="21" t="str">
        <v>FY2021 reporting framework: Net revenue</v>
      </c>
      <c r="B186" s="21" t="str">
        <v>FY2021 reporting framework: Net revenue</v>
      </c>
      <c r="C186" s="21" t="str">
        <v>FY2021 reporting framework: Net revenue</v>
      </c>
      <c r="D186" s="21" t="str">
        <v>FY2021 reporting framework: Net revenue</v>
      </c>
      <c r="E186" s="21" t="str">
        <v>FY2021 reporting framework: Net revenue</v>
      </c>
      <c r="F186" s="21" t="str">
        <v>FY2021 reporting framework: Net revenue</v>
      </c>
      <c r="G186" s="21" t="str">
        <v>FY2021 reporting framework: Net revenue</v>
      </c>
      <c r="H186" s="21" t="str">
        <v>FY2021 reporting framework: Net revenue</v>
      </c>
      <c r="I186" s="21" t="str">
        <v>FY2021 reporting framework: Net revenue</v>
      </c>
      <c r="J186" s="21" t="str">
        <v>FY2021 reporting framework: Net revenue</v>
      </c>
      <c r="K186" s="21" t="str">
        <v>FY2021 reporting framework: Net revenue</v>
      </c>
      <c r="L186" s="21" t="str">
        <v>FY2021 reporting framework: Net revenue</v>
      </c>
      <c r="M186" s="21" t="str">
        <v>FY2021 reporting framework: Net revenue</v>
      </c>
      <c r="N186" s="21" t="str">
        <v>FY2021 reporting framework: Net revenue</v>
      </c>
      <c r="O186" s="21" t="str">
        <v>FY2021 reporting framework: Net revenue</v>
      </c>
      <c r="P186" s="21" t="str">
        <v>FY2021 reporting framework: Net revenue</v>
      </c>
      <c r="Q186" s="21" t="str">
        <v>FY2021 reporting framework: Net revenue</v>
      </c>
      <c r="R186" s="21" t="str">
        <v>FY2021 reporting framework: Net revenue</v>
      </c>
      <c r="S186" s="21" t="str">
        <v>FY2021 reporting framework: Net revenue</v>
      </c>
      <c r="T186" s="21" t="str">
        <v>FY2021 reporting framework: Net revenue</v>
      </c>
      <c r="U186" s="21" t="str">
        <v>FY2021 reporting framework: Net revenue</v>
      </c>
      <c r="V186" s="21" t="str">
        <v>FY2021 reporting framework: Net revenue</v>
      </c>
      <c r="W186" s="21" t="str">
        <v>FY2021 reporting framework: Net revenue</v>
      </c>
      <c r="X186" s="21" t="str">
        <v>FY2021 reporting framework: Net revenue</v>
      </c>
      <c r="Y186" s="21" t="str">
        <v>FY2021 reporting framework: Net revenue</v>
      </c>
      <c r="Z186" s="21" t="str">
        <v>FY2021 reporting framework: Net revenue</v>
      </c>
      <c r="AA186" s="21" t="str">
        <v>FY2021 reporting framework: Net revenue</v>
      </c>
    </row>
    <row r="187" ht="18" customHeight="1">
      <c r="A187" s="22" t="str">
        <v>Historical segment definitions differ from the current framework; compare within this section only.</v>
      </c>
      <c r="B187" s="22" t="str">
        <v>Historical segment definitions differ from the current framework; compare within this section only.</v>
      </c>
      <c r="C187" s="22" t="str">
        <v>Historical segment definitions differ from the current framework; compare within this section only.</v>
      </c>
      <c r="D187" s="22" t="str">
        <v>Historical segment definitions differ from the current framework; compare within this section only.</v>
      </c>
      <c r="E187" s="22" t="str">
        <v>Historical segment definitions differ from the current framework; compare within this section only.</v>
      </c>
      <c r="F187" s="22" t="str">
        <v>Historical segment definitions differ from the current framework; compare within this section only.</v>
      </c>
      <c r="G187" s="22" t="str">
        <v>Historical segment definitions differ from the current framework; compare within this section only.</v>
      </c>
      <c r="H187" s="22" t="str">
        <v>Historical segment definitions differ from the current framework; compare within this section only.</v>
      </c>
      <c r="I187" s="22" t="str">
        <v>Historical segment definitions differ from the current framework; compare within this section only.</v>
      </c>
      <c r="J187" s="22" t="str">
        <v>Historical segment definitions differ from the current framework; compare within this section only.</v>
      </c>
      <c r="K187" s="22" t="str">
        <v>Historical segment definitions differ from the current framework; compare within this section only.</v>
      </c>
      <c r="L187" s="22" t="str">
        <v>Historical segment definitions differ from the current framework; compare within this section only.</v>
      </c>
      <c r="M187" s="22" t="str">
        <v>Historical segment definitions differ from the current framework; compare within this section only.</v>
      </c>
      <c r="N187" s="22" t="str">
        <v>Historical segment definitions differ from the current framework; compare within this section only.</v>
      </c>
      <c r="O187" s="22" t="str">
        <v>Historical segment definitions differ from the current framework; compare within this section only.</v>
      </c>
      <c r="P187" s="22" t="str">
        <v>Historical segment definitions differ from the current framework; compare within this section only.</v>
      </c>
      <c r="Q187" s="22" t="str">
        <v>Historical segment definitions differ from the current framework; compare within this section only.</v>
      </c>
      <c r="R187" s="22" t="str">
        <v>Historical segment definitions differ from the current framework; compare within this section only.</v>
      </c>
      <c r="S187" s="22" t="str">
        <v>Historical segment definitions differ from the current framework; compare within this section only.</v>
      </c>
      <c r="T187" s="22" t="str">
        <v>Historical segment definitions differ from the current framework; compare within this section only.</v>
      </c>
      <c r="U187" s="22" t="str">
        <v>Historical segment definitions differ from the current framework; compare within this section only.</v>
      </c>
      <c r="V187" s="22" t="str">
        <v>Historical segment definitions differ from the current framework; compare within this section only.</v>
      </c>
      <c r="W187" s="22" t="str">
        <v>Historical segment definitions differ from the current framework; compare within this section only.</v>
      </c>
      <c r="X187" s="22" t="str">
        <v>Historical segment definitions differ from the current framework; compare within this section only.</v>
      </c>
      <c r="Y187" s="22" t="str">
        <v>Historical segment definitions differ from the current framework; compare within this section only.</v>
      </c>
      <c r="Z187" s="22" t="str">
        <v>Historical segment definitions differ from the current framework; compare within this section only.</v>
      </c>
      <c r="AA187" s="22" t="str">
        <v>Historical segment definitions differ from the current framework; compare within this section only.</v>
      </c>
    </row>
    <row r="188" ht="22" customHeight="1">
      <c r="A188" s="53" t="str">
        <v>CCG PLATFORM: Platform</v>
      </c>
      <c r="B188" s="3"/>
      <c r="C188" s="51"/>
      <c r="D188" s="51"/>
      <c r="E188" s="51"/>
      <c r="F188" s="51" t="n">
        <v>32681</v>
      </c>
      <c r="G188" s="51" t="n">
        <v>35642</v>
      </c>
      <c r="H188" s="51" t="n">
        <v>37376</v>
      </c>
      <c r="I188" s="51"/>
      <c r="J188" s="51"/>
      <c r="K188" s="51"/>
      <c r="L188" s="51"/>
      <c r="M188" s="51"/>
      <c r="N188" s="51"/>
      <c r="O188" s="51"/>
      <c r="P188" s="51"/>
      <c r="Q188" s="52" t="str">
        <f>IF(COUNT(J188,N188,O188,P188)=4,J188-N188-O188-P188,"")</f>
      </c>
      <c r="R188" s="51"/>
      <c r="S188" s="51"/>
      <c r="T188" s="51"/>
      <c r="U188" s="52" t="str">
        <f>IF(COUNT(K188,R188,S188,T188)=4,K188-R188-S188-T188,"")</f>
      </c>
      <c r="V188" s="51"/>
      <c r="W188" s="51"/>
      <c r="X188" s="51"/>
      <c r="Y188" s="52" t="str">
        <f>IF(COUNT(L188,V188,W188,X188)=4,L188-V188-W188-X188,"")</f>
      </c>
      <c r="Z188" s="51"/>
      <c r="AA188" s="51"/>
    </row>
    <row r="189" ht="22" customHeight="1">
      <c r="A189" s="53" t="str">
        <v>CCG ADJACENT: Adjacent</v>
      </c>
      <c r="B189" s="3"/>
      <c r="C189" s="51"/>
      <c r="D189" s="51"/>
      <c r="E189" s="51"/>
      <c r="F189" s="51" t="n">
        <v>4465</v>
      </c>
      <c r="G189" s="51" t="n">
        <v>4415</v>
      </c>
      <c r="H189" s="51" t="n">
        <v>3135</v>
      </c>
      <c r="I189" s="51"/>
      <c r="J189" s="51"/>
      <c r="K189" s="51"/>
      <c r="L189" s="51"/>
      <c r="M189" s="51"/>
      <c r="N189" s="51"/>
      <c r="O189" s="51"/>
      <c r="P189" s="51"/>
      <c r="Q189" s="52" t="str">
        <f>IF(COUNT(J189,N189,O189,P189)=4,J189-N189-O189-P189,"")</f>
      </c>
      <c r="R189" s="51"/>
      <c r="S189" s="51"/>
      <c r="T189" s="51"/>
      <c r="U189" s="52" t="str">
        <f>IF(COUNT(K189,R189,S189,T189)=4,K189-R189-S189-T189,"")</f>
      </c>
      <c r="V189" s="51"/>
      <c r="W189" s="51"/>
      <c r="X189" s="51"/>
      <c r="Y189" s="52" t="str">
        <f>IF(COUNT(L189,V189,W189,X189)=4,L189-V189-W189-X189,"")</f>
      </c>
      <c r="Z189" s="51"/>
      <c r="AA189" s="51"/>
    </row>
    <row r="190" ht="22" customHeight="1">
      <c r="A190" s="49" t="str">
        <v>[Client Computing Group total]</v>
      </c>
      <c r="B190" s="3"/>
      <c r="C190" s="51"/>
      <c r="D190" s="51"/>
      <c r="E190" s="51"/>
      <c r="F190" s="51" t="n">
        <v>37146</v>
      </c>
      <c r="G190" s="51" t="n">
        <v>40057</v>
      </c>
      <c r="H190" s="51" t="n">
        <v>40511</v>
      </c>
      <c r="I190" s="51"/>
      <c r="J190" s="51"/>
      <c r="K190" s="51"/>
      <c r="L190" s="51"/>
      <c r="M190" s="51"/>
      <c r="N190" s="51"/>
      <c r="O190" s="51"/>
      <c r="P190" s="51"/>
      <c r="Q190" s="52" t="str">
        <f>IF(COUNT(J190,N190,O190,P190)=4,J190-N190-O190-P190,"")</f>
      </c>
      <c r="R190" s="51"/>
      <c r="S190" s="51"/>
      <c r="T190" s="51"/>
      <c r="U190" s="52" t="str">
        <f>IF(COUNT(K190,R190,S190,T190)=4,K190-R190-S190-T190,"")</f>
      </c>
      <c r="V190" s="51"/>
      <c r="W190" s="51"/>
      <c r="X190" s="51"/>
      <c r="Y190" s="52" t="str">
        <f>IF(COUNT(L190,V190,W190,X190)=4,L190-V190-W190-X190,"")</f>
      </c>
      <c r="Z190" s="51"/>
      <c r="AA190" s="51"/>
    </row>
    <row r="191" ht="22" customHeight="1">
      <c r="A191" s="53" t="str">
        <v>DCG PLATFORM: Platform</v>
      </c>
      <c r="B191" s="3"/>
      <c r="C191" s="51"/>
      <c r="D191" s="51"/>
      <c r="E191" s="51"/>
      <c r="F191" s="51" t="n">
        <v>21441</v>
      </c>
      <c r="G191" s="51" t="n">
        <v>23056</v>
      </c>
      <c r="H191" s="51" t="n">
        <v>22703</v>
      </c>
      <c r="I191" s="51"/>
      <c r="J191" s="51"/>
      <c r="K191" s="51"/>
      <c r="L191" s="51"/>
      <c r="M191" s="51"/>
      <c r="N191" s="51"/>
      <c r="O191" s="51"/>
      <c r="P191" s="51"/>
      <c r="Q191" s="52" t="str">
        <f>IF(COUNT(J191,N191,O191,P191)=4,J191-N191-O191-P191,"")</f>
      </c>
      <c r="R191" s="51"/>
      <c r="S191" s="51"/>
      <c r="T191" s="51"/>
      <c r="U191" s="52" t="str">
        <f>IF(COUNT(K191,R191,S191,T191)=4,K191-R191-S191-T191,"")</f>
      </c>
      <c r="V191" s="51"/>
      <c r="W191" s="51"/>
      <c r="X191" s="51"/>
      <c r="Y191" s="52" t="str">
        <f>IF(COUNT(L191,V191,W191,X191)=4,L191-V191-W191-X191,"")</f>
      </c>
      <c r="Z191" s="51"/>
      <c r="AA191" s="51"/>
    </row>
    <row r="192" ht="22" customHeight="1">
      <c r="A192" s="53" t="str">
        <v>DCG ADJACENT: Adjacent</v>
      </c>
      <c r="B192" s="3"/>
      <c r="C192" s="51"/>
      <c r="D192" s="51"/>
      <c r="E192" s="51"/>
      <c r="F192" s="51" t="n">
        <v>2040</v>
      </c>
      <c r="G192" s="51" t="n">
        <v>3047</v>
      </c>
      <c r="H192" s="51" t="n">
        <v>3118</v>
      </c>
      <c r="I192" s="51"/>
      <c r="J192" s="51"/>
      <c r="K192" s="51"/>
      <c r="L192" s="51"/>
      <c r="M192" s="51"/>
      <c r="N192" s="51"/>
      <c r="O192" s="51"/>
      <c r="P192" s="51"/>
      <c r="Q192" s="52" t="str">
        <f>IF(COUNT(J192,N192,O192,P192)=4,J192-N192-O192-P192,"")</f>
      </c>
      <c r="R192" s="51"/>
      <c r="S192" s="51"/>
      <c r="T192" s="51"/>
      <c r="U192" s="52" t="str">
        <f>IF(COUNT(K192,R192,S192,T192)=4,K192-R192-S192-T192,"")</f>
      </c>
      <c r="V192" s="51"/>
      <c r="W192" s="51"/>
      <c r="X192" s="51"/>
      <c r="Y192" s="52" t="str">
        <f>IF(COUNT(L192,V192,W192,X192)=4,L192-V192-W192-X192,"")</f>
      </c>
      <c r="Z192" s="51"/>
      <c r="AA192" s="51"/>
    </row>
    <row r="193" ht="22" customHeight="1">
      <c r="A193" s="49" t="str">
        <v>[Data Center Group total]</v>
      </c>
      <c r="B193" s="3"/>
      <c r="C193" s="51"/>
      <c r="D193" s="51"/>
      <c r="E193" s="51"/>
      <c r="F193" s="51" t="n">
        <v>23481</v>
      </c>
      <c r="G193" s="51" t="n">
        <v>26103</v>
      </c>
      <c r="H193" s="51" t="n">
        <v>25821</v>
      </c>
      <c r="I193" s="51"/>
      <c r="J193" s="51"/>
      <c r="K193" s="51"/>
      <c r="L193" s="51"/>
      <c r="M193" s="51"/>
      <c r="N193" s="51"/>
      <c r="O193" s="51"/>
      <c r="P193" s="51"/>
      <c r="Q193" s="52" t="str">
        <f>IF(COUNT(J193,N193,O193,P193)=4,J193-N193-O193-P193,"")</f>
      </c>
      <c r="R193" s="51"/>
      <c r="S193" s="51"/>
      <c r="T193" s="51"/>
      <c r="U193" s="52" t="str">
        <f>IF(COUNT(K193,R193,S193,T193)=4,K193-R193-S193-T193,"")</f>
      </c>
      <c r="V193" s="51"/>
      <c r="W193" s="51"/>
      <c r="X193" s="51"/>
      <c r="Y193" s="52" t="str">
        <f>IF(COUNT(L193,V193,W193,X193)=4,L193-V193-W193-X193,"")</f>
      </c>
      <c r="Z193" s="51"/>
      <c r="AA193" s="51"/>
    </row>
    <row r="194" ht="22" customHeight="1">
      <c r="A194" s="49" t="str">
        <v>IOTG</v>
      </c>
      <c r="B194" s="3"/>
      <c r="C194" s="51"/>
      <c r="D194" s="51"/>
      <c r="E194" s="51"/>
      <c r="F194" s="51" t="n">
        <v>3821</v>
      </c>
      <c r="G194" s="51" t="n">
        <v>3007</v>
      </c>
      <c r="H194" s="51" t="n">
        <v>3998</v>
      </c>
      <c r="I194" s="51"/>
      <c r="J194" s="51"/>
      <c r="K194" s="51"/>
      <c r="L194" s="51"/>
      <c r="M194" s="51"/>
      <c r="N194" s="51"/>
      <c r="O194" s="51"/>
      <c r="P194" s="51"/>
      <c r="Q194" s="52" t="str">
        <f>IF(COUNT(J194,N194,O194,P194)=4,J194-N194-O194-P194,"")</f>
      </c>
      <c r="R194" s="51"/>
      <c r="S194" s="51"/>
      <c r="T194" s="51"/>
      <c r="U194" s="52" t="str">
        <f>IF(COUNT(K194,R194,S194,T194)=4,K194-R194-S194-T194,"")</f>
      </c>
      <c r="V194" s="51"/>
      <c r="W194" s="51"/>
      <c r="X194" s="51"/>
      <c r="Y194" s="52" t="str">
        <f>IF(COUNT(L194,V194,W194,X194)=4,L194-V194-W194-X194,"")</f>
      </c>
      <c r="Z194" s="51"/>
      <c r="AA194" s="51"/>
    </row>
    <row r="195" ht="22" customHeight="1">
      <c r="A195" s="49" t="str">
        <v>Mobileye</v>
      </c>
      <c r="B195" s="3"/>
      <c r="C195" s="51"/>
      <c r="D195" s="51"/>
      <c r="E195" s="51"/>
      <c r="F195" s="51" t="n">
        <v>879</v>
      </c>
      <c r="G195" s="51" t="n">
        <v>967</v>
      </c>
      <c r="H195" s="51" t="n">
        <v>1386</v>
      </c>
      <c r="I195" s="51"/>
      <c r="J195" s="51"/>
      <c r="K195" s="51"/>
      <c r="L195" s="51"/>
      <c r="M195" s="51"/>
      <c r="N195" s="51"/>
      <c r="O195" s="51"/>
      <c r="P195" s="51"/>
      <c r="Q195" s="52" t="str">
        <f>IF(COUNT(J195,N195,O195,P195)=4,J195-N195-O195-P195,"")</f>
      </c>
      <c r="R195" s="51"/>
      <c r="S195" s="51"/>
      <c r="T195" s="51"/>
      <c r="U195" s="52" t="str">
        <f>IF(COUNT(K195,R195,S195,T195)=4,K195-R195-S195-T195,"")</f>
      </c>
      <c r="V195" s="51"/>
      <c r="W195" s="51"/>
      <c r="X195" s="51"/>
      <c r="Y195" s="52" t="str">
        <f>IF(COUNT(L195,V195,W195,X195)=4,L195-V195-W195-X195,"")</f>
      </c>
      <c r="Z195" s="51"/>
      <c r="AA195" s="51"/>
    </row>
    <row r="196" ht="24" customHeight="1">
      <c r="A196" s="34" t="str">
        <v>[Internet of Things total]</v>
      </c>
      <c r="B196" s="35"/>
      <c r="C196" s="36"/>
      <c r="D196" s="36"/>
      <c r="E196" s="36"/>
      <c r="F196" s="36" t="n">
        <v>4700</v>
      </c>
      <c r="G196" s="36" t="n">
        <v>3974</v>
      </c>
      <c r="H196" s="36" t="n">
        <v>5384</v>
      </c>
      <c r="I196" s="36"/>
      <c r="J196" s="36"/>
      <c r="K196" s="36"/>
      <c r="L196" s="36"/>
      <c r="M196" s="36"/>
      <c r="N196" s="36"/>
      <c r="O196" s="36"/>
      <c r="P196" s="36"/>
      <c r="Q196" s="37" t="str">
        <f>IF(COUNT(J196,N196,O196,P196)=4,J196-N196-O196-P196,"")</f>
      </c>
      <c r="R196" s="36"/>
      <c r="S196" s="36"/>
      <c r="T196" s="36"/>
      <c r="U196" s="37" t="str">
        <f>IF(COUNT(K196,R196,S196,T196)=4,K196-R196-S196-T196,"")</f>
      </c>
      <c r="V196" s="36"/>
      <c r="W196" s="36"/>
      <c r="X196" s="36"/>
      <c r="Y196" s="37" t="str">
        <f>IF(COUNT(L196,V196,W196,X196)=4,L196-V196-W196-X196,"")</f>
      </c>
      <c r="Z196" s="36"/>
      <c r="AA196" s="36"/>
    </row>
    <row r="197" ht="22" customHeight="1">
      <c r="A197" s="49" t="str">
        <v>Non-Volatile Memory Solutions Group</v>
      </c>
      <c r="B197" s="3"/>
      <c r="C197" s="51"/>
      <c r="D197" s="51"/>
      <c r="E197" s="51"/>
      <c r="F197" s="51" t="n">
        <v>4362</v>
      </c>
      <c r="G197" s="51" t="n">
        <v>5358</v>
      </c>
      <c r="H197" s="51" t="n">
        <v>4306</v>
      </c>
      <c r="I197" s="51"/>
      <c r="J197" s="51"/>
      <c r="K197" s="51"/>
      <c r="L197" s="51"/>
      <c r="M197" s="51"/>
      <c r="N197" s="51"/>
      <c r="O197" s="51"/>
      <c r="P197" s="51"/>
      <c r="Q197" s="52" t="str">
        <f>IF(COUNT(J197,N197,O197,P197)=4,J197-N197-O197-P197,"")</f>
      </c>
      <c r="R197" s="51"/>
      <c r="S197" s="51"/>
      <c r="T197" s="51"/>
      <c r="U197" s="52" t="str">
        <f>IF(COUNT(K197,R197,S197,T197)=4,K197-R197-S197-T197,"")</f>
      </c>
      <c r="V197" s="51"/>
      <c r="W197" s="51"/>
      <c r="X197" s="51"/>
      <c r="Y197" s="52" t="str">
        <f>IF(COUNT(L197,V197,W197,X197)=4,L197-V197-W197-X197,"")</f>
      </c>
      <c r="Z197" s="51"/>
      <c r="AA197" s="51"/>
    </row>
    <row r="198" ht="22" customHeight="1">
      <c r="A198" s="49" t="str">
        <v>Programmable Solutions Group</v>
      </c>
      <c r="B198" s="3"/>
      <c r="C198" s="51"/>
      <c r="D198" s="51"/>
      <c r="E198" s="51"/>
      <c r="F198" s="51" t="n">
        <v>1987</v>
      </c>
      <c r="G198" s="51" t="n">
        <v>1853</v>
      </c>
      <c r="H198" s="51" t="n">
        <v>1934</v>
      </c>
      <c r="I198" s="51"/>
      <c r="J198" s="51"/>
      <c r="K198" s="51"/>
      <c r="L198" s="51"/>
      <c r="M198" s="51"/>
      <c r="N198" s="51"/>
      <c r="O198" s="51"/>
      <c r="P198" s="51"/>
      <c r="Q198" s="52" t="str">
        <f>IF(COUNT(J198,N198,O198,P198)=4,J198-N198-O198-P198,"")</f>
      </c>
      <c r="R198" s="51"/>
      <c r="S198" s="51"/>
      <c r="T198" s="51"/>
      <c r="U198" s="52" t="str">
        <f>IF(COUNT(K198,R198,S198,T198)=4,K198-R198-S198-T198,"")</f>
      </c>
      <c r="V198" s="51"/>
      <c r="W198" s="51"/>
      <c r="X198" s="51"/>
      <c r="Y198" s="52" t="str">
        <f>IF(COUNT(L198,V198,W198,X198)=4,L198-V198-W198-X198,"")</f>
      </c>
      <c r="Z198" s="51"/>
      <c r="AA198" s="51"/>
    </row>
    <row r="199" ht="22" customHeight="1">
      <c r="A199" s="49" t="str">
        <v>All other</v>
      </c>
      <c r="B199" s="3"/>
      <c r="C199" s="51"/>
      <c r="D199" s="51"/>
      <c r="E199" s="51"/>
      <c r="F199" s="51" t="n">
        <v>289</v>
      </c>
      <c r="G199" s="51" t="n">
        <v>522</v>
      </c>
      <c r="H199" s="51" t="n">
        <v>1068</v>
      </c>
      <c r="I199" s="51"/>
      <c r="J199" s="51"/>
      <c r="K199" s="51"/>
      <c r="L199" s="51"/>
      <c r="M199" s="51"/>
      <c r="N199" s="51"/>
      <c r="O199" s="51"/>
      <c r="P199" s="51"/>
      <c r="Q199" s="52" t="str">
        <f>IF(COUNT(J199,N199,O199,P199)=4,J199-N199-O199-P199,"")</f>
      </c>
      <c r="R199" s="51"/>
      <c r="S199" s="51"/>
      <c r="T199" s="51"/>
      <c r="U199" s="52" t="str">
        <f>IF(COUNT(K199,R199,S199,T199)=4,K199-R199-S199-T199,"")</f>
      </c>
      <c r="V199" s="51"/>
      <c r="W199" s="51"/>
      <c r="X199" s="51"/>
      <c r="Y199" s="52" t="str">
        <f>IF(COUNT(L199,V199,W199,X199)=4,L199-V199-W199-X199,"")</f>
      </c>
      <c r="Z199" s="51"/>
      <c r="AA199" s="51"/>
    </row>
    <row r="200" ht="24" customHeight="1">
      <c r="A200" s="34" t="str">
        <v>Total net revenue</v>
      </c>
      <c r="B200" s="35"/>
      <c r="C200" s="36"/>
      <c r="D200" s="36"/>
      <c r="E200" s="36"/>
      <c r="F200" s="36" t="n">
        <v>71965</v>
      </c>
      <c r="G200" s="36" t="n">
        <v>77867</v>
      </c>
      <c r="H200" s="36" t="n">
        <v>79024</v>
      </c>
      <c r="I200" s="36"/>
      <c r="J200" s="36"/>
      <c r="K200" s="36"/>
      <c r="L200" s="36"/>
      <c r="M200" s="36"/>
      <c r="N200" s="36"/>
      <c r="O200" s="36"/>
      <c r="P200" s="36"/>
      <c r="Q200" s="37" t="str">
        <f>IF(COUNT(J200,N200,O200,P200)=4,J200-N200-O200-P200,"")</f>
      </c>
      <c r="R200" s="36"/>
      <c r="S200" s="36"/>
      <c r="T200" s="36"/>
      <c r="U200" s="37" t="str">
        <f>IF(COUNT(K200,R200,S200,T200)=4,K200-R200-S200-T200,"")</f>
      </c>
      <c r="V200" s="36"/>
      <c r="W200" s="36"/>
      <c r="X200" s="36"/>
      <c r="Y200" s="37" t="str">
        <f>IF(COUNT(L200,V200,W200,X200)=4,L200-V200-W200-X200,"")</f>
      </c>
      <c r="Z200" s="36"/>
      <c r="AA200" s="36"/>
    </row>
    <row r="201" ht="22" customHeight="1">
      <c r="A201" s="49" t="str">
        <v>Check: segment lines - printed total (should be 0)</v>
      </c>
      <c r="B201" s="3"/>
      <c r="C201" s="59"/>
      <c r="D201" s="59"/>
      <c r="E201" s="59"/>
      <c r="F201" s="59" t="n">
        <f>IF(COUNT(F190,F193,F194,F195,F197,F198,F199,F200)=8,F190+F193+F194+F195+F197+F198+F199-F200,"")</f>
        <v>0</v>
      </c>
      <c r="G201" s="59" t="n">
        <f>IF(COUNT(G190,G193,G194,G195,G197,G198,G199,G200)=8,G190+G193+G194+G195+G197+G198+G199-G200,"")</f>
        <v>0</v>
      </c>
      <c r="H201" s="59" t="n">
        <f>IF(COUNT(H190,H193,H194,H195,H197,H198,H199,H200)=8,H190+H193+H194+H195+H197+H198+H199-H200,"")</f>
        <v>0</v>
      </c>
      <c r="I201" s="59"/>
      <c r="J201" s="59"/>
      <c r="K201" s="59"/>
      <c r="L201" s="59"/>
      <c r="M201" s="59"/>
      <c r="N201" s="59"/>
      <c r="O201" s="59"/>
      <c r="P201" s="59"/>
      <c r="Q201" s="59"/>
      <c r="R201" s="59"/>
      <c r="S201" s="59"/>
      <c r="T201" s="59"/>
      <c r="U201" s="59"/>
      <c r="V201" s="59"/>
      <c r="W201" s="59"/>
      <c r="X201" s="59"/>
      <c r="Y201" s="59"/>
      <c r="Z201" s="59"/>
      <c r="AA201" s="59"/>
    </row>
    <row r="202" ht="8"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22" customHeight="1">
      <c r="A203" s="21" t="str">
        <v>FY2021 reporting framework: Operating income (loss)</v>
      </c>
      <c r="B203" s="21" t="str">
        <v>FY2021 reporting framework: Operating income (loss)</v>
      </c>
      <c r="C203" s="21" t="str">
        <v>FY2021 reporting framework: Operating income (loss)</v>
      </c>
      <c r="D203" s="21" t="str">
        <v>FY2021 reporting framework: Operating income (loss)</v>
      </c>
      <c r="E203" s="21" t="str">
        <v>FY2021 reporting framework: Operating income (loss)</v>
      </c>
      <c r="F203" s="21" t="str">
        <v>FY2021 reporting framework: Operating income (loss)</v>
      </c>
      <c r="G203" s="21" t="str">
        <v>FY2021 reporting framework: Operating income (loss)</v>
      </c>
      <c r="H203" s="21" t="str">
        <v>FY2021 reporting framework: Operating income (loss)</v>
      </c>
      <c r="I203" s="21" t="str">
        <v>FY2021 reporting framework: Operating income (loss)</v>
      </c>
      <c r="J203" s="21" t="str">
        <v>FY2021 reporting framework: Operating income (loss)</v>
      </c>
      <c r="K203" s="21" t="str">
        <v>FY2021 reporting framework: Operating income (loss)</v>
      </c>
      <c r="L203" s="21" t="str">
        <v>FY2021 reporting framework: Operating income (loss)</v>
      </c>
      <c r="M203" s="21" t="str">
        <v>FY2021 reporting framework: Operating income (loss)</v>
      </c>
      <c r="N203" s="21" t="str">
        <v>FY2021 reporting framework: Operating income (loss)</v>
      </c>
      <c r="O203" s="21" t="str">
        <v>FY2021 reporting framework: Operating income (loss)</v>
      </c>
      <c r="P203" s="21" t="str">
        <v>FY2021 reporting framework: Operating income (loss)</v>
      </c>
      <c r="Q203" s="21" t="str">
        <v>FY2021 reporting framework: Operating income (loss)</v>
      </c>
      <c r="R203" s="21" t="str">
        <v>FY2021 reporting framework: Operating income (loss)</v>
      </c>
      <c r="S203" s="21" t="str">
        <v>FY2021 reporting framework: Operating income (loss)</v>
      </c>
      <c r="T203" s="21" t="str">
        <v>FY2021 reporting framework: Operating income (loss)</v>
      </c>
      <c r="U203" s="21" t="str">
        <v>FY2021 reporting framework: Operating income (loss)</v>
      </c>
      <c r="V203" s="21" t="str">
        <v>FY2021 reporting framework: Operating income (loss)</v>
      </c>
      <c r="W203" s="21" t="str">
        <v>FY2021 reporting framework: Operating income (loss)</v>
      </c>
      <c r="X203" s="21" t="str">
        <v>FY2021 reporting framework: Operating income (loss)</v>
      </c>
      <c r="Y203" s="21" t="str">
        <v>FY2021 reporting framework: Operating income (loss)</v>
      </c>
      <c r="Z203" s="21" t="str">
        <v>FY2021 reporting framework: Operating income (loss)</v>
      </c>
      <c r="AA203" s="21" t="str">
        <v>FY2021 reporting framework: Operating income (loss)</v>
      </c>
    </row>
    <row r="204" ht="18" customHeight="1">
      <c r="A204" s="22" t="str">
        <v>Historical segment definitions differ from the current framework; compare within this section only.</v>
      </c>
      <c r="B204" s="22" t="str">
        <v>Historical segment definitions differ from the current framework; compare within this section only.</v>
      </c>
      <c r="C204" s="22" t="str">
        <v>Historical segment definitions differ from the current framework; compare within this section only.</v>
      </c>
      <c r="D204" s="22" t="str">
        <v>Historical segment definitions differ from the current framework; compare within this section only.</v>
      </c>
      <c r="E204" s="22" t="str">
        <v>Historical segment definitions differ from the current framework; compare within this section only.</v>
      </c>
      <c r="F204" s="22" t="str">
        <v>Historical segment definitions differ from the current framework; compare within this section only.</v>
      </c>
      <c r="G204" s="22" t="str">
        <v>Historical segment definitions differ from the current framework; compare within this section only.</v>
      </c>
      <c r="H204" s="22" t="str">
        <v>Historical segment definitions differ from the current framework; compare within this section only.</v>
      </c>
      <c r="I204" s="22" t="str">
        <v>Historical segment definitions differ from the current framework; compare within this section only.</v>
      </c>
      <c r="J204" s="22" t="str">
        <v>Historical segment definitions differ from the current framework; compare within this section only.</v>
      </c>
      <c r="K204" s="22" t="str">
        <v>Historical segment definitions differ from the current framework; compare within this section only.</v>
      </c>
      <c r="L204" s="22" t="str">
        <v>Historical segment definitions differ from the current framework; compare within this section only.</v>
      </c>
      <c r="M204" s="22" t="str">
        <v>Historical segment definitions differ from the current framework; compare within this section only.</v>
      </c>
      <c r="N204" s="22" t="str">
        <v>Historical segment definitions differ from the current framework; compare within this section only.</v>
      </c>
      <c r="O204" s="22" t="str">
        <v>Historical segment definitions differ from the current framework; compare within this section only.</v>
      </c>
      <c r="P204" s="22" t="str">
        <v>Historical segment definitions differ from the current framework; compare within this section only.</v>
      </c>
      <c r="Q204" s="22" t="str">
        <v>Historical segment definitions differ from the current framework; compare within this section only.</v>
      </c>
      <c r="R204" s="22" t="str">
        <v>Historical segment definitions differ from the current framework; compare within this section only.</v>
      </c>
      <c r="S204" s="22" t="str">
        <v>Historical segment definitions differ from the current framework; compare within this section only.</v>
      </c>
      <c r="T204" s="22" t="str">
        <v>Historical segment definitions differ from the current framework; compare within this section only.</v>
      </c>
      <c r="U204" s="22" t="str">
        <v>Historical segment definitions differ from the current framework; compare within this section only.</v>
      </c>
      <c r="V204" s="22" t="str">
        <v>Historical segment definitions differ from the current framework; compare within this section only.</v>
      </c>
      <c r="W204" s="22" t="str">
        <v>Historical segment definitions differ from the current framework; compare within this section only.</v>
      </c>
      <c r="X204" s="22" t="str">
        <v>Historical segment definitions differ from the current framework; compare within this section only.</v>
      </c>
      <c r="Y204" s="22" t="str">
        <v>Historical segment definitions differ from the current framework; compare within this section only.</v>
      </c>
      <c r="Z204" s="22" t="str">
        <v>Historical segment definitions differ from the current framework; compare within this section only.</v>
      </c>
      <c r="AA204" s="22" t="str">
        <v>Historical segment definitions differ from the current framework; compare within this section only.</v>
      </c>
    </row>
    <row r="205" ht="22" customHeight="1">
      <c r="A205" s="49" t="str">
        <v>Client Computing Group</v>
      </c>
      <c r="B205" s="3"/>
      <c r="C205" s="51"/>
      <c r="D205" s="51"/>
      <c r="E205" s="51"/>
      <c r="F205" s="51" t="n">
        <v>15202</v>
      </c>
      <c r="G205" s="51" t="n">
        <v>15129</v>
      </c>
      <c r="H205" s="51" t="n">
        <v>14672</v>
      </c>
      <c r="I205" s="51"/>
      <c r="J205" s="51"/>
      <c r="K205" s="51"/>
      <c r="L205" s="51"/>
      <c r="M205" s="51"/>
      <c r="N205" s="51"/>
      <c r="O205" s="51"/>
      <c r="P205" s="51"/>
      <c r="Q205" s="52" t="str">
        <f>IF(COUNT(J205,N205,O205,P205)=4,J205-N205-O205-P205,"")</f>
      </c>
      <c r="R205" s="51"/>
      <c r="S205" s="51"/>
      <c r="T205" s="51"/>
      <c r="U205" s="52" t="str">
        <f>IF(COUNT(K205,R205,S205,T205)=4,K205-R205-S205-T205,"")</f>
      </c>
      <c r="V205" s="51"/>
      <c r="W205" s="51"/>
      <c r="X205" s="51"/>
      <c r="Y205" s="52" t="str">
        <f>IF(COUNT(L205,V205,W205,X205)=4,L205-V205-W205-X205,"")</f>
      </c>
      <c r="Z205" s="51"/>
      <c r="AA205" s="51"/>
    </row>
    <row r="206" ht="22" customHeight="1">
      <c r="A206" s="49" t="str">
        <v>Data Center Group</v>
      </c>
      <c r="B206" s="3"/>
      <c r="C206" s="51"/>
      <c r="D206" s="51"/>
      <c r="E206" s="51"/>
      <c r="F206" s="51" t="n">
        <v>10227</v>
      </c>
      <c r="G206" s="51" t="n">
        <v>10571</v>
      </c>
      <c r="H206" s="51" t="n">
        <v>6997</v>
      </c>
      <c r="I206" s="51"/>
      <c r="J206" s="51"/>
      <c r="K206" s="51"/>
      <c r="L206" s="51"/>
      <c r="M206" s="51"/>
      <c r="N206" s="51"/>
      <c r="O206" s="51"/>
      <c r="P206" s="51"/>
      <c r="Q206" s="52" t="str">
        <f>IF(COUNT(J206,N206,O206,P206)=4,J206-N206-O206-P206,"")</f>
      </c>
      <c r="R206" s="51"/>
      <c r="S206" s="51"/>
      <c r="T206" s="51"/>
      <c r="U206" s="52" t="str">
        <f>IF(COUNT(K206,R206,S206,T206)=4,K206-R206-S206-T206,"")</f>
      </c>
      <c r="V206" s="51"/>
      <c r="W206" s="51"/>
      <c r="X206" s="51"/>
      <c r="Y206" s="52" t="str">
        <f>IF(COUNT(L206,V206,W206,X206)=4,L206-V206-W206-X206,"")</f>
      </c>
      <c r="Z206" s="51"/>
      <c r="AA206" s="51"/>
    </row>
    <row r="207" ht="22" customHeight="1">
      <c r="A207" s="49" t="str">
        <v>IOTG</v>
      </c>
      <c r="B207" s="3"/>
      <c r="C207" s="51"/>
      <c r="D207" s="51"/>
      <c r="E207" s="51"/>
      <c r="F207" s="51" t="n">
        <v>1097</v>
      </c>
      <c r="G207" s="51" t="n">
        <v>497</v>
      </c>
      <c r="H207" s="51" t="n">
        <v>1045</v>
      </c>
      <c r="I207" s="51"/>
      <c r="J207" s="51"/>
      <c r="K207" s="51"/>
      <c r="L207" s="51"/>
      <c r="M207" s="51"/>
      <c r="N207" s="51"/>
      <c r="O207" s="51"/>
      <c r="P207" s="51"/>
      <c r="Q207" s="52" t="str">
        <f>IF(COUNT(J207,N207,O207,P207)=4,J207-N207-O207-P207,"")</f>
      </c>
      <c r="R207" s="51"/>
      <c r="S207" s="51"/>
      <c r="T207" s="51"/>
      <c r="U207" s="52" t="str">
        <f>IF(COUNT(K207,R207,S207,T207)=4,K207-R207-S207-T207,"")</f>
      </c>
      <c r="V207" s="51"/>
      <c r="W207" s="51"/>
      <c r="X207" s="51"/>
      <c r="Y207" s="52" t="str">
        <f>IF(COUNT(L207,V207,W207,X207)=4,L207-V207-W207-X207,"")</f>
      </c>
      <c r="Z207" s="51"/>
      <c r="AA207" s="51"/>
    </row>
    <row r="208" ht="22" customHeight="1">
      <c r="A208" s="49" t="str">
        <v>Mobileye</v>
      </c>
      <c r="B208" s="3"/>
      <c r="C208" s="51"/>
      <c r="D208" s="51"/>
      <c r="E208" s="51"/>
      <c r="F208" s="51" t="n">
        <v>245</v>
      </c>
      <c r="G208" s="51" t="n">
        <v>241</v>
      </c>
      <c r="H208" s="51" t="n">
        <v>460</v>
      </c>
      <c r="I208" s="51"/>
      <c r="J208" s="51"/>
      <c r="K208" s="51"/>
      <c r="L208" s="51"/>
      <c r="M208" s="51"/>
      <c r="N208" s="51"/>
      <c r="O208" s="51"/>
      <c r="P208" s="51"/>
      <c r="Q208" s="52" t="str">
        <f>IF(COUNT(J208,N208,O208,P208)=4,J208-N208-O208-P208,"")</f>
      </c>
      <c r="R208" s="51"/>
      <c r="S208" s="51"/>
      <c r="T208" s="51"/>
      <c r="U208" s="52" t="str">
        <f>IF(COUNT(K208,R208,S208,T208)=4,K208-R208-S208-T208,"")</f>
      </c>
      <c r="V208" s="51"/>
      <c r="W208" s="51"/>
      <c r="X208" s="51"/>
      <c r="Y208" s="52" t="str">
        <f>IF(COUNT(L208,V208,W208,X208)=4,L208-V208-W208-X208,"")</f>
      </c>
      <c r="Z208" s="51"/>
      <c r="AA208" s="51"/>
    </row>
    <row r="209" ht="24" customHeight="1">
      <c r="A209" s="34" t="str">
        <v>[Internet of Things total]</v>
      </c>
      <c r="B209" s="35"/>
      <c r="C209" s="36"/>
      <c r="D209" s="36"/>
      <c r="E209" s="36"/>
      <c r="F209" s="36" t="n">
        <v>1342</v>
      </c>
      <c r="G209" s="36" t="n">
        <v>738</v>
      </c>
      <c r="H209" s="36" t="n">
        <v>1505</v>
      </c>
      <c r="I209" s="36"/>
      <c r="J209" s="36"/>
      <c r="K209" s="36"/>
      <c r="L209" s="36"/>
      <c r="M209" s="36"/>
      <c r="N209" s="36"/>
      <c r="O209" s="36"/>
      <c r="P209" s="36"/>
      <c r="Q209" s="37" t="str">
        <f>IF(COUNT(J209,N209,O209,P209)=4,J209-N209-O209-P209,"")</f>
      </c>
      <c r="R209" s="36"/>
      <c r="S209" s="36"/>
      <c r="T209" s="36"/>
      <c r="U209" s="37" t="str">
        <f>IF(COUNT(K209,R209,S209,T209)=4,K209-R209-S209-T209,"")</f>
      </c>
      <c r="V209" s="36"/>
      <c r="W209" s="36"/>
      <c r="X209" s="36"/>
      <c r="Y209" s="37" t="str">
        <f>IF(COUNT(L209,V209,W209,X209)=4,L209-V209-W209-X209,"")</f>
      </c>
      <c r="Z209" s="36"/>
      <c r="AA209" s="36"/>
    </row>
    <row r="210" ht="22" customHeight="1">
      <c r="A210" s="49" t="str">
        <v>Non-Volatile Memory Solutions Group</v>
      </c>
      <c r="B210" s="3"/>
      <c r="C210" s="51"/>
      <c r="D210" s="51"/>
      <c r="E210" s="51"/>
      <c r="F210" s="51" t="n">
        <v>-1176</v>
      </c>
      <c r="G210" s="51" t="n">
        <v>361</v>
      </c>
      <c r="H210" s="51" t="n">
        <v>1369</v>
      </c>
      <c r="I210" s="51"/>
      <c r="J210" s="51"/>
      <c r="K210" s="51"/>
      <c r="L210" s="51"/>
      <c r="M210" s="51"/>
      <c r="N210" s="51"/>
      <c r="O210" s="51"/>
      <c r="P210" s="51"/>
      <c r="Q210" s="52" t="str">
        <f>IF(COUNT(J210,N210,O210,P210)=4,J210-N210-O210-P210,"")</f>
      </c>
      <c r="R210" s="51"/>
      <c r="S210" s="51"/>
      <c r="T210" s="51"/>
      <c r="U210" s="52" t="str">
        <f>IF(COUNT(K210,R210,S210,T210)=4,K210-R210-S210-T210,"")</f>
      </c>
      <c r="V210" s="51"/>
      <c r="W210" s="51"/>
      <c r="X210" s="51"/>
      <c r="Y210" s="52" t="str">
        <f>IF(COUNT(L210,V210,W210,X210)=4,L210-V210-W210-X210,"")</f>
      </c>
      <c r="Z210" s="51"/>
      <c r="AA210" s="51"/>
    </row>
    <row r="211" ht="22" customHeight="1">
      <c r="A211" s="49" t="str">
        <v>Programmable Solutions Group</v>
      </c>
      <c r="B211" s="3"/>
      <c r="C211" s="51"/>
      <c r="D211" s="51"/>
      <c r="E211" s="51"/>
      <c r="F211" s="51" t="n">
        <v>318</v>
      </c>
      <c r="G211" s="51" t="n">
        <v>260</v>
      </c>
      <c r="H211" s="51" t="n">
        <v>297</v>
      </c>
      <c r="I211" s="51"/>
      <c r="J211" s="51"/>
      <c r="K211" s="51"/>
      <c r="L211" s="51"/>
      <c r="M211" s="51"/>
      <c r="N211" s="51"/>
      <c r="O211" s="51"/>
      <c r="P211" s="51"/>
      <c r="Q211" s="52" t="str">
        <f>IF(COUNT(J211,N211,O211,P211)=4,J211-N211-O211-P211,"")</f>
      </c>
      <c r="R211" s="51"/>
      <c r="S211" s="51"/>
      <c r="T211" s="51"/>
      <c r="U211" s="52" t="str">
        <f>IF(COUNT(K211,R211,S211,T211)=4,K211-R211-S211-T211,"")</f>
      </c>
      <c r="V211" s="51"/>
      <c r="W211" s="51"/>
      <c r="X211" s="51"/>
      <c r="Y211" s="52" t="str">
        <f>IF(COUNT(L211,V211,W211,X211)=4,L211-V211-W211-X211,"")</f>
      </c>
      <c r="Z211" s="51"/>
      <c r="AA211" s="51"/>
    </row>
    <row r="212" ht="22" customHeight="1">
      <c r="A212" s="49" t="str">
        <v>All other</v>
      </c>
      <c r="B212" s="3"/>
      <c r="C212" s="51"/>
      <c r="D212" s="51"/>
      <c r="E212" s="51"/>
      <c r="F212" s="51" t="n">
        <v>-3878</v>
      </c>
      <c r="G212" s="51" t="n">
        <v>-3381</v>
      </c>
      <c r="H212" s="51" t="n">
        <v>-5384</v>
      </c>
      <c r="I212" s="51"/>
      <c r="J212" s="51"/>
      <c r="K212" s="51"/>
      <c r="L212" s="51"/>
      <c r="M212" s="51"/>
      <c r="N212" s="51"/>
      <c r="O212" s="51"/>
      <c r="P212" s="51"/>
      <c r="Q212" s="52" t="str">
        <f>IF(COUNT(J212,N212,O212,P212)=4,J212-N212-O212-P212,"")</f>
      </c>
      <c r="R212" s="51"/>
      <c r="S212" s="51"/>
      <c r="T212" s="51"/>
      <c r="U212" s="52" t="str">
        <f>IF(COUNT(K212,R212,S212,T212)=4,K212-R212-S212-T212,"")</f>
      </c>
      <c r="V212" s="51"/>
      <c r="W212" s="51"/>
      <c r="X212" s="51"/>
      <c r="Y212" s="52" t="str">
        <f>IF(COUNT(L212,V212,W212,X212)=4,L212-V212-W212-X212,"")</f>
      </c>
      <c r="Z212" s="51"/>
      <c r="AA212" s="51"/>
    </row>
    <row r="213" ht="24" customHeight="1">
      <c r="A213" s="34" t="str">
        <v>Total operating income</v>
      </c>
      <c r="B213" s="35"/>
      <c r="C213" s="36"/>
      <c r="D213" s="36"/>
      <c r="E213" s="36"/>
      <c r="F213" s="36" t="n">
        <v>22035</v>
      </c>
      <c r="G213" s="36" t="n">
        <v>23678</v>
      </c>
      <c r="H213" s="36" t="n">
        <v>19456</v>
      </c>
      <c r="I213" s="36"/>
      <c r="J213" s="36"/>
      <c r="K213" s="36"/>
      <c r="L213" s="36"/>
      <c r="M213" s="36"/>
      <c r="N213" s="36"/>
      <c r="O213" s="36"/>
      <c r="P213" s="36"/>
      <c r="Q213" s="37" t="str">
        <f>IF(COUNT(J213,N213,O213,P213)=4,J213-N213-O213-P213,"")</f>
      </c>
      <c r="R213" s="36"/>
      <c r="S213" s="36"/>
      <c r="T213" s="36"/>
      <c r="U213" s="37" t="str">
        <f>IF(COUNT(K213,R213,S213,T213)=4,K213-R213-S213-T213,"")</f>
      </c>
      <c r="V213" s="36"/>
      <c r="W213" s="36"/>
      <c r="X213" s="36"/>
      <c r="Y213" s="37" t="str">
        <f>IF(COUNT(L213,V213,W213,X213)=4,L213-V213-W213-X213,"")</f>
      </c>
      <c r="Z213" s="36"/>
      <c r="AA213" s="36"/>
    </row>
    <row r="214" ht="22" customHeight="1">
      <c r="A214" s="49" t="str">
        <v>Check: segment lines - printed total (should be 0)</v>
      </c>
      <c r="B214" s="3"/>
      <c r="C214" s="59"/>
      <c r="D214" s="59"/>
      <c r="E214" s="59"/>
      <c r="F214" s="59" t="n">
        <f>IF(COUNT(F205,F206,F207,F208,F210,F211,F212,F213)=8,F205+F206+F207+F208+F210+F211+F212-F213,"")</f>
        <v>0</v>
      </c>
      <c r="G214" s="59" t="n">
        <f>IF(COUNT(G205,G206,G207,G208,G210,G211,G212,G213)=8,G205+G206+G207+G208+G210+G211+G212-G213,"")</f>
        <v>0</v>
      </c>
      <c r="H214" s="59" t="n">
        <f>IF(COUNT(H205,H206,H207,H208,H210,H211,H212,H213)=8,H205+H206+H207+H208+H210+H211+H212-H213,"")</f>
        <v>0</v>
      </c>
      <c r="I214" s="59"/>
      <c r="J214" s="59"/>
      <c r="K214" s="59"/>
      <c r="L214" s="59"/>
      <c r="M214" s="59"/>
      <c r="N214" s="59"/>
      <c r="O214" s="59"/>
      <c r="P214" s="59"/>
      <c r="Q214" s="59"/>
      <c r="R214" s="59"/>
      <c r="S214" s="59"/>
      <c r="T214" s="59"/>
      <c r="U214" s="59"/>
      <c r="V214" s="59"/>
      <c r="W214" s="59"/>
      <c r="X214" s="59"/>
      <c r="Y214" s="59"/>
      <c r="Z214" s="59"/>
      <c r="AA214" s="59"/>
    </row>
    <row r="215" ht="8"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22" customHeight="1">
      <c r="A216" s="21" t="str">
        <v>FY2022 reporting framework: Net revenue</v>
      </c>
      <c r="B216" s="21" t="str">
        <v>FY2022 reporting framework: Net revenue</v>
      </c>
      <c r="C216" s="21" t="str">
        <v>FY2022 reporting framework: Net revenue</v>
      </c>
      <c r="D216" s="21" t="str">
        <v>FY2022 reporting framework: Net revenue</v>
      </c>
      <c r="E216" s="21" t="str">
        <v>FY2022 reporting framework: Net revenue</v>
      </c>
      <c r="F216" s="21" t="str">
        <v>FY2022 reporting framework: Net revenue</v>
      </c>
      <c r="G216" s="21" t="str">
        <v>FY2022 reporting framework: Net revenue</v>
      </c>
      <c r="H216" s="21" t="str">
        <v>FY2022 reporting framework: Net revenue</v>
      </c>
      <c r="I216" s="21" t="str">
        <v>FY2022 reporting framework: Net revenue</v>
      </c>
      <c r="J216" s="21" t="str">
        <v>FY2022 reporting framework: Net revenue</v>
      </c>
      <c r="K216" s="21" t="str">
        <v>FY2022 reporting framework: Net revenue</v>
      </c>
      <c r="L216" s="21" t="str">
        <v>FY2022 reporting framework: Net revenue</v>
      </c>
      <c r="M216" s="21" t="str">
        <v>FY2022 reporting framework: Net revenue</v>
      </c>
      <c r="N216" s="21" t="str">
        <v>FY2022 reporting framework: Net revenue</v>
      </c>
      <c r="O216" s="21" t="str">
        <v>FY2022 reporting framework: Net revenue</v>
      </c>
      <c r="P216" s="21" t="str">
        <v>FY2022 reporting framework: Net revenue</v>
      </c>
      <c r="Q216" s="21" t="str">
        <v>FY2022 reporting framework: Net revenue</v>
      </c>
      <c r="R216" s="21" t="str">
        <v>FY2022 reporting framework: Net revenue</v>
      </c>
      <c r="S216" s="21" t="str">
        <v>FY2022 reporting framework: Net revenue</v>
      </c>
      <c r="T216" s="21" t="str">
        <v>FY2022 reporting framework: Net revenue</v>
      </c>
      <c r="U216" s="21" t="str">
        <v>FY2022 reporting framework: Net revenue</v>
      </c>
      <c r="V216" s="21" t="str">
        <v>FY2022 reporting framework: Net revenue</v>
      </c>
      <c r="W216" s="21" t="str">
        <v>FY2022 reporting framework: Net revenue</v>
      </c>
      <c r="X216" s="21" t="str">
        <v>FY2022 reporting framework: Net revenue</v>
      </c>
      <c r="Y216" s="21" t="str">
        <v>FY2022 reporting framework: Net revenue</v>
      </c>
      <c r="Z216" s="21" t="str">
        <v>FY2022 reporting framework: Net revenue</v>
      </c>
      <c r="AA216" s="21" t="str">
        <v>FY2022 reporting framework: Net revenue</v>
      </c>
    </row>
    <row r="217" ht="18" customHeight="1">
      <c r="A217" s="22" t="str">
        <v>Historical segment definitions differ from the current framework; compare within this section only.</v>
      </c>
      <c r="B217" s="22" t="str">
        <v>Historical segment definitions differ from the current framework; compare within this section only.</v>
      </c>
      <c r="C217" s="22" t="str">
        <v>Historical segment definitions differ from the current framework; compare within this section only.</v>
      </c>
      <c r="D217" s="22" t="str">
        <v>Historical segment definitions differ from the current framework; compare within this section only.</v>
      </c>
      <c r="E217" s="22" t="str">
        <v>Historical segment definitions differ from the current framework; compare within this section only.</v>
      </c>
      <c r="F217" s="22" t="str">
        <v>Historical segment definitions differ from the current framework; compare within this section only.</v>
      </c>
      <c r="G217" s="22" t="str">
        <v>Historical segment definitions differ from the current framework; compare within this section only.</v>
      </c>
      <c r="H217" s="22" t="str">
        <v>Historical segment definitions differ from the current framework; compare within this section only.</v>
      </c>
      <c r="I217" s="22" t="str">
        <v>Historical segment definitions differ from the current framework; compare within this section only.</v>
      </c>
      <c r="J217" s="22" t="str">
        <v>Historical segment definitions differ from the current framework; compare within this section only.</v>
      </c>
      <c r="K217" s="22" t="str">
        <v>Historical segment definitions differ from the current framework; compare within this section only.</v>
      </c>
      <c r="L217" s="22" t="str">
        <v>Historical segment definitions differ from the current framework; compare within this section only.</v>
      </c>
      <c r="M217" s="22" t="str">
        <v>Historical segment definitions differ from the current framework; compare within this section only.</v>
      </c>
      <c r="N217" s="22" t="str">
        <v>Historical segment definitions differ from the current framework; compare within this section only.</v>
      </c>
      <c r="O217" s="22" t="str">
        <v>Historical segment definitions differ from the current framework; compare within this section only.</v>
      </c>
      <c r="P217" s="22" t="str">
        <v>Historical segment definitions differ from the current framework; compare within this section only.</v>
      </c>
      <c r="Q217" s="22" t="str">
        <v>Historical segment definitions differ from the current framework; compare within this section only.</v>
      </c>
      <c r="R217" s="22" t="str">
        <v>Historical segment definitions differ from the current framework; compare within this section only.</v>
      </c>
      <c r="S217" s="22" t="str">
        <v>Historical segment definitions differ from the current framework; compare within this section only.</v>
      </c>
      <c r="T217" s="22" t="str">
        <v>Historical segment definitions differ from the current framework; compare within this section only.</v>
      </c>
      <c r="U217" s="22" t="str">
        <v>Historical segment definitions differ from the current framework; compare within this section only.</v>
      </c>
      <c r="V217" s="22" t="str">
        <v>Historical segment definitions differ from the current framework; compare within this section only.</v>
      </c>
      <c r="W217" s="22" t="str">
        <v>Historical segment definitions differ from the current framework; compare within this section only.</v>
      </c>
      <c r="X217" s="22" t="str">
        <v>Historical segment definitions differ from the current framework; compare within this section only.</v>
      </c>
      <c r="Y217" s="22" t="str">
        <v>Historical segment definitions differ from the current framework; compare within this section only.</v>
      </c>
      <c r="Z217" s="22" t="str">
        <v>Historical segment definitions differ from the current framework; compare within this section only.</v>
      </c>
      <c r="AA217" s="22" t="str">
        <v>Historical segment definitions differ from the current framework; compare within this section only.</v>
      </c>
    </row>
    <row r="218" ht="22" customHeight="1">
      <c r="A218" s="53" t="str">
        <v>Desktop</v>
      </c>
      <c r="B218" s="3"/>
      <c r="C218" s="51"/>
      <c r="D218" s="51"/>
      <c r="E218" s="51"/>
      <c r="F218" s="51"/>
      <c r="G218" s="51" t="n">
        <v>11179</v>
      </c>
      <c r="H218" s="51" t="n">
        <v>12437</v>
      </c>
      <c r="I218" s="51" t="n">
        <v>10661</v>
      </c>
      <c r="J218" s="51"/>
      <c r="K218" s="51"/>
      <c r="L218" s="51"/>
      <c r="M218" s="51"/>
      <c r="N218" s="51"/>
      <c r="O218" s="51"/>
      <c r="P218" s="51"/>
      <c r="Q218" s="52" t="str">
        <f>IF(COUNT(J218,N218,O218,P218)=4,J218-N218-O218-P218,"")</f>
      </c>
      <c r="R218" s="51"/>
      <c r="S218" s="51"/>
      <c r="T218" s="51"/>
      <c r="U218" s="52" t="str">
        <f>IF(COUNT(K218,R218,S218,T218)=4,K218-R218-S218-T218,"")</f>
      </c>
      <c r="V218" s="51"/>
      <c r="W218" s="51"/>
      <c r="X218" s="51"/>
      <c r="Y218" s="52" t="str">
        <f>IF(COUNT(L218,V218,W218,X218)=4,L218-V218-W218-X218,"")</f>
      </c>
      <c r="Z218" s="51"/>
      <c r="AA218" s="51"/>
    </row>
    <row r="219" ht="22" customHeight="1">
      <c r="A219" s="53" t="str">
        <v>Notebook</v>
      </c>
      <c r="B219" s="3"/>
      <c r="C219" s="51"/>
      <c r="D219" s="51"/>
      <c r="E219" s="51"/>
      <c r="F219" s="51"/>
      <c r="G219" s="51" t="n">
        <v>24897</v>
      </c>
      <c r="H219" s="51" t="n">
        <v>25443</v>
      </c>
      <c r="I219" s="51" t="n">
        <v>18783</v>
      </c>
      <c r="J219" s="51"/>
      <c r="K219" s="51"/>
      <c r="L219" s="51"/>
      <c r="M219" s="51"/>
      <c r="N219" s="51"/>
      <c r="O219" s="51"/>
      <c r="P219" s="51"/>
      <c r="Q219" s="52" t="str">
        <f>IF(COUNT(J219,N219,O219,P219)=4,J219-N219-O219-P219,"")</f>
      </c>
      <c r="R219" s="51"/>
      <c r="S219" s="51"/>
      <c r="T219" s="51"/>
      <c r="U219" s="52" t="str">
        <f>IF(COUNT(K219,R219,S219,T219)=4,K219-R219-S219-T219,"")</f>
      </c>
      <c r="V219" s="51"/>
      <c r="W219" s="51"/>
      <c r="X219" s="51"/>
      <c r="Y219" s="52" t="str">
        <f>IF(COUNT(L219,V219,W219,X219)=4,L219-V219-W219-X219,"")</f>
      </c>
      <c r="Z219" s="51"/>
      <c r="AA219" s="51"/>
    </row>
    <row r="220" ht="22" customHeight="1">
      <c r="A220" s="53" t="str">
        <v>CCG OTHER: Other</v>
      </c>
      <c r="B220" s="3"/>
      <c r="C220" s="51"/>
      <c r="D220" s="51"/>
      <c r="E220" s="51"/>
      <c r="F220" s="51"/>
      <c r="G220" s="51" t="n">
        <v>4459</v>
      </c>
      <c r="H220" s="51" t="n">
        <v>3187</v>
      </c>
      <c r="I220" s="51" t="n">
        <v>2264</v>
      </c>
      <c r="J220" s="51"/>
      <c r="K220" s="51"/>
      <c r="L220" s="51"/>
      <c r="M220" s="51"/>
      <c r="N220" s="51"/>
      <c r="O220" s="51"/>
      <c r="P220" s="51"/>
      <c r="Q220" s="52" t="str">
        <f>IF(COUNT(J220,N220,O220,P220)=4,J220-N220-O220-P220,"")</f>
      </c>
      <c r="R220" s="51"/>
      <c r="S220" s="51"/>
      <c r="T220" s="51"/>
      <c r="U220" s="52" t="str">
        <f>IF(COUNT(K220,R220,S220,T220)=4,K220-R220-S220-T220,"")</f>
      </c>
      <c r="V220" s="51"/>
      <c r="W220" s="51"/>
      <c r="X220" s="51"/>
      <c r="Y220" s="52" t="str">
        <f>IF(COUNT(L220,V220,W220,X220)=4,L220-V220-W220-X220,"")</f>
      </c>
      <c r="Z220" s="51"/>
      <c r="AA220" s="51"/>
    </row>
    <row r="221" ht="22" customHeight="1">
      <c r="A221" s="49" t="str">
        <v>[Client Computing total]</v>
      </c>
      <c r="B221" s="3"/>
      <c r="C221" s="51"/>
      <c r="D221" s="51"/>
      <c r="E221" s="51"/>
      <c r="F221" s="51"/>
      <c r="G221" s="51" t="n">
        <v>40535</v>
      </c>
      <c r="H221" s="51" t="n">
        <v>41067</v>
      </c>
      <c r="I221" s="51" t="n">
        <v>31708</v>
      </c>
      <c r="J221" s="51"/>
      <c r="K221" s="51"/>
      <c r="L221" s="51"/>
      <c r="M221" s="51"/>
      <c r="N221" s="51"/>
      <c r="O221" s="51"/>
      <c r="P221" s="51"/>
      <c r="Q221" s="52" t="str">
        <f>IF(COUNT(J221,N221,O221,P221)=4,J221-N221-O221-P221,"")</f>
      </c>
      <c r="R221" s="51"/>
      <c r="S221" s="51"/>
      <c r="T221" s="51"/>
      <c r="U221" s="52" t="str">
        <f>IF(COUNT(K221,R221,S221,T221)=4,K221-R221-S221-T221,"")</f>
      </c>
      <c r="V221" s="51"/>
      <c r="W221" s="51"/>
      <c r="X221" s="51"/>
      <c r="Y221" s="52" t="str">
        <f>IF(COUNT(L221,V221,W221,X221)=4,L221-V221-W221-X221,"")</f>
      </c>
      <c r="Z221" s="51"/>
      <c r="AA221" s="51"/>
    </row>
    <row r="222" ht="22" customHeight="1">
      <c r="A222" s="49" t="str">
        <v>Data Center and AI</v>
      </c>
      <c r="B222" s="3"/>
      <c r="C222" s="51"/>
      <c r="D222" s="51"/>
      <c r="E222" s="51"/>
      <c r="F222" s="51"/>
      <c r="G222" s="51" t="n">
        <v>23413</v>
      </c>
      <c r="H222" s="51" t="n">
        <v>22691</v>
      </c>
      <c r="I222" s="51" t="n">
        <v>19196</v>
      </c>
      <c r="J222" s="51"/>
      <c r="K222" s="51"/>
      <c r="L222" s="51"/>
      <c r="M222" s="51"/>
      <c r="N222" s="51"/>
      <c r="O222" s="51"/>
      <c r="P222" s="51"/>
      <c r="Q222" s="52" t="str">
        <f>IF(COUNT(J222,N222,O222,P222)=4,J222-N222-O222-P222,"")</f>
      </c>
      <c r="R222" s="51"/>
      <c r="S222" s="51"/>
      <c r="T222" s="51"/>
      <c r="U222" s="52" t="str">
        <f>IF(COUNT(K222,R222,S222,T222)=4,K222-R222-S222-T222,"")</f>
      </c>
      <c r="V222" s="51"/>
      <c r="W222" s="51"/>
      <c r="X222" s="51"/>
      <c r="Y222" s="52" t="str">
        <f>IF(COUNT(L222,V222,W222,X222)=4,L222-V222-W222-X222,"")</f>
      </c>
      <c r="Z222" s="51"/>
      <c r="AA222" s="51"/>
    </row>
    <row r="223" ht="22" customHeight="1">
      <c r="A223" s="49" t="str">
        <v>Network and Edge</v>
      </c>
      <c r="B223" s="3"/>
      <c r="C223" s="51"/>
      <c r="D223" s="51"/>
      <c r="E223" s="51"/>
      <c r="F223" s="51"/>
      <c r="G223" s="51" t="n">
        <v>7132</v>
      </c>
      <c r="H223" s="51" t="n">
        <v>7976</v>
      </c>
      <c r="I223" s="51" t="n">
        <v>8873</v>
      </c>
      <c r="J223" s="51"/>
      <c r="K223" s="51"/>
      <c r="L223" s="51"/>
      <c r="M223" s="51"/>
      <c r="N223" s="51"/>
      <c r="O223" s="51"/>
      <c r="P223" s="51"/>
      <c r="Q223" s="52" t="str">
        <f>IF(COUNT(J223,N223,O223,P223)=4,J223-N223-O223-P223,"")</f>
      </c>
      <c r="R223" s="51"/>
      <c r="S223" s="51"/>
      <c r="T223" s="51"/>
      <c r="U223" s="52" t="str">
        <f>IF(COUNT(K223,R223,S223,T223)=4,K223-R223-S223-T223,"")</f>
      </c>
      <c r="V223" s="51"/>
      <c r="W223" s="51"/>
      <c r="X223" s="51"/>
      <c r="Y223" s="52" t="str">
        <f>IF(COUNT(L223,V223,W223,X223)=4,L223-V223-W223-X223,"")</f>
      </c>
      <c r="Z223" s="51"/>
      <c r="AA223" s="51"/>
    </row>
    <row r="224" ht="22" customHeight="1">
      <c r="A224" s="49" t="str">
        <v>Mobileye</v>
      </c>
      <c r="B224" s="3"/>
      <c r="C224" s="51"/>
      <c r="D224" s="51"/>
      <c r="E224" s="51"/>
      <c r="F224" s="51"/>
      <c r="G224" s="51" t="n">
        <v>967</v>
      </c>
      <c r="H224" s="51" t="n">
        <v>1386</v>
      </c>
      <c r="I224" s="51" t="n">
        <v>1869</v>
      </c>
      <c r="J224" s="51"/>
      <c r="K224" s="51"/>
      <c r="L224" s="51"/>
      <c r="M224" s="51"/>
      <c r="N224" s="51"/>
      <c r="O224" s="51"/>
      <c r="P224" s="51"/>
      <c r="Q224" s="52" t="str">
        <f>IF(COUNT(J224,N224,O224,P224)=4,J224-N224-O224-P224,"")</f>
      </c>
      <c r="R224" s="51"/>
      <c r="S224" s="51"/>
      <c r="T224" s="51"/>
      <c r="U224" s="52" t="str">
        <f>IF(COUNT(K224,R224,S224,T224)=4,K224-R224-S224-T224,"")</f>
      </c>
      <c r="V224" s="51"/>
      <c r="W224" s="51"/>
      <c r="X224" s="51"/>
      <c r="Y224" s="52" t="str">
        <f>IF(COUNT(L224,V224,W224,X224)=4,L224-V224-W224-X224,"")</f>
      </c>
      <c r="Z224" s="51"/>
      <c r="AA224" s="51"/>
    </row>
    <row r="225" ht="22" customHeight="1">
      <c r="A225" s="49" t="str">
        <v>Accelerated Computing Systems and Graphics</v>
      </c>
      <c r="B225" s="3"/>
      <c r="C225" s="51"/>
      <c r="D225" s="51"/>
      <c r="E225" s="51"/>
      <c r="F225" s="51"/>
      <c r="G225" s="51" t="n">
        <v>651</v>
      </c>
      <c r="H225" s="51" t="n">
        <v>774</v>
      </c>
      <c r="I225" s="51" t="n">
        <v>837</v>
      </c>
      <c r="J225" s="51"/>
      <c r="K225" s="51"/>
      <c r="L225" s="51"/>
      <c r="M225" s="51"/>
      <c r="N225" s="51"/>
      <c r="O225" s="51"/>
      <c r="P225" s="51"/>
      <c r="Q225" s="52" t="str">
        <f>IF(COUNT(J225,N225,O225,P225)=4,J225-N225-O225-P225,"")</f>
      </c>
      <c r="R225" s="51"/>
      <c r="S225" s="51"/>
      <c r="T225" s="51"/>
      <c r="U225" s="52" t="str">
        <f>IF(COUNT(K225,R225,S225,T225)=4,K225-R225-S225-T225,"")</f>
      </c>
      <c r="V225" s="51"/>
      <c r="W225" s="51"/>
      <c r="X225" s="51"/>
      <c r="Y225" s="52" t="str">
        <f>IF(COUNT(L225,V225,W225,X225)=4,L225-V225-W225-X225,"")</f>
      </c>
      <c r="Z225" s="51"/>
      <c r="AA225" s="51"/>
    </row>
    <row r="226" ht="22" customHeight="1">
      <c r="A226" s="49" t="str">
        <v>Intel Foundry Services</v>
      </c>
      <c r="B226" s="3"/>
      <c r="C226" s="51"/>
      <c r="D226" s="51"/>
      <c r="E226" s="51"/>
      <c r="F226" s="51"/>
      <c r="G226" s="51" t="n">
        <v>715</v>
      </c>
      <c r="H226" s="51" t="n">
        <v>786</v>
      </c>
      <c r="I226" s="51" t="n">
        <v>895</v>
      </c>
      <c r="J226" s="51"/>
      <c r="K226" s="51"/>
      <c r="L226" s="51"/>
      <c r="M226" s="51"/>
      <c r="N226" s="51"/>
      <c r="O226" s="51"/>
      <c r="P226" s="51"/>
      <c r="Q226" s="52" t="str">
        <f>IF(COUNT(J226,N226,O226,P226)=4,J226-N226-O226-P226,"")</f>
      </c>
      <c r="R226" s="51"/>
      <c r="S226" s="51"/>
      <c r="T226" s="51"/>
      <c r="U226" s="52" t="str">
        <f>IF(COUNT(K226,R226,S226,T226)=4,K226-R226-S226-T226,"")</f>
      </c>
      <c r="V226" s="51"/>
      <c r="W226" s="51"/>
      <c r="X226" s="51"/>
      <c r="Y226" s="52" t="str">
        <f>IF(COUNT(L226,V226,W226,X226)=4,L226-V226-W226-X226,"")</f>
      </c>
      <c r="Z226" s="51"/>
      <c r="AA226" s="51"/>
    </row>
    <row r="227" ht="22" customHeight="1">
      <c r="A227" s="49" t="str">
        <v>All other</v>
      </c>
      <c r="B227" s="3"/>
      <c r="C227" s="51"/>
      <c r="D227" s="51"/>
      <c r="E227" s="51"/>
      <c r="F227" s="51"/>
      <c r="G227" s="51" t="n">
        <v>5091</v>
      </c>
      <c r="H227" s="51" t="n">
        <v>5019</v>
      </c>
      <c r="I227" s="51" t="n">
        <v>196</v>
      </c>
      <c r="J227" s="51"/>
      <c r="K227" s="51"/>
      <c r="L227" s="51"/>
      <c r="M227" s="51"/>
      <c r="N227" s="51"/>
      <c r="O227" s="51"/>
      <c r="P227" s="51"/>
      <c r="Q227" s="52" t="str">
        <f>IF(COUNT(J227,N227,O227,P227)=4,J227-N227-O227-P227,"")</f>
      </c>
      <c r="R227" s="51"/>
      <c r="S227" s="51"/>
      <c r="T227" s="51"/>
      <c r="U227" s="52" t="str">
        <f>IF(COUNT(K227,R227,S227,T227)=4,K227-R227-S227-T227,"")</f>
      </c>
      <c r="V227" s="51"/>
      <c r="W227" s="51"/>
      <c r="X227" s="51"/>
      <c r="Y227" s="52" t="str">
        <f>IF(COUNT(L227,V227,W227,X227)=4,L227-V227-W227-X227,"")</f>
      </c>
      <c r="Z227" s="51"/>
      <c r="AA227" s="51"/>
    </row>
    <row r="228" ht="24" customHeight="1">
      <c r="A228" s="34" t="str">
        <v>Total operating segment revenue</v>
      </c>
      <c r="B228" s="35"/>
      <c r="C228" s="36"/>
      <c r="D228" s="36"/>
      <c r="E228" s="36"/>
      <c r="F228" s="36"/>
      <c r="G228" s="36" t="n">
        <v>78504</v>
      </c>
      <c r="H228" s="36" t="n">
        <v>79699</v>
      </c>
      <c r="I228" s="36" t="n">
        <v>63574</v>
      </c>
      <c r="J228" s="36"/>
      <c r="K228" s="36"/>
      <c r="L228" s="36"/>
      <c r="M228" s="36"/>
      <c r="N228" s="36"/>
      <c r="O228" s="36"/>
      <c r="P228" s="36"/>
      <c r="Q228" s="37" t="str">
        <f>IF(COUNT(J228,N228,O228,P228)=4,J228-N228-O228-P228,"")</f>
      </c>
      <c r="R228" s="36"/>
      <c r="S228" s="36"/>
      <c r="T228" s="36"/>
      <c r="U228" s="37" t="str">
        <f>IF(COUNT(K228,R228,S228,T228)=4,K228-R228-S228-T228,"")</f>
      </c>
      <c r="V228" s="36"/>
      <c r="W228" s="36"/>
      <c r="X228" s="36"/>
      <c r="Y228" s="37" t="str">
        <f>IF(COUNT(L228,V228,W228,X228)=4,L228-V228-W228-X228,"")</f>
      </c>
      <c r="Z228" s="36"/>
      <c r="AA228" s="36"/>
    </row>
    <row r="229" ht="36" customHeight="1">
      <c r="A229" s="49" t="str">
        <v>Less: Accelerated Computing Systems and Graphics intersegment revenue</v>
      </c>
      <c r="B229" s="3"/>
      <c r="C229" s="51"/>
      <c r="D229" s="51"/>
      <c r="E229" s="51"/>
      <c r="F229" s="51"/>
      <c r="G229" s="51" t="n">
        <v>-637</v>
      </c>
      <c r="H229" s="51" t="n">
        <v>-675</v>
      </c>
      <c r="I229" s="51" t="n">
        <v>-520</v>
      </c>
      <c r="J229" s="51"/>
      <c r="K229" s="51"/>
      <c r="L229" s="51"/>
      <c r="M229" s="51"/>
      <c r="N229" s="51"/>
      <c r="O229" s="51"/>
      <c r="P229" s="51"/>
      <c r="Q229" s="52" t="str">
        <f>IF(COUNT(J229,N229,O229,P229)=4,J229-N229-O229-P229,"")</f>
      </c>
      <c r="R229" s="51"/>
      <c r="S229" s="51"/>
      <c r="T229" s="51"/>
      <c r="U229" s="52" t="str">
        <f>IF(COUNT(K229,R229,S229,T229)=4,K229-R229-S229-T229,"")</f>
      </c>
      <c r="V229" s="51"/>
      <c r="W229" s="51"/>
      <c r="X229" s="51"/>
      <c r="Y229" s="52" t="str">
        <f>IF(COUNT(L229,V229,W229,X229)=4,L229-V229-W229-X229,"")</f>
      </c>
      <c r="Z229" s="51"/>
      <c r="AA229" s="51"/>
    </row>
    <row r="230" ht="24" customHeight="1">
      <c r="A230" s="34" t="str">
        <v>Total net revenue</v>
      </c>
      <c r="B230" s="35"/>
      <c r="C230" s="36"/>
      <c r="D230" s="36"/>
      <c r="E230" s="36"/>
      <c r="F230" s="36"/>
      <c r="G230" s="36" t="n">
        <v>77867</v>
      </c>
      <c r="H230" s="36" t="n">
        <v>79024</v>
      </c>
      <c r="I230" s="36" t="n">
        <v>63054</v>
      </c>
      <c r="J230" s="36"/>
      <c r="K230" s="36"/>
      <c r="L230" s="36"/>
      <c r="M230" s="36"/>
      <c r="N230" s="36"/>
      <c r="O230" s="36"/>
      <c r="P230" s="36"/>
      <c r="Q230" s="37" t="str">
        <f>IF(COUNT(J230,N230,O230,P230)=4,J230-N230-O230-P230,"")</f>
      </c>
      <c r="R230" s="36"/>
      <c r="S230" s="36"/>
      <c r="T230" s="36"/>
      <c r="U230" s="37" t="str">
        <f>IF(COUNT(K230,R230,S230,T230)=4,K230-R230-S230-T230,"")</f>
      </c>
      <c r="V230" s="36"/>
      <c r="W230" s="36"/>
      <c r="X230" s="36"/>
      <c r="Y230" s="37" t="str">
        <f>IF(COUNT(L230,V230,W230,X230)=4,L230-V230-W230-X230,"")</f>
      </c>
      <c r="Z230" s="36"/>
      <c r="AA230" s="36"/>
    </row>
    <row r="231" ht="22" customHeight="1">
      <c r="A231" s="49" t="str">
        <v>Check: segment lines - printed total (should be 0)</v>
      </c>
      <c r="B231" s="3"/>
      <c r="C231" s="59"/>
      <c r="D231" s="59"/>
      <c r="E231" s="59"/>
      <c r="F231" s="59"/>
      <c r="G231" s="59" t="n">
        <f>IF(COUNT(G221,G222,G223,G224,G225,G226,G227,G229,G230)=9,G221+G222+G223+G224+G225+G226+G227+G229-G230,"")</f>
        <v>0</v>
      </c>
      <c r="H231" s="59" t="n">
        <f>IF(COUNT(H221,H222,H223,H224,H225,H226,H227,H229,H230)=9,H221+H222+H223+H224+H225+H226+H227+H229-H230,"")</f>
        <v>0</v>
      </c>
      <c r="I231" s="59" t="n">
        <f>IF(COUNT(I221,I222,I223,I224,I225,I226,I227,I229,I230)=9,I221+I222+I223+I224+I225+I226+I227+I229-I230,"")</f>
        <v>0</v>
      </c>
      <c r="J231" s="59"/>
      <c r="K231" s="59"/>
      <c r="L231" s="59"/>
      <c r="M231" s="59"/>
      <c r="N231" s="59"/>
      <c r="O231" s="59"/>
      <c r="P231" s="59"/>
      <c r="Q231" s="59"/>
      <c r="R231" s="59"/>
      <c r="S231" s="59"/>
      <c r="T231" s="59"/>
      <c r="U231" s="59"/>
      <c r="V231" s="59"/>
      <c r="W231" s="59"/>
      <c r="X231" s="59"/>
      <c r="Y231" s="59"/>
      <c r="Z231" s="59"/>
      <c r="AA231" s="59"/>
    </row>
    <row r="232" ht="8"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22" customHeight="1">
      <c r="A233" s="21" t="str">
        <v>FY2022 reporting framework: Operating income (loss)</v>
      </c>
      <c r="B233" s="21" t="str">
        <v>FY2022 reporting framework: Operating income (loss)</v>
      </c>
      <c r="C233" s="21" t="str">
        <v>FY2022 reporting framework: Operating income (loss)</v>
      </c>
      <c r="D233" s="21" t="str">
        <v>FY2022 reporting framework: Operating income (loss)</v>
      </c>
      <c r="E233" s="21" t="str">
        <v>FY2022 reporting framework: Operating income (loss)</v>
      </c>
      <c r="F233" s="21" t="str">
        <v>FY2022 reporting framework: Operating income (loss)</v>
      </c>
      <c r="G233" s="21" t="str">
        <v>FY2022 reporting framework: Operating income (loss)</v>
      </c>
      <c r="H233" s="21" t="str">
        <v>FY2022 reporting framework: Operating income (loss)</v>
      </c>
      <c r="I233" s="21" t="str">
        <v>FY2022 reporting framework: Operating income (loss)</v>
      </c>
      <c r="J233" s="21" t="str">
        <v>FY2022 reporting framework: Operating income (loss)</v>
      </c>
      <c r="K233" s="21" t="str">
        <v>FY2022 reporting framework: Operating income (loss)</v>
      </c>
      <c r="L233" s="21" t="str">
        <v>FY2022 reporting framework: Operating income (loss)</v>
      </c>
      <c r="M233" s="21" t="str">
        <v>FY2022 reporting framework: Operating income (loss)</v>
      </c>
      <c r="N233" s="21" t="str">
        <v>FY2022 reporting framework: Operating income (loss)</v>
      </c>
      <c r="O233" s="21" t="str">
        <v>FY2022 reporting framework: Operating income (loss)</v>
      </c>
      <c r="P233" s="21" t="str">
        <v>FY2022 reporting framework: Operating income (loss)</v>
      </c>
      <c r="Q233" s="21" t="str">
        <v>FY2022 reporting framework: Operating income (loss)</v>
      </c>
      <c r="R233" s="21" t="str">
        <v>FY2022 reporting framework: Operating income (loss)</v>
      </c>
      <c r="S233" s="21" t="str">
        <v>FY2022 reporting framework: Operating income (loss)</v>
      </c>
      <c r="T233" s="21" t="str">
        <v>FY2022 reporting framework: Operating income (loss)</v>
      </c>
      <c r="U233" s="21" t="str">
        <v>FY2022 reporting framework: Operating income (loss)</v>
      </c>
      <c r="V233" s="21" t="str">
        <v>FY2022 reporting framework: Operating income (loss)</v>
      </c>
      <c r="W233" s="21" t="str">
        <v>FY2022 reporting framework: Operating income (loss)</v>
      </c>
      <c r="X233" s="21" t="str">
        <v>FY2022 reporting framework: Operating income (loss)</v>
      </c>
      <c r="Y233" s="21" t="str">
        <v>FY2022 reporting framework: Operating income (loss)</v>
      </c>
      <c r="Z233" s="21" t="str">
        <v>FY2022 reporting framework: Operating income (loss)</v>
      </c>
      <c r="AA233" s="21" t="str">
        <v>FY2022 reporting framework: Operating income (loss)</v>
      </c>
    </row>
    <row r="234" ht="18" customHeight="1">
      <c r="A234" s="22" t="str">
        <v>Historical segment definitions differ from the current framework; compare within this section only.</v>
      </c>
      <c r="B234" s="22" t="str">
        <v>Historical segment definitions differ from the current framework; compare within this section only.</v>
      </c>
      <c r="C234" s="22" t="str">
        <v>Historical segment definitions differ from the current framework; compare within this section only.</v>
      </c>
      <c r="D234" s="22" t="str">
        <v>Historical segment definitions differ from the current framework; compare within this section only.</v>
      </c>
      <c r="E234" s="22" t="str">
        <v>Historical segment definitions differ from the current framework; compare within this section only.</v>
      </c>
      <c r="F234" s="22" t="str">
        <v>Historical segment definitions differ from the current framework; compare within this section only.</v>
      </c>
      <c r="G234" s="22" t="str">
        <v>Historical segment definitions differ from the current framework; compare within this section only.</v>
      </c>
      <c r="H234" s="22" t="str">
        <v>Historical segment definitions differ from the current framework; compare within this section only.</v>
      </c>
      <c r="I234" s="22" t="str">
        <v>Historical segment definitions differ from the current framework; compare within this section only.</v>
      </c>
      <c r="J234" s="22" t="str">
        <v>Historical segment definitions differ from the current framework; compare within this section only.</v>
      </c>
      <c r="K234" s="22" t="str">
        <v>Historical segment definitions differ from the current framework; compare within this section only.</v>
      </c>
      <c r="L234" s="22" t="str">
        <v>Historical segment definitions differ from the current framework; compare within this section only.</v>
      </c>
      <c r="M234" s="22" t="str">
        <v>Historical segment definitions differ from the current framework; compare within this section only.</v>
      </c>
      <c r="N234" s="22" t="str">
        <v>Historical segment definitions differ from the current framework; compare within this section only.</v>
      </c>
      <c r="O234" s="22" t="str">
        <v>Historical segment definitions differ from the current framework; compare within this section only.</v>
      </c>
      <c r="P234" s="22" t="str">
        <v>Historical segment definitions differ from the current framework; compare within this section only.</v>
      </c>
      <c r="Q234" s="22" t="str">
        <v>Historical segment definitions differ from the current framework; compare within this section only.</v>
      </c>
      <c r="R234" s="22" t="str">
        <v>Historical segment definitions differ from the current framework; compare within this section only.</v>
      </c>
      <c r="S234" s="22" t="str">
        <v>Historical segment definitions differ from the current framework; compare within this section only.</v>
      </c>
      <c r="T234" s="22" t="str">
        <v>Historical segment definitions differ from the current framework; compare within this section only.</v>
      </c>
      <c r="U234" s="22" t="str">
        <v>Historical segment definitions differ from the current framework; compare within this section only.</v>
      </c>
      <c r="V234" s="22" t="str">
        <v>Historical segment definitions differ from the current framework; compare within this section only.</v>
      </c>
      <c r="W234" s="22" t="str">
        <v>Historical segment definitions differ from the current framework; compare within this section only.</v>
      </c>
      <c r="X234" s="22" t="str">
        <v>Historical segment definitions differ from the current framework; compare within this section only.</v>
      </c>
      <c r="Y234" s="22" t="str">
        <v>Historical segment definitions differ from the current framework; compare within this section only.</v>
      </c>
      <c r="Z234" s="22" t="str">
        <v>Historical segment definitions differ from the current framework; compare within this section only.</v>
      </c>
      <c r="AA234" s="22" t="str">
        <v>Historical segment definitions differ from the current framework; compare within this section only.</v>
      </c>
    </row>
    <row r="235" ht="22" customHeight="1">
      <c r="A235" s="49" t="str">
        <v>Client Computing</v>
      </c>
      <c r="B235" s="3"/>
      <c r="C235" s="51"/>
      <c r="D235" s="51"/>
      <c r="E235" s="51"/>
      <c r="F235" s="51"/>
      <c r="G235" s="51" t="n">
        <v>15800</v>
      </c>
      <c r="H235" s="51" t="n">
        <v>15704</v>
      </c>
      <c r="I235" s="51" t="n">
        <v>6266</v>
      </c>
      <c r="J235" s="51"/>
      <c r="K235" s="51"/>
      <c r="L235" s="51"/>
      <c r="M235" s="51"/>
      <c r="N235" s="51"/>
      <c r="O235" s="51"/>
      <c r="P235" s="51"/>
      <c r="Q235" s="52" t="str">
        <f>IF(COUNT(J235,N235,O235,P235)=4,J235-N235-O235-P235,"")</f>
      </c>
      <c r="R235" s="51"/>
      <c r="S235" s="51"/>
      <c r="T235" s="51"/>
      <c r="U235" s="52" t="str">
        <f>IF(COUNT(K235,R235,S235,T235)=4,K235-R235-S235-T235,"")</f>
      </c>
      <c r="V235" s="51"/>
      <c r="W235" s="51"/>
      <c r="X235" s="51"/>
      <c r="Y235" s="52" t="str">
        <f>IF(COUNT(L235,V235,W235,X235)=4,L235-V235-W235-X235,"")</f>
      </c>
      <c r="Z235" s="51"/>
      <c r="AA235" s="51"/>
    </row>
    <row r="236" ht="22" customHeight="1">
      <c r="A236" s="49" t="str">
        <v>Data Center and AI</v>
      </c>
      <c r="B236" s="3"/>
      <c r="C236" s="51"/>
      <c r="D236" s="51"/>
      <c r="E236" s="51"/>
      <c r="F236" s="51"/>
      <c r="G236" s="51" t="n">
        <v>11076</v>
      </c>
      <c r="H236" s="51" t="n">
        <v>8439</v>
      </c>
      <c r="I236" s="51" t="n">
        <v>2288</v>
      </c>
      <c r="J236" s="51"/>
      <c r="K236" s="51"/>
      <c r="L236" s="51"/>
      <c r="M236" s="51"/>
      <c r="N236" s="51"/>
      <c r="O236" s="51"/>
      <c r="P236" s="51"/>
      <c r="Q236" s="52" t="str">
        <f>IF(COUNT(J236,N236,O236,P236)=4,J236-N236-O236-P236,"")</f>
      </c>
      <c r="R236" s="51"/>
      <c r="S236" s="51"/>
      <c r="T236" s="51"/>
      <c r="U236" s="52" t="str">
        <f>IF(COUNT(K236,R236,S236,T236)=4,K236-R236-S236-T236,"")</f>
      </c>
      <c r="V236" s="51"/>
      <c r="W236" s="51"/>
      <c r="X236" s="51"/>
      <c r="Y236" s="52" t="str">
        <f>IF(COUNT(L236,V236,W236,X236)=4,L236-V236-W236-X236,"")</f>
      </c>
      <c r="Z236" s="51"/>
      <c r="AA236" s="51"/>
    </row>
    <row r="237" ht="22" customHeight="1">
      <c r="A237" s="49" t="str">
        <v>Network and Edge</v>
      </c>
      <c r="B237" s="3"/>
      <c r="C237" s="51"/>
      <c r="D237" s="51"/>
      <c r="E237" s="51"/>
      <c r="F237" s="51"/>
      <c r="G237" s="51" t="n">
        <v>846</v>
      </c>
      <c r="H237" s="51" t="n">
        <v>1711</v>
      </c>
      <c r="I237" s="51" t="n">
        <v>740</v>
      </c>
      <c r="J237" s="51"/>
      <c r="K237" s="51"/>
      <c r="L237" s="51"/>
      <c r="M237" s="51"/>
      <c r="N237" s="51"/>
      <c r="O237" s="51"/>
      <c r="P237" s="51"/>
      <c r="Q237" s="52" t="str">
        <f>IF(COUNT(J237,N237,O237,P237)=4,J237-N237-O237-P237,"")</f>
      </c>
      <c r="R237" s="51"/>
      <c r="S237" s="51"/>
      <c r="T237" s="51"/>
      <c r="U237" s="52" t="str">
        <f>IF(COUNT(K237,R237,S237,T237)=4,K237-R237-S237-T237,"")</f>
      </c>
      <c r="V237" s="51"/>
      <c r="W237" s="51"/>
      <c r="X237" s="51"/>
      <c r="Y237" s="52" t="str">
        <f>IF(COUNT(L237,V237,W237,X237)=4,L237-V237-W237-X237,"")</f>
      </c>
      <c r="Z237" s="51"/>
      <c r="AA237" s="51"/>
    </row>
    <row r="238" ht="22" customHeight="1">
      <c r="A238" s="49" t="str">
        <v>Mobileye</v>
      </c>
      <c r="B238" s="3"/>
      <c r="C238" s="51"/>
      <c r="D238" s="51"/>
      <c r="E238" s="51"/>
      <c r="F238" s="51"/>
      <c r="G238" s="51" t="n">
        <v>323</v>
      </c>
      <c r="H238" s="51" t="n">
        <v>554</v>
      </c>
      <c r="I238" s="51" t="n">
        <v>690</v>
      </c>
      <c r="J238" s="51"/>
      <c r="K238" s="51"/>
      <c r="L238" s="51"/>
      <c r="M238" s="51"/>
      <c r="N238" s="51"/>
      <c r="O238" s="51"/>
      <c r="P238" s="51"/>
      <c r="Q238" s="52" t="str">
        <f>IF(COUNT(J238,N238,O238,P238)=4,J238-N238-O238-P238,"")</f>
      </c>
      <c r="R238" s="51"/>
      <c r="S238" s="51"/>
      <c r="T238" s="51"/>
      <c r="U238" s="52" t="str">
        <f>IF(COUNT(K238,R238,S238,T238)=4,K238-R238-S238-T238,"")</f>
      </c>
      <c r="V238" s="51"/>
      <c r="W238" s="51"/>
      <c r="X238" s="51"/>
      <c r="Y238" s="52" t="str">
        <f>IF(COUNT(L238,V238,W238,X238)=4,L238-V238-W238-X238,"")</f>
      </c>
      <c r="Z238" s="51"/>
      <c r="AA238" s="51"/>
    </row>
    <row r="239" ht="22" customHeight="1">
      <c r="A239" s="49" t="str">
        <v>Accelerated Computing Systems and Graphics</v>
      </c>
      <c r="B239" s="3"/>
      <c r="C239" s="51"/>
      <c r="D239" s="51"/>
      <c r="E239" s="51"/>
      <c r="F239" s="51"/>
      <c r="G239" s="51" t="n">
        <v>-403</v>
      </c>
      <c r="H239" s="51" t="n">
        <v>-1207</v>
      </c>
      <c r="I239" s="51" t="n">
        <v>-1716</v>
      </c>
      <c r="J239" s="51"/>
      <c r="K239" s="51"/>
      <c r="L239" s="51"/>
      <c r="M239" s="51"/>
      <c r="N239" s="51"/>
      <c r="O239" s="51"/>
      <c r="P239" s="51"/>
      <c r="Q239" s="52" t="str">
        <f>IF(COUNT(J239,N239,O239,P239)=4,J239-N239-O239-P239,"")</f>
      </c>
      <c r="R239" s="51"/>
      <c r="S239" s="51"/>
      <c r="T239" s="51"/>
      <c r="U239" s="52" t="str">
        <f>IF(COUNT(K239,R239,S239,T239)=4,K239-R239-S239-T239,"")</f>
      </c>
      <c r="V239" s="51"/>
      <c r="W239" s="51"/>
      <c r="X239" s="51"/>
      <c r="Y239" s="52" t="str">
        <f>IF(COUNT(L239,V239,W239,X239)=4,L239-V239-W239-X239,"")</f>
      </c>
      <c r="Z239" s="51"/>
      <c r="AA239" s="51"/>
    </row>
    <row r="240" ht="22" customHeight="1">
      <c r="A240" s="49" t="str">
        <v>Intel Foundry Services</v>
      </c>
      <c r="B240" s="3"/>
      <c r="C240" s="51"/>
      <c r="D240" s="51"/>
      <c r="E240" s="51"/>
      <c r="F240" s="51"/>
      <c r="G240" s="51" t="n">
        <v>45</v>
      </c>
      <c r="H240" s="51" t="n">
        <v>-23</v>
      </c>
      <c r="I240" s="51" t="n">
        <v>-320</v>
      </c>
      <c r="J240" s="51"/>
      <c r="K240" s="51"/>
      <c r="L240" s="51"/>
      <c r="M240" s="51"/>
      <c r="N240" s="51"/>
      <c r="O240" s="51"/>
      <c r="P240" s="51"/>
      <c r="Q240" s="52" t="str">
        <f>IF(COUNT(J240,N240,O240,P240)=4,J240-N240-O240-P240,"")</f>
      </c>
      <c r="R240" s="51"/>
      <c r="S240" s="51"/>
      <c r="T240" s="51"/>
      <c r="U240" s="52" t="str">
        <f>IF(COUNT(K240,R240,S240,T240)=4,K240-R240-S240-T240,"")</f>
      </c>
      <c r="V240" s="51"/>
      <c r="W240" s="51"/>
      <c r="X240" s="51"/>
      <c r="Y240" s="52" t="str">
        <f>IF(COUNT(L240,V240,W240,X240)=4,L240-V240-W240-X240,"")</f>
      </c>
      <c r="Z240" s="51"/>
      <c r="AA240" s="51"/>
    </row>
    <row r="241" ht="22" customHeight="1">
      <c r="A241" s="49" t="str">
        <v>All other</v>
      </c>
      <c r="B241" s="3"/>
      <c r="C241" s="51"/>
      <c r="D241" s="51"/>
      <c r="E241" s="51"/>
      <c r="F241" s="51"/>
      <c r="G241" s="51" t="n">
        <v>-4009</v>
      </c>
      <c r="H241" s="51" t="n">
        <v>-5722</v>
      </c>
      <c r="I241" s="51" t="n">
        <v>-5614</v>
      </c>
      <c r="J241" s="51"/>
      <c r="K241" s="51"/>
      <c r="L241" s="51"/>
      <c r="M241" s="51"/>
      <c r="N241" s="51"/>
      <c r="O241" s="51"/>
      <c r="P241" s="51"/>
      <c r="Q241" s="52" t="str">
        <f>IF(COUNT(J241,N241,O241,P241)=4,J241-N241-O241-P241,"")</f>
      </c>
      <c r="R241" s="51"/>
      <c r="S241" s="51"/>
      <c r="T241" s="51"/>
      <c r="U241" s="52" t="str">
        <f>IF(COUNT(K241,R241,S241,T241)=4,K241-R241-S241-T241,"")</f>
      </c>
      <c r="V241" s="51"/>
      <c r="W241" s="51"/>
      <c r="X241" s="51"/>
      <c r="Y241" s="52" t="str">
        <f>IF(COUNT(L241,V241,W241,X241)=4,L241-V241-W241-X241,"")</f>
      </c>
      <c r="Z241" s="51"/>
      <c r="AA241" s="51"/>
    </row>
    <row r="242" ht="24" customHeight="1">
      <c r="A242" s="34" t="str">
        <v>Total operating income</v>
      </c>
      <c r="B242" s="35"/>
      <c r="C242" s="36"/>
      <c r="D242" s="36"/>
      <c r="E242" s="36"/>
      <c r="F242" s="36"/>
      <c r="G242" s="36" t="n">
        <v>23678</v>
      </c>
      <c r="H242" s="36" t="n">
        <v>19456</v>
      </c>
      <c r="I242" s="36" t="n">
        <v>2334</v>
      </c>
      <c r="J242" s="36"/>
      <c r="K242" s="36"/>
      <c r="L242" s="36"/>
      <c r="M242" s="36"/>
      <c r="N242" s="36"/>
      <c r="O242" s="36"/>
      <c r="P242" s="36"/>
      <c r="Q242" s="37" t="str">
        <f>IF(COUNT(J242,N242,O242,P242)=4,J242-N242-O242-P242,"")</f>
      </c>
      <c r="R242" s="36"/>
      <c r="S242" s="36"/>
      <c r="T242" s="36"/>
      <c r="U242" s="37" t="str">
        <f>IF(COUNT(K242,R242,S242,T242)=4,K242-R242-S242-T242,"")</f>
      </c>
      <c r="V242" s="36"/>
      <c r="W242" s="36"/>
      <c r="X242" s="36"/>
      <c r="Y242" s="37" t="str">
        <f>IF(COUNT(L242,V242,W242,X242)=4,L242-V242-W242-X242,"")</f>
      </c>
      <c r="Z242" s="36"/>
      <c r="AA242" s="36"/>
    </row>
    <row r="243" ht="22" customHeight="1">
      <c r="A243" s="49" t="str">
        <v>Check: segment lines - printed total (should be 0)</v>
      </c>
      <c r="B243" s="3"/>
      <c r="C243" s="59"/>
      <c r="D243" s="59"/>
      <c r="E243" s="59"/>
      <c r="F243" s="59"/>
      <c r="G243" s="59" t="n">
        <f>IF(COUNT(G235,G236,G237,G238,G239,G240,G241,G242)=8,G235+G236+G237+G238+G239+G240+G241-G242,"")</f>
        <v>0</v>
      </c>
      <c r="H243" s="59" t="n">
        <f>IF(COUNT(H235,H236,H237,H238,H239,H240,H241,H242)=8,H235+H236+H237+H238+H239+H240+H241-H242,"")</f>
        <v>0</v>
      </c>
      <c r="I243" s="59" t="n">
        <f>IF(COUNT(I235,I236,I237,I238,I239,I240,I241,I242)=8,I235+I236+I237+I238+I239+I240+I241-I242,"")</f>
        <v>0</v>
      </c>
      <c r="J243" s="59"/>
      <c r="K243" s="59"/>
      <c r="L243" s="59"/>
      <c r="M243" s="59"/>
      <c r="N243" s="59"/>
      <c r="O243" s="59"/>
      <c r="P243" s="59"/>
      <c r="Q243" s="59"/>
      <c r="R243" s="59"/>
      <c r="S243" s="59"/>
      <c r="T243" s="59"/>
      <c r="U243" s="59"/>
      <c r="V243" s="59"/>
      <c r="W243" s="59"/>
      <c r="X243" s="59"/>
      <c r="Y243" s="59"/>
      <c r="Z243" s="59"/>
      <c r="AA243" s="59"/>
    </row>
    <row r="244" ht="8"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22" customHeight="1">
      <c r="A245" s="21" t="str">
        <v>FY2023 reporting framework: Net revenue</v>
      </c>
      <c r="B245" s="21" t="str">
        <v>FY2023 reporting framework: Net revenue</v>
      </c>
      <c r="C245" s="21" t="str">
        <v>FY2023 reporting framework: Net revenue</v>
      </c>
      <c r="D245" s="21" t="str">
        <v>FY2023 reporting framework: Net revenue</v>
      </c>
      <c r="E245" s="21" t="str">
        <v>FY2023 reporting framework: Net revenue</v>
      </c>
      <c r="F245" s="21" t="str">
        <v>FY2023 reporting framework: Net revenue</v>
      </c>
      <c r="G245" s="21" t="str">
        <v>FY2023 reporting framework: Net revenue</v>
      </c>
      <c r="H245" s="21" t="str">
        <v>FY2023 reporting framework: Net revenue</v>
      </c>
      <c r="I245" s="21" t="str">
        <v>FY2023 reporting framework: Net revenue</v>
      </c>
      <c r="J245" s="21" t="str">
        <v>FY2023 reporting framework: Net revenue</v>
      </c>
      <c r="K245" s="21" t="str">
        <v>FY2023 reporting framework: Net revenue</v>
      </c>
      <c r="L245" s="21" t="str">
        <v>FY2023 reporting framework: Net revenue</v>
      </c>
      <c r="M245" s="21" t="str">
        <v>FY2023 reporting framework: Net revenue</v>
      </c>
      <c r="N245" s="21" t="str">
        <v>FY2023 reporting framework: Net revenue</v>
      </c>
      <c r="O245" s="21" t="str">
        <v>FY2023 reporting framework: Net revenue</v>
      </c>
      <c r="P245" s="21" t="str">
        <v>FY2023 reporting framework: Net revenue</v>
      </c>
      <c r="Q245" s="21" t="str">
        <v>FY2023 reporting framework: Net revenue</v>
      </c>
      <c r="R245" s="21" t="str">
        <v>FY2023 reporting framework: Net revenue</v>
      </c>
      <c r="S245" s="21" t="str">
        <v>FY2023 reporting framework: Net revenue</v>
      </c>
      <c r="T245" s="21" t="str">
        <v>FY2023 reporting framework: Net revenue</v>
      </c>
      <c r="U245" s="21" t="str">
        <v>FY2023 reporting framework: Net revenue</v>
      </c>
      <c r="V245" s="21" t="str">
        <v>FY2023 reporting framework: Net revenue</v>
      </c>
      <c r="W245" s="21" t="str">
        <v>FY2023 reporting framework: Net revenue</v>
      </c>
      <c r="X245" s="21" t="str">
        <v>FY2023 reporting framework: Net revenue</v>
      </c>
      <c r="Y245" s="21" t="str">
        <v>FY2023 reporting framework: Net revenue</v>
      </c>
      <c r="Z245" s="21" t="str">
        <v>FY2023 reporting framework: Net revenue</v>
      </c>
      <c r="AA245" s="21" t="str">
        <v>FY2023 reporting framework: Net revenue</v>
      </c>
    </row>
    <row r="246" ht="18" customHeight="1">
      <c r="A246" s="22" t="str">
        <v>Historical segment definitions differ from the current framework; compare within this section only.</v>
      </c>
      <c r="B246" s="22" t="str">
        <v>Historical segment definitions differ from the current framework; compare within this section only.</v>
      </c>
      <c r="C246" s="22" t="str">
        <v>Historical segment definitions differ from the current framework; compare within this section only.</v>
      </c>
      <c r="D246" s="22" t="str">
        <v>Historical segment definitions differ from the current framework; compare within this section only.</v>
      </c>
      <c r="E246" s="22" t="str">
        <v>Historical segment definitions differ from the current framework; compare within this section only.</v>
      </c>
      <c r="F246" s="22" t="str">
        <v>Historical segment definitions differ from the current framework; compare within this section only.</v>
      </c>
      <c r="G246" s="22" t="str">
        <v>Historical segment definitions differ from the current framework; compare within this section only.</v>
      </c>
      <c r="H246" s="22" t="str">
        <v>Historical segment definitions differ from the current framework; compare within this section only.</v>
      </c>
      <c r="I246" s="22" t="str">
        <v>Historical segment definitions differ from the current framework; compare within this section only.</v>
      </c>
      <c r="J246" s="22" t="str">
        <v>Historical segment definitions differ from the current framework; compare within this section only.</v>
      </c>
      <c r="K246" s="22" t="str">
        <v>Historical segment definitions differ from the current framework; compare within this section only.</v>
      </c>
      <c r="L246" s="22" t="str">
        <v>Historical segment definitions differ from the current framework; compare within this section only.</v>
      </c>
      <c r="M246" s="22" t="str">
        <v>Historical segment definitions differ from the current framework; compare within this section only.</v>
      </c>
      <c r="N246" s="22" t="str">
        <v>Historical segment definitions differ from the current framework; compare within this section only.</v>
      </c>
      <c r="O246" s="22" t="str">
        <v>Historical segment definitions differ from the current framework; compare within this section only.</v>
      </c>
      <c r="P246" s="22" t="str">
        <v>Historical segment definitions differ from the current framework; compare within this section only.</v>
      </c>
      <c r="Q246" s="22" t="str">
        <v>Historical segment definitions differ from the current framework; compare within this section only.</v>
      </c>
      <c r="R246" s="22" t="str">
        <v>Historical segment definitions differ from the current framework; compare within this section only.</v>
      </c>
      <c r="S246" s="22" t="str">
        <v>Historical segment definitions differ from the current framework; compare within this section only.</v>
      </c>
      <c r="T246" s="22" t="str">
        <v>Historical segment definitions differ from the current framework; compare within this section only.</v>
      </c>
      <c r="U246" s="22" t="str">
        <v>Historical segment definitions differ from the current framework; compare within this section only.</v>
      </c>
      <c r="V246" s="22" t="str">
        <v>Historical segment definitions differ from the current framework; compare within this section only.</v>
      </c>
      <c r="W246" s="22" t="str">
        <v>Historical segment definitions differ from the current framework; compare within this section only.</v>
      </c>
      <c r="X246" s="22" t="str">
        <v>Historical segment definitions differ from the current framework; compare within this section only.</v>
      </c>
      <c r="Y246" s="22" t="str">
        <v>Historical segment definitions differ from the current framework; compare within this section only.</v>
      </c>
      <c r="Z246" s="22" t="str">
        <v>Historical segment definitions differ from the current framework; compare within this section only.</v>
      </c>
      <c r="AA246" s="22" t="str">
        <v>Historical segment definitions differ from the current framework; compare within this section only.</v>
      </c>
    </row>
    <row r="247" ht="22" customHeight="1">
      <c r="A247" s="53" t="str">
        <v>Desktop</v>
      </c>
      <c r="B247" s="3"/>
      <c r="C247" s="51"/>
      <c r="D247" s="51"/>
      <c r="E247" s="51"/>
      <c r="F247" s="51"/>
      <c r="G247" s="51"/>
      <c r="H247" s="51" t="n">
        <v>12437</v>
      </c>
      <c r="I247" s="51" t="n">
        <v>10661</v>
      </c>
      <c r="J247" s="51" t="n">
        <v>10166</v>
      </c>
      <c r="K247" s="51"/>
      <c r="L247" s="51"/>
      <c r="M247" s="51"/>
      <c r="N247" s="51"/>
      <c r="O247" s="51"/>
      <c r="P247" s="51" t="n">
        <v>2753</v>
      </c>
      <c r="Q247" s="52" t="str">
        <f>IF(COUNT(J247,N247,O247,P247)=4,J247-N247-O247-P247,"")</f>
      </c>
      <c r="R247" s="51"/>
      <c r="S247" s="51"/>
      <c r="T247" s="51"/>
      <c r="U247" s="52" t="str">
        <f>IF(COUNT(K247,R247,S247,T247)=4,K247-R247-S247-T247,"")</f>
      </c>
      <c r="V247" s="51"/>
      <c r="W247" s="51"/>
      <c r="X247" s="51"/>
      <c r="Y247" s="52" t="str">
        <f>IF(COUNT(L247,V247,W247,X247)=4,L247-V247-W247-X247,"")</f>
      </c>
      <c r="Z247" s="51"/>
      <c r="AA247" s="51"/>
    </row>
    <row r="248" ht="22" customHeight="1">
      <c r="A248" s="53" t="str">
        <v>Notebook</v>
      </c>
      <c r="B248" s="3"/>
      <c r="C248" s="51"/>
      <c r="D248" s="51"/>
      <c r="E248" s="51"/>
      <c r="F248" s="51"/>
      <c r="G248" s="51"/>
      <c r="H248" s="51" t="n">
        <v>25443</v>
      </c>
      <c r="I248" s="51" t="n">
        <v>18781</v>
      </c>
      <c r="J248" s="51" t="n">
        <v>16990</v>
      </c>
      <c r="K248" s="51"/>
      <c r="L248" s="51"/>
      <c r="M248" s="51"/>
      <c r="N248" s="51"/>
      <c r="O248" s="51"/>
      <c r="P248" s="51" t="n">
        <v>4503</v>
      </c>
      <c r="Q248" s="52" t="str">
        <f>IF(COUNT(J248,N248,O248,P248)=4,J248-N248-O248-P248,"")</f>
      </c>
      <c r="R248" s="51"/>
      <c r="S248" s="51"/>
      <c r="T248" s="51"/>
      <c r="U248" s="52" t="str">
        <f>IF(COUNT(K248,R248,S248,T248)=4,K248-R248-S248-T248,"")</f>
      </c>
      <c r="V248" s="51"/>
      <c r="W248" s="51"/>
      <c r="X248" s="51"/>
      <c r="Y248" s="52" t="str">
        <f>IF(COUNT(L248,V248,W248,X248)=4,L248-V248-W248-X248,"")</f>
      </c>
      <c r="Z248" s="51"/>
      <c r="AA248" s="51"/>
    </row>
    <row r="249" ht="22" customHeight="1">
      <c r="A249" s="53" t="str">
        <v>CCG OTHER: Other</v>
      </c>
      <c r="B249" s="3"/>
      <c r="C249" s="51"/>
      <c r="D249" s="51"/>
      <c r="E249" s="51"/>
      <c r="F249" s="51"/>
      <c r="G249" s="51"/>
      <c r="H249" s="51" t="n">
        <v>3201</v>
      </c>
      <c r="I249" s="51" t="n">
        <v>2331</v>
      </c>
      <c r="J249" s="51" t="n">
        <v>2102</v>
      </c>
      <c r="K249" s="51"/>
      <c r="L249" s="51"/>
      <c r="M249" s="51"/>
      <c r="N249" s="51"/>
      <c r="O249" s="51"/>
      <c r="P249" s="51" t="n">
        <v>611</v>
      </c>
      <c r="Q249" s="52" t="str">
        <f>IF(COUNT(J249,N249,O249,P249)=4,J249-N249-O249-P249,"")</f>
      </c>
      <c r="R249" s="51"/>
      <c r="S249" s="51"/>
      <c r="T249" s="51"/>
      <c r="U249" s="52" t="str">
        <f>IF(COUNT(K249,R249,S249,T249)=4,K249-R249-S249-T249,"")</f>
      </c>
      <c r="V249" s="51"/>
      <c r="W249" s="51"/>
      <c r="X249" s="51"/>
      <c r="Y249" s="52" t="str">
        <f>IF(COUNT(L249,V249,W249,X249)=4,L249-V249-W249-X249,"")</f>
      </c>
      <c r="Z249" s="51"/>
      <c r="AA249" s="51"/>
    </row>
    <row r="250" ht="22" customHeight="1">
      <c r="A250" s="49" t="str">
        <v>[Client Computing total]</v>
      </c>
      <c r="B250" s="3"/>
      <c r="C250" s="51"/>
      <c r="D250" s="51"/>
      <c r="E250" s="51"/>
      <c r="F250" s="51"/>
      <c r="G250" s="51"/>
      <c r="H250" s="51" t="n">
        <v>41081</v>
      </c>
      <c r="I250" s="51" t="n">
        <v>31773</v>
      </c>
      <c r="J250" s="51" t="n">
        <v>29258</v>
      </c>
      <c r="K250" s="51"/>
      <c r="L250" s="51"/>
      <c r="M250" s="51"/>
      <c r="N250" s="51"/>
      <c r="O250" s="51"/>
      <c r="P250" s="51" t="n">
        <v>7867</v>
      </c>
      <c r="Q250" s="52" t="str">
        <f>IF(COUNT(J250,N250,O250,P250)=4,J250-N250-O250-P250,"")</f>
      </c>
      <c r="R250" s="51"/>
      <c r="S250" s="51"/>
      <c r="T250" s="51"/>
      <c r="U250" s="52" t="str">
        <f>IF(COUNT(K250,R250,S250,T250)=4,K250-R250-S250-T250,"")</f>
      </c>
      <c r="V250" s="51"/>
      <c r="W250" s="51"/>
      <c r="X250" s="51"/>
      <c r="Y250" s="52" t="str">
        <f>IF(COUNT(L250,V250,W250,X250)=4,L250-V250-W250-X250,"")</f>
      </c>
      <c r="Z250" s="51"/>
      <c r="AA250" s="51"/>
    </row>
    <row r="251" ht="22" customHeight="1">
      <c r="A251" s="49" t="str">
        <v>Data Center and AI</v>
      </c>
      <c r="B251" s="3"/>
      <c r="C251" s="51"/>
      <c r="D251" s="51"/>
      <c r="E251" s="51"/>
      <c r="F251" s="51"/>
      <c r="G251" s="51"/>
      <c r="H251" s="51" t="n">
        <v>22774</v>
      </c>
      <c r="I251" s="51" t="n">
        <v>19445</v>
      </c>
      <c r="J251" s="51" t="n">
        <v>15521</v>
      </c>
      <c r="K251" s="51"/>
      <c r="L251" s="51"/>
      <c r="M251" s="51"/>
      <c r="N251" s="51"/>
      <c r="O251" s="51"/>
      <c r="P251" s="51" t="n">
        <v>3814</v>
      </c>
      <c r="Q251" s="52" t="str">
        <f>IF(COUNT(J251,N251,O251,P251)=4,J251-N251-O251-P251,"")</f>
      </c>
      <c r="R251" s="51"/>
      <c r="S251" s="51"/>
      <c r="T251" s="51"/>
      <c r="U251" s="52" t="str">
        <f>IF(COUNT(K251,R251,S251,T251)=4,K251-R251-S251-T251,"")</f>
      </c>
      <c r="V251" s="51"/>
      <c r="W251" s="51"/>
      <c r="X251" s="51"/>
      <c r="Y251" s="52" t="str">
        <f>IF(COUNT(L251,V251,W251,X251)=4,L251-V251-W251-X251,"")</f>
      </c>
      <c r="Z251" s="51"/>
      <c r="AA251" s="51"/>
    </row>
    <row r="252" ht="22" customHeight="1">
      <c r="A252" s="49" t="str">
        <v>Network and Edge</v>
      </c>
      <c r="B252" s="3"/>
      <c r="C252" s="51"/>
      <c r="D252" s="51"/>
      <c r="E252" s="51"/>
      <c r="F252" s="51"/>
      <c r="G252" s="51"/>
      <c r="H252" s="51" t="n">
        <v>7665</v>
      </c>
      <c r="I252" s="51" t="n">
        <v>8409</v>
      </c>
      <c r="J252" s="51" t="n">
        <v>5774</v>
      </c>
      <c r="K252" s="51"/>
      <c r="L252" s="51"/>
      <c r="M252" s="51"/>
      <c r="N252" s="51"/>
      <c r="O252" s="51"/>
      <c r="P252" s="51" t="n">
        <v>1450</v>
      </c>
      <c r="Q252" s="52" t="str">
        <f>IF(COUNT(J252,N252,O252,P252)=4,J252-N252-O252-P252,"")</f>
      </c>
      <c r="R252" s="51"/>
      <c r="S252" s="51"/>
      <c r="T252" s="51"/>
      <c r="U252" s="52" t="str">
        <f>IF(COUNT(K252,R252,S252,T252)=4,K252-R252-S252-T252,"")</f>
      </c>
      <c r="V252" s="51"/>
      <c r="W252" s="51"/>
      <c r="X252" s="51"/>
      <c r="Y252" s="52" t="str">
        <f>IF(COUNT(L252,V252,W252,X252)=4,L252-V252-W252-X252,"")</f>
      </c>
      <c r="Z252" s="51"/>
      <c r="AA252" s="51"/>
    </row>
    <row r="253" ht="22" customHeight="1">
      <c r="A253" s="49" t="str">
        <v>Mobileye</v>
      </c>
      <c r="B253" s="3"/>
      <c r="C253" s="51"/>
      <c r="D253" s="51"/>
      <c r="E253" s="51"/>
      <c r="F253" s="51"/>
      <c r="G253" s="51"/>
      <c r="H253" s="51" t="n">
        <v>1386</v>
      </c>
      <c r="I253" s="51" t="n">
        <v>1869</v>
      </c>
      <c r="J253" s="51" t="n">
        <v>2079</v>
      </c>
      <c r="K253" s="51"/>
      <c r="L253" s="51"/>
      <c r="M253" s="51"/>
      <c r="N253" s="51"/>
      <c r="O253" s="51"/>
      <c r="P253" s="51" t="n">
        <v>530</v>
      </c>
      <c r="Q253" s="52" t="str">
        <f>IF(COUNT(J253,N253,O253,P253)=4,J253-N253-O253-P253,"")</f>
      </c>
      <c r="R253" s="51"/>
      <c r="S253" s="51"/>
      <c r="T253" s="51"/>
      <c r="U253" s="52" t="str">
        <f>IF(COUNT(K253,R253,S253,T253)=4,K253-R253-S253-T253,"")</f>
      </c>
      <c r="V253" s="51"/>
      <c r="W253" s="51"/>
      <c r="X253" s="51"/>
      <c r="Y253" s="52" t="str">
        <f>IF(COUNT(L253,V253,W253,X253)=4,L253-V253-W253-X253,"")</f>
      </c>
      <c r="Z253" s="51"/>
      <c r="AA253" s="51"/>
    </row>
    <row r="254" ht="22" customHeight="1">
      <c r="A254" s="49" t="str">
        <v>Intel Foundry Services</v>
      </c>
      <c r="B254" s="3"/>
      <c r="C254" s="51"/>
      <c r="D254" s="51"/>
      <c r="E254" s="51"/>
      <c r="F254" s="51"/>
      <c r="G254" s="51"/>
      <c r="H254" s="51" t="n">
        <v>347</v>
      </c>
      <c r="I254" s="51" t="n">
        <v>469</v>
      </c>
      <c r="J254" s="51" t="n">
        <v>952</v>
      </c>
      <c r="K254" s="51"/>
      <c r="L254" s="51"/>
      <c r="M254" s="51"/>
      <c r="N254" s="51"/>
      <c r="O254" s="51"/>
      <c r="P254" s="51" t="n">
        <v>311</v>
      </c>
      <c r="Q254" s="52" t="str">
        <f>IF(COUNT(J254,N254,O254,P254)=4,J254-N254-O254-P254,"")</f>
      </c>
      <c r="R254" s="51"/>
      <c r="S254" s="51"/>
      <c r="T254" s="51"/>
      <c r="U254" s="52" t="str">
        <f>IF(COUNT(K254,R254,S254,T254)=4,K254-R254-S254-T254,"")</f>
      </c>
      <c r="V254" s="51"/>
      <c r="W254" s="51"/>
      <c r="X254" s="51"/>
      <c r="Y254" s="52" t="str">
        <f>IF(COUNT(L254,V254,W254,X254)=4,L254-V254-W254-X254,"")</f>
      </c>
      <c r="Z254" s="51"/>
      <c r="AA254" s="51"/>
    </row>
    <row r="255" ht="22" customHeight="1">
      <c r="A255" s="49" t="str">
        <v>All other</v>
      </c>
      <c r="B255" s="3"/>
      <c r="C255" s="51"/>
      <c r="D255" s="51"/>
      <c r="E255" s="51"/>
      <c r="F255" s="51"/>
      <c r="G255" s="51"/>
      <c r="H255" s="51" t="n">
        <v>5771</v>
      </c>
      <c r="I255" s="51" t="n">
        <v>1089</v>
      </c>
      <c r="J255" s="51" t="n">
        <v>644</v>
      </c>
      <c r="K255" s="51"/>
      <c r="L255" s="51"/>
      <c r="M255" s="51"/>
      <c r="N255" s="51"/>
      <c r="O255" s="51"/>
      <c r="P255" s="51" t="n">
        <v>186</v>
      </c>
      <c r="Q255" s="52" t="str">
        <f>IF(COUNT(J255,N255,O255,P255)=4,J255-N255-O255-P255,"")</f>
      </c>
      <c r="R255" s="51"/>
      <c r="S255" s="51"/>
      <c r="T255" s="51"/>
      <c r="U255" s="52" t="str">
        <f>IF(COUNT(K255,R255,S255,T255)=4,K255-R255-S255-T255,"")</f>
      </c>
      <c r="V255" s="51"/>
      <c r="W255" s="51"/>
      <c r="X255" s="51"/>
      <c r="Y255" s="52" t="str">
        <f>IF(COUNT(L255,V255,W255,X255)=4,L255-V255-W255-X255,"")</f>
      </c>
      <c r="Z255" s="51"/>
      <c r="AA255" s="51"/>
    </row>
    <row r="256" ht="24" customHeight="1">
      <c r="A256" s="34" t="str">
        <v>Total net revenue</v>
      </c>
      <c r="B256" s="35"/>
      <c r="C256" s="36"/>
      <c r="D256" s="36"/>
      <c r="E256" s="36"/>
      <c r="F256" s="36"/>
      <c r="G256" s="36"/>
      <c r="H256" s="36" t="n">
        <v>79024</v>
      </c>
      <c r="I256" s="36" t="n">
        <v>63054</v>
      </c>
      <c r="J256" s="36" t="n">
        <v>54228</v>
      </c>
      <c r="K256" s="36"/>
      <c r="L256" s="36"/>
      <c r="M256" s="36"/>
      <c r="N256" s="36"/>
      <c r="O256" s="36"/>
      <c r="P256" s="36" t="n">
        <v>14158</v>
      </c>
      <c r="Q256" s="37" t="str">
        <f>IF(COUNT(J256,N256,O256,P256)=4,J256-N256-O256-P256,"")</f>
      </c>
      <c r="R256" s="36"/>
      <c r="S256" s="36"/>
      <c r="T256" s="36"/>
      <c r="U256" s="37" t="str">
        <f>IF(COUNT(K256,R256,S256,T256)=4,K256-R256-S256-T256,"")</f>
      </c>
      <c r="V256" s="36"/>
      <c r="W256" s="36"/>
      <c r="X256" s="36"/>
      <c r="Y256" s="37" t="str">
        <f>IF(COUNT(L256,V256,W256,X256)=4,L256-V256-W256-X256,"")</f>
      </c>
      <c r="Z256" s="36"/>
      <c r="AA256" s="36"/>
    </row>
    <row r="257" ht="22" customHeight="1">
      <c r="A257" s="49" t="str">
        <v>Check: segment lines - printed total (should be 0)</v>
      </c>
      <c r="B257" s="3"/>
      <c r="C257" s="59"/>
      <c r="D257" s="59"/>
      <c r="E257" s="59"/>
      <c r="F257" s="59"/>
      <c r="G257" s="59"/>
      <c r="H257" s="59" t="n">
        <f>IF(COUNT(H250,H251,H252,H253,H254,H255,H256)=7,H250+H251+H252+H253+H254+H255-H256,"")</f>
        <v>0</v>
      </c>
      <c r="I257" s="59" t="n">
        <f>IF(COUNT(I250,I251,I252,I253,I254,I255,I256)=7,I250+I251+I252+I253+I254+I255-I256,"")</f>
        <v>0</v>
      </c>
      <c r="J257" s="59" t="n">
        <f>IF(COUNT(J250,J251,J252,J253,J254,J255,J256)=7,J250+J251+J252+J253+J254+J255-J256,"")</f>
        <v>0</v>
      </c>
      <c r="K257" s="59"/>
      <c r="L257" s="59"/>
      <c r="M257" s="59"/>
      <c r="N257" s="59"/>
      <c r="O257" s="59"/>
      <c r="P257" s="59" t="n">
        <f>IF(COUNT(P250,P251,P252,P253,P254,P255,P256)=7,P250+P251+P252+P253+P254+P255-P256,"")</f>
        <v>0</v>
      </c>
      <c r="Q257" s="59" t="str">
        <f>IF(COUNT(Q250,Q251,Q252,Q253,Q254,Q255,Q256)=7,Q250+Q251+Q252+Q253+Q254+Q255-Q256,"")</f>
      </c>
      <c r="R257" s="59"/>
      <c r="S257" s="59"/>
      <c r="T257" s="59"/>
      <c r="U257" s="59"/>
      <c r="V257" s="59"/>
      <c r="W257" s="59"/>
      <c r="X257" s="59"/>
      <c r="Y257" s="59"/>
      <c r="Z257" s="59"/>
      <c r="AA257" s="59"/>
    </row>
    <row r="258" ht="8"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22" customHeight="1">
      <c r="A259" s="21" t="str">
        <v>FY2023 reporting framework: Operating income (loss)</v>
      </c>
      <c r="B259" s="21" t="str">
        <v>FY2023 reporting framework: Operating income (loss)</v>
      </c>
      <c r="C259" s="21" t="str">
        <v>FY2023 reporting framework: Operating income (loss)</v>
      </c>
      <c r="D259" s="21" t="str">
        <v>FY2023 reporting framework: Operating income (loss)</v>
      </c>
      <c r="E259" s="21" t="str">
        <v>FY2023 reporting framework: Operating income (loss)</v>
      </c>
      <c r="F259" s="21" t="str">
        <v>FY2023 reporting framework: Operating income (loss)</v>
      </c>
      <c r="G259" s="21" t="str">
        <v>FY2023 reporting framework: Operating income (loss)</v>
      </c>
      <c r="H259" s="21" t="str">
        <v>FY2023 reporting framework: Operating income (loss)</v>
      </c>
      <c r="I259" s="21" t="str">
        <v>FY2023 reporting framework: Operating income (loss)</v>
      </c>
      <c r="J259" s="21" t="str">
        <v>FY2023 reporting framework: Operating income (loss)</v>
      </c>
      <c r="K259" s="21" t="str">
        <v>FY2023 reporting framework: Operating income (loss)</v>
      </c>
      <c r="L259" s="21" t="str">
        <v>FY2023 reporting framework: Operating income (loss)</v>
      </c>
      <c r="M259" s="21" t="str">
        <v>FY2023 reporting framework: Operating income (loss)</v>
      </c>
      <c r="N259" s="21" t="str">
        <v>FY2023 reporting framework: Operating income (loss)</v>
      </c>
      <c r="O259" s="21" t="str">
        <v>FY2023 reporting framework: Operating income (loss)</v>
      </c>
      <c r="P259" s="21" t="str">
        <v>FY2023 reporting framework: Operating income (loss)</v>
      </c>
      <c r="Q259" s="21" t="str">
        <v>FY2023 reporting framework: Operating income (loss)</v>
      </c>
      <c r="R259" s="21" t="str">
        <v>FY2023 reporting framework: Operating income (loss)</v>
      </c>
      <c r="S259" s="21" t="str">
        <v>FY2023 reporting framework: Operating income (loss)</v>
      </c>
      <c r="T259" s="21" t="str">
        <v>FY2023 reporting framework: Operating income (loss)</v>
      </c>
      <c r="U259" s="21" t="str">
        <v>FY2023 reporting framework: Operating income (loss)</v>
      </c>
      <c r="V259" s="21" t="str">
        <v>FY2023 reporting framework: Operating income (loss)</v>
      </c>
      <c r="W259" s="21" t="str">
        <v>FY2023 reporting framework: Operating income (loss)</v>
      </c>
      <c r="X259" s="21" t="str">
        <v>FY2023 reporting framework: Operating income (loss)</v>
      </c>
      <c r="Y259" s="21" t="str">
        <v>FY2023 reporting framework: Operating income (loss)</v>
      </c>
      <c r="Z259" s="21" t="str">
        <v>FY2023 reporting framework: Operating income (loss)</v>
      </c>
      <c r="AA259" s="21" t="str">
        <v>FY2023 reporting framework: Operating income (loss)</v>
      </c>
    </row>
    <row r="260" ht="18" customHeight="1">
      <c r="A260" s="22" t="str">
        <v>Historical segment definitions differ from the current framework; compare within this section only.</v>
      </c>
      <c r="B260" s="22" t="str">
        <v>Historical segment definitions differ from the current framework; compare within this section only.</v>
      </c>
      <c r="C260" s="22" t="str">
        <v>Historical segment definitions differ from the current framework; compare within this section only.</v>
      </c>
      <c r="D260" s="22" t="str">
        <v>Historical segment definitions differ from the current framework; compare within this section only.</v>
      </c>
      <c r="E260" s="22" t="str">
        <v>Historical segment definitions differ from the current framework; compare within this section only.</v>
      </c>
      <c r="F260" s="22" t="str">
        <v>Historical segment definitions differ from the current framework; compare within this section only.</v>
      </c>
      <c r="G260" s="22" t="str">
        <v>Historical segment definitions differ from the current framework; compare within this section only.</v>
      </c>
      <c r="H260" s="22" t="str">
        <v>Historical segment definitions differ from the current framework; compare within this section only.</v>
      </c>
      <c r="I260" s="22" t="str">
        <v>Historical segment definitions differ from the current framework; compare within this section only.</v>
      </c>
      <c r="J260" s="22" t="str">
        <v>Historical segment definitions differ from the current framework; compare within this section only.</v>
      </c>
      <c r="K260" s="22" t="str">
        <v>Historical segment definitions differ from the current framework; compare within this section only.</v>
      </c>
      <c r="L260" s="22" t="str">
        <v>Historical segment definitions differ from the current framework; compare within this section only.</v>
      </c>
      <c r="M260" s="22" t="str">
        <v>Historical segment definitions differ from the current framework; compare within this section only.</v>
      </c>
      <c r="N260" s="22" t="str">
        <v>Historical segment definitions differ from the current framework; compare within this section only.</v>
      </c>
      <c r="O260" s="22" t="str">
        <v>Historical segment definitions differ from the current framework; compare within this section only.</v>
      </c>
      <c r="P260" s="22" t="str">
        <v>Historical segment definitions differ from the current framework; compare within this section only.</v>
      </c>
      <c r="Q260" s="22" t="str">
        <v>Historical segment definitions differ from the current framework; compare within this section only.</v>
      </c>
      <c r="R260" s="22" t="str">
        <v>Historical segment definitions differ from the current framework; compare within this section only.</v>
      </c>
      <c r="S260" s="22" t="str">
        <v>Historical segment definitions differ from the current framework; compare within this section only.</v>
      </c>
      <c r="T260" s="22" t="str">
        <v>Historical segment definitions differ from the current framework; compare within this section only.</v>
      </c>
      <c r="U260" s="22" t="str">
        <v>Historical segment definitions differ from the current framework; compare within this section only.</v>
      </c>
      <c r="V260" s="22" t="str">
        <v>Historical segment definitions differ from the current framework; compare within this section only.</v>
      </c>
      <c r="W260" s="22" t="str">
        <v>Historical segment definitions differ from the current framework; compare within this section only.</v>
      </c>
      <c r="X260" s="22" t="str">
        <v>Historical segment definitions differ from the current framework; compare within this section only.</v>
      </c>
      <c r="Y260" s="22" t="str">
        <v>Historical segment definitions differ from the current framework; compare within this section only.</v>
      </c>
      <c r="Z260" s="22" t="str">
        <v>Historical segment definitions differ from the current framework; compare within this section only.</v>
      </c>
      <c r="AA260" s="22" t="str">
        <v>Historical segment definitions differ from the current framework; compare within this section only.</v>
      </c>
    </row>
    <row r="261" ht="22" customHeight="1">
      <c r="A261" s="49" t="str">
        <v>Client Computing</v>
      </c>
      <c r="B261" s="3"/>
      <c r="C261" s="51"/>
      <c r="D261" s="51"/>
      <c r="E261" s="51"/>
      <c r="F261" s="51"/>
      <c r="G261" s="51"/>
      <c r="H261" s="51" t="n">
        <v>15523</v>
      </c>
      <c r="I261" s="51" t="n">
        <v>5569</v>
      </c>
      <c r="J261" s="51" t="n">
        <v>6520</v>
      </c>
      <c r="K261" s="51"/>
      <c r="L261" s="51"/>
      <c r="M261" s="51"/>
      <c r="N261" s="51"/>
      <c r="O261" s="51"/>
      <c r="P261" s="51" t="n">
        <v>2073</v>
      </c>
      <c r="Q261" s="52" t="str">
        <f>IF(COUNT(J261,N261,O261,P261)=4,J261-N261-O261-P261,"")</f>
      </c>
      <c r="R261" s="51"/>
      <c r="S261" s="51"/>
      <c r="T261" s="51"/>
      <c r="U261" s="52" t="str">
        <f>IF(COUNT(K261,R261,S261,T261)=4,K261-R261-S261-T261,"")</f>
      </c>
      <c r="V261" s="51"/>
      <c r="W261" s="51"/>
      <c r="X261" s="51"/>
      <c r="Y261" s="52" t="str">
        <f>IF(COUNT(L261,V261,W261,X261)=4,L261-V261-W261-X261,"")</f>
      </c>
      <c r="Z261" s="51"/>
      <c r="AA261" s="51"/>
    </row>
    <row r="262" ht="22" customHeight="1">
      <c r="A262" s="49" t="str">
        <v>Data Center and AI</v>
      </c>
      <c r="B262" s="3"/>
      <c r="C262" s="51"/>
      <c r="D262" s="51"/>
      <c r="E262" s="51"/>
      <c r="F262" s="51"/>
      <c r="G262" s="51"/>
      <c r="H262" s="51" t="n">
        <v>7376</v>
      </c>
      <c r="I262" s="51" t="n">
        <v>1300</v>
      </c>
      <c r="J262" s="51" t="n">
        <v>-530</v>
      </c>
      <c r="K262" s="51"/>
      <c r="L262" s="51"/>
      <c r="M262" s="51"/>
      <c r="N262" s="51"/>
      <c r="O262" s="51"/>
      <c r="P262" s="51" t="n">
        <v>71</v>
      </c>
      <c r="Q262" s="52" t="str">
        <f>IF(COUNT(J262,N262,O262,P262)=4,J262-N262-O262-P262,"")</f>
      </c>
      <c r="R262" s="51"/>
      <c r="S262" s="51"/>
      <c r="T262" s="51"/>
      <c r="U262" s="52" t="str">
        <f>IF(COUNT(K262,R262,S262,T262)=4,K262-R262-S262-T262,"")</f>
      </c>
      <c r="V262" s="51"/>
      <c r="W262" s="51"/>
      <c r="X262" s="51"/>
      <c r="Y262" s="52" t="str">
        <f>IF(COUNT(L262,V262,W262,X262)=4,L262-V262-W262-X262,"")</f>
      </c>
      <c r="Z262" s="51"/>
      <c r="AA262" s="51"/>
    </row>
    <row r="263" ht="22" customHeight="1">
      <c r="A263" s="49" t="str">
        <v>Network and Edge</v>
      </c>
      <c r="B263" s="3"/>
      <c r="C263" s="51"/>
      <c r="D263" s="51"/>
      <c r="E263" s="51"/>
      <c r="F263" s="51"/>
      <c r="G263" s="51"/>
      <c r="H263" s="51" t="n">
        <v>1935</v>
      </c>
      <c r="I263" s="51" t="n">
        <v>1033</v>
      </c>
      <c r="J263" s="51" t="n">
        <v>-482</v>
      </c>
      <c r="K263" s="51"/>
      <c r="L263" s="51"/>
      <c r="M263" s="51"/>
      <c r="N263" s="51"/>
      <c r="O263" s="51"/>
      <c r="P263" s="51" t="n">
        <v>17</v>
      </c>
      <c r="Q263" s="52" t="str">
        <f>IF(COUNT(J263,N263,O263,P263)=4,J263-N263-O263-P263,"")</f>
      </c>
      <c r="R263" s="51"/>
      <c r="S263" s="51"/>
      <c r="T263" s="51"/>
      <c r="U263" s="52" t="str">
        <f>IF(COUNT(K263,R263,S263,T263)=4,K263-R263-S263-T263,"")</f>
      </c>
      <c r="V263" s="51"/>
      <c r="W263" s="51"/>
      <c r="X263" s="51"/>
      <c r="Y263" s="52" t="str">
        <f>IF(COUNT(L263,V263,W263,X263)=4,L263-V263-W263-X263,"")</f>
      </c>
      <c r="Z263" s="51"/>
      <c r="AA263" s="51"/>
    </row>
    <row r="264" ht="22" customHeight="1">
      <c r="A264" s="49" t="str">
        <v>Mobileye</v>
      </c>
      <c r="B264" s="3"/>
      <c r="C264" s="51"/>
      <c r="D264" s="51"/>
      <c r="E264" s="51"/>
      <c r="F264" s="51"/>
      <c r="G264" s="51"/>
      <c r="H264" s="51" t="n">
        <v>554</v>
      </c>
      <c r="I264" s="51" t="n">
        <v>690</v>
      </c>
      <c r="J264" s="51" t="n">
        <v>664</v>
      </c>
      <c r="K264" s="51"/>
      <c r="L264" s="51"/>
      <c r="M264" s="51"/>
      <c r="N264" s="51"/>
      <c r="O264" s="51"/>
      <c r="P264" s="51" t="n">
        <v>170</v>
      </c>
      <c r="Q264" s="52" t="str">
        <f>IF(COUNT(J264,N264,O264,P264)=4,J264-N264-O264-P264,"")</f>
      </c>
      <c r="R264" s="51"/>
      <c r="S264" s="51"/>
      <c r="T264" s="51"/>
      <c r="U264" s="52" t="str">
        <f>IF(COUNT(K264,R264,S264,T264)=4,K264-R264-S264-T264,"")</f>
      </c>
      <c r="V264" s="51"/>
      <c r="W264" s="51"/>
      <c r="X264" s="51"/>
      <c r="Y264" s="52" t="str">
        <f>IF(COUNT(L264,V264,W264,X264)=4,L264-V264-W264-X264,"")</f>
      </c>
      <c r="Z264" s="51"/>
      <c r="AA264" s="51"/>
    </row>
    <row r="265" ht="22" customHeight="1">
      <c r="A265" s="49" t="str">
        <v>Intel Foundry Services</v>
      </c>
      <c r="B265" s="3"/>
      <c r="C265" s="51"/>
      <c r="D265" s="51"/>
      <c r="E265" s="51"/>
      <c r="F265" s="51"/>
      <c r="G265" s="51"/>
      <c r="H265" s="51" t="n">
        <v>76</v>
      </c>
      <c r="I265" s="51" t="n">
        <v>-281</v>
      </c>
      <c r="J265" s="51" t="n">
        <v>-482</v>
      </c>
      <c r="K265" s="51"/>
      <c r="L265" s="51"/>
      <c r="M265" s="51"/>
      <c r="N265" s="51"/>
      <c r="O265" s="51"/>
      <c r="P265" s="51" t="n">
        <v>-86</v>
      </c>
      <c r="Q265" s="52" t="str">
        <f>IF(COUNT(J265,N265,O265,P265)=4,J265-N265-O265-P265,"")</f>
      </c>
      <c r="R265" s="51"/>
      <c r="S265" s="51"/>
      <c r="T265" s="51"/>
      <c r="U265" s="52" t="str">
        <f>IF(COUNT(K265,R265,S265,T265)=4,K265-R265-S265-T265,"")</f>
      </c>
      <c r="V265" s="51"/>
      <c r="W265" s="51"/>
      <c r="X265" s="51"/>
      <c r="Y265" s="52" t="str">
        <f>IF(COUNT(L265,V265,W265,X265)=4,L265-V265-W265-X265,"")</f>
      </c>
      <c r="Z265" s="51"/>
      <c r="AA265" s="51"/>
    </row>
    <row r="266" ht="22" customHeight="1">
      <c r="A266" s="49" t="str">
        <v>All other</v>
      </c>
      <c r="B266" s="3"/>
      <c r="C266" s="51"/>
      <c r="D266" s="51"/>
      <c r="E266" s="51"/>
      <c r="F266" s="51"/>
      <c r="G266" s="51"/>
      <c r="H266" s="51" t="n">
        <v>-6008</v>
      </c>
      <c r="I266" s="51" t="n">
        <v>-5977</v>
      </c>
      <c r="J266" s="51" t="n">
        <v>-5597</v>
      </c>
      <c r="K266" s="51"/>
      <c r="L266" s="51"/>
      <c r="M266" s="51"/>
      <c r="N266" s="51"/>
      <c r="O266" s="51"/>
      <c r="P266" s="51" t="n">
        <v>-2253</v>
      </c>
      <c r="Q266" s="52" t="str">
        <f>IF(COUNT(J266,N266,O266,P266)=4,J266-N266-O266-P266,"")</f>
      </c>
      <c r="R266" s="51"/>
      <c r="S266" s="51"/>
      <c r="T266" s="51"/>
      <c r="U266" s="52" t="str">
        <f>IF(COUNT(K266,R266,S266,T266)=4,K266-R266-S266-T266,"")</f>
      </c>
      <c r="V266" s="51"/>
      <c r="W266" s="51"/>
      <c r="X266" s="51"/>
      <c r="Y266" s="52" t="str">
        <f>IF(COUNT(L266,V266,W266,X266)=4,L266-V266-W266-X266,"")</f>
      </c>
      <c r="Z266" s="51"/>
      <c r="AA266" s="51"/>
    </row>
    <row r="267" ht="24" customHeight="1">
      <c r="A267" s="34" t="str">
        <v>Total operating income (loss)</v>
      </c>
      <c r="B267" s="35"/>
      <c r="C267" s="36"/>
      <c r="D267" s="36"/>
      <c r="E267" s="36"/>
      <c r="F267" s="36"/>
      <c r="G267" s="36"/>
      <c r="H267" s="36" t="n">
        <v>19456</v>
      </c>
      <c r="I267" s="36" t="n">
        <v>2334</v>
      </c>
      <c r="J267" s="36" t="n">
        <v>93</v>
      </c>
      <c r="K267" s="36"/>
      <c r="L267" s="36"/>
      <c r="M267" s="36"/>
      <c r="N267" s="36"/>
      <c r="O267" s="36"/>
      <c r="P267" s="36" t="n">
        <v>-8</v>
      </c>
      <c r="Q267" s="37" t="str">
        <f>IF(COUNT(J267,N267,O267,P267)=4,J267-N267-O267-P267,"")</f>
      </c>
      <c r="R267" s="36"/>
      <c r="S267" s="36"/>
      <c r="T267" s="36"/>
      <c r="U267" s="37" t="str">
        <f>IF(COUNT(K267,R267,S267,T267)=4,K267-R267-S267-T267,"")</f>
      </c>
      <c r="V267" s="36"/>
      <c r="W267" s="36"/>
      <c r="X267" s="36"/>
      <c r="Y267" s="37" t="str">
        <f>IF(COUNT(L267,V267,W267,X267)=4,L267-V267-W267-X267,"")</f>
      </c>
      <c r="Z267" s="36"/>
      <c r="AA267" s="36"/>
    </row>
    <row r="268" ht="22" customHeight="1">
      <c r="A268" s="49" t="str">
        <v>Check: segment lines - printed total (should be 0)</v>
      </c>
      <c r="B268" s="3"/>
      <c r="C268" s="59"/>
      <c r="D268" s="59"/>
      <c r="E268" s="59"/>
      <c r="F268" s="59"/>
      <c r="G268" s="59"/>
      <c r="H268" s="59" t="n">
        <f>IF(COUNT(H261,H262,H263,H264,H265,H266,H267)=7,H261+H262+H263+H264+H265+H266-H267,"")</f>
        <v>0</v>
      </c>
      <c r="I268" s="59" t="n">
        <f>IF(COUNT(I261,I262,I263,I264,I265,I266,I267)=7,I261+I262+I263+I264+I265+I266-I267,"")</f>
        <v>0</v>
      </c>
      <c r="J268" s="59" t="n">
        <f>IF(COUNT(J261,J262,J263,J264,J265,J266,J267)=7,J261+J262+J263+J264+J265+J266-J267,"")</f>
        <v>0</v>
      </c>
      <c r="K268" s="59"/>
      <c r="L268" s="59"/>
      <c r="M268" s="59"/>
      <c r="N268" s="59"/>
      <c r="O268" s="59"/>
      <c r="P268" s="59" t="n">
        <f>IF(COUNT(P261,P262,P263,P264,P265,P266,P267)=7,P261+P262+P263+P264+P265+P266-P267,"")</f>
        <v>0</v>
      </c>
      <c r="Q268" s="59" t="str">
        <f>IF(COUNT(Q261,Q262,Q263,Q264,Q265,Q266,Q267)=7,Q261+Q262+Q263+Q264+Q265+Q266-Q267,"")</f>
      </c>
      <c r="R268" s="59"/>
      <c r="S268" s="59"/>
      <c r="T268" s="59"/>
      <c r="U268" s="59"/>
      <c r="V268" s="59"/>
      <c r="W268" s="59"/>
      <c r="X268" s="59"/>
      <c r="Y268" s="59"/>
      <c r="Z268" s="59"/>
      <c r="AA268" s="59"/>
    </row>
    <row r="269" ht="8"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22" customHeight="1">
      <c r="A270" s="21" t="str">
        <v>FY2024 reporting framework: Net revenue</v>
      </c>
      <c r="B270" s="21" t="str">
        <v>FY2024 reporting framework: Net revenue</v>
      </c>
      <c r="C270" s="21" t="str">
        <v>FY2024 reporting framework: Net revenue</v>
      </c>
      <c r="D270" s="21" t="str">
        <v>FY2024 reporting framework: Net revenue</v>
      </c>
      <c r="E270" s="21" t="str">
        <v>FY2024 reporting framework: Net revenue</v>
      </c>
      <c r="F270" s="21" t="str">
        <v>FY2024 reporting framework: Net revenue</v>
      </c>
      <c r="G270" s="21" t="str">
        <v>FY2024 reporting framework: Net revenue</v>
      </c>
      <c r="H270" s="21" t="str">
        <v>FY2024 reporting framework: Net revenue</v>
      </c>
      <c r="I270" s="21" t="str">
        <v>FY2024 reporting framework: Net revenue</v>
      </c>
      <c r="J270" s="21" t="str">
        <v>FY2024 reporting framework: Net revenue</v>
      </c>
      <c r="K270" s="21" t="str">
        <v>FY2024 reporting framework: Net revenue</v>
      </c>
      <c r="L270" s="21" t="str">
        <v>FY2024 reporting framework: Net revenue</v>
      </c>
      <c r="M270" s="21" t="str">
        <v>FY2024 reporting framework: Net revenue</v>
      </c>
      <c r="N270" s="21" t="str">
        <v>FY2024 reporting framework: Net revenue</v>
      </c>
      <c r="O270" s="21" t="str">
        <v>FY2024 reporting framework: Net revenue</v>
      </c>
      <c r="P270" s="21" t="str">
        <v>FY2024 reporting framework: Net revenue</v>
      </c>
      <c r="Q270" s="21" t="str">
        <v>FY2024 reporting framework: Net revenue</v>
      </c>
      <c r="R270" s="21" t="str">
        <v>FY2024 reporting framework: Net revenue</v>
      </c>
      <c r="S270" s="21" t="str">
        <v>FY2024 reporting framework: Net revenue</v>
      </c>
      <c r="T270" s="21" t="str">
        <v>FY2024 reporting framework: Net revenue</v>
      </c>
      <c r="U270" s="21" t="str">
        <v>FY2024 reporting framework: Net revenue</v>
      </c>
      <c r="V270" s="21" t="str">
        <v>FY2024 reporting framework: Net revenue</v>
      </c>
      <c r="W270" s="21" t="str">
        <v>FY2024 reporting framework: Net revenue</v>
      </c>
      <c r="X270" s="21" t="str">
        <v>FY2024 reporting framework: Net revenue</v>
      </c>
      <c r="Y270" s="21" t="str">
        <v>FY2024 reporting framework: Net revenue</v>
      </c>
      <c r="Z270" s="21" t="str">
        <v>FY2024 reporting framework: Net revenue</v>
      </c>
      <c r="AA270" s="21" t="str">
        <v>FY2024 reporting framework: Net revenue</v>
      </c>
    </row>
    <row r="271" ht="18" customHeight="1">
      <c r="A271" s="22" t="str">
        <v>Historical segment definitions differ from the current framework; compare within this section only.</v>
      </c>
      <c r="B271" s="22" t="str">
        <v>Historical segment definitions differ from the current framework; compare within this section only.</v>
      </c>
      <c r="C271" s="22" t="str">
        <v>Historical segment definitions differ from the current framework; compare within this section only.</v>
      </c>
      <c r="D271" s="22" t="str">
        <v>Historical segment definitions differ from the current framework; compare within this section only.</v>
      </c>
      <c r="E271" s="22" t="str">
        <v>Historical segment definitions differ from the current framework; compare within this section only.</v>
      </c>
      <c r="F271" s="22" t="str">
        <v>Historical segment definitions differ from the current framework; compare within this section only.</v>
      </c>
      <c r="G271" s="22" t="str">
        <v>Historical segment definitions differ from the current framework; compare within this section only.</v>
      </c>
      <c r="H271" s="22" t="str">
        <v>Historical segment definitions differ from the current framework; compare within this section only.</v>
      </c>
      <c r="I271" s="22" t="str">
        <v>Historical segment definitions differ from the current framework; compare within this section only.</v>
      </c>
      <c r="J271" s="22" t="str">
        <v>Historical segment definitions differ from the current framework; compare within this section only.</v>
      </c>
      <c r="K271" s="22" t="str">
        <v>Historical segment definitions differ from the current framework; compare within this section only.</v>
      </c>
      <c r="L271" s="22" t="str">
        <v>Historical segment definitions differ from the current framework; compare within this section only.</v>
      </c>
      <c r="M271" s="22" t="str">
        <v>Historical segment definitions differ from the current framework; compare within this section only.</v>
      </c>
      <c r="N271" s="22" t="str">
        <v>Historical segment definitions differ from the current framework; compare within this section only.</v>
      </c>
      <c r="O271" s="22" t="str">
        <v>Historical segment definitions differ from the current framework; compare within this section only.</v>
      </c>
      <c r="P271" s="22" t="str">
        <v>Historical segment definitions differ from the current framework; compare within this section only.</v>
      </c>
      <c r="Q271" s="22" t="str">
        <v>Historical segment definitions differ from the current framework; compare within this section only.</v>
      </c>
      <c r="R271" s="22" t="str">
        <v>Historical segment definitions differ from the current framework; compare within this section only.</v>
      </c>
      <c r="S271" s="22" t="str">
        <v>Historical segment definitions differ from the current framework; compare within this section only.</v>
      </c>
      <c r="T271" s="22" t="str">
        <v>Historical segment definitions differ from the current framework; compare within this section only.</v>
      </c>
      <c r="U271" s="22" t="str">
        <v>Historical segment definitions differ from the current framework; compare within this section only.</v>
      </c>
      <c r="V271" s="22" t="str">
        <v>Historical segment definitions differ from the current framework; compare within this section only.</v>
      </c>
      <c r="W271" s="22" t="str">
        <v>Historical segment definitions differ from the current framework; compare within this section only.</v>
      </c>
      <c r="X271" s="22" t="str">
        <v>Historical segment definitions differ from the current framework; compare within this section only.</v>
      </c>
      <c r="Y271" s="22" t="str">
        <v>Historical segment definitions differ from the current framework; compare within this section only.</v>
      </c>
      <c r="Z271" s="22" t="str">
        <v>Historical segment definitions differ from the current framework; compare within this section only.</v>
      </c>
      <c r="AA271" s="22" t="str">
        <v>Historical segment definitions differ from the current framework; compare within this section only.</v>
      </c>
    </row>
    <row r="272" ht="22" customHeight="1">
      <c r="A272" s="49" t="str">
        <v>Revenue - CCG</v>
      </c>
      <c r="B272" s="3"/>
      <c r="C272" s="51"/>
      <c r="D272" s="51"/>
      <c r="E272" s="51"/>
      <c r="F272" s="51"/>
      <c r="G272" s="51"/>
      <c r="H272" s="51"/>
      <c r="I272" s="51" t="n">
        <v>31773</v>
      </c>
      <c r="J272" s="51" t="n">
        <v>29258</v>
      </c>
      <c r="K272" s="51" t="n">
        <v>30290</v>
      </c>
      <c r="L272" s="51"/>
      <c r="M272" s="51"/>
      <c r="N272" s="51"/>
      <c r="O272" s="51"/>
      <c r="P272" s="51"/>
      <c r="Q272" s="52" t="str">
        <f>IF(COUNT(J272,N272,O272,P272)=4,J272-N272-O272-P272,"")</f>
      </c>
      <c r="R272" s="51"/>
      <c r="S272" s="51"/>
      <c r="T272" s="51"/>
      <c r="U272" s="52" t="str">
        <f>IF(COUNT(K272,R272,S272,T272)=4,K272-R272-S272-T272,"")</f>
      </c>
      <c r="V272" s="51"/>
      <c r="W272" s="51"/>
      <c r="X272" s="51"/>
      <c r="Y272" s="52" t="str">
        <f>IF(COUNT(L272,V272,W272,X272)=4,L272-V272-W272-X272,"")</f>
      </c>
      <c r="Z272" s="51"/>
      <c r="AA272" s="51"/>
    </row>
    <row r="273" ht="22" customHeight="1">
      <c r="A273" s="49" t="str">
        <v>Revenue - DCAI</v>
      </c>
      <c r="B273" s="3"/>
      <c r="C273" s="51"/>
      <c r="D273" s="51"/>
      <c r="E273" s="51"/>
      <c r="F273" s="51"/>
      <c r="G273" s="51"/>
      <c r="H273" s="51"/>
      <c r="I273" s="51" t="n">
        <v>16856</v>
      </c>
      <c r="J273" s="51" t="n">
        <v>12635</v>
      </c>
      <c r="K273" s="51" t="n">
        <v>12817</v>
      </c>
      <c r="L273" s="51"/>
      <c r="M273" s="51"/>
      <c r="N273" s="51"/>
      <c r="O273" s="51"/>
      <c r="P273" s="51"/>
      <c r="Q273" s="52" t="str">
        <f>IF(COUNT(J273,N273,O273,P273)=4,J273-N273-O273-P273,"")</f>
      </c>
      <c r="R273" s="51"/>
      <c r="S273" s="51"/>
      <c r="T273" s="51"/>
      <c r="U273" s="52" t="str">
        <f>IF(COUNT(K273,R273,S273,T273)=4,K273-R273-S273-T273,"")</f>
      </c>
      <c r="V273" s="51"/>
      <c r="W273" s="51"/>
      <c r="X273" s="51"/>
      <c r="Y273" s="52" t="str">
        <f>IF(COUNT(L273,V273,W273,X273)=4,L273-V273-W273-X273,"")</f>
      </c>
      <c r="Z273" s="51"/>
      <c r="AA273" s="51"/>
    </row>
    <row r="274" ht="22" customHeight="1">
      <c r="A274" s="49" t="str">
        <v>Revenue - NEX</v>
      </c>
      <c r="B274" s="3"/>
      <c r="C274" s="51"/>
      <c r="D274" s="51"/>
      <c r="E274" s="51"/>
      <c r="F274" s="51"/>
      <c r="G274" s="51"/>
      <c r="H274" s="51"/>
      <c r="I274" s="51" t="n">
        <v>8409</v>
      </c>
      <c r="J274" s="51" t="n">
        <v>5774</v>
      </c>
      <c r="K274" s="51" t="n">
        <v>5842</v>
      </c>
      <c r="L274" s="51"/>
      <c r="M274" s="51"/>
      <c r="N274" s="51"/>
      <c r="O274" s="51"/>
      <c r="P274" s="51"/>
      <c r="Q274" s="52" t="str">
        <f>IF(COUNT(J274,N274,O274,P274)=4,J274-N274-O274-P274,"")</f>
      </c>
      <c r="R274" s="51"/>
      <c r="S274" s="51"/>
      <c r="T274" s="51"/>
      <c r="U274" s="52" t="str">
        <f>IF(COUNT(K274,R274,S274,T274)=4,K274-R274-S274-T274,"")</f>
      </c>
      <c r="V274" s="51"/>
      <c r="W274" s="51"/>
      <c r="X274" s="51"/>
      <c r="Y274" s="52" t="str">
        <f>IF(COUNT(L274,V274,W274,X274)=4,L274-V274-W274-X274,"")</f>
      </c>
      <c r="Z274" s="51"/>
      <c r="AA274" s="51"/>
    </row>
    <row r="275" ht="24" customHeight="1">
      <c r="A275" s="34" t="str">
        <v>Revenue - Total Intel Products</v>
      </c>
      <c r="B275" s="35"/>
      <c r="C275" s="36"/>
      <c r="D275" s="36"/>
      <c r="E275" s="36"/>
      <c r="F275" s="36"/>
      <c r="G275" s="36"/>
      <c r="H275" s="36"/>
      <c r="I275" s="36" t="n">
        <v>57038</v>
      </c>
      <c r="J275" s="36" t="n">
        <v>47667</v>
      </c>
      <c r="K275" s="36" t="n">
        <v>48949</v>
      </c>
      <c r="L275" s="36"/>
      <c r="M275" s="36"/>
      <c r="N275" s="36"/>
      <c r="O275" s="36"/>
      <c r="P275" s="36"/>
      <c r="Q275" s="37" t="str">
        <f>IF(COUNT(J275,N275,O275,P275)=4,J275-N275-O275-P275,"")</f>
      </c>
      <c r="R275" s="36"/>
      <c r="S275" s="36"/>
      <c r="T275" s="36"/>
      <c r="U275" s="37" t="str">
        <f>IF(COUNT(K275,R275,S275,T275)=4,K275-R275-S275-T275,"")</f>
      </c>
      <c r="V275" s="36"/>
      <c r="W275" s="36"/>
      <c r="X275" s="36"/>
      <c r="Y275" s="37" t="str">
        <f>IF(COUNT(L275,V275,W275,X275)=4,L275-V275-W275-X275,"")</f>
      </c>
      <c r="Z275" s="36"/>
      <c r="AA275" s="36"/>
    </row>
    <row r="276" ht="22" customHeight="1">
      <c r="A276" s="49" t="str">
        <v>Revenue - Intel Foundry</v>
      </c>
      <c r="B276" s="3"/>
      <c r="C276" s="51"/>
      <c r="D276" s="51"/>
      <c r="E276" s="51"/>
      <c r="F276" s="51"/>
      <c r="G276" s="51"/>
      <c r="H276" s="51"/>
      <c r="I276" s="51" t="n">
        <v>27491</v>
      </c>
      <c r="J276" s="51" t="n">
        <v>18910</v>
      </c>
      <c r="K276" s="51" t="n">
        <v>17543</v>
      </c>
      <c r="L276" s="51"/>
      <c r="M276" s="51"/>
      <c r="N276" s="51"/>
      <c r="O276" s="51"/>
      <c r="P276" s="51"/>
      <c r="Q276" s="52" t="str">
        <f>IF(COUNT(J276,N276,O276,P276)=4,J276-N276-O276-P276,"")</f>
      </c>
      <c r="R276" s="51"/>
      <c r="S276" s="51"/>
      <c r="T276" s="51"/>
      <c r="U276" s="52" t="str">
        <f>IF(COUNT(K276,R276,S276,T276)=4,K276-R276-S276-T276,"")</f>
      </c>
      <c r="V276" s="51"/>
      <c r="W276" s="51"/>
      <c r="X276" s="51"/>
      <c r="Y276" s="52" t="str">
        <f>IF(COUNT(L276,V276,W276,X276)=4,L276-V276-W276-X276,"")</f>
      </c>
      <c r="Z276" s="51"/>
      <c r="AA276" s="51"/>
    </row>
    <row r="277" ht="22" customHeight="1">
      <c r="A277" s="49" t="str">
        <v>Revenue - All Other</v>
      </c>
      <c r="B277" s="3"/>
      <c r="C277" s="51"/>
      <c r="D277" s="51"/>
      <c r="E277" s="51"/>
      <c r="F277" s="51"/>
      <c r="G277" s="51"/>
      <c r="H277" s="51"/>
      <c r="I277" s="51" t="n">
        <v>5530</v>
      </c>
      <c r="J277" s="51" t="n">
        <v>5608</v>
      </c>
      <c r="K277" s="51" t="n">
        <v>3824</v>
      </c>
      <c r="L277" s="51"/>
      <c r="M277" s="51"/>
      <c r="N277" s="51"/>
      <c r="O277" s="51"/>
      <c r="P277" s="51"/>
      <c r="Q277" s="52" t="str">
        <f>IF(COUNT(J277,N277,O277,P277)=4,J277-N277-O277-P277,"")</f>
      </c>
      <c r="R277" s="51"/>
      <c r="S277" s="51"/>
      <c r="T277" s="51"/>
      <c r="U277" s="52" t="str">
        <f>IF(COUNT(K277,R277,S277,T277)=4,K277-R277-S277-T277,"")</f>
      </c>
      <c r="V277" s="51"/>
      <c r="W277" s="51"/>
      <c r="X277" s="51"/>
      <c r="Y277" s="52" t="str">
        <f>IF(COUNT(L277,V277,W277,X277)=4,L277-V277-W277-X277,"")</f>
      </c>
      <c r="Z277" s="51"/>
      <c r="AA277" s="51"/>
    </row>
    <row r="278" ht="22" customHeight="1">
      <c r="A278" s="49" t="str">
        <v>Revenue - Corporate Unallocated</v>
      </c>
      <c r="B278" s="3"/>
      <c r="C278" s="51"/>
      <c r="D278" s="51"/>
      <c r="E278" s="51"/>
      <c r="F278" s="51"/>
      <c r="G278" s="51"/>
      <c r="H278" s="51"/>
      <c r="I278" s="51" t="n">
        <v>0</v>
      </c>
      <c r="J278" s="51" t="n">
        <v>0</v>
      </c>
      <c r="K278" s="51" t="n">
        <v>0</v>
      </c>
      <c r="L278" s="51"/>
      <c r="M278" s="51"/>
      <c r="N278" s="51"/>
      <c r="O278" s="51"/>
      <c r="P278" s="51"/>
      <c r="Q278" s="52" t="str">
        <f>IF(COUNT(J278,N278,O278,P278)=4,J278-N278-O278-P278,"")</f>
      </c>
      <c r="R278" s="51"/>
      <c r="S278" s="51"/>
      <c r="T278" s="51"/>
      <c r="U278" s="52" t="str">
        <f>IF(COUNT(K278,R278,S278,T278)=4,K278-R278-S278-T278,"")</f>
      </c>
      <c r="V278" s="51"/>
      <c r="W278" s="51"/>
      <c r="X278" s="51"/>
      <c r="Y278" s="52" t="str">
        <f>IF(COUNT(L278,V278,W278,X278)=4,L278-V278-W278-X278,"")</f>
      </c>
      <c r="Z278" s="51"/>
      <c r="AA278" s="51"/>
    </row>
    <row r="279" ht="22" customHeight="1">
      <c r="A279" s="49" t="str">
        <v>Revenue - Intersegment Eliminations</v>
      </c>
      <c r="B279" s="3"/>
      <c r="C279" s="51"/>
      <c r="D279" s="51"/>
      <c r="E279" s="51"/>
      <c r="F279" s="51"/>
      <c r="G279" s="51"/>
      <c r="H279" s="51"/>
      <c r="I279" s="51" t="n">
        <v>-27005</v>
      </c>
      <c r="J279" s="51" t="n">
        <v>-17957</v>
      </c>
      <c r="K279" s="51" t="n">
        <v>-17215</v>
      </c>
      <c r="L279" s="51"/>
      <c r="M279" s="51"/>
      <c r="N279" s="51"/>
      <c r="O279" s="51"/>
      <c r="P279" s="51"/>
      <c r="Q279" s="52" t="str">
        <f>IF(COUNT(J279,N279,O279,P279)=4,J279-N279-O279-P279,"")</f>
      </c>
      <c r="R279" s="51"/>
      <c r="S279" s="51"/>
      <c r="T279" s="51"/>
      <c r="U279" s="52" t="str">
        <f>IF(COUNT(K279,R279,S279,T279)=4,K279-R279-S279-T279,"")</f>
      </c>
      <c r="V279" s="51"/>
      <c r="W279" s="51"/>
      <c r="X279" s="51"/>
      <c r="Y279" s="52" t="str">
        <f>IF(COUNT(L279,V279,W279,X279)=4,L279-V279-W279-X279,"")</f>
      </c>
      <c r="Z279" s="51"/>
      <c r="AA279" s="51"/>
    </row>
    <row r="280" ht="24" customHeight="1">
      <c r="A280" s="34" t="str">
        <v>Revenue - Total Consolidated</v>
      </c>
      <c r="B280" s="35"/>
      <c r="C280" s="36"/>
      <c r="D280" s="36"/>
      <c r="E280" s="36"/>
      <c r="F280" s="36"/>
      <c r="G280" s="36"/>
      <c r="H280" s="36"/>
      <c r="I280" s="36" t="n">
        <v>63054</v>
      </c>
      <c r="J280" s="36" t="n">
        <v>54228</v>
      </c>
      <c r="K280" s="36" t="n">
        <v>53101</v>
      </c>
      <c r="L280" s="36"/>
      <c r="M280" s="36"/>
      <c r="N280" s="36"/>
      <c r="O280" s="36"/>
      <c r="P280" s="36"/>
      <c r="Q280" s="37" t="str">
        <f>IF(COUNT(J280,N280,O280,P280)=4,J280-N280-O280-P280,"")</f>
      </c>
      <c r="R280" s="36"/>
      <c r="S280" s="36"/>
      <c r="T280" s="36"/>
      <c r="U280" s="37" t="str">
        <f>IF(COUNT(K280,R280,S280,T280)=4,K280-R280-S280-T280,"")</f>
      </c>
      <c r="V280" s="36"/>
      <c r="W280" s="36"/>
      <c r="X280" s="36"/>
      <c r="Y280" s="37" t="str">
        <f>IF(COUNT(L280,V280,W280,X280)=4,L280-V280-W280-X280,"")</f>
      </c>
      <c r="Z280" s="36"/>
      <c r="AA280" s="36"/>
    </row>
    <row r="281" ht="22" customHeight="1">
      <c r="A281" s="53" t="str">
        <v>Desktop</v>
      </c>
      <c r="B281" s="3"/>
      <c r="C281" s="51"/>
      <c r="D281" s="51"/>
      <c r="E281" s="51"/>
      <c r="F281" s="51"/>
      <c r="G281" s="51"/>
      <c r="H281" s="51"/>
      <c r="I281" s="51"/>
      <c r="J281" s="51"/>
      <c r="K281" s="51"/>
      <c r="L281" s="51"/>
      <c r="M281" s="51"/>
      <c r="N281" s="51" t="n">
        <v>1879</v>
      </c>
      <c r="O281" s="51" t="n">
        <v>2370</v>
      </c>
      <c r="P281" s="51" t="n">
        <v>2753</v>
      </c>
      <c r="Q281" s="52" t="str">
        <f>IF(COUNT(J281,N281,O281,P281)=4,J281-N281-O281-P281,"")</f>
      </c>
      <c r="R281" s="51" t="n">
        <v>2461</v>
      </c>
      <c r="S281" s="51" t="n">
        <v>2527</v>
      </c>
      <c r="T281" s="51" t="n">
        <v>2070</v>
      </c>
      <c r="U281" s="52" t="str">
        <f>IF(COUNT(K281,R281,S281,T281)=4,K281-R281-S281-T281,"")</f>
      </c>
      <c r="V281" s="51"/>
      <c r="W281" s="51"/>
      <c r="X281" s="51"/>
      <c r="Y281" s="52" t="str">
        <f>IF(COUNT(L281,V281,W281,X281)=4,L281-V281-W281-X281,"")</f>
      </c>
      <c r="Z281" s="51"/>
      <c r="AA281" s="51"/>
    </row>
    <row r="282" ht="22" customHeight="1">
      <c r="A282" s="53" t="str">
        <v>Notebook</v>
      </c>
      <c r="B282" s="3"/>
      <c r="C282" s="51"/>
      <c r="D282" s="51"/>
      <c r="E282" s="51"/>
      <c r="F282" s="51"/>
      <c r="G282" s="51"/>
      <c r="H282" s="51"/>
      <c r="I282" s="51"/>
      <c r="J282" s="51"/>
      <c r="K282" s="51"/>
      <c r="L282" s="51"/>
      <c r="M282" s="51"/>
      <c r="N282" s="51" t="n">
        <v>3407</v>
      </c>
      <c r="O282" s="51" t="n">
        <v>3896</v>
      </c>
      <c r="P282" s="51" t="n">
        <v>4503</v>
      </c>
      <c r="Q282" s="52" t="str">
        <f>IF(COUNT(J282,N282,O282,P282)=4,J282-N282-O282-P282,"")</f>
      </c>
      <c r="R282" s="51" t="n">
        <v>4681</v>
      </c>
      <c r="S282" s="51" t="n">
        <v>4480</v>
      </c>
      <c r="T282" s="51" t="n">
        <v>4888</v>
      </c>
      <c r="U282" s="52" t="str">
        <f>IF(COUNT(K282,R282,S282,T282)=4,K282-R282-S282-T282,"")</f>
      </c>
      <c r="V282" s="51"/>
      <c r="W282" s="51"/>
      <c r="X282" s="51"/>
      <c r="Y282" s="52" t="str">
        <f>IF(COUNT(L282,V282,W282,X282)=4,L282-V282-W282-X282,"")</f>
      </c>
      <c r="Z282" s="51"/>
      <c r="AA282" s="51"/>
    </row>
    <row r="283" ht="22" customHeight="1">
      <c r="A283" s="53" t="str">
        <v>CCG OTHER: Other</v>
      </c>
      <c r="B283" s="3"/>
      <c r="C283" s="51"/>
      <c r="D283" s="51"/>
      <c r="E283" s="51"/>
      <c r="F283" s="51"/>
      <c r="G283" s="51"/>
      <c r="H283" s="51"/>
      <c r="I283" s="51"/>
      <c r="J283" s="51"/>
      <c r="K283" s="51"/>
      <c r="L283" s="51"/>
      <c r="M283" s="51"/>
      <c r="N283" s="51" t="n">
        <v>481</v>
      </c>
      <c r="O283" s="51" t="n">
        <v>514</v>
      </c>
      <c r="P283" s="51" t="n">
        <v>611</v>
      </c>
      <c r="Q283" s="52" t="str">
        <f>IF(COUNT(J283,N283,O283,P283)=4,J283-N283-O283-P283,"")</f>
      </c>
      <c r="R283" s="51" t="n">
        <v>391</v>
      </c>
      <c r="S283" s="51" t="n">
        <v>403</v>
      </c>
      <c r="T283" s="51" t="n">
        <v>372</v>
      </c>
      <c r="U283" s="52" t="str">
        <f>IF(COUNT(K283,R283,S283,T283)=4,K283-R283-S283-T283,"")</f>
      </c>
      <c r="V283" s="51"/>
      <c r="W283" s="51"/>
      <c r="X283" s="51"/>
      <c r="Y283" s="52" t="str">
        <f>IF(COUNT(L283,V283,W283,X283)=4,L283-V283-W283-X283,"")</f>
      </c>
      <c r="Z283" s="51"/>
      <c r="AA283" s="51"/>
    </row>
    <row r="284" ht="22" customHeight="1">
      <c r="A284" s="49" t="str">
        <v>[Client Computing Group total]</v>
      </c>
      <c r="B284" s="3"/>
      <c r="C284" s="51"/>
      <c r="D284" s="51"/>
      <c r="E284" s="51"/>
      <c r="F284" s="51"/>
      <c r="G284" s="51"/>
      <c r="H284" s="51"/>
      <c r="I284" s="51"/>
      <c r="J284" s="51"/>
      <c r="K284" s="51"/>
      <c r="L284" s="51"/>
      <c r="M284" s="51"/>
      <c r="N284" s="51" t="n">
        <v>5767</v>
      </c>
      <c r="O284" s="51" t="n">
        <v>6780</v>
      </c>
      <c r="P284" s="51" t="n">
        <v>7867</v>
      </c>
      <c r="Q284" s="52" t="str">
        <f>IF(COUNT(J284,N284,O284,P284)=4,J284-N284-O284-P284,"")</f>
      </c>
      <c r="R284" s="51" t="n">
        <v>7533</v>
      </c>
      <c r="S284" s="51" t="n">
        <v>7410</v>
      </c>
      <c r="T284" s="51" t="n">
        <v>7330</v>
      </c>
      <c r="U284" s="52" t="str">
        <f>IF(COUNT(K284,R284,S284,T284)=4,K284-R284-S284-T284,"")</f>
      </c>
      <c r="V284" s="51"/>
      <c r="W284" s="51"/>
      <c r="X284" s="51"/>
      <c r="Y284" s="52" t="str">
        <f>IF(COUNT(L284,V284,W284,X284)=4,L284-V284-W284-X284,"")</f>
      </c>
      <c r="Z284" s="51"/>
      <c r="AA284" s="51"/>
    </row>
    <row r="285" ht="22" customHeight="1">
      <c r="A285" s="49" t="str">
        <v>Data Center and AI</v>
      </c>
      <c r="B285" s="3"/>
      <c r="C285" s="51"/>
      <c r="D285" s="51"/>
      <c r="E285" s="51"/>
      <c r="F285" s="51"/>
      <c r="G285" s="51"/>
      <c r="H285" s="51"/>
      <c r="I285" s="51"/>
      <c r="J285" s="51"/>
      <c r="K285" s="51"/>
      <c r="L285" s="51"/>
      <c r="M285" s="51"/>
      <c r="N285" s="51" t="n">
        <v>2901</v>
      </c>
      <c r="O285" s="51" t="n">
        <v>3155</v>
      </c>
      <c r="P285" s="51" t="n">
        <v>3076</v>
      </c>
      <c r="Q285" s="52" t="str">
        <f>IF(COUNT(J285,N285,O285,P285)=4,J285-N285-O285-P285,"")</f>
      </c>
      <c r="R285" s="51" t="n">
        <v>3036</v>
      </c>
      <c r="S285" s="51" t="n">
        <v>3045</v>
      </c>
      <c r="T285" s="51" t="n">
        <v>3349</v>
      </c>
      <c r="U285" s="52" t="str">
        <f>IF(COUNT(K285,R285,S285,T285)=4,K285-R285-S285-T285,"")</f>
      </c>
      <c r="V285" s="51"/>
      <c r="W285" s="51"/>
      <c r="X285" s="51"/>
      <c r="Y285" s="52" t="str">
        <f>IF(COUNT(L285,V285,W285,X285)=4,L285-V285-W285-X285,"")</f>
      </c>
      <c r="Z285" s="51"/>
      <c r="AA285" s="51"/>
    </row>
    <row r="286" ht="22" customHeight="1">
      <c r="A286" s="49" t="str">
        <v>Network and Edge</v>
      </c>
      <c r="B286" s="3"/>
      <c r="C286" s="51"/>
      <c r="D286" s="51"/>
      <c r="E286" s="51"/>
      <c r="F286" s="51"/>
      <c r="G286" s="51"/>
      <c r="H286" s="51"/>
      <c r="I286" s="51"/>
      <c r="J286" s="51"/>
      <c r="K286" s="51"/>
      <c r="L286" s="51"/>
      <c r="M286" s="51"/>
      <c r="N286" s="51" t="n">
        <v>1489</v>
      </c>
      <c r="O286" s="51" t="n">
        <v>1364</v>
      </c>
      <c r="P286" s="51" t="n">
        <v>1450</v>
      </c>
      <c r="Q286" s="52" t="str">
        <f>IF(COUNT(J286,N286,O286,P286)=4,J286-N286-O286-P286,"")</f>
      </c>
      <c r="R286" s="51" t="n">
        <v>1364</v>
      </c>
      <c r="S286" s="51" t="n">
        <v>1344</v>
      </c>
      <c r="T286" s="51" t="n">
        <v>1511</v>
      </c>
      <c r="U286" s="52" t="str">
        <f>IF(COUNT(K286,R286,S286,T286)=4,K286-R286-S286-T286,"")</f>
      </c>
      <c r="V286" s="51"/>
      <c r="W286" s="51"/>
      <c r="X286" s="51"/>
      <c r="Y286" s="52" t="str">
        <f>IF(COUNT(L286,V286,W286,X286)=4,L286-V286-W286-X286,"")</f>
      </c>
      <c r="Z286" s="51"/>
      <c r="AA286" s="51"/>
    </row>
    <row r="287" ht="24" customHeight="1">
      <c r="A287" s="34" t="str">
        <v>Total Intel Products revenue</v>
      </c>
      <c r="B287" s="35"/>
      <c r="C287" s="36"/>
      <c r="D287" s="36"/>
      <c r="E287" s="36"/>
      <c r="F287" s="36"/>
      <c r="G287" s="36"/>
      <c r="H287" s="36"/>
      <c r="I287" s="36"/>
      <c r="J287" s="36"/>
      <c r="K287" s="36"/>
      <c r="L287" s="36"/>
      <c r="M287" s="36"/>
      <c r="N287" s="36" t="n">
        <v>10157</v>
      </c>
      <c r="O287" s="36" t="n">
        <v>11299</v>
      </c>
      <c r="P287" s="36" t="n">
        <v>12393</v>
      </c>
      <c r="Q287" s="37" t="str">
        <f>IF(COUNT(J287,N287,O287,P287)=4,J287-N287-O287-P287,"")</f>
      </c>
      <c r="R287" s="36" t="n">
        <v>11933</v>
      </c>
      <c r="S287" s="36" t="n">
        <v>11799</v>
      </c>
      <c r="T287" s="36" t="n">
        <v>12190</v>
      </c>
      <c r="U287" s="37" t="str">
        <f>IF(COUNT(K287,R287,S287,T287)=4,K287-R287-S287-T287,"")</f>
      </c>
      <c r="V287" s="36"/>
      <c r="W287" s="36"/>
      <c r="X287" s="36"/>
      <c r="Y287" s="37" t="str">
        <f>IF(COUNT(L287,V287,W287,X287)=4,L287-V287-W287-X287,"")</f>
      </c>
      <c r="Z287" s="36"/>
      <c r="AA287" s="36"/>
    </row>
    <row r="288" ht="22" customHeight="1">
      <c r="A288" s="49" t="str">
        <v>Intel Foundry</v>
      </c>
      <c r="B288" s="3"/>
      <c r="C288" s="51"/>
      <c r="D288" s="51"/>
      <c r="E288" s="51"/>
      <c r="F288" s="51"/>
      <c r="G288" s="51"/>
      <c r="H288" s="51"/>
      <c r="I288" s="51"/>
      <c r="J288" s="51"/>
      <c r="K288" s="51"/>
      <c r="L288" s="51"/>
      <c r="M288" s="51"/>
      <c r="N288" s="51" t="n">
        <v>4831</v>
      </c>
      <c r="O288" s="51" t="n">
        <v>4172</v>
      </c>
      <c r="P288" s="51" t="n">
        <v>4732</v>
      </c>
      <c r="Q288" s="52" t="str">
        <f>IF(COUNT(J288,N288,O288,P288)=4,J288-N288-O288-P288,"")</f>
      </c>
      <c r="R288" s="51" t="n">
        <v>4369</v>
      </c>
      <c r="S288" s="51" t="n">
        <v>4320</v>
      </c>
      <c r="T288" s="51" t="n">
        <v>4352</v>
      </c>
      <c r="U288" s="52" t="str">
        <f>IF(COUNT(K288,R288,S288,T288)=4,K288-R288-S288-T288,"")</f>
      </c>
      <c r="V288" s="51"/>
      <c r="W288" s="51"/>
      <c r="X288" s="51"/>
      <c r="Y288" s="52" t="str">
        <f>IF(COUNT(L288,V288,W288,X288)=4,L288-V288-W288-X288,"")</f>
      </c>
      <c r="Z288" s="51"/>
      <c r="AA288" s="51"/>
    </row>
    <row r="289" ht="22" customHeight="1">
      <c r="A289" s="49" t="str">
        <v>Altera</v>
      </c>
      <c r="B289" s="3"/>
      <c r="C289" s="51"/>
      <c r="D289" s="51"/>
      <c r="E289" s="51"/>
      <c r="F289" s="51"/>
      <c r="G289" s="51"/>
      <c r="H289" s="51"/>
      <c r="I289" s="51"/>
      <c r="J289" s="51"/>
      <c r="K289" s="51"/>
      <c r="L289" s="51"/>
      <c r="M289" s="51"/>
      <c r="N289" s="51" t="n">
        <v>816</v>
      </c>
      <c r="O289" s="51" t="n">
        <v>848</v>
      </c>
      <c r="P289" s="51" t="n">
        <v>735</v>
      </c>
      <c r="Q289" s="52" t="str">
        <f>IF(COUNT(J289,N289,O289,P289)=4,J289-N289-O289-P289,"")</f>
      </c>
      <c r="R289" s="51" t="n">
        <v>342</v>
      </c>
      <c r="S289" s="51" t="n">
        <v>361</v>
      </c>
      <c r="T289" s="51" t="n">
        <v>412</v>
      </c>
      <c r="U289" s="52" t="str">
        <f>IF(COUNT(K289,R289,S289,T289)=4,K289-R289-S289-T289,"")</f>
      </c>
      <c r="V289" s="51"/>
      <c r="W289" s="51"/>
      <c r="X289" s="51"/>
      <c r="Y289" s="52" t="str">
        <f>IF(COUNT(L289,V289,W289,X289)=4,L289-V289-W289-X289,"")</f>
      </c>
      <c r="Z289" s="51"/>
      <c r="AA289" s="51"/>
    </row>
    <row r="290" ht="22" customHeight="1">
      <c r="A290" s="49" t="str">
        <v>Mobileye</v>
      </c>
      <c r="B290" s="3"/>
      <c r="C290" s="51"/>
      <c r="D290" s="51"/>
      <c r="E290" s="51"/>
      <c r="F290" s="51"/>
      <c r="G290" s="51"/>
      <c r="H290" s="51"/>
      <c r="I290" s="51"/>
      <c r="J290" s="51"/>
      <c r="K290" s="51"/>
      <c r="L290" s="51"/>
      <c r="M290" s="51"/>
      <c r="N290" s="51" t="n">
        <v>458</v>
      </c>
      <c r="O290" s="51" t="n">
        <v>454</v>
      </c>
      <c r="P290" s="51" t="n">
        <v>530</v>
      </c>
      <c r="Q290" s="52" t="str">
        <f>IF(COUNT(J290,N290,O290,P290)=4,J290-N290-O290-P290,"")</f>
      </c>
      <c r="R290" s="51" t="n">
        <v>239</v>
      </c>
      <c r="S290" s="51" t="n">
        <v>440</v>
      </c>
      <c r="T290" s="51" t="n">
        <v>485</v>
      </c>
      <c r="U290" s="52" t="str">
        <f>IF(COUNT(K290,R290,S290,T290)=4,K290-R290-S290-T290,"")</f>
      </c>
      <c r="V290" s="51"/>
      <c r="W290" s="51"/>
      <c r="X290" s="51"/>
      <c r="Y290" s="52" t="str">
        <f>IF(COUNT(L290,V290,W290,X290)=4,L290-V290-W290-X290,"")</f>
      </c>
      <c r="Z290" s="51"/>
      <c r="AA290" s="51"/>
    </row>
    <row r="291" ht="22" customHeight="1">
      <c r="A291" s="53" t="str">
        <v>ALL OTHER OTHER: Other</v>
      </c>
      <c r="B291" s="3"/>
      <c r="C291" s="51"/>
      <c r="D291" s="51"/>
      <c r="E291" s="51"/>
      <c r="F291" s="51"/>
      <c r="G291" s="51"/>
      <c r="H291" s="51"/>
      <c r="I291" s="51"/>
      <c r="J291" s="51"/>
      <c r="K291" s="51"/>
      <c r="L291" s="51"/>
      <c r="M291" s="51"/>
      <c r="N291" s="51" t="n">
        <v>166</v>
      </c>
      <c r="O291" s="51" t="n">
        <v>117</v>
      </c>
      <c r="P291" s="51" t="n">
        <v>187</v>
      </c>
      <c r="Q291" s="52" t="str">
        <f>IF(COUNT(J291,N291,O291,P291)=4,J291-N291-O291-P291,"")</f>
      </c>
      <c r="R291" s="51" t="n">
        <v>194</v>
      </c>
      <c r="S291" s="51" t="n">
        <v>167</v>
      </c>
      <c r="T291" s="51" t="n">
        <v>142</v>
      </c>
      <c r="U291" s="52" t="str">
        <f>IF(COUNT(K291,R291,S291,T291)=4,K291-R291-S291-T291,"")</f>
      </c>
      <c r="V291" s="51"/>
      <c r="W291" s="51"/>
      <c r="X291" s="51"/>
      <c r="Y291" s="52" t="str">
        <f>IF(COUNT(L291,V291,W291,X291)=4,L291-V291-W291-X291,"")</f>
      </c>
      <c r="Z291" s="51"/>
      <c r="AA291" s="51"/>
    </row>
    <row r="292" ht="24" customHeight="1">
      <c r="A292" s="34" t="str">
        <v>Total all other revenue</v>
      </c>
      <c r="B292" s="35"/>
      <c r="C292" s="36"/>
      <c r="D292" s="36"/>
      <c r="E292" s="36"/>
      <c r="F292" s="36"/>
      <c r="G292" s="36"/>
      <c r="H292" s="36"/>
      <c r="I292" s="36"/>
      <c r="J292" s="36"/>
      <c r="K292" s="36"/>
      <c r="L292" s="36"/>
      <c r="M292" s="36"/>
      <c r="N292" s="36" t="n">
        <v>1440</v>
      </c>
      <c r="O292" s="36" t="n">
        <v>1419</v>
      </c>
      <c r="P292" s="36" t="n">
        <v>1452</v>
      </c>
      <c r="Q292" s="37" t="str">
        <f>IF(COUNT(J292,N292,O292,P292)=4,J292-N292-O292-P292,"")</f>
      </c>
      <c r="R292" s="36" t="n">
        <v>775</v>
      </c>
      <c r="S292" s="36" t="n">
        <v>968</v>
      </c>
      <c r="T292" s="36" t="n">
        <v>1039</v>
      </c>
      <c r="U292" s="37" t="str">
        <f>IF(COUNT(K292,R292,S292,T292)=4,K292-R292-S292-T292,"")</f>
      </c>
      <c r="V292" s="36"/>
      <c r="W292" s="36"/>
      <c r="X292" s="36"/>
      <c r="Y292" s="37" t="str">
        <f>IF(COUNT(L292,V292,W292,X292)=4,L292-V292-W292-X292,"")</f>
      </c>
      <c r="Z292" s="36"/>
      <c r="AA292" s="36"/>
    </row>
    <row r="293" ht="24" customHeight="1">
      <c r="A293" s="34" t="str">
        <v>Total operating segment revenue</v>
      </c>
      <c r="B293" s="35"/>
      <c r="C293" s="36"/>
      <c r="D293" s="36"/>
      <c r="E293" s="36"/>
      <c r="F293" s="36"/>
      <c r="G293" s="36"/>
      <c r="H293" s="36"/>
      <c r="I293" s="36"/>
      <c r="J293" s="36"/>
      <c r="K293" s="36"/>
      <c r="L293" s="36"/>
      <c r="M293" s="36"/>
      <c r="N293" s="36" t="n">
        <v>16428</v>
      </c>
      <c r="O293" s="36" t="n">
        <v>16890</v>
      </c>
      <c r="P293" s="36" t="n">
        <v>18577</v>
      </c>
      <c r="Q293" s="37" t="str">
        <f>IF(COUNT(J293,N293,O293,P293)=4,J293-N293-O293-P293,"")</f>
      </c>
      <c r="R293" s="36" t="n">
        <v>17077</v>
      </c>
      <c r="S293" s="36" t="n">
        <v>17087</v>
      </c>
      <c r="T293" s="36" t="n">
        <v>17581</v>
      </c>
      <c r="U293" s="37" t="str">
        <f>IF(COUNT(K293,R293,S293,T293)=4,K293-R293-S293-T293,"")</f>
      </c>
      <c r="V293" s="36"/>
      <c r="W293" s="36"/>
      <c r="X293" s="36"/>
      <c r="Y293" s="37" t="str">
        <f>IF(COUNT(L293,V293,W293,X293)=4,L293-V293-W293-X293,"")</f>
      </c>
      <c r="Z293" s="36"/>
      <c r="AA293" s="36"/>
    </row>
    <row r="294" ht="22" customHeight="1">
      <c r="A294" s="49" t="str">
        <v>Intersegment eliminations</v>
      </c>
      <c r="B294" s="3"/>
      <c r="C294" s="51"/>
      <c r="D294" s="51"/>
      <c r="E294" s="51"/>
      <c r="F294" s="51"/>
      <c r="G294" s="51"/>
      <c r="H294" s="51"/>
      <c r="I294" s="51"/>
      <c r="J294" s="51"/>
      <c r="K294" s="51"/>
      <c r="L294" s="51"/>
      <c r="M294" s="51"/>
      <c r="N294" s="51" t="n">
        <v>-4713</v>
      </c>
      <c r="O294" s="51" t="n">
        <v>-3941</v>
      </c>
      <c r="P294" s="51" t="n">
        <v>-4419</v>
      </c>
      <c r="Q294" s="52" t="str">
        <f>IF(COUNT(J294,N294,O294,P294)=4,J294-N294-O294-P294,"")</f>
      </c>
      <c r="R294" s="51" t="n">
        <v>-4353</v>
      </c>
      <c r="S294" s="51" t="n">
        <v>-4254</v>
      </c>
      <c r="T294" s="51" t="n">
        <v>-4297</v>
      </c>
      <c r="U294" s="52" t="str">
        <f>IF(COUNT(K294,R294,S294,T294)=4,K294-R294-S294-T294,"")</f>
      </c>
      <c r="V294" s="51"/>
      <c r="W294" s="51"/>
      <c r="X294" s="51"/>
      <c r="Y294" s="52" t="str">
        <f>IF(COUNT(L294,V294,W294,X294)=4,L294-V294-W294-X294,"")</f>
      </c>
      <c r="Z294" s="51"/>
      <c r="AA294" s="51"/>
    </row>
    <row r="295" ht="24" customHeight="1">
      <c r="A295" s="34" t="str">
        <v>Total net revenue</v>
      </c>
      <c r="B295" s="35"/>
      <c r="C295" s="36"/>
      <c r="D295" s="36"/>
      <c r="E295" s="36"/>
      <c r="F295" s="36"/>
      <c r="G295" s="36"/>
      <c r="H295" s="36"/>
      <c r="I295" s="36"/>
      <c r="J295" s="36"/>
      <c r="K295" s="36"/>
      <c r="L295" s="36"/>
      <c r="M295" s="36"/>
      <c r="N295" s="36" t="n">
        <v>11715</v>
      </c>
      <c r="O295" s="36" t="n">
        <v>12949</v>
      </c>
      <c r="P295" s="36" t="n">
        <v>14158</v>
      </c>
      <c r="Q295" s="37" t="str">
        <f>IF(COUNT(J295,N295,O295,P295)=4,J295-N295-O295-P295,"")</f>
      </c>
      <c r="R295" s="36" t="n">
        <v>12724</v>
      </c>
      <c r="S295" s="36" t="n">
        <v>12833</v>
      </c>
      <c r="T295" s="36" t="n">
        <v>13284</v>
      </c>
      <c r="U295" s="37" t="str">
        <f>IF(COUNT(K295,R295,S295,T295)=4,K295-R295-S295-T295,"")</f>
      </c>
      <c r="V295" s="36"/>
      <c r="W295" s="36"/>
      <c r="X295" s="36"/>
      <c r="Y295" s="37" t="str">
        <f>IF(COUNT(L295,V295,W295,X295)=4,L295-V295-W295-X295,"")</f>
      </c>
      <c r="Z295" s="36"/>
      <c r="AA295" s="36"/>
    </row>
    <row r="296" ht="8"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22" customHeight="1">
      <c r="A297" s="21" t="str">
        <v>FY2024 reporting framework: Operating income (loss)</v>
      </c>
      <c r="B297" s="21" t="str">
        <v>FY2024 reporting framework: Operating income (loss)</v>
      </c>
      <c r="C297" s="21" t="str">
        <v>FY2024 reporting framework: Operating income (loss)</v>
      </c>
      <c r="D297" s="21" t="str">
        <v>FY2024 reporting framework: Operating income (loss)</v>
      </c>
      <c r="E297" s="21" t="str">
        <v>FY2024 reporting framework: Operating income (loss)</v>
      </c>
      <c r="F297" s="21" t="str">
        <v>FY2024 reporting framework: Operating income (loss)</v>
      </c>
      <c r="G297" s="21" t="str">
        <v>FY2024 reporting framework: Operating income (loss)</v>
      </c>
      <c r="H297" s="21" t="str">
        <v>FY2024 reporting framework: Operating income (loss)</v>
      </c>
      <c r="I297" s="21" t="str">
        <v>FY2024 reporting framework: Operating income (loss)</v>
      </c>
      <c r="J297" s="21" t="str">
        <v>FY2024 reporting framework: Operating income (loss)</v>
      </c>
      <c r="K297" s="21" t="str">
        <v>FY2024 reporting framework: Operating income (loss)</v>
      </c>
      <c r="L297" s="21" t="str">
        <v>FY2024 reporting framework: Operating income (loss)</v>
      </c>
      <c r="M297" s="21" t="str">
        <v>FY2024 reporting framework: Operating income (loss)</v>
      </c>
      <c r="N297" s="21" t="str">
        <v>FY2024 reporting framework: Operating income (loss)</v>
      </c>
      <c r="O297" s="21" t="str">
        <v>FY2024 reporting framework: Operating income (loss)</v>
      </c>
      <c r="P297" s="21" t="str">
        <v>FY2024 reporting framework: Operating income (loss)</v>
      </c>
      <c r="Q297" s="21" t="str">
        <v>FY2024 reporting framework: Operating income (loss)</v>
      </c>
      <c r="R297" s="21" t="str">
        <v>FY2024 reporting framework: Operating income (loss)</v>
      </c>
      <c r="S297" s="21" t="str">
        <v>FY2024 reporting framework: Operating income (loss)</v>
      </c>
      <c r="T297" s="21" t="str">
        <v>FY2024 reporting framework: Operating income (loss)</v>
      </c>
      <c r="U297" s="21" t="str">
        <v>FY2024 reporting framework: Operating income (loss)</v>
      </c>
      <c r="V297" s="21" t="str">
        <v>FY2024 reporting framework: Operating income (loss)</v>
      </c>
      <c r="W297" s="21" t="str">
        <v>FY2024 reporting framework: Operating income (loss)</v>
      </c>
      <c r="X297" s="21" t="str">
        <v>FY2024 reporting framework: Operating income (loss)</v>
      </c>
      <c r="Y297" s="21" t="str">
        <v>FY2024 reporting framework: Operating income (loss)</v>
      </c>
      <c r="Z297" s="21" t="str">
        <v>FY2024 reporting framework: Operating income (loss)</v>
      </c>
      <c r="AA297" s="21" t="str">
        <v>FY2024 reporting framework: Operating income (loss)</v>
      </c>
    </row>
    <row r="298" ht="18" customHeight="1">
      <c r="A298" s="22" t="str">
        <v>Historical segment definitions differ from the current framework; compare within this section only.</v>
      </c>
      <c r="B298" s="22" t="str">
        <v>Historical segment definitions differ from the current framework; compare within this section only.</v>
      </c>
      <c r="C298" s="22" t="str">
        <v>Historical segment definitions differ from the current framework; compare within this section only.</v>
      </c>
      <c r="D298" s="22" t="str">
        <v>Historical segment definitions differ from the current framework; compare within this section only.</v>
      </c>
      <c r="E298" s="22" t="str">
        <v>Historical segment definitions differ from the current framework; compare within this section only.</v>
      </c>
      <c r="F298" s="22" t="str">
        <v>Historical segment definitions differ from the current framework; compare within this section only.</v>
      </c>
      <c r="G298" s="22" t="str">
        <v>Historical segment definitions differ from the current framework; compare within this section only.</v>
      </c>
      <c r="H298" s="22" t="str">
        <v>Historical segment definitions differ from the current framework; compare within this section only.</v>
      </c>
      <c r="I298" s="22" t="str">
        <v>Historical segment definitions differ from the current framework; compare within this section only.</v>
      </c>
      <c r="J298" s="22" t="str">
        <v>Historical segment definitions differ from the current framework; compare within this section only.</v>
      </c>
      <c r="K298" s="22" t="str">
        <v>Historical segment definitions differ from the current framework; compare within this section only.</v>
      </c>
      <c r="L298" s="22" t="str">
        <v>Historical segment definitions differ from the current framework; compare within this section only.</v>
      </c>
      <c r="M298" s="22" t="str">
        <v>Historical segment definitions differ from the current framework; compare within this section only.</v>
      </c>
      <c r="N298" s="22" t="str">
        <v>Historical segment definitions differ from the current framework; compare within this section only.</v>
      </c>
      <c r="O298" s="22" t="str">
        <v>Historical segment definitions differ from the current framework; compare within this section only.</v>
      </c>
      <c r="P298" s="22" t="str">
        <v>Historical segment definitions differ from the current framework; compare within this section only.</v>
      </c>
      <c r="Q298" s="22" t="str">
        <v>Historical segment definitions differ from the current framework; compare within this section only.</v>
      </c>
      <c r="R298" s="22" t="str">
        <v>Historical segment definitions differ from the current framework; compare within this section only.</v>
      </c>
      <c r="S298" s="22" t="str">
        <v>Historical segment definitions differ from the current framework; compare within this section only.</v>
      </c>
      <c r="T298" s="22" t="str">
        <v>Historical segment definitions differ from the current framework; compare within this section only.</v>
      </c>
      <c r="U298" s="22" t="str">
        <v>Historical segment definitions differ from the current framework; compare within this section only.</v>
      </c>
      <c r="V298" s="22" t="str">
        <v>Historical segment definitions differ from the current framework; compare within this section only.</v>
      </c>
      <c r="W298" s="22" t="str">
        <v>Historical segment definitions differ from the current framework; compare within this section only.</v>
      </c>
      <c r="X298" s="22" t="str">
        <v>Historical segment definitions differ from the current framework; compare within this section only.</v>
      </c>
      <c r="Y298" s="22" t="str">
        <v>Historical segment definitions differ from the current framework; compare within this section only.</v>
      </c>
      <c r="Z298" s="22" t="str">
        <v>Historical segment definitions differ from the current framework; compare within this section only.</v>
      </c>
      <c r="AA298" s="22" t="str">
        <v>Historical segment definitions differ from the current framework; compare within this section only.</v>
      </c>
    </row>
    <row r="299" ht="22" customHeight="1">
      <c r="A299" s="49" t="str">
        <v>Operating income (loss) - CCG</v>
      </c>
      <c r="B299" s="3"/>
      <c r="C299" s="51"/>
      <c r="D299" s="51"/>
      <c r="E299" s="51"/>
      <c r="F299" s="51"/>
      <c r="G299" s="51"/>
      <c r="H299" s="51"/>
      <c r="I299" s="51" t="n">
        <v>8207</v>
      </c>
      <c r="J299" s="51" t="n">
        <v>9513</v>
      </c>
      <c r="K299" s="51" t="n">
        <v>10920</v>
      </c>
      <c r="L299" s="51"/>
      <c r="M299" s="51"/>
      <c r="N299" s="51"/>
      <c r="O299" s="51"/>
      <c r="P299" s="51"/>
      <c r="Q299" s="52" t="str">
        <f>IF(COUNT(J299,N299,O299,P299)=4,J299-N299-O299-P299,"")</f>
      </c>
      <c r="R299" s="51"/>
      <c r="S299" s="51"/>
      <c r="T299" s="51"/>
      <c r="U299" s="52" t="str">
        <f>IF(COUNT(K299,R299,S299,T299)=4,K299-R299-S299-T299,"")</f>
      </c>
      <c r="V299" s="51"/>
      <c r="W299" s="51"/>
      <c r="X299" s="51"/>
      <c r="Y299" s="52" t="str">
        <f>IF(COUNT(L299,V299,W299,X299)=4,L299-V299-W299-X299,"")</f>
      </c>
      <c r="Z299" s="51"/>
      <c r="AA299" s="51"/>
    </row>
    <row r="300" ht="22" customHeight="1">
      <c r="A300" s="49" t="str">
        <v>Operating income (loss) - DCAI</v>
      </c>
      <c r="B300" s="3"/>
      <c r="C300" s="51"/>
      <c r="D300" s="51"/>
      <c r="E300" s="51"/>
      <c r="F300" s="51"/>
      <c r="G300" s="51"/>
      <c r="H300" s="51"/>
      <c r="I300" s="51" t="n">
        <v>4198</v>
      </c>
      <c r="J300" s="51" t="n">
        <v>1620</v>
      </c>
      <c r="K300" s="51" t="n">
        <v>1338</v>
      </c>
      <c r="L300" s="51"/>
      <c r="M300" s="51"/>
      <c r="N300" s="51"/>
      <c r="O300" s="51"/>
      <c r="P300" s="51"/>
      <c r="Q300" s="52" t="str">
        <f>IF(COUNT(J300,N300,O300,P300)=4,J300-N300-O300-P300,"")</f>
      </c>
      <c r="R300" s="51"/>
      <c r="S300" s="51"/>
      <c r="T300" s="51"/>
      <c r="U300" s="52" t="str">
        <f>IF(COUNT(K300,R300,S300,T300)=4,K300-R300-S300-T300,"")</f>
      </c>
      <c r="V300" s="51"/>
      <c r="W300" s="51"/>
      <c r="X300" s="51"/>
      <c r="Y300" s="52" t="str">
        <f>IF(COUNT(L300,V300,W300,X300)=4,L300-V300-W300-X300,"")</f>
      </c>
      <c r="Z300" s="51"/>
      <c r="AA300" s="51"/>
    </row>
    <row r="301" ht="22" customHeight="1">
      <c r="A301" s="49" t="str">
        <v>Operating income (loss) - NEX</v>
      </c>
      <c r="B301" s="3"/>
      <c r="C301" s="51"/>
      <c r="D301" s="51"/>
      <c r="E301" s="51"/>
      <c r="F301" s="51"/>
      <c r="G301" s="51"/>
      <c r="H301" s="51"/>
      <c r="I301" s="51" t="n">
        <v>1532</v>
      </c>
      <c r="J301" s="51" t="n">
        <v>204</v>
      </c>
      <c r="K301" s="51" t="n">
        <v>931</v>
      </c>
      <c r="L301" s="51"/>
      <c r="M301" s="51"/>
      <c r="N301" s="51"/>
      <c r="O301" s="51"/>
      <c r="P301" s="51"/>
      <c r="Q301" s="52" t="str">
        <f>IF(COUNT(J301,N301,O301,P301)=4,J301-N301-O301-P301,"")</f>
      </c>
      <c r="R301" s="51"/>
      <c r="S301" s="51"/>
      <c r="T301" s="51"/>
      <c r="U301" s="52" t="str">
        <f>IF(COUNT(K301,R301,S301,T301)=4,K301-R301-S301-T301,"")</f>
      </c>
      <c r="V301" s="51"/>
      <c r="W301" s="51"/>
      <c r="X301" s="51"/>
      <c r="Y301" s="52" t="str">
        <f>IF(COUNT(L301,V301,W301,X301)=4,L301-V301-W301-X301,"")</f>
      </c>
      <c r="Z301" s="51"/>
      <c r="AA301" s="51"/>
    </row>
    <row r="302" ht="24" customHeight="1">
      <c r="A302" s="34" t="str">
        <v>Operating income (loss) - Total Intel Products</v>
      </c>
      <c r="B302" s="35"/>
      <c r="C302" s="36"/>
      <c r="D302" s="36"/>
      <c r="E302" s="36"/>
      <c r="F302" s="36"/>
      <c r="G302" s="36"/>
      <c r="H302" s="36"/>
      <c r="I302" s="36" t="n">
        <v>13937</v>
      </c>
      <c r="J302" s="36" t="n">
        <v>11337</v>
      </c>
      <c r="K302" s="36" t="n">
        <v>13189</v>
      </c>
      <c r="L302" s="36"/>
      <c r="M302" s="36"/>
      <c r="N302" s="36"/>
      <c r="O302" s="36"/>
      <c r="P302" s="36"/>
      <c r="Q302" s="37" t="str">
        <f>IF(COUNT(J302,N302,O302,P302)=4,J302-N302-O302-P302,"")</f>
      </c>
      <c r="R302" s="36"/>
      <c r="S302" s="36"/>
      <c r="T302" s="36"/>
      <c r="U302" s="37" t="str">
        <f>IF(COUNT(K302,R302,S302,T302)=4,K302-R302-S302-T302,"")</f>
      </c>
      <c r="V302" s="36"/>
      <c r="W302" s="36"/>
      <c r="X302" s="36"/>
      <c r="Y302" s="37" t="str">
        <f>IF(COUNT(L302,V302,W302,X302)=4,L302-V302-W302-X302,"")</f>
      </c>
      <c r="Z302" s="36"/>
      <c r="AA302" s="36"/>
    </row>
    <row r="303" ht="22" customHeight="1">
      <c r="A303" s="49" t="str">
        <v>Operating income (loss) - Intel Foundry</v>
      </c>
      <c r="B303" s="3"/>
      <c r="C303" s="51"/>
      <c r="D303" s="51"/>
      <c r="E303" s="51"/>
      <c r="F303" s="51"/>
      <c r="G303" s="51"/>
      <c r="H303" s="51"/>
      <c r="I303" s="51" t="n">
        <v>-5169</v>
      </c>
      <c r="J303" s="51" t="n">
        <v>-6955</v>
      </c>
      <c r="K303" s="51" t="n">
        <v>-13408</v>
      </c>
      <c r="L303" s="51"/>
      <c r="M303" s="51"/>
      <c r="N303" s="51"/>
      <c r="O303" s="51"/>
      <c r="P303" s="51"/>
      <c r="Q303" s="52" t="str">
        <f>IF(COUNT(J303,N303,O303,P303)=4,J303-N303-O303-P303,"")</f>
      </c>
      <c r="R303" s="51"/>
      <c r="S303" s="51"/>
      <c r="T303" s="51"/>
      <c r="U303" s="52" t="str">
        <f>IF(COUNT(K303,R303,S303,T303)=4,K303-R303-S303-T303,"")</f>
      </c>
      <c r="V303" s="51"/>
      <c r="W303" s="51"/>
      <c r="X303" s="51"/>
      <c r="Y303" s="52" t="str">
        <f>IF(COUNT(L303,V303,W303,X303)=4,L303-V303-W303-X303,"")</f>
      </c>
      <c r="Z303" s="51"/>
      <c r="AA303" s="51"/>
    </row>
    <row r="304" ht="22" customHeight="1">
      <c r="A304" s="49" t="str">
        <v>Operating income (loss) - All Other</v>
      </c>
      <c r="B304" s="3"/>
      <c r="C304" s="51"/>
      <c r="D304" s="51"/>
      <c r="E304" s="51"/>
      <c r="F304" s="51"/>
      <c r="G304" s="51"/>
      <c r="H304" s="51"/>
      <c r="I304" s="51" t="n">
        <v>1174</v>
      </c>
      <c r="J304" s="51" t="n">
        <v>1079</v>
      </c>
      <c r="K304" s="51" t="n">
        <v>-84</v>
      </c>
      <c r="L304" s="51"/>
      <c r="M304" s="51"/>
      <c r="N304" s="51"/>
      <c r="O304" s="51"/>
      <c r="P304" s="51"/>
      <c r="Q304" s="52" t="str">
        <f>IF(COUNT(J304,N304,O304,P304)=4,J304-N304-O304-P304,"")</f>
      </c>
      <c r="R304" s="51"/>
      <c r="S304" s="51"/>
      <c r="T304" s="51"/>
      <c r="U304" s="52" t="str">
        <f>IF(COUNT(K304,R304,S304,T304)=4,K304-R304-S304-T304,"")</f>
      </c>
      <c r="V304" s="51"/>
      <c r="W304" s="51"/>
      <c r="X304" s="51"/>
      <c r="Y304" s="52" t="str">
        <f>IF(COUNT(L304,V304,W304,X304)=4,L304-V304-W304-X304,"")</f>
      </c>
      <c r="Z304" s="51"/>
      <c r="AA304" s="51"/>
    </row>
    <row r="305" ht="22" customHeight="1">
      <c r="A305" s="49" t="str">
        <v>Operating income (loss) - Corporate Unallocated</v>
      </c>
      <c r="B305" s="3"/>
      <c r="C305" s="51"/>
      <c r="D305" s="51"/>
      <c r="E305" s="51"/>
      <c r="F305" s="51"/>
      <c r="G305" s="51"/>
      <c r="H305" s="51"/>
      <c r="I305" s="51" t="n">
        <v>-5633</v>
      </c>
      <c r="J305" s="51" t="n">
        <v>-5165</v>
      </c>
      <c r="K305" s="51" t="n">
        <v>-11218</v>
      </c>
      <c r="L305" s="51"/>
      <c r="M305" s="51"/>
      <c r="N305" s="51"/>
      <c r="O305" s="51"/>
      <c r="P305" s="51"/>
      <c r="Q305" s="52" t="str">
        <f>IF(COUNT(J305,N305,O305,P305)=4,J305-N305-O305-P305,"")</f>
      </c>
      <c r="R305" s="51"/>
      <c r="S305" s="51"/>
      <c r="T305" s="51"/>
      <c r="U305" s="52" t="str">
        <f>IF(COUNT(K305,R305,S305,T305)=4,K305-R305-S305-T305,"")</f>
      </c>
      <c r="V305" s="51"/>
      <c r="W305" s="51"/>
      <c r="X305" s="51"/>
      <c r="Y305" s="52" t="str">
        <f>IF(COUNT(L305,V305,W305,X305)=4,L305-V305-W305-X305,"")</f>
      </c>
      <c r="Z305" s="51"/>
      <c r="AA305" s="51"/>
    </row>
    <row r="306" ht="22" customHeight="1">
      <c r="A306" s="49" t="str">
        <v>Operating income (loss) - Intersegment Eliminations</v>
      </c>
      <c r="B306" s="3"/>
      <c r="C306" s="51"/>
      <c r="D306" s="51"/>
      <c r="E306" s="51"/>
      <c r="F306" s="51"/>
      <c r="G306" s="51"/>
      <c r="H306" s="51"/>
      <c r="I306" s="51" t="n">
        <v>-1975</v>
      </c>
      <c r="J306" s="51" t="n">
        <v>-203</v>
      </c>
      <c r="K306" s="51" t="n">
        <v>-157</v>
      </c>
      <c r="L306" s="51"/>
      <c r="M306" s="51"/>
      <c r="N306" s="51"/>
      <c r="O306" s="51"/>
      <c r="P306" s="51"/>
      <c r="Q306" s="52" t="str">
        <f>IF(COUNT(J306,N306,O306,P306)=4,J306-N306-O306-P306,"")</f>
      </c>
      <c r="R306" s="51"/>
      <c r="S306" s="51"/>
      <c r="T306" s="51"/>
      <c r="U306" s="52" t="str">
        <f>IF(COUNT(K306,R306,S306,T306)=4,K306-R306-S306-T306,"")</f>
      </c>
      <c r="V306" s="51"/>
      <c r="W306" s="51"/>
      <c r="X306" s="51"/>
      <c r="Y306" s="52" t="str">
        <f>IF(COUNT(L306,V306,W306,X306)=4,L306-V306-W306-X306,"")</f>
      </c>
      <c r="Z306" s="51"/>
      <c r="AA306" s="51"/>
    </row>
    <row r="307" ht="24" customHeight="1">
      <c r="A307" s="34" t="str">
        <v>Operating income (loss) - Total Consolidated</v>
      </c>
      <c r="B307" s="35"/>
      <c r="C307" s="36"/>
      <c r="D307" s="36"/>
      <c r="E307" s="36"/>
      <c r="F307" s="36"/>
      <c r="G307" s="36"/>
      <c r="H307" s="36"/>
      <c r="I307" s="36" t="n">
        <v>2334</v>
      </c>
      <c r="J307" s="36" t="n">
        <v>93</v>
      </c>
      <c r="K307" s="36" t="n">
        <v>-11678</v>
      </c>
      <c r="L307" s="36"/>
      <c r="M307" s="36"/>
      <c r="N307" s="36"/>
      <c r="O307" s="36"/>
      <c r="P307" s="36"/>
      <c r="Q307" s="37" t="str">
        <f>IF(COUNT(J307,N307,O307,P307)=4,J307-N307-O307-P307,"")</f>
      </c>
      <c r="R307" s="36"/>
      <c r="S307" s="36"/>
      <c r="T307" s="36"/>
      <c r="U307" s="37" t="str">
        <f>IF(COUNT(K307,R307,S307,T307)=4,K307-R307-S307-T307,"")</f>
      </c>
      <c r="V307" s="36"/>
      <c r="W307" s="36"/>
      <c r="X307" s="36"/>
      <c r="Y307" s="37" t="str">
        <f>IF(COUNT(L307,V307,W307,X307)=4,L307-V307-W307-X307,"")</f>
      </c>
      <c r="Z307" s="36"/>
      <c r="AA307" s="36"/>
    </row>
    <row r="308" ht="22" customHeight="1">
      <c r="A308" s="49" t="str">
        <v>Client Computing Group</v>
      </c>
      <c r="B308" s="3"/>
      <c r="C308" s="51"/>
      <c r="D308" s="51"/>
      <c r="E308" s="51"/>
      <c r="F308" s="51"/>
      <c r="G308" s="51"/>
      <c r="H308" s="51"/>
      <c r="I308" s="51"/>
      <c r="J308" s="51"/>
      <c r="K308" s="51"/>
      <c r="L308" s="51"/>
      <c r="M308" s="51"/>
      <c r="N308" s="51" t="n">
        <v>1180</v>
      </c>
      <c r="O308" s="51" t="n">
        <v>1986</v>
      </c>
      <c r="P308" s="51" t="n">
        <v>2780</v>
      </c>
      <c r="Q308" s="52" t="str">
        <f>IF(COUNT(J308,N308,O308,P308)=4,J308-N308-O308-P308,"")</f>
      </c>
      <c r="R308" s="51" t="n">
        <v>2645</v>
      </c>
      <c r="S308" s="51" t="n">
        <v>2497</v>
      </c>
      <c r="T308" s="51" t="n">
        <v>2722</v>
      </c>
      <c r="U308" s="52" t="str">
        <f>IF(COUNT(K308,R308,S308,T308)=4,K308-R308-S308-T308,"")</f>
      </c>
      <c r="V308" s="51"/>
      <c r="W308" s="51"/>
      <c r="X308" s="51"/>
      <c r="Y308" s="52" t="str">
        <f>IF(COUNT(L308,V308,W308,X308)=4,L308-V308-W308-X308,"")</f>
      </c>
      <c r="Z308" s="51"/>
      <c r="AA308" s="51"/>
    </row>
    <row r="309" ht="22" customHeight="1">
      <c r="A309" s="49" t="str">
        <v>Data Center and AI</v>
      </c>
      <c r="B309" s="3"/>
      <c r="C309" s="51"/>
      <c r="D309" s="51"/>
      <c r="E309" s="51"/>
      <c r="F309" s="51"/>
      <c r="G309" s="51"/>
      <c r="H309" s="51"/>
      <c r="I309" s="51"/>
      <c r="J309" s="51"/>
      <c r="K309" s="51"/>
      <c r="L309" s="51"/>
      <c r="M309" s="51"/>
      <c r="N309" s="51" t="n">
        <v>22</v>
      </c>
      <c r="O309" s="51" t="n">
        <v>469</v>
      </c>
      <c r="P309" s="51" t="n">
        <v>391</v>
      </c>
      <c r="Q309" s="52" t="str">
        <f>IF(COUNT(J309,N309,O309,P309)=4,J309-N309-O309-P309,"")</f>
      </c>
      <c r="R309" s="51" t="n">
        <v>482</v>
      </c>
      <c r="S309" s="51" t="n">
        <v>276</v>
      </c>
      <c r="T309" s="51" t="n">
        <v>347</v>
      </c>
      <c r="U309" s="52" t="str">
        <f>IF(COUNT(K309,R309,S309,T309)=4,K309-R309-S309-T309,"")</f>
      </c>
      <c r="V309" s="51"/>
      <c r="W309" s="51"/>
      <c r="X309" s="51"/>
      <c r="Y309" s="52" t="str">
        <f>IF(COUNT(L309,V309,W309,X309)=4,L309-V309-W309-X309,"")</f>
      </c>
      <c r="Z309" s="51"/>
      <c r="AA309" s="51"/>
    </row>
    <row r="310" ht="22" customHeight="1">
      <c r="A310" s="49" t="str">
        <v>Network and Edge</v>
      </c>
      <c r="B310" s="3"/>
      <c r="C310" s="51"/>
      <c r="D310" s="51"/>
      <c r="E310" s="51"/>
      <c r="F310" s="51"/>
      <c r="G310" s="51"/>
      <c r="H310" s="51"/>
      <c r="I310" s="51"/>
      <c r="J310" s="51"/>
      <c r="K310" s="51"/>
      <c r="L310" s="51"/>
      <c r="M310" s="51"/>
      <c r="N310" s="51" t="n">
        <v>-69</v>
      </c>
      <c r="O310" s="51" t="n">
        <v>64</v>
      </c>
      <c r="P310" s="51" t="n">
        <v>100</v>
      </c>
      <c r="Q310" s="52" t="str">
        <f>IF(COUNT(J310,N310,O310,P310)=4,J310-N310-O310-P310,"")</f>
      </c>
      <c r="R310" s="51" t="n">
        <v>184</v>
      </c>
      <c r="S310" s="51" t="n">
        <v>139</v>
      </c>
      <c r="T310" s="51" t="n">
        <v>268</v>
      </c>
      <c r="U310" s="52" t="str">
        <f>IF(COUNT(K310,R310,S310,T310)=4,K310-R310-S310-T310,"")</f>
      </c>
      <c r="V310" s="51"/>
      <c r="W310" s="51"/>
      <c r="X310" s="51"/>
      <c r="Y310" s="52" t="str">
        <f>IF(COUNT(L310,V310,W310,X310)=4,L310-V310-W310-X310,"")</f>
      </c>
      <c r="Z310" s="51"/>
      <c r="AA310" s="51"/>
    </row>
    <row r="311" ht="24" customHeight="1">
      <c r="A311" s="34" t="str">
        <v>Total Intel Products operating income (loss)</v>
      </c>
      <c r="B311" s="35"/>
      <c r="C311" s="36"/>
      <c r="D311" s="36"/>
      <c r="E311" s="36"/>
      <c r="F311" s="36"/>
      <c r="G311" s="36"/>
      <c r="H311" s="36"/>
      <c r="I311" s="36"/>
      <c r="J311" s="36"/>
      <c r="K311" s="36"/>
      <c r="L311" s="36"/>
      <c r="M311" s="36"/>
      <c r="N311" s="36" t="n">
        <v>1133</v>
      </c>
      <c r="O311" s="36" t="n">
        <v>2519</v>
      </c>
      <c r="P311" s="36" t="n">
        <v>3271</v>
      </c>
      <c r="Q311" s="37" t="str">
        <f>IF(COUNT(J311,N311,O311,P311)=4,J311-N311-O311-P311,"")</f>
      </c>
      <c r="R311" s="36" t="n">
        <v>3311</v>
      </c>
      <c r="S311" s="36" t="n">
        <v>2912</v>
      </c>
      <c r="T311" s="36" t="n">
        <v>3337</v>
      </c>
      <c r="U311" s="37" t="str">
        <f>IF(COUNT(K311,R311,S311,T311)=4,K311-R311-S311-T311,"")</f>
      </c>
      <c r="V311" s="36"/>
      <c r="W311" s="36"/>
      <c r="X311" s="36"/>
      <c r="Y311" s="37" t="str">
        <f>IF(COUNT(L311,V311,W311,X311)=4,L311-V311-W311-X311,"")</f>
      </c>
      <c r="Z311" s="36"/>
      <c r="AA311" s="36"/>
    </row>
    <row r="312" ht="22" customHeight="1">
      <c r="A312" s="49" t="str">
        <v>Intel Foundry</v>
      </c>
      <c r="B312" s="3"/>
      <c r="C312" s="51"/>
      <c r="D312" s="51"/>
      <c r="E312" s="51"/>
      <c r="F312" s="51"/>
      <c r="G312" s="51"/>
      <c r="H312" s="51"/>
      <c r="I312" s="51"/>
      <c r="J312" s="51"/>
      <c r="K312" s="51"/>
      <c r="L312" s="51"/>
      <c r="M312" s="51"/>
      <c r="N312" s="51" t="n">
        <v>-2360</v>
      </c>
      <c r="O312" s="51" t="n">
        <v>-1869</v>
      </c>
      <c r="P312" s="51" t="n">
        <v>-1407</v>
      </c>
      <c r="Q312" s="52" t="str">
        <f>IF(COUNT(J312,N312,O312,P312)=4,J312-N312-O312-P312,"")</f>
      </c>
      <c r="R312" s="51" t="n">
        <v>-2474</v>
      </c>
      <c r="S312" s="51" t="n">
        <v>-2830</v>
      </c>
      <c r="T312" s="51" t="n">
        <v>-5844</v>
      </c>
      <c r="U312" s="52" t="str">
        <f>IF(COUNT(K312,R312,S312,T312)=4,K312-R312-S312-T312,"")</f>
      </c>
      <c r="V312" s="51"/>
      <c r="W312" s="51"/>
      <c r="X312" s="51"/>
      <c r="Y312" s="52" t="str">
        <f>IF(COUNT(L312,V312,W312,X312)=4,L312-V312-W312-X312,"")</f>
      </c>
      <c r="Z312" s="51"/>
      <c r="AA312" s="51"/>
    </row>
    <row r="313" ht="22" customHeight="1">
      <c r="A313" s="49" t="str">
        <v>Altera</v>
      </c>
      <c r="B313" s="3"/>
      <c r="C313" s="51"/>
      <c r="D313" s="51"/>
      <c r="E313" s="51"/>
      <c r="F313" s="51"/>
      <c r="G313" s="51"/>
      <c r="H313" s="51"/>
      <c r="I313" s="51"/>
      <c r="J313" s="51"/>
      <c r="K313" s="51"/>
      <c r="L313" s="51"/>
      <c r="M313" s="51"/>
      <c r="N313" s="51" t="n">
        <v>290</v>
      </c>
      <c r="O313" s="51" t="n">
        <v>346</v>
      </c>
      <c r="P313" s="51" t="n">
        <v>263</v>
      </c>
      <c r="Q313" s="52" t="str">
        <f>IF(COUNT(J313,N313,O313,P313)=4,J313-N313-O313-P313,"")</f>
      </c>
      <c r="R313" s="51" t="n">
        <v>-39</v>
      </c>
      <c r="S313" s="51" t="n">
        <v>-25</v>
      </c>
      <c r="T313" s="51" t="n">
        <v>9</v>
      </c>
      <c r="U313" s="52" t="str">
        <f>IF(COUNT(K313,R313,S313,T313)=4,K313-R313-S313-T313,"")</f>
      </c>
      <c r="V313" s="51"/>
      <c r="W313" s="51"/>
      <c r="X313" s="51"/>
      <c r="Y313" s="52" t="str">
        <f>IF(COUNT(L313,V313,W313,X313)=4,L313-V313-W313-X313,"")</f>
      </c>
      <c r="Z313" s="51"/>
      <c r="AA313" s="51"/>
    </row>
    <row r="314" ht="22" customHeight="1">
      <c r="A314" s="49" t="str">
        <v>Mobileye</v>
      </c>
      <c r="B314" s="3"/>
      <c r="C314" s="51"/>
      <c r="D314" s="51"/>
      <c r="E314" s="51"/>
      <c r="F314" s="51"/>
      <c r="G314" s="51"/>
      <c r="H314" s="51"/>
      <c r="I314" s="51"/>
      <c r="J314" s="51"/>
      <c r="K314" s="51"/>
      <c r="L314" s="51"/>
      <c r="M314" s="51"/>
      <c r="N314" s="51" t="n">
        <v>123</v>
      </c>
      <c r="O314" s="51" t="n">
        <v>129</v>
      </c>
      <c r="P314" s="51" t="n">
        <v>170</v>
      </c>
      <c r="Q314" s="52" t="str">
        <f>IF(COUNT(J314,N314,O314,P314)=4,J314-N314-O314-P314,"")</f>
      </c>
      <c r="R314" s="51" t="n">
        <v>-68</v>
      </c>
      <c r="S314" s="51" t="n">
        <v>72</v>
      </c>
      <c r="T314" s="51" t="n">
        <v>78</v>
      </c>
      <c r="U314" s="52" t="str">
        <f>IF(COUNT(K314,R314,S314,T314)=4,K314-R314-S314-T314,"")</f>
      </c>
      <c r="V314" s="51"/>
      <c r="W314" s="51"/>
      <c r="X314" s="51"/>
      <c r="Y314" s="52" t="str">
        <f>IF(COUNT(L314,V314,W314,X314)=4,L314-V314-W314-X314,"")</f>
      </c>
      <c r="Z314" s="51"/>
      <c r="AA314" s="51"/>
    </row>
    <row r="315" ht="22" customHeight="1">
      <c r="A315" s="53" t="str">
        <v>ALL OTHER OTHER: Other</v>
      </c>
      <c r="B315" s="3"/>
      <c r="C315" s="51"/>
      <c r="D315" s="51"/>
      <c r="E315" s="51"/>
      <c r="F315" s="51"/>
      <c r="G315" s="51"/>
      <c r="H315" s="51"/>
      <c r="I315" s="51"/>
      <c r="J315" s="51"/>
      <c r="K315" s="51"/>
      <c r="L315" s="51"/>
      <c r="M315" s="51"/>
      <c r="N315" s="51" t="n">
        <v>-66</v>
      </c>
      <c r="O315" s="51" t="n">
        <v>-120</v>
      </c>
      <c r="P315" s="51" t="n">
        <v>-198</v>
      </c>
      <c r="Q315" s="52" t="str">
        <f>IF(COUNT(J315,N315,O315,P315)=4,J315-N315-O315-P315,"")</f>
      </c>
      <c r="R315" s="51" t="n">
        <v>-105</v>
      </c>
      <c r="S315" s="51" t="n">
        <v>-82</v>
      </c>
      <c r="T315" s="51" t="n">
        <v>-42</v>
      </c>
      <c r="U315" s="52" t="str">
        <f>IF(COUNT(K315,R315,S315,T315)=4,K315-R315-S315-T315,"")</f>
      </c>
      <c r="V315" s="51"/>
      <c r="W315" s="51"/>
      <c r="X315" s="51"/>
      <c r="Y315" s="52" t="str">
        <f>IF(COUNT(L315,V315,W315,X315)=4,L315-V315-W315-X315,"")</f>
      </c>
      <c r="Z315" s="51"/>
      <c r="AA315" s="51"/>
    </row>
    <row r="316" ht="24" customHeight="1">
      <c r="A316" s="34" t="str">
        <v>Total all other operating income (loss)</v>
      </c>
      <c r="B316" s="35"/>
      <c r="C316" s="36"/>
      <c r="D316" s="36"/>
      <c r="E316" s="36"/>
      <c r="F316" s="36"/>
      <c r="G316" s="36"/>
      <c r="H316" s="36"/>
      <c r="I316" s="36"/>
      <c r="J316" s="36"/>
      <c r="K316" s="36"/>
      <c r="L316" s="36"/>
      <c r="M316" s="36"/>
      <c r="N316" s="36" t="n">
        <v>347</v>
      </c>
      <c r="O316" s="36" t="n">
        <v>355</v>
      </c>
      <c r="P316" s="36" t="n">
        <v>235</v>
      </c>
      <c r="Q316" s="37" t="str">
        <f>IF(COUNT(J316,N316,O316,P316)=4,J316-N316-O316-P316,"")</f>
      </c>
      <c r="R316" s="36" t="n">
        <v>-212</v>
      </c>
      <c r="S316" s="36" t="n">
        <v>-35</v>
      </c>
      <c r="T316" s="36" t="n">
        <v>45</v>
      </c>
      <c r="U316" s="37" t="str">
        <f>IF(COUNT(K316,R316,S316,T316)=4,K316-R316-S316-T316,"")</f>
      </c>
      <c r="V316" s="36"/>
      <c r="W316" s="36"/>
      <c r="X316" s="36"/>
      <c r="Y316" s="37" t="str">
        <f>IF(COUNT(L316,V316,W316,X316)=4,L316-V316-W316-X316,"")</f>
      </c>
      <c r="Z316" s="36"/>
      <c r="AA316" s="36"/>
    </row>
    <row r="317" ht="24" customHeight="1">
      <c r="A317" s="34" t="str">
        <v>Total segment operating income (loss)</v>
      </c>
      <c r="B317" s="35"/>
      <c r="C317" s="36"/>
      <c r="D317" s="36"/>
      <c r="E317" s="36"/>
      <c r="F317" s="36"/>
      <c r="G317" s="36"/>
      <c r="H317" s="36"/>
      <c r="I317" s="36"/>
      <c r="J317" s="36"/>
      <c r="K317" s="36"/>
      <c r="L317" s="36"/>
      <c r="M317" s="36"/>
      <c r="N317" s="36" t="n">
        <v>-880</v>
      </c>
      <c r="O317" s="36" t="n">
        <v>1005</v>
      </c>
      <c r="P317" s="36" t="n">
        <v>2099</v>
      </c>
      <c r="Q317" s="37" t="str">
        <f>IF(COUNT(J317,N317,O317,P317)=4,J317-N317-O317-P317,"")</f>
      </c>
      <c r="R317" s="36" t="n">
        <v>625</v>
      </c>
      <c r="S317" s="36" t="n">
        <v>47</v>
      </c>
      <c r="T317" s="36" t="n">
        <v>-2462</v>
      </c>
      <c r="U317" s="37" t="str">
        <f>IF(COUNT(K317,R317,S317,T317)=4,K317-R317-S317-T317,"")</f>
      </c>
      <c r="V317" s="36"/>
      <c r="W317" s="36"/>
      <c r="X317" s="36"/>
      <c r="Y317" s="37" t="str">
        <f>IF(COUNT(L317,V317,W317,X317)=4,L317-V317-W317-X317,"")</f>
      </c>
      <c r="Z317" s="36"/>
      <c r="AA317" s="36"/>
    </row>
    <row r="318" ht="22" customHeight="1">
      <c r="A318" s="49" t="str">
        <v>Intersegment eliminations</v>
      </c>
      <c r="B318" s="3"/>
      <c r="C318" s="51"/>
      <c r="D318" s="51"/>
      <c r="E318" s="51"/>
      <c r="F318" s="51"/>
      <c r="G318" s="51"/>
      <c r="H318" s="51"/>
      <c r="I318" s="51"/>
      <c r="J318" s="51"/>
      <c r="K318" s="51"/>
      <c r="L318" s="51"/>
      <c r="M318" s="51"/>
      <c r="N318" s="51" t="n">
        <v>456</v>
      </c>
      <c r="O318" s="51" t="n">
        <v>-413</v>
      </c>
      <c r="P318" s="51" t="n">
        <v>5</v>
      </c>
      <c r="Q318" s="52" t="str">
        <f>IF(COUNT(J318,N318,O318,P318)=4,J318-N318-O318-P318,"")</f>
      </c>
      <c r="R318" s="51" t="n">
        <v>494</v>
      </c>
      <c r="S318" s="51" t="n">
        <v>-291</v>
      </c>
      <c r="T318" s="51" t="n">
        <v>-79</v>
      </c>
      <c r="U318" s="52" t="str">
        <f>IF(COUNT(K318,R318,S318,T318)=4,K318-R318-S318-T318,"")</f>
      </c>
      <c r="V318" s="51"/>
      <c r="W318" s="51"/>
      <c r="X318" s="51"/>
      <c r="Y318" s="52" t="str">
        <f>IF(COUNT(L318,V318,W318,X318)=4,L318-V318-W318-X318,"")</f>
      </c>
      <c r="Z318" s="51"/>
      <c r="AA318" s="51"/>
    </row>
    <row r="319" ht="22" customHeight="1">
      <c r="A319" s="49" t="str">
        <v>Corporate unallocated expenses</v>
      </c>
      <c r="B319" s="3"/>
      <c r="C319" s="51"/>
      <c r="D319" s="51"/>
      <c r="E319" s="51"/>
      <c r="F319" s="51"/>
      <c r="G319" s="51"/>
      <c r="H319" s="51"/>
      <c r="I319" s="51"/>
      <c r="J319" s="51"/>
      <c r="K319" s="51"/>
      <c r="L319" s="51"/>
      <c r="M319" s="51"/>
      <c r="N319" s="51" t="n">
        <v>-1044</v>
      </c>
      <c r="O319" s="51" t="n">
        <v>-1608</v>
      </c>
      <c r="P319" s="51" t="n">
        <v>-2112</v>
      </c>
      <c r="Q319" s="52" t="str">
        <f>IF(COUNT(J319,N319,O319,P319)=4,J319-N319-O319-P319,"")</f>
      </c>
      <c r="R319" s="51" t="n">
        <v>-2188</v>
      </c>
      <c r="S319" s="51" t="n">
        <v>-1720</v>
      </c>
      <c r="T319" s="51" t="n">
        <v>-6516</v>
      </c>
      <c r="U319" s="52" t="str">
        <f>IF(COUNT(K319,R319,S319,T319)=4,K319-R319-S319-T319,"")</f>
      </c>
      <c r="V319" s="51"/>
      <c r="W319" s="51"/>
      <c r="X319" s="51"/>
      <c r="Y319" s="52" t="str">
        <f>IF(COUNT(L319,V319,W319,X319)=4,L319-V319-W319-X319,"")</f>
      </c>
      <c r="Z319" s="51"/>
      <c r="AA319" s="51"/>
    </row>
    <row r="320" ht="24" customHeight="1">
      <c r="A320" s="34" t="str">
        <v>Total operating income (loss)</v>
      </c>
      <c r="B320" s="35"/>
      <c r="C320" s="36"/>
      <c r="D320" s="36"/>
      <c r="E320" s="36"/>
      <c r="F320" s="36"/>
      <c r="G320" s="36"/>
      <c r="H320" s="36"/>
      <c r="I320" s="36"/>
      <c r="J320" s="36"/>
      <c r="K320" s="36"/>
      <c r="L320" s="36"/>
      <c r="M320" s="36"/>
      <c r="N320" s="36" t="n">
        <v>-1468</v>
      </c>
      <c r="O320" s="36" t="n">
        <v>-1016</v>
      </c>
      <c r="P320" s="36" t="n">
        <v>-8</v>
      </c>
      <c r="Q320" s="37" t="str">
        <f>IF(COUNT(J320,N320,O320,P320)=4,J320-N320-O320-P320,"")</f>
      </c>
      <c r="R320" s="36" t="n">
        <v>-1069</v>
      </c>
      <c r="S320" s="36" t="n">
        <v>-1964</v>
      </c>
      <c r="T320" s="36" t="n">
        <v>-9057</v>
      </c>
      <c r="U320" s="37" t="str">
        <f>IF(COUNT(K320,R320,S320,T320)=4,K320-R320-S320-T320,"")</f>
      </c>
      <c r="V320" s="36"/>
      <c r="W320" s="36"/>
      <c r="X320" s="36"/>
      <c r="Y320" s="37" t="str">
        <f>IF(COUNT(L320,V320,W320,X320)=4,L320-V320-W320-X320,"")</f>
      </c>
      <c r="Z320" s="36"/>
      <c r="AA320" s="36"/>
    </row>
    <row r="321" ht="8"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22" customHeight="1">
      <c r="A322" s="21" t="str">
        <v>FY2024 reporting framework: Cost of sales</v>
      </c>
      <c r="B322" s="21" t="str">
        <v>FY2024 reporting framework: Cost of sales</v>
      </c>
      <c r="C322" s="21" t="str">
        <v>FY2024 reporting framework: Cost of sales</v>
      </c>
      <c r="D322" s="21" t="str">
        <v>FY2024 reporting framework: Cost of sales</v>
      </c>
      <c r="E322" s="21" t="str">
        <v>FY2024 reporting framework: Cost of sales</v>
      </c>
      <c r="F322" s="21" t="str">
        <v>FY2024 reporting framework: Cost of sales</v>
      </c>
      <c r="G322" s="21" t="str">
        <v>FY2024 reporting framework: Cost of sales</v>
      </c>
      <c r="H322" s="21" t="str">
        <v>FY2024 reporting framework: Cost of sales</v>
      </c>
      <c r="I322" s="21" t="str">
        <v>FY2024 reporting framework: Cost of sales</v>
      </c>
      <c r="J322" s="21" t="str">
        <v>FY2024 reporting framework: Cost of sales</v>
      </c>
      <c r="K322" s="21" t="str">
        <v>FY2024 reporting framework: Cost of sales</v>
      </c>
      <c r="L322" s="21" t="str">
        <v>FY2024 reporting framework: Cost of sales</v>
      </c>
      <c r="M322" s="21" t="str">
        <v>FY2024 reporting framework: Cost of sales</v>
      </c>
      <c r="N322" s="21" t="str">
        <v>FY2024 reporting framework: Cost of sales</v>
      </c>
      <c r="O322" s="21" t="str">
        <v>FY2024 reporting framework: Cost of sales</v>
      </c>
      <c r="P322" s="21" t="str">
        <v>FY2024 reporting framework: Cost of sales</v>
      </c>
      <c r="Q322" s="21" t="str">
        <v>FY2024 reporting framework: Cost of sales</v>
      </c>
      <c r="R322" s="21" t="str">
        <v>FY2024 reporting framework: Cost of sales</v>
      </c>
      <c r="S322" s="21" t="str">
        <v>FY2024 reporting framework: Cost of sales</v>
      </c>
      <c r="T322" s="21" t="str">
        <v>FY2024 reporting framework: Cost of sales</v>
      </c>
      <c r="U322" s="21" t="str">
        <v>FY2024 reporting framework: Cost of sales</v>
      </c>
      <c r="V322" s="21" t="str">
        <v>FY2024 reporting framework: Cost of sales</v>
      </c>
      <c r="W322" s="21" t="str">
        <v>FY2024 reporting framework: Cost of sales</v>
      </c>
      <c r="X322" s="21" t="str">
        <v>FY2024 reporting framework: Cost of sales</v>
      </c>
      <c r="Y322" s="21" t="str">
        <v>FY2024 reporting framework: Cost of sales</v>
      </c>
      <c r="Z322" s="21" t="str">
        <v>FY2024 reporting framework: Cost of sales</v>
      </c>
      <c r="AA322" s="21" t="str">
        <v>FY2024 reporting framework: Cost of sales</v>
      </c>
    </row>
    <row r="323" ht="18" customHeight="1">
      <c r="A323" s="22" t="str">
        <v>Historical segment definitions differ from the current framework; compare within this section only.</v>
      </c>
      <c r="B323" s="22" t="str">
        <v>Historical segment definitions differ from the current framework; compare within this section only.</v>
      </c>
      <c r="C323" s="22" t="str">
        <v>Historical segment definitions differ from the current framework; compare within this section only.</v>
      </c>
      <c r="D323" s="22" t="str">
        <v>Historical segment definitions differ from the current framework; compare within this section only.</v>
      </c>
      <c r="E323" s="22" t="str">
        <v>Historical segment definitions differ from the current framework; compare within this section only.</v>
      </c>
      <c r="F323" s="22" t="str">
        <v>Historical segment definitions differ from the current framework; compare within this section only.</v>
      </c>
      <c r="G323" s="22" t="str">
        <v>Historical segment definitions differ from the current framework; compare within this section only.</v>
      </c>
      <c r="H323" s="22" t="str">
        <v>Historical segment definitions differ from the current framework; compare within this section only.</v>
      </c>
      <c r="I323" s="22" t="str">
        <v>Historical segment definitions differ from the current framework; compare within this section only.</v>
      </c>
      <c r="J323" s="22" t="str">
        <v>Historical segment definitions differ from the current framework; compare within this section only.</v>
      </c>
      <c r="K323" s="22" t="str">
        <v>Historical segment definitions differ from the current framework; compare within this section only.</v>
      </c>
      <c r="L323" s="22" t="str">
        <v>Historical segment definitions differ from the current framework; compare within this section only.</v>
      </c>
      <c r="M323" s="22" t="str">
        <v>Historical segment definitions differ from the current framework; compare within this section only.</v>
      </c>
      <c r="N323" s="22" t="str">
        <v>Historical segment definitions differ from the current framework; compare within this section only.</v>
      </c>
      <c r="O323" s="22" t="str">
        <v>Historical segment definitions differ from the current framework; compare within this section only.</v>
      </c>
      <c r="P323" s="22" t="str">
        <v>Historical segment definitions differ from the current framework; compare within this section only.</v>
      </c>
      <c r="Q323" s="22" t="str">
        <v>Historical segment definitions differ from the current framework; compare within this section only.</v>
      </c>
      <c r="R323" s="22" t="str">
        <v>Historical segment definitions differ from the current framework; compare within this section only.</v>
      </c>
      <c r="S323" s="22" t="str">
        <v>Historical segment definitions differ from the current framework; compare within this section only.</v>
      </c>
      <c r="T323" s="22" t="str">
        <v>Historical segment definitions differ from the current framework; compare within this section only.</v>
      </c>
      <c r="U323" s="22" t="str">
        <v>Historical segment definitions differ from the current framework; compare within this section only.</v>
      </c>
      <c r="V323" s="22" t="str">
        <v>Historical segment definitions differ from the current framework; compare within this section only.</v>
      </c>
      <c r="W323" s="22" t="str">
        <v>Historical segment definitions differ from the current framework; compare within this section only.</v>
      </c>
      <c r="X323" s="22" t="str">
        <v>Historical segment definitions differ from the current framework; compare within this section only.</v>
      </c>
      <c r="Y323" s="22" t="str">
        <v>Historical segment definitions differ from the current framework; compare within this section only.</v>
      </c>
      <c r="Z323" s="22" t="str">
        <v>Historical segment definitions differ from the current framework; compare within this section only.</v>
      </c>
      <c r="AA323" s="22" t="str">
        <v>Historical segment definitions differ from the current framework; compare within this section only.</v>
      </c>
    </row>
    <row r="324" ht="22" customHeight="1">
      <c r="A324" s="49" t="str">
        <v>Cost of sales - CCG</v>
      </c>
      <c r="B324" s="3"/>
      <c r="C324" s="51"/>
      <c r="D324" s="51"/>
      <c r="E324" s="51"/>
      <c r="F324" s="51"/>
      <c r="G324" s="51"/>
      <c r="H324" s="51"/>
      <c r="I324" s="51" t="n">
        <v>16826</v>
      </c>
      <c r="J324" s="51" t="n">
        <v>14606</v>
      </c>
      <c r="K324" s="51" t="n">
        <v>14569</v>
      </c>
      <c r="L324" s="51"/>
      <c r="M324" s="51"/>
      <c r="N324" s="51"/>
      <c r="O324" s="51"/>
      <c r="P324" s="51"/>
      <c r="Q324" s="52" t="str">
        <f>IF(COUNT(J324,N324,O324,P324)=4,J324-N324-O324-P324,"")</f>
      </c>
      <c r="R324" s="51"/>
      <c r="S324" s="51"/>
      <c r="T324" s="51"/>
      <c r="U324" s="52" t="str">
        <f>IF(COUNT(K324,R324,S324,T324)=4,K324-R324-S324-T324,"")</f>
      </c>
      <c r="V324" s="51"/>
      <c r="W324" s="51"/>
      <c r="X324" s="51"/>
      <c r="Y324" s="52" t="str">
        <f>IF(COUNT(L324,V324,W324,X324)=4,L324-V324-W324-X324,"")</f>
      </c>
      <c r="Z324" s="51"/>
      <c r="AA324" s="51"/>
    </row>
    <row r="325" ht="22" customHeight="1">
      <c r="A325" s="49" t="str">
        <v>Cost of sales - DCAI</v>
      </c>
      <c r="B325" s="3"/>
      <c r="C325" s="51"/>
      <c r="D325" s="51"/>
      <c r="E325" s="51"/>
      <c r="F325" s="51"/>
      <c r="G325" s="51"/>
      <c r="H325" s="51"/>
      <c r="I325" s="51" t="n">
        <v>7081</v>
      </c>
      <c r="J325" s="51" t="n">
        <v>6420</v>
      </c>
      <c r="K325" s="51" t="n">
        <v>6792</v>
      </c>
      <c r="L325" s="51"/>
      <c r="M325" s="51"/>
      <c r="N325" s="51"/>
      <c r="O325" s="51"/>
      <c r="P325" s="51"/>
      <c r="Q325" s="52" t="str">
        <f>IF(COUNT(J325,N325,O325,P325)=4,J325-N325-O325-P325,"")</f>
      </c>
      <c r="R325" s="51"/>
      <c r="S325" s="51"/>
      <c r="T325" s="51"/>
      <c r="U325" s="52" t="str">
        <f>IF(COUNT(K325,R325,S325,T325)=4,K325-R325-S325-T325,"")</f>
      </c>
      <c r="V325" s="51"/>
      <c r="W325" s="51"/>
      <c r="X325" s="51"/>
      <c r="Y325" s="52" t="str">
        <f>IF(COUNT(L325,V325,W325,X325)=4,L325-V325-W325-X325,"")</f>
      </c>
      <c r="Z325" s="51"/>
      <c r="AA325" s="51"/>
    </row>
    <row r="326" ht="22" customHeight="1">
      <c r="A326" s="49" t="str">
        <v>Cost of sales - NEX</v>
      </c>
      <c r="B326" s="3"/>
      <c r="C326" s="51"/>
      <c r="D326" s="51"/>
      <c r="E326" s="51"/>
      <c r="F326" s="51"/>
      <c r="G326" s="51"/>
      <c r="H326" s="51"/>
      <c r="I326" s="51" t="n">
        <v>3856</v>
      </c>
      <c r="J326" s="51" t="n">
        <v>3095</v>
      </c>
      <c r="K326" s="51" t="n">
        <v>2457</v>
      </c>
      <c r="L326" s="51"/>
      <c r="M326" s="51"/>
      <c r="N326" s="51"/>
      <c r="O326" s="51"/>
      <c r="P326" s="51"/>
      <c r="Q326" s="52" t="str">
        <f>IF(COUNT(J326,N326,O326,P326)=4,J326-N326-O326-P326,"")</f>
      </c>
      <c r="R326" s="51"/>
      <c r="S326" s="51"/>
      <c r="T326" s="51"/>
      <c r="U326" s="52" t="str">
        <f>IF(COUNT(K326,R326,S326,T326)=4,K326-R326-S326-T326,"")</f>
      </c>
      <c r="V326" s="51"/>
      <c r="W326" s="51"/>
      <c r="X326" s="51"/>
      <c r="Y326" s="52" t="str">
        <f>IF(COUNT(L326,V326,W326,X326)=4,L326-V326-W326-X326,"")</f>
      </c>
      <c r="Z326" s="51"/>
      <c r="AA326" s="51"/>
    </row>
    <row r="327" ht="24" customHeight="1">
      <c r="A327" s="34" t="str">
        <v>Cost of sales - Total Intel Products</v>
      </c>
      <c r="B327" s="35"/>
      <c r="C327" s="36"/>
      <c r="D327" s="36"/>
      <c r="E327" s="36"/>
      <c r="F327" s="36"/>
      <c r="G327" s="36"/>
      <c r="H327" s="36"/>
      <c r="I327" s="36" t="n">
        <v>27763</v>
      </c>
      <c r="J327" s="36" t="n">
        <v>24121</v>
      </c>
      <c r="K327" s="36" t="n">
        <v>23818</v>
      </c>
      <c r="L327" s="36"/>
      <c r="M327" s="36"/>
      <c r="N327" s="36"/>
      <c r="O327" s="36"/>
      <c r="P327" s="36"/>
      <c r="Q327" s="37" t="str">
        <f>IF(COUNT(J327,N327,O327,P327)=4,J327-N327-O327-P327,"")</f>
      </c>
      <c r="R327" s="36"/>
      <c r="S327" s="36"/>
      <c r="T327" s="36"/>
      <c r="U327" s="37" t="str">
        <f>IF(COUNT(K327,R327,S327,T327)=4,K327-R327-S327-T327,"")</f>
      </c>
      <c r="V327" s="36"/>
      <c r="W327" s="36"/>
      <c r="X327" s="36"/>
      <c r="Y327" s="37" t="str">
        <f>IF(COUNT(L327,V327,W327,X327)=4,L327-V327-W327-X327,"")</f>
      </c>
      <c r="Z327" s="36"/>
      <c r="AA327" s="36"/>
    </row>
    <row r="328" ht="22" customHeight="1">
      <c r="A328" s="49" t="str">
        <v>Cost of sales - Intel Foundry</v>
      </c>
      <c r="B328" s="3"/>
      <c r="C328" s="51"/>
      <c r="D328" s="51"/>
      <c r="E328" s="51"/>
      <c r="F328" s="51"/>
      <c r="G328" s="51"/>
      <c r="H328" s="51"/>
      <c r="I328" s="51" t="n">
        <v>28052</v>
      </c>
      <c r="J328" s="51" t="n">
        <v>21471</v>
      </c>
      <c r="K328" s="51" t="n">
        <v>25596</v>
      </c>
      <c r="L328" s="51"/>
      <c r="M328" s="51"/>
      <c r="N328" s="51"/>
      <c r="O328" s="51"/>
      <c r="P328" s="51"/>
      <c r="Q328" s="52" t="str">
        <f>IF(COUNT(J328,N328,O328,P328)=4,J328-N328-O328-P328,"")</f>
      </c>
      <c r="R328" s="51"/>
      <c r="S328" s="51"/>
      <c r="T328" s="51"/>
      <c r="U328" s="52" t="str">
        <f>IF(COUNT(K328,R328,S328,T328)=4,K328-R328-S328-T328,"")</f>
      </c>
      <c r="V328" s="51"/>
      <c r="W328" s="51"/>
      <c r="X328" s="51"/>
      <c r="Y328" s="52" t="str">
        <f>IF(COUNT(L328,V328,W328,X328)=4,L328-V328-W328-X328,"")</f>
      </c>
      <c r="Z328" s="51"/>
      <c r="AA328" s="51"/>
    </row>
    <row r="329" ht="22" customHeight="1">
      <c r="A329" s="49" t="str">
        <v>Cost of sales - All Other</v>
      </c>
      <c r="B329" s="3"/>
      <c r="C329" s="51"/>
      <c r="D329" s="51"/>
      <c r="E329" s="51"/>
      <c r="F329" s="51"/>
      <c r="G329" s="51"/>
      <c r="H329" s="51"/>
      <c r="I329" s="51" t="n">
        <v>2425</v>
      </c>
      <c r="J329" s="51" t="n">
        <v>2475</v>
      </c>
      <c r="K329" s="51" t="n">
        <v>1831</v>
      </c>
      <c r="L329" s="51"/>
      <c r="M329" s="51"/>
      <c r="N329" s="51"/>
      <c r="O329" s="51"/>
      <c r="P329" s="51"/>
      <c r="Q329" s="52" t="str">
        <f>IF(COUNT(J329,N329,O329,P329)=4,J329-N329-O329-P329,"")</f>
      </c>
      <c r="R329" s="51"/>
      <c r="S329" s="51"/>
      <c r="T329" s="51"/>
      <c r="U329" s="52" t="str">
        <f>IF(COUNT(K329,R329,S329,T329)=4,K329-R329-S329-T329,"")</f>
      </c>
      <c r="V329" s="51"/>
      <c r="W329" s="51"/>
      <c r="X329" s="51"/>
      <c r="Y329" s="52" t="str">
        <f>IF(COUNT(L329,V329,W329,X329)=4,L329-V329-W329-X329,"")</f>
      </c>
      <c r="Z329" s="51"/>
      <c r="AA329" s="51"/>
    </row>
    <row r="330" ht="22" customHeight="1">
      <c r="A330" s="49" t="str">
        <v>Cost of sales - Corporate Unallocated</v>
      </c>
      <c r="B330" s="3"/>
      <c r="C330" s="51"/>
      <c r="D330" s="51"/>
      <c r="E330" s="51"/>
      <c r="F330" s="51"/>
      <c r="G330" s="51"/>
      <c r="H330" s="51"/>
      <c r="I330" s="51" t="n">
        <v>2875</v>
      </c>
      <c r="J330" s="51" t="n">
        <v>2136</v>
      </c>
      <c r="K330" s="51" t="n">
        <v>1919</v>
      </c>
      <c r="L330" s="51"/>
      <c r="M330" s="51"/>
      <c r="N330" s="51"/>
      <c r="O330" s="51"/>
      <c r="P330" s="51"/>
      <c r="Q330" s="52" t="str">
        <f>IF(COUNT(J330,N330,O330,P330)=4,J330-N330-O330-P330,"")</f>
      </c>
      <c r="R330" s="51"/>
      <c r="S330" s="51"/>
      <c r="T330" s="51"/>
      <c r="U330" s="52" t="str">
        <f>IF(COUNT(K330,R330,S330,T330)=4,K330-R330-S330-T330,"")</f>
      </c>
      <c r="V330" s="51"/>
      <c r="W330" s="51"/>
      <c r="X330" s="51"/>
      <c r="Y330" s="52" t="str">
        <f>IF(COUNT(L330,V330,W330,X330)=4,L330-V330-W330-X330,"")</f>
      </c>
      <c r="Z330" s="51"/>
      <c r="AA330" s="51"/>
    </row>
    <row r="331" ht="22" customHeight="1">
      <c r="A331" s="49" t="str">
        <v>Cost of sales - Intersegment Eliminations</v>
      </c>
      <c r="B331" s="3"/>
      <c r="C331" s="51"/>
      <c r="D331" s="51"/>
      <c r="E331" s="51"/>
      <c r="F331" s="51"/>
      <c r="G331" s="51"/>
      <c r="H331" s="51"/>
      <c r="I331" s="51" t="n">
        <v>-24927</v>
      </c>
      <c r="J331" s="51" t="n">
        <v>-17686</v>
      </c>
      <c r="K331" s="51" t="n">
        <v>-17408</v>
      </c>
      <c r="L331" s="51"/>
      <c r="M331" s="51"/>
      <c r="N331" s="51"/>
      <c r="O331" s="51"/>
      <c r="P331" s="51"/>
      <c r="Q331" s="52" t="str">
        <f>IF(COUNT(J331,N331,O331,P331)=4,J331-N331-O331-P331,"")</f>
      </c>
      <c r="R331" s="51"/>
      <c r="S331" s="51"/>
      <c r="T331" s="51"/>
      <c r="U331" s="52" t="str">
        <f>IF(COUNT(K331,R331,S331,T331)=4,K331-R331-S331-T331,"")</f>
      </c>
      <c r="V331" s="51"/>
      <c r="W331" s="51"/>
      <c r="X331" s="51"/>
      <c r="Y331" s="52" t="str">
        <f>IF(COUNT(L331,V331,W331,X331)=4,L331-V331-W331-X331,"")</f>
      </c>
      <c r="Z331" s="51"/>
      <c r="AA331" s="51"/>
    </row>
    <row r="332" ht="24" customHeight="1">
      <c r="A332" s="34" t="str">
        <v>Cost of sales - Total Consolidated</v>
      </c>
      <c r="B332" s="35"/>
      <c r="C332" s="36"/>
      <c r="D332" s="36"/>
      <c r="E332" s="36"/>
      <c r="F332" s="36"/>
      <c r="G332" s="36"/>
      <c r="H332" s="36"/>
      <c r="I332" s="36" t="n">
        <v>36188</v>
      </c>
      <c r="J332" s="36" t="n">
        <v>32517</v>
      </c>
      <c r="K332" s="36" t="n">
        <v>35756</v>
      </c>
      <c r="L332" s="36"/>
      <c r="M332" s="36"/>
      <c r="N332" s="36"/>
      <c r="O332" s="36"/>
      <c r="P332" s="36"/>
      <c r="Q332" s="37" t="str">
        <f>IF(COUNT(J332,N332,O332,P332)=4,J332-N332-O332-P332,"")</f>
      </c>
      <c r="R332" s="36"/>
      <c r="S332" s="36"/>
      <c r="T332" s="36"/>
      <c r="U332" s="37" t="str">
        <f>IF(COUNT(K332,R332,S332,T332)=4,K332-R332-S332-T332,"")</f>
      </c>
      <c r="V332" s="36"/>
      <c r="W332" s="36"/>
      <c r="X332" s="36"/>
      <c r="Y332" s="37" t="str">
        <f>IF(COUNT(L332,V332,W332,X332)=4,L332-V332-W332-X332,"")</f>
      </c>
      <c r="Z332" s="36"/>
      <c r="AA332" s="36"/>
    </row>
    <row r="333" ht="22" customHeight="1">
      <c r="A333" s="49" t="str">
        <v>Check: segment lines - printed total (should be 0)</v>
      </c>
      <c r="B333" s="3"/>
      <c r="C333" s="59"/>
      <c r="D333" s="59"/>
      <c r="E333" s="59"/>
      <c r="F333" s="59"/>
      <c r="G333" s="59"/>
      <c r="H333" s="59"/>
      <c r="I333" s="59" t="n">
        <f>IF(COUNT(I324,I325,I326,I328,I329,I330,I331,I332)=8,I324+I325+I326+I328+I329+I330+I331-I332,"")</f>
        <v>0</v>
      </c>
      <c r="J333" s="59" t="n">
        <f>IF(COUNT(J324,J325,J326,J328,J329,J330,J331,J332)=8,J324+J325+J326+J328+J329+J330+J331-J332,"")</f>
        <v>0</v>
      </c>
      <c r="K333" s="59" t="n">
        <f>IF(COUNT(K324,K325,K326,K328,K329,K330,K331,K332)=8,K324+K325+K326+K328+K329+K330+K331-K332,"")</f>
        <v>0</v>
      </c>
      <c r="L333" s="59"/>
      <c r="M333" s="59"/>
      <c r="N333" s="59"/>
      <c r="O333" s="59"/>
      <c r="P333" s="59"/>
      <c r="Q333" s="59" t="str">
        <f>IF(COUNT(Q324,Q325,Q326,Q328,Q329,Q330,Q331,Q332)=8,Q324+Q325+Q326+Q328+Q329+Q330+Q331-Q332,"")</f>
      </c>
      <c r="R333" s="59"/>
      <c r="S333" s="59"/>
      <c r="T333" s="59"/>
      <c r="U333" s="59" t="str">
        <f>IF(COUNT(U324,U325,U326,U328,U329,U330,U331,U332)=8,U324+U325+U326+U328+U329+U330+U331-U332,"")</f>
      </c>
      <c r="V333" s="59"/>
      <c r="W333" s="59"/>
      <c r="X333" s="59"/>
      <c r="Y333" s="59"/>
      <c r="Z333" s="59"/>
      <c r="AA333" s="59"/>
    </row>
    <row r="334" ht="8"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22" customHeight="1">
      <c r="A335" s="21" t="str">
        <v>FY2024 reporting framework: Gross margin</v>
      </c>
      <c r="B335" s="21" t="str">
        <v>FY2024 reporting framework: Gross margin</v>
      </c>
      <c r="C335" s="21" t="str">
        <v>FY2024 reporting framework: Gross margin</v>
      </c>
      <c r="D335" s="21" t="str">
        <v>FY2024 reporting framework: Gross margin</v>
      </c>
      <c r="E335" s="21" t="str">
        <v>FY2024 reporting framework: Gross margin</v>
      </c>
      <c r="F335" s="21" t="str">
        <v>FY2024 reporting framework: Gross margin</v>
      </c>
      <c r="G335" s="21" t="str">
        <v>FY2024 reporting framework: Gross margin</v>
      </c>
      <c r="H335" s="21" t="str">
        <v>FY2024 reporting framework: Gross margin</v>
      </c>
      <c r="I335" s="21" t="str">
        <v>FY2024 reporting framework: Gross margin</v>
      </c>
      <c r="J335" s="21" t="str">
        <v>FY2024 reporting framework: Gross margin</v>
      </c>
      <c r="K335" s="21" t="str">
        <v>FY2024 reporting framework: Gross margin</v>
      </c>
      <c r="L335" s="21" t="str">
        <v>FY2024 reporting framework: Gross margin</v>
      </c>
      <c r="M335" s="21" t="str">
        <v>FY2024 reporting framework: Gross margin</v>
      </c>
      <c r="N335" s="21" t="str">
        <v>FY2024 reporting framework: Gross margin</v>
      </c>
      <c r="O335" s="21" t="str">
        <v>FY2024 reporting framework: Gross margin</v>
      </c>
      <c r="P335" s="21" t="str">
        <v>FY2024 reporting framework: Gross margin</v>
      </c>
      <c r="Q335" s="21" t="str">
        <v>FY2024 reporting framework: Gross margin</v>
      </c>
      <c r="R335" s="21" t="str">
        <v>FY2024 reporting framework: Gross margin</v>
      </c>
      <c r="S335" s="21" t="str">
        <v>FY2024 reporting framework: Gross margin</v>
      </c>
      <c r="T335" s="21" t="str">
        <v>FY2024 reporting framework: Gross margin</v>
      </c>
      <c r="U335" s="21" t="str">
        <v>FY2024 reporting framework: Gross margin</v>
      </c>
      <c r="V335" s="21" t="str">
        <v>FY2024 reporting framework: Gross margin</v>
      </c>
      <c r="W335" s="21" t="str">
        <v>FY2024 reporting framework: Gross margin</v>
      </c>
      <c r="X335" s="21" t="str">
        <v>FY2024 reporting framework: Gross margin</v>
      </c>
      <c r="Y335" s="21" t="str">
        <v>FY2024 reporting framework: Gross margin</v>
      </c>
      <c r="Z335" s="21" t="str">
        <v>FY2024 reporting framework: Gross margin</v>
      </c>
      <c r="AA335" s="21" t="str">
        <v>FY2024 reporting framework: Gross margin</v>
      </c>
    </row>
    <row r="336" ht="18" customHeight="1">
      <c r="A336" s="22" t="str">
        <v>Historical segment definitions differ from the current framework; compare within this section only.</v>
      </c>
      <c r="B336" s="22" t="str">
        <v>Historical segment definitions differ from the current framework; compare within this section only.</v>
      </c>
      <c r="C336" s="22" t="str">
        <v>Historical segment definitions differ from the current framework; compare within this section only.</v>
      </c>
      <c r="D336" s="22" t="str">
        <v>Historical segment definitions differ from the current framework; compare within this section only.</v>
      </c>
      <c r="E336" s="22" t="str">
        <v>Historical segment definitions differ from the current framework; compare within this section only.</v>
      </c>
      <c r="F336" s="22" t="str">
        <v>Historical segment definitions differ from the current framework; compare within this section only.</v>
      </c>
      <c r="G336" s="22" t="str">
        <v>Historical segment definitions differ from the current framework; compare within this section only.</v>
      </c>
      <c r="H336" s="22" t="str">
        <v>Historical segment definitions differ from the current framework; compare within this section only.</v>
      </c>
      <c r="I336" s="22" t="str">
        <v>Historical segment definitions differ from the current framework; compare within this section only.</v>
      </c>
      <c r="J336" s="22" t="str">
        <v>Historical segment definitions differ from the current framework; compare within this section only.</v>
      </c>
      <c r="K336" s="22" t="str">
        <v>Historical segment definitions differ from the current framework; compare within this section only.</v>
      </c>
      <c r="L336" s="22" t="str">
        <v>Historical segment definitions differ from the current framework; compare within this section only.</v>
      </c>
      <c r="M336" s="22" t="str">
        <v>Historical segment definitions differ from the current framework; compare within this section only.</v>
      </c>
      <c r="N336" s="22" t="str">
        <v>Historical segment definitions differ from the current framework; compare within this section only.</v>
      </c>
      <c r="O336" s="22" t="str">
        <v>Historical segment definitions differ from the current framework; compare within this section only.</v>
      </c>
      <c r="P336" s="22" t="str">
        <v>Historical segment definitions differ from the current framework; compare within this section only.</v>
      </c>
      <c r="Q336" s="22" t="str">
        <v>Historical segment definitions differ from the current framework; compare within this section only.</v>
      </c>
      <c r="R336" s="22" t="str">
        <v>Historical segment definitions differ from the current framework; compare within this section only.</v>
      </c>
      <c r="S336" s="22" t="str">
        <v>Historical segment definitions differ from the current framework; compare within this section only.</v>
      </c>
      <c r="T336" s="22" t="str">
        <v>Historical segment definitions differ from the current framework; compare within this section only.</v>
      </c>
      <c r="U336" s="22" t="str">
        <v>Historical segment definitions differ from the current framework; compare within this section only.</v>
      </c>
      <c r="V336" s="22" t="str">
        <v>Historical segment definitions differ from the current framework; compare within this section only.</v>
      </c>
      <c r="W336" s="22" t="str">
        <v>Historical segment definitions differ from the current framework; compare within this section only.</v>
      </c>
      <c r="X336" s="22" t="str">
        <v>Historical segment definitions differ from the current framework; compare within this section only.</v>
      </c>
      <c r="Y336" s="22" t="str">
        <v>Historical segment definitions differ from the current framework; compare within this section only.</v>
      </c>
      <c r="Z336" s="22" t="str">
        <v>Historical segment definitions differ from the current framework; compare within this section only.</v>
      </c>
      <c r="AA336" s="22" t="str">
        <v>Historical segment definitions differ from the current framework; compare within this section only.</v>
      </c>
    </row>
    <row r="337" ht="22" customHeight="1">
      <c r="A337" s="49" t="str">
        <v>Gross margin (loss) - CCG</v>
      </c>
      <c r="B337" s="3"/>
      <c r="C337" s="51"/>
      <c r="D337" s="51"/>
      <c r="E337" s="51"/>
      <c r="F337" s="51"/>
      <c r="G337" s="51"/>
      <c r="H337" s="51"/>
      <c r="I337" s="51" t="n">
        <v>14947</v>
      </c>
      <c r="J337" s="51" t="n">
        <v>14652</v>
      </c>
      <c r="K337" s="51" t="n">
        <v>15721</v>
      </c>
      <c r="L337" s="51"/>
      <c r="M337" s="51"/>
      <c r="N337" s="51"/>
      <c r="O337" s="51"/>
      <c r="P337" s="51"/>
      <c r="Q337" s="52" t="str">
        <f>IF(COUNT(J337,N337,O337,P337)=4,J337-N337-O337-P337,"")</f>
      </c>
      <c r="R337" s="51"/>
      <c r="S337" s="51"/>
      <c r="T337" s="51"/>
      <c r="U337" s="52" t="str">
        <f>IF(COUNT(K337,R337,S337,T337)=4,K337-R337-S337-T337,"")</f>
      </c>
      <c r="V337" s="51"/>
      <c r="W337" s="51"/>
      <c r="X337" s="51"/>
      <c r="Y337" s="52" t="str">
        <f>IF(COUNT(L337,V337,W337,X337)=4,L337-V337-W337-X337,"")</f>
      </c>
      <c r="Z337" s="51"/>
      <c r="AA337" s="51"/>
    </row>
    <row r="338" ht="22" customHeight="1">
      <c r="A338" s="49" t="str">
        <v>Gross margin (loss) - DCAI</v>
      </c>
      <c r="B338" s="3"/>
      <c r="C338" s="51"/>
      <c r="D338" s="51"/>
      <c r="E338" s="51"/>
      <c r="F338" s="51"/>
      <c r="G338" s="51"/>
      <c r="H338" s="51"/>
      <c r="I338" s="51" t="n">
        <v>9775</v>
      </c>
      <c r="J338" s="51" t="n">
        <v>6215</v>
      </c>
      <c r="K338" s="51" t="n">
        <v>6025</v>
      </c>
      <c r="L338" s="51"/>
      <c r="M338" s="51"/>
      <c r="N338" s="51"/>
      <c r="O338" s="51"/>
      <c r="P338" s="51"/>
      <c r="Q338" s="52" t="str">
        <f>IF(COUNT(J338,N338,O338,P338)=4,J338-N338-O338-P338,"")</f>
      </c>
      <c r="R338" s="51"/>
      <c r="S338" s="51"/>
      <c r="T338" s="51"/>
      <c r="U338" s="52" t="str">
        <f>IF(COUNT(K338,R338,S338,T338)=4,K338-R338-S338-T338,"")</f>
      </c>
      <c r="V338" s="51"/>
      <c r="W338" s="51"/>
      <c r="X338" s="51"/>
      <c r="Y338" s="52" t="str">
        <f>IF(COUNT(L338,V338,W338,X338)=4,L338-V338-W338-X338,"")</f>
      </c>
      <c r="Z338" s="51"/>
      <c r="AA338" s="51"/>
    </row>
    <row r="339" ht="22" customHeight="1">
      <c r="A339" s="49" t="str">
        <v>Gross margin (loss) - NEX</v>
      </c>
      <c r="B339" s="3"/>
      <c r="C339" s="51"/>
      <c r="D339" s="51"/>
      <c r="E339" s="51"/>
      <c r="F339" s="51"/>
      <c r="G339" s="51"/>
      <c r="H339" s="51"/>
      <c r="I339" s="51" t="n">
        <v>4553</v>
      </c>
      <c r="J339" s="51" t="n">
        <v>2679</v>
      </c>
      <c r="K339" s="51" t="n">
        <v>3385</v>
      </c>
      <c r="L339" s="51"/>
      <c r="M339" s="51"/>
      <c r="N339" s="51"/>
      <c r="O339" s="51"/>
      <c r="P339" s="51"/>
      <c r="Q339" s="52" t="str">
        <f>IF(COUNT(J339,N339,O339,P339)=4,J339-N339-O339-P339,"")</f>
      </c>
      <c r="R339" s="51"/>
      <c r="S339" s="51"/>
      <c r="T339" s="51"/>
      <c r="U339" s="52" t="str">
        <f>IF(COUNT(K339,R339,S339,T339)=4,K339-R339-S339-T339,"")</f>
      </c>
      <c r="V339" s="51"/>
      <c r="W339" s="51"/>
      <c r="X339" s="51"/>
      <c r="Y339" s="52" t="str">
        <f>IF(COUNT(L339,V339,W339,X339)=4,L339-V339-W339-X339,"")</f>
      </c>
      <c r="Z339" s="51"/>
      <c r="AA339" s="51"/>
    </row>
    <row r="340" ht="24" customHeight="1">
      <c r="A340" s="34" t="str">
        <v>Gross margin (loss) - Total Intel Products</v>
      </c>
      <c r="B340" s="35"/>
      <c r="C340" s="36"/>
      <c r="D340" s="36"/>
      <c r="E340" s="36"/>
      <c r="F340" s="36"/>
      <c r="G340" s="36"/>
      <c r="H340" s="36"/>
      <c r="I340" s="36" t="n">
        <v>29275</v>
      </c>
      <c r="J340" s="36" t="n">
        <v>23546</v>
      </c>
      <c r="K340" s="36" t="n">
        <v>25131</v>
      </c>
      <c r="L340" s="36"/>
      <c r="M340" s="36"/>
      <c r="N340" s="36"/>
      <c r="O340" s="36"/>
      <c r="P340" s="36"/>
      <c r="Q340" s="37" t="str">
        <f>IF(COUNT(J340,N340,O340,P340)=4,J340-N340-O340-P340,"")</f>
      </c>
      <c r="R340" s="36"/>
      <c r="S340" s="36"/>
      <c r="T340" s="36"/>
      <c r="U340" s="37" t="str">
        <f>IF(COUNT(K340,R340,S340,T340)=4,K340-R340-S340-T340,"")</f>
      </c>
      <c r="V340" s="36"/>
      <c r="W340" s="36"/>
      <c r="X340" s="36"/>
      <c r="Y340" s="37" t="str">
        <f>IF(COUNT(L340,V340,W340,X340)=4,L340-V340-W340-X340,"")</f>
      </c>
      <c r="Z340" s="36"/>
      <c r="AA340" s="36"/>
    </row>
    <row r="341" ht="22" customHeight="1">
      <c r="A341" s="49" t="str">
        <v>Gross margin (loss) - Intel Foundry</v>
      </c>
      <c r="B341" s="3"/>
      <c r="C341" s="51"/>
      <c r="D341" s="51"/>
      <c r="E341" s="51"/>
      <c r="F341" s="51"/>
      <c r="G341" s="51"/>
      <c r="H341" s="51"/>
      <c r="I341" s="51" t="n">
        <v>-561</v>
      </c>
      <c r="J341" s="51" t="n">
        <v>-2561</v>
      </c>
      <c r="K341" s="51" t="n">
        <v>-8053</v>
      </c>
      <c r="L341" s="51"/>
      <c r="M341" s="51"/>
      <c r="N341" s="51"/>
      <c r="O341" s="51"/>
      <c r="P341" s="51"/>
      <c r="Q341" s="52" t="str">
        <f>IF(COUNT(J341,N341,O341,P341)=4,J341-N341-O341-P341,"")</f>
      </c>
      <c r="R341" s="51"/>
      <c r="S341" s="51"/>
      <c r="T341" s="51"/>
      <c r="U341" s="52" t="str">
        <f>IF(COUNT(K341,R341,S341,T341)=4,K341-R341-S341-T341,"")</f>
      </c>
      <c r="V341" s="51"/>
      <c r="W341" s="51"/>
      <c r="X341" s="51"/>
      <c r="Y341" s="52" t="str">
        <f>IF(COUNT(L341,V341,W341,X341)=4,L341-V341-W341-X341,"")</f>
      </c>
      <c r="Z341" s="51"/>
      <c r="AA341" s="51"/>
    </row>
    <row r="342" ht="22" customHeight="1">
      <c r="A342" s="49" t="str">
        <v>Gross margin (loss) - All Other</v>
      </c>
      <c r="B342" s="3"/>
      <c r="C342" s="51"/>
      <c r="D342" s="51"/>
      <c r="E342" s="51"/>
      <c r="F342" s="51"/>
      <c r="G342" s="51"/>
      <c r="H342" s="51"/>
      <c r="I342" s="51" t="n">
        <v>3105</v>
      </c>
      <c r="J342" s="51" t="n">
        <v>3133</v>
      </c>
      <c r="K342" s="51" t="n">
        <v>1993</v>
      </c>
      <c r="L342" s="51"/>
      <c r="M342" s="51"/>
      <c r="N342" s="51"/>
      <c r="O342" s="51"/>
      <c r="P342" s="51"/>
      <c r="Q342" s="52" t="str">
        <f>IF(COUNT(J342,N342,O342,P342)=4,J342-N342-O342-P342,"")</f>
      </c>
      <c r="R342" s="51"/>
      <c r="S342" s="51"/>
      <c r="T342" s="51"/>
      <c r="U342" s="52" t="str">
        <f>IF(COUNT(K342,R342,S342,T342)=4,K342-R342-S342-T342,"")</f>
      </c>
      <c r="V342" s="51"/>
      <c r="W342" s="51"/>
      <c r="X342" s="51"/>
      <c r="Y342" s="52" t="str">
        <f>IF(COUNT(L342,V342,W342,X342)=4,L342-V342-W342-X342,"")</f>
      </c>
      <c r="Z342" s="51"/>
      <c r="AA342" s="51"/>
    </row>
    <row r="343" ht="22" customHeight="1">
      <c r="A343" s="49" t="str">
        <v>Gross margin (loss) - Corporate Unallocated</v>
      </c>
      <c r="B343" s="3"/>
      <c r="C343" s="51"/>
      <c r="D343" s="51"/>
      <c r="E343" s="51"/>
      <c r="F343" s="51"/>
      <c r="G343" s="51"/>
      <c r="H343" s="51"/>
      <c r="I343" s="51" t="n">
        <v>-2875</v>
      </c>
      <c r="J343" s="51" t="n">
        <v>-2136</v>
      </c>
      <c r="K343" s="51" t="n">
        <v>-1919</v>
      </c>
      <c r="L343" s="51"/>
      <c r="M343" s="51"/>
      <c r="N343" s="51"/>
      <c r="O343" s="51"/>
      <c r="P343" s="51"/>
      <c r="Q343" s="52" t="str">
        <f>IF(COUNT(J343,N343,O343,P343)=4,J343-N343-O343-P343,"")</f>
      </c>
      <c r="R343" s="51"/>
      <c r="S343" s="51"/>
      <c r="T343" s="51"/>
      <c r="U343" s="52" t="str">
        <f>IF(COUNT(K343,R343,S343,T343)=4,K343-R343-S343-T343,"")</f>
      </c>
      <c r="V343" s="51"/>
      <c r="W343" s="51"/>
      <c r="X343" s="51"/>
      <c r="Y343" s="52" t="str">
        <f>IF(COUNT(L343,V343,W343,X343)=4,L343-V343-W343-X343,"")</f>
      </c>
      <c r="Z343" s="51"/>
      <c r="AA343" s="51"/>
    </row>
    <row r="344" ht="22" customHeight="1">
      <c r="A344" s="49" t="str">
        <v>Gross margin (loss) - Intersegment Eliminations</v>
      </c>
      <c r="B344" s="3"/>
      <c r="C344" s="51"/>
      <c r="D344" s="51"/>
      <c r="E344" s="51"/>
      <c r="F344" s="51"/>
      <c r="G344" s="51"/>
      <c r="H344" s="51"/>
      <c r="I344" s="51" t="n">
        <v>-2078</v>
      </c>
      <c r="J344" s="51" t="n">
        <v>-271</v>
      </c>
      <c r="K344" s="51" t="n">
        <v>193</v>
      </c>
      <c r="L344" s="51"/>
      <c r="M344" s="51"/>
      <c r="N344" s="51"/>
      <c r="O344" s="51"/>
      <c r="P344" s="51"/>
      <c r="Q344" s="52" t="str">
        <f>IF(COUNT(J344,N344,O344,P344)=4,J344-N344-O344-P344,"")</f>
      </c>
      <c r="R344" s="51"/>
      <c r="S344" s="51"/>
      <c r="T344" s="51"/>
      <c r="U344" s="52" t="str">
        <f>IF(COUNT(K344,R344,S344,T344)=4,K344-R344-S344-T344,"")</f>
      </c>
      <c r="V344" s="51"/>
      <c r="W344" s="51"/>
      <c r="X344" s="51"/>
      <c r="Y344" s="52" t="str">
        <f>IF(COUNT(L344,V344,W344,X344)=4,L344-V344-W344-X344,"")</f>
      </c>
      <c r="Z344" s="51"/>
      <c r="AA344" s="51"/>
    </row>
    <row r="345" ht="24" customHeight="1">
      <c r="A345" s="34" t="str">
        <v>Gross margin (loss) - Total Consolidated</v>
      </c>
      <c r="B345" s="35"/>
      <c r="C345" s="36"/>
      <c r="D345" s="36"/>
      <c r="E345" s="36"/>
      <c r="F345" s="36"/>
      <c r="G345" s="36"/>
      <c r="H345" s="36"/>
      <c r="I345" s="36" t="n">
        <v>26866</v>
      </c>
      <c r="J345" s="36" t="n">
        <v>21711</v>
      </c>
      <c r="K345" s="36" t="n">
        <v>17345</v>
      </c>
      <c r="L345" s="36"/>
      <c r="M345" s="36"/>
      <c r="N345" s="36"/>
      <c r="O345" s="36"/>
      <c r="P345" s="36"/>
      <c r="Q345" s="37" t="str">
        <f>IF(COUNT(J345,N345,O345,P345)=4,J345-N345-O345-P345,"")</f>
      </c>
      <c r="R345" s="36"/>
      <c r="S345" s="36"/>
      <c r="T345" s="36"/>
      <c r="U345" s="37" t="str">
        <f>IF(COUNT(K345,R345,S345,T345)=4,K345-R345-S345-T345,"")</f>
      </c>
      <c r="V345" s="36"/>
      <c r="W345" s="36"/>
      <c r="X345" s="36"/>
      <c r="Y345" s="37" t="str">
        <f>IF(COUNT(L345,V345,W345,X345)=4,L345-V345-W345-X345,"")</f>
      </c>
      <c r="Z345" s="36"/>
      <c r="AA345" s="36"/>
    </row>
    <row r="346" ht="8"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22" customHeight="1">
      <c r="A347" s="21" t="str">
        <v>FY2024 reporting framework: Operating expenses</v>
      </c>
      <c r="B347" s="21" t="str">
        <v>FY2024 reporting framework: Operating expenses</v>
      </c>
      <c r="C347" s="21" t="str">
        <v>FY2024 reporting framework: Operating expenses</v>
      </c>
      <c r="D347" s="21" t="str">
        <v>FY2024 reporting framework: Operating expenses</v>
      </c>
      <c r="E347" s="21" t="str">
        <v>FY2024 reporting framework: Operating expenses</v>
      </c>
      <c r="F347" s="21" t="str">
        <v>FY2024 reporting framework: Operating expenses</v>
      </c>
      <c r="G347" s="21" t="str">
        <v>FY2024 reporting framework: Operating expenses</v>
      </c>
      <c r="H347" s="21" t="str">
        <v>FY2024 reporting framework: Operating expenses</v>
      </c>
      <c r="I347" s="21" t="str">
        <v>FY2024 reporting framework: Operating expenses</v>
      </c>
      <c r="J347" s="21" t="str">
        <v>FY2024 reporting framework: Operating expenses</v>
      </c>
      <c r="K347" s="21" t="str">
        <v>FY2024 reporting framework: Operating expenses</v>
      </c>
      <c r="L347" s="21" t="str">
        <v>FY2024 reporting framework: Operating expenses</v>
      </c>
      <c r="M347" s="21" t="str">
        <v>FY2024 reporting framework: Operating expenses</v>
      </c>
      <c r="N347" s="21" t="str">
        <v>FY2024 reporting framework: Operating expenses</v>
      </c>
      <c r="O347" s="21" t="str">
        <v>FY2024 reporting framework: Operating expenses</v>
      </c>
      <c r="P347" s="21" t="str">
        <v>FY2024 reporting framework: Operating expenses</v>
      </c>
      <c r="Q347" s="21" t="str">
        <v>FY2024 reporting framework: Operating expenses</v>
      </c>
      <c r="R347" s="21" t="str">
        <v>FY2024 reporting framework: Operating expenses</v>
      </c>
      <c r="S347" s="21" t="str">
        <v>FY2024 reporting framework: Operating expenses</v>
      </c>
      <c r="T347" s="21" t="str">
        <v>FY2024 reporting framework: Operating expenses</v>
      </c>
      <c r="U347" s="21" t="str">
        <v>FY2024 reporting framework: Operating expenses</v>
      </c>
      <c r="V347" s="21" t="str">
        <v>FY2024 reporting framework: Operating expenses</v>
      </c>
      <c r="W347" s="21" t="str">
        <v>FY2024 reporting framework: Operating expenses</v>
      </c>
      <c r="X347" s="21" t="str">
        <v>FY2024 reporting framework: Operating expenses</v>
      </c>
      <c r="Y347" s="21" t="str">
        <v>FY2024 reporting framework: Operating expenses</v>
      </c>
      <c r="Z347" s="21" t="str">
        <v>FY2024 reporting framework: Operating expenses</v>
      </c>
      <c r="AA347" s="21" t="str">
        <v>FY2024 reporting framework: Operating expenses</v>
      </c>
    </row>
    <row r="348" ht="18" customHeight="1">
      <c r="A348" s="22" t="str">
        <v>Historical segment definitions differ from the current framework; compare within this section only.</v>
      </c>
      <c r="B348" s="22" t="str">
        <v>Historical segment definitions differ from the current framework; compare within this section only.</v>
      </c>
      <c r="C348" s="22" t="str">
        <v>Historical segment definitions differ from the current framework; compare within this section only.</v>
      </c>
      <c r="D348" s="22" t="str">
        <v>Historical segment definitions differ from the current framework; compare within this section only.</v>
      </c>
      <c r="E348" s="22" t="str">
        <v>Historical segment definitions differ from the current framework; compare within this section only.</v>
      </c>
      <c r="F348" s="22" t="str">
        <v>Historical segment definitions differ from the current framework; compare within this section only.</v>
      </c>
      <c r="G348" s="22" t="str">
        <v>Historical segment definitions differ from the current framework; compare within this section only.</v>
      </c>
      <c r="H348" s="22" t="str">
        <v>Historical segment definitions differ from the current framework; compare within this section only.</v>
      </c>
      <c r="I348" s="22" t="str">
        <v>Historical segment definitions differ from the current framework; compare within this section only.</v>
      </c>
      <c r="J348" s="22" t="str">
        <v>Historical segment definitions differ from the current framework; compare within this section only.</v>
      </c>
      <c r="K348" s="22" t="str">
        <v>Historical segment definitions differ from the current framework; compare within this section only.</v>
      </c>
      <c r="L348" s="22" t="str">
        <v>Historical segment definitions differ from the current framework; compare within this section only.</v>
      </c>
      <c r="M348" s="22" t="str">
        <v>Historical segment definitions differ from the current framework; compare within this section only.</v>
      </c>
      <c r="N348" s="22" t="str">
        <v>Historical segment definitions differ from the current framework; compare within this section only.</v>
      </c>
      <c r="O348" s="22" t="str">
        <v>Historical segment definitions differ from the current framework; compare within this section only.</v>
      </c>
      <c r="P348" s="22" t="str">
        <v>Historical segment definitions differ from the current framework; compare within this section only.</v>
      </c>
      <c r="Q348" s="22" t="str">
        <v>Historical segment definitions differ from the current framework; compare within this section only.</v>
      </c>
      <c r="R348" s="22" t="str">
        <v>Historical segment definitions differ from the current framework; compare within this section only.</v>
      </c>
      <c r="S348" s="22" t="str">
        <v>Historical segment definitions differ from the current framework; compare within this section only.</v>
      </c>
      <c r="T348" s="22" t="str">
        <v>Historical segment definitions differ from the current framework; compare within this section only.</v>
      </c>
      <c r="U348" s="22" t="str">
        <v>Historical segment definitions differ from the current framework; compare within this section only.</v>
      </c>
      <c r="V348" s="22" t="str">
        <v>Historical segment definitions differ from the current framework; compare within this section only.</v>
      </c>
      <c r="W348" s="22" t="str">
        <v>Historical segment definitions differ from the current framework; compare within this section only.</v>
      </c>
      <c r="X348" s="22" t="str">
        <v>Historical segment definitions differ from the current framework; compare within this section only.</v>
      </c>
      <c r="Y348" s="22" t="str">
        <v>Historical segment definitions differ from the current framework; compare within this section only.</v>
      </c>
      <c r="Z348" s="22" t="str">
        <v>Historical segment definitions differ from the current framework; compare within this section only.</v>
      </c>
      <c r="AA348" s="22" t="str">
        <v>Historical segment definitions differ from the current framework; compare within this section only.</v>
      </c>
    </row>
    <row r="349" ht="22" customHeight="1">
      <c r="A349" s="49" t="str">
        <v>Operating expenses - CCG</v>
      </c>
      <c r="B349" s="3"/>
      <c r="C349" s="51"/>
      <c r="D349" s="51"/>
      <c r="E349" s="51"/>
      <c r="F349" s="51"/>
      <c r="G349" s="51"/>
      <c r="H349" s="51"/>
      <c r="I349" s="51" t="n">
        <v>6740</v>
      </c>
      <c r="J349" s="51" t="n">
        <v>5139</v>
      </c>
      <c r="K349" s="51" t="n">
        <v>4801</v>
      </c>
      <c r="L349" s="51"/>
      <c r="M349" s="51"/>
      <c r="N349" s="51"/>
      <c r="O349" s="51"/>
      <c r="P349" s="51"/>
      <c r="Q349" s="52" t="str">
        <f>IF(COUNT(J349,N349,O349,P349)=4,J349-N349-O349-P349,"")</f>
      </c>
      <c r="R349" s="51"/>
      <c r="S349" s="51"/>
      <c r="T349" s="51"/>
      <c r="U349" s="52" t="str">
        <f>IF(COUNT(K349,R349,S349,T349)=4,K349-R349-S349-T349,"")</f>
      </c>
      <c r="V349" s="51"/>
      <c r="W349" s="51"/>
      <c r="X349" s="51"/>
      <c r="Y349" s="52" t="str">
        <f>IF(COUNT(L349,V349,W349,X349)=4,L349-V349-W349-X349,"")</f>
      </c>
      <c r="Z349" s="51"/>
      <c r="AA349" s="51"/>
    </row>
    <row r="350" ht="22" customHeight="1">
      <c r="A350" s="49" t="str">
        <v>Operating expenses - DCAI</v>
      </c>
      <c r="B350" s="3"/>
      <c r="C350" s="51"/>
      <c r="D350" s="51"/>
      <c r="E350" s="51"/>
      <c r="F350" s="51"/>
      <c r="G350" s="51"/>
      <c r="H350" s="51"/>
      <c r="I350" s="51" t="n">
        <v>5577</v>
      </c>
      <c r="J350" s="51" t="n">
        <v>4595</v>
      </c>
      <c r="K350" s="51" t="n">
        <v>4687</v>
      </c>
      <c r="L350" s="51"/>
      <c r="M350" s="51"/>
      <c r="N350" s="51"/>
      <c r="O350" s="51"/>
      <c r="P350" s="51"/>
      <c r="Q350" s="52" t="str">
        <f>IF(COUNT(J350,N350,O350,P350)=4,J350-N350-O350-P350,"")</f>
      </c>
      <c r="R350" s="51"/>
      <c r="S350" s="51"/>
      <c r="T350" s="51"/>
      <c r="U350" s="52" t="str">
        <f>IF(COUNT(K350,R350,S350,T350)=4,K350-R350-S350-T350,"")</f>
      </c>
      <c r="V350" s="51"/>
      <c r="W350" s="51"/>
      <c r="X350" s="51"/>
      <c r="Y350" s="52" t="str">
        <f>IF(COUNT(L350,V350,W350,X350)=4,L350-V350-W350-X350,"")</f>
      </c>
      <c r="Z350" s="51"/>
      <c r="AA350" s="51"/>
    </row>
    <row r="351" ht="22" customHeight="1">
      <c r="A351" s="49" t="str">
        <v>Operating expenses - NEX</v>
      </c>
      <c r="B351" s="3"/>
      <c r="C351" s="51"/>
      <c r="D351" s="51"/>
      <c r="E351" s="51"/>
      <c r="F351" s="51"/>
      <c r="G351" s="51"/>
      <c r="H351" s="51"/>
      <c r="I351" s="51" t="n">
        <v>3021</v>
      </c>
      <c r="J351" s="51" t="n">
        <v>2475</v>
      </c>
      <c r="K351" s="51" t="n">
        <v>2454</v>
      </c>
      <c r="L351" s="51"/>
      <c r="M351" s="51"/>
      <c r="N351" s="51"/>
      <c r="O351" s="51"/>
      <c r="P351" s="51"/>
      <c r="Q351" s="52" t="str">
        <f>IF(COUNT(J351,N351,O351,P351)=4,J351-N351-O351-P351,"")</f>
      </c>
      <c r="R351" s="51"/>
      <c r="S351" s="51"/>
      <c r="T351" s="51"/>
      <c r="U351" s="52" t="str">
        <f>IF(COUNT(K351,R351,S351,T351)=4,K351-R351-S351-T351,"")</f>
      </c>
      <c r="V351" s="51"/>
      <c r="W351" s="51"/>
      <c r="X351" s="51"/>
      <c r="Y351" s="52" t="str">
        <f>IF(COUNT(L351,V351,W351,X351)=4,L351-V351-W351-X351,"")</f>
      </c>
      <c r="Z351" s="51"/>
      <c r="AA351" s="51"/>
    </row>
    <row r="352" ht="24" customHeight="1">
      <c r="A352" s="34" t="str">
        <v>Operating expenses - Total Intel Products</v>
      </c>
      <c r="B352" s="35"/>
      <c r="C352" s="36"/>
      <c r="D352" s="36"/>
      <c r="E352" s="36"/>
      <c r="F352" s="36"/>
      <c r="G352" s="36"/>
      <c r="H352" s="36"/>
      <c r="I352" s="36" t="n">
        <v>15338</v>
      </c>
      <c r="J352" s="36" t="n">
        <v>12209</v>
      </c>
      <c r="K352" s="36" t="n">
        <v>11942</v>
      </c>
      <c r="L352" s="36"/>
      <c r="M352" s="36"/>
      <c r="N352" s="36"/>
      <c r="O352" s="36"/>
      <c r="P352" s="36"/>
      <c r="Q352" s="37" t="str">
        <f>IF(COUNT(J352,N352,O352,P352)=4,J352-N352-O352-P352,"")</f>
      </c>
      <c r="R352" s="36"/>
      <c r="S352" s="36"/>
      <c r="T352" s="36"/>
      <c r="U352" s="37" t="str">
        <f>IF(COUNT(K352,R352,S352,T352)=4,K352-R352-S352-T352,"")</f>
      </c>
      <c r="V352" s="36"/>
      <c r="W352" s="36"/>
      <c r="X352" s="36"/>
      <c r="Y352" s="37" t="str">
        <f>IF(COUNT(L352,V352,W352,X352)=4,L352-V352-W352-X352,"")</f>
      </c>
      <c r="Z352" s="36"/>
      <c r="AA352" s="36"/>
    </row>
    <row r="353" ht="22" customHeight="1">
      <c r="A353" s="49" t="str">
        <v>Operating expenses - Intel Foundry</v>
      </c>
      <c r="B353" s="3"/>
      <c r="C353" s="51"/>
      <c r="D353" s="51"/>
      <c r="E353" s="51"/>
      <c r="F353" s="51"/>
      <c r="G353" s="51"/>
      <c r="H353" s="51"/>
      <c r="I353" s="51" t="n">
        <v>4608</v>
      </c>
      <c r="J353" s="51" t="n">
        <v>4394</v>
      </c>
      <c r="K353" s="51" t="n">
        <v>5355</v>
      </c>
      <c r="L353" s="51"/>
      <c r="M353" s="51"/>
      <c r="N353" s="51"/>
      <c r="O353" s="51"/>
      <c r="P353" s="51"/>
      <c r="Q353" s="52" t="str">
        <f>IF(COUNT(J353,N353,O353,P353)=4,J353-N353-O353-P353,"")</f>
      </c>
      <c r="R353" s="51"/>
      <c r="S353" s="51"/>
      <c r="T353" s="51"/>
      <c r="U353" s="52" t="str">
        <f>IF(COUNT(K353,R353,S353,T353)=4,K353-R353-S353-T353,"")</f>
      </c>
      <c r="V353" s="51"/>
      <c r="W353" s="51"/>
      <c r="X353" s="51"/>
      <c r="Y353" s="52" t="str">
        <f>IF(COUNT(L353,V353,W353,X353)=4,L353-V353-W353-X353,"")</f>
      </c>
      <c r="Z353" s="51"/>
      <c r="AA353" s="51"/>
    </row>
    <row r="354" ht="22" customHeight="1">
      <c r="A354" s="49" t="str">
        <v>Operating expenses - All Other</v>
      </c>
      <c r="B354" s="3"/>
      <c r="C354" s="51"/>
      <c r="D354" s="51"/>
      <c r="E354" s="51"/>
      <c r="F354" s="51"/>
      <c r="G354" s="51"/>
      <c r="H354" s="51"/>
      <c r="I354" s="51" t="n">
        <v>1931</v>
      </c>
      <c r="J354" s="51" t="n">
        <v>2054</v>
      </c>
      <c r="K354" s="51" t="n">
        <v>2077</v>
      </c>
      <c r="L354" s="51"/>
      <c r="M354" s="51"/>
      <c r="N354" s="51"/>
      <c r="O354" s="51"/>
      <c r="P354" s="51"/>
      <c r="Q354" s="52" t="str">
        <f>IF(COUNT(J354,N354,O354,P354)=4,J354-N354-O354-P354,"")</f>
      </c>
      <c r="R354" s="51"/>
      <c r="S354" s="51"/>
      <c r="T354" s="51"/>
      <c r="U354" s="52" t="str">
        <f>IF(COUNT(K354,R354,S354,T354)=4,K354-R354-S354-T354,"")</f>
      </c>
      <c r="V354" s="51"/>
      <c r="W354" s="51"/>
      <c r="X354" s="51"/>
      <c r="Y354" s="52" t="str">
        <f>IF(COUNT(L354,V354,W354,X354)=4,L354-V354-W354-X354,"")</f>
      </c>
      <c r="Z354" s="51"/>
      <c r="AA354" s="51"/>
    </row>
    <row r="355" ht="22" customHeight="1">
      <c r="A355" s="49" t="str">
        <v>Operating expenses - Corporate Unallocated</v>
      </c>
      <c r="B355" s="3"/>
      <c r="C355" s="51"/>
      <c r="D355" s="51"/>
      <c r="E355" s="51"/>
      <c r="F355" s="51"/>
      <c r="G355" s="51"/>
      <c r="H355" s="51"/>
      <c r="I355" s="51" t="n">
        <v>2758</v>
      </c>
      <c r="J355" s="51" t="n">
        <v>3029</v>
      </c>
      <c r="K355" s="51" t="n">
        <v>9299</v>
      </c>
      <c r="L355" s="51"/>
      <c r="M355" s="51"/>
      <c r="N355" s="51"/>
      <c r="O355" s="51"/>
      <c r="P355" s="51"/>
      <c r="Q355" s="52" t="str">
        <f>IF(COUNT(J355,N355,O355,P355)=4,J355-N355-O355-P355,"")</f>
      </c>
      <c r="R355" s="51"/>
      <c r="S355" s="51"/>
      <c r="T355" s="51"/>
      <c r="U355" s="52" t="str">
        <f>IF(COUNT(K355,R355,S355,T355)=4,K355-R355-S355-T355,"")</f>
      </c>
      <c r="V355" s="51"/>
      <c r="W355" s="51"/>
      <c r="X355" s="51"/>
      <c r="Y355" s="52" t="str">
        <f>IF(COUNT(L355,V355,W355,X355)=4,L355-V355-W355-X355,"")</f>
      </c>
      <c r="Z355" s="51"/>
      <c r="AA355" s="51"/>
    </row>
    <row r="356" ht="22" customHeight="1">
      <c r="A356" s="49" t="str">
        <v>Operating expenses - Intersegment Eliminations</v>
      </c>
      <c r="B356" s="3"/>
      <c r="C356" s="51"/>
      <c r="D356" s="51"/>
      <c r="E356" s="51"/>
      <c r="F356" s="51"/>
      <c r="G356" s="51"/>
      <c r="H356" s="51"/>
      <c r="I356" s="51" t="n">
        <v>-103</v>
      </c>
      <c r="J356" s="51" t="n">
        <v>-68</v>
      </c>
      <c r="K356" s="51" t="n">
        <v>350</v>
      </c>
      <c r="L356" s="51"/>
      <c r="M356" s="51"/>
      <c r="N356" s="51"/>
      <c r="O356" s="51"/>
      <c r="P356" s="51"/>
      <c r="Q356" s="52" t="str">
        <f>IF(COUNT(J356,N356,O356,P356)=4,J356-N356-O356-P356,"")</f>
      </c>
      <c r="R356" s="51"/>
      <c r="S356" s="51"/>
      <c r="T356" s="51"/>
      <c r="U356" s="52" t="str">
        <f>IF(COUNT(K356,R356,S356,T356)=4,K356-R356-S356-T356,"")</f>
      </c>
      <c r="V356" s="51"/>
      <c r="W356" s="51"/>
      <c r="X356" s="51"/>
      <c r="Y356" s="52" t="str">
        <f>IF(COUNT(L356,V356,W356,X356)=4,L356-V356-W356-X356,"")</f>
      </c>
      <c r="Z356" s="51"/>
      <c r="AA356" s="51"/>
    </row>
    <row r="357" ht="24" customHeight="1">
      <c r="A357" s="34" t="str">
        <v>Operating expenses - Total Consolidated</v>
      </c>
      <c r="B357" s="35"/>
      <c r="C357" s="36"/>
      <c r="D357" s="36"/>
      <c r="E357" s="36"/>
      <c r="F357" s="36"/>
      <c r="G357" s="36"/>
      <c r="H357" s="36"/>
      <c r="I357" s="36" t="n">
        <v>24532</v>
      </c>
      <c r="J357" s="36" t="n">
        <v>21618</v>
      </c>
      <c r="K357" s="36" t="n">
        <v>29023</v>
      </c>
      <c r="L357" s="36"/>
      <c r="M357" s="36"/>
      <c r="N357" s="36"/>
      <c r="O357" s="36"/>
      <c r="P357" s="36"/>
      <c r="Q357" s="37" t="str">
        <f>IF(COUNT(J357,N357,O357,P357)=4,J357-N357-O357-P357,"")</f>
      </c>
      <c r="R357" s="36"/>
      <c r="S357" s="36"/>
      <c r="T357" s="36"/>
      <c r="U357" s="37" t="str">
        <f>IF(COUNT(K357,R357,S357,T357)=4,K357-R357-S357-T357,"")</f>
      </c>
      <c r="V357" s="36"/>
      <c r="W357" s="36"/>
      <c r="X357" s="36"/>
      <c r="Y357" s="37" t="str">
        <f>IF(COUNT(L357,V357,W357,X357)=4,L357-V357-W357-X357,"")</f>
      </c>
      <c r="Z357" s="36"/>
      <c r="AA357" s="36"/>
    </row>
    <row r="358" ht="22" customHeight="1">
      <c r="A358" s="49" t="str">
        <v>Check: segment lines - printed total (should be 0)</v>
      </c>
      <c r="B358" s="3"/>
      <c r="C358" s="59"/>
      <c r="D358" s="59"/>
      <c r="E358" s="59"/>
      <c r="F358" s="59"/>
      <c r="G358" s="59"/>
      <c r="H358" s="59"/>
      <c r="I358" s="59" t="n">
        <f>IF(COUNT(I349,I350,I351,I353,I354,I355,I356,I357)=8,I349+I350+I351+I353+I354+I355+I356-I357,"")</f>
        <v>0</v>
      </c>
      <c r="J358" s="59" t="n">
        <f>IF(COUNT(J349,J350,J351,J353,J354,J355,J356,J357)=8,J349+J350+J351+J353+J354+J355+J356-J357,"")</f>
        <v>0</v>
      </c>
      <c r="K358" s="59" t="n">
        <f>IF(COUNT(K349,K350,K351,K353,K354,K355,K356,K357)=8,K349+K350+K351+K353+K354+K355+K356-K357,"")</f>
        <v>0</v>
      </c>
      <c r="L358" s="59"/>
      <c r="M358" s="59"/>
      <c r="N358" s="59"/>
      <c r="O358" s="59"/>
      <c r="P358" s="59"/>
      <c r="Q358" s="59" t="str">
        <f>IF(COUNT(Q349,Q350,Q351,Q353,Q354,Q355,Q356,Q357)=8,Q349+Q350+Q351+Q353+Q354+Q355+Q356-Q357,"")</f>
      </c>
      <c r="R358" s="59"/>
      <c r="S358" s="59"/>
      <c r="T358" s="59"/>
      <c r="U358" s="59" t="str">
        <f>IF(COUNT(U349,U350,U351,U353,U354,U355,U356,U357)=8,U349+U350+U351+U353+U354+U355+U356-U357,"")</f>
      </c>
      <c r="V358" s="59"/>
      <c r="W358" s="59"/>
      <c r="X358" s="59"/>
      <c r="Y358" s="59"/>
      <c r="Z358" s="59"/>
      <c r="AA358" s="59"/>
    </row>
    <row r="359" ht="8"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22" customHeight="1">
      <c r="A360" s="21" t="str">
        <v>FY2024 reporting framework: Corporate unallocated - composition</v>
      </c>
      <c r="B360" s="21" t="str">
        <v>FY2024 reporting framework: Corporate unallocated - composition</v>
      </c>
      <c r="C360" s="21" t="str">
        <v>FY2024 reporting framework: Corporate unallocated - composition</v>
      </c>
      <c r="D360" s="21" t="str">
        <v>FY2024 reporting framework: Corporate unallocated - composition</v>
      </c>
      <c r="E360" s="21" t="str">
        <v>FY2024 reporting framework: Corporate unallocated - composition</v>
      </c>
      <c r="F360" s="21" t="str">
        <v>FY2024 reporting framework: Corporate unallocated - composition</v>
      </c>
      <c r="G360" s="21" t="str">
        <v>FY2024 reporting framework: Corporate unallocated - composition</v>
      </c>
      <c r="H360" s="21" t="str">
        <v>FY2024 reporting framework: Corporate unallocated - composition</v>
      </c>
      <c r="I360" s="21" t="str">
        <v>FY2024 reporting framework: Corporate unallocated - composition</v>
      </c>
      <c r="J360" s="21" t="str">
        <v>FY2024 reporting framework: Corporate unallocated - composition</v>
      </c>
      <c r="K360" s="21" t="str">
        <v>FY2024 reporting framework: Corporate unallocated - composition</v>
      </c>
      <c r="L360" s="21" t="str">
        <v>FY2024 reporting framework: Corporate unallocated - composition</v>
      </c>
      <c r="M360" s="21" t="str">
        <v>FY2024 reporting framework: Corporate unallocated - composition</v>
      </c>
      <c r="N360" s="21" t="str">
        <v>FY2024 reporting framework: Corporate unallocated - composition</v>
      </c>
      <c r="O360" s="21" t="str">
        <v>FY2024 reporting framework: Corporate unallocated - composition</v>
      </c>
      <c r="P360" s="21" t="str">
        <v>FY2024 reporting framework: Corporate unallocated - composition</v>
      </c>
      <c r="Q360" s="21" t="str">
        <v>FY2024 reporting framework: Corporate unallocated - composition</v>
      </c>
      <c r="R360" s="21" t="str">
        <v>FY2024 reporting framework: Corporate unallocated - composition</v>
      </c>
      <c r="S360" s="21" t="str">
        <v>FY2024 reporting framework: Corporate unallocated - composition</v>
      </c>
      <c r="T360" s="21" t="str">
        <v>FY2024 reporting framework: Corporate unallocated - composition</v>
      </c>
      <c r="U360" s="21" t="str">
        <v>FY2024 reporting framework: Corporate unallocated - composition</v>
      </c>
      <c r="V360" s="21" t="str">
        <v>FY2024 reporting framework: Corporate unallocated - composition</v>
      </c>
      <c r="W360" s="21" t="str">
        <v>FY2024 reporting framework: Corporate unallocated - composition</v>
      </c>
      <c r="X360" s="21" t="str">
        <v>FY2024 reporting framework: Corporate unallocated - composition</v>
      </c>
      <c r="Y360" s="21" t="str">
        <v>FY2024 reporting framework: Corporate unallocated - composition</v>
      </c>
      <c r="Z360" s="21" t="str">
        <v>FY2024 reporting framework: Corporate unallocated - composition</v>
      </c>
      <c r="AA360" s="21" t="str">
        <v>FY2024 reporting framework: Corporate unallocated - composition</v>
      </c>
    </row>
    <row r="361" ht="18" customHeight="1">
      <c r="A361" s="22" t="str">
        <v>Historical segment definitions differ from the current framework; compare within this section only.</v>
      </c>
      <c r="B361" s="22" t="str">
        <v>Historical segment definitions differ from the current framework; compare within this section only.</v>
      </c>
      <c r="C361" s="22" t="str">
        <v>Historical segment definitions differ from the current framework; compare within this section only.</v>
      </c>
      <c r="D361" s="22" t="str">
        <v>Historical segment definitions differ from the current framework; compare within this section only.</v>
      </c>
      <c r="E361" s="22" t="str">
        <v>Historical segment definitions differ from the current framework; compare within this section only.</v>
      </c>
      <c r="F361" s="22" t="str">
        <v>Historical segment definitions differ from the current framework; compare within this section only.</v>
      </c>
      <c r="G361" s="22" t="str">
        <v>Historical segment definitions differ from the current framework; compare within this section only.</v>
      </c>
      <c r="H361" s="22" t="str">
        <v>Historical segment definitions differ from the current framework; compare within this section only.</v>
      </c>
      <c r="I361" s="22" t="str">
        <v>Historical segment definitions differ from the current framework; compare within this section only.</v>
      </c>
      <c r="J361" s="22" t="str">
        <v>Historical segment definitions differ from the current framework; compare within this section only.</v>
      </c>
      <c r="K361" s="22" t="str">
        <v>Historical segment definitions differ from the current framework; compare within this section only.</v>
      </c>
      <c r="L361" s="22" t="str">
        <v>Historical segment definitions differ from the current framework; compare within this section only.</v>
      </c>
      <c r="M361" s="22" t="str">
        <v>Historical segment definitions differ from the current framework; compare within this section only.</v>
      </c>
      <c r="N361" s="22" t="str">
        <v>Historical segment definitions differ from the current framework; compare within this section only.</v>
      </c>
      <c r="O361" s="22" t="str">
        <v>Historical segment definitions differ from the current framework; compare within this section only.</v>
      </c>
      <c r="P361" s="22" t="str">
        <v>Historical segment definitions differ from the current framework; compare within this section only.</v>
      </c>
      <c r="Q361" s="22" t="str">
        <v>Historical segment definitions differ from the current framework; compare within this section only.</v>
      </c>
      <c r="R361" s="22" t="str">
        <v>Historical segment definitions differ from the current framework; compare within this section only.</v>
      </c>
      <c r="S361" s="22" t="str">
        <v>Historical segment definitions differ from the current framework; compare within this section only.</v>
      </c>
      <c r="T361" s="22" t="str">
        <v>Historical segment definitions differ from the current framework; compare within this section only.</v>
      </c>
      <c r="U361" s="22" t="str">
        <v>Historical segment definitions differ from the current framework; compare within this section only.</v>
      </c>
      <c r="V361" s="22" t="str">
        <v>Historical segment definitions differ from the current framework; compare within this section only.</v>
      </c>
      <c r="W361" s="22" t="str">
        <v>Historical segment definitions differ from the current framework; compare within this section only.</v>
      </c>
      <c r="X361" s="22" t="str">
        <v>Historical segment definitions differ from the current framework; compare within this section only.</v>
      </c>
      <c r="Y361" s="22" t="str">
        <v>Historical segment definitions differ from the current framework; compare within this section only.</v>
      </c>
      <c r="Z361" s="22" t="str">
        <v>Historical segment definitions differ from the current framework; compare within this section only.</v>
      </c>
      <c r="AA361" s="22" t="str">
        <v>Historical segment definitions differ from the current framework; compare within this section only.</v>
      </c>
    </row>
    <row r="362" ht="22" customHeight="1">
      <c r="A362" s="49" t="str">
        <v>Acquisition-related costs - Cost of Sales</v>
      </c>
      <c r="B362" s="3"/>
      <c r="C362" s="51"/>
      <c r="D362" s="51"/>
      <c r="E362" s="51"/>
      <c r="F362" s="51"/>
      <c r="G362" s="51"/>
      <c r="H362" s="51"/>
      <c r="I362" s="51" t="n">
        <v>1341</v>
      </c>
      <c r="J362" s="51" t="n">
        <v>1235</v>
      </c>
      <c r="K362" s="51" t="n">
        <v>879</v>
      </c>
      <c r="L362" s="51"/>
      <c r="M362" s="51"/>
      <c r="N362" s="51"/>
      <c r="O362" s="51"/>
      <c r="P362" s="51"/>
      <c r="Q362" s="52" t="str">
        <f>IF(COUNT(J362,N362,O362,P362)=4,J362-N362-O362-P362,"")</f>
      </c>
      <c r="R362" s="51"/>
      <c r="S362" s="51"/>
      <c r="T362" s="51"/>
      <c r="U362" s="52" t="str">
        <f>IF(COUNT(K362,R362,S362,T362)=4,K362-R362-S362-T362,"")</f>
      </c>
      <c r="V362" s="51"/>
      <c r="W362" s="51"/>
      <c r="X362" s="51"/>
      <c r="Y362" s="52" t="str">
        <f>IF(COUNT(L362,V362,W362,X362)=4,L362-V362-W362-X362,"")</f>
      </c>
      <c r="Z362" s="51"/>
      <c r="AA362" s="51"/>
    </row>
    <row r="363" ht="22" customHeight="1">
      <c r="A363" s="49" t="str">
        <v>Acquisition-related costs - Operating Expenses</v>
      </c>
      <c r="B363" s="3"/>
      <c r="C363" s="51"/>
      <c r="D363" s="51"/>
      <c r="E363" s="51"/>
      <c r="F363" s="51"/>
      <c r="G363" s="51"/>
      <c r="H363" s="51"/>
      <c r="I363" s="51" t="n">
        <v>185</v>
      </c>
      <c r="J363" s="51" t="n">
        <v>172</v>
      </c>
      <c r="K363" s="51" t="n">
        <v>165</v>
      </c>
      <c r="L363" s="51"/>
      <c r="M363" s="51"/>
      <c r="N363" s="51"/>
      <c r="O363" s="51"/>
      <c r="P363" s="51"/>
      <c r="Q363" s="52" t="str">
        <f>IF(COUNT(J363,N363,O363,P363)=4,J363-N363-O363-P363,"")</f>
      </c>
      <c r="R363" s="51"/>
      <c r="S363" s="51"/>
      <c r="T363" s="51"/>
      <c r="U363" s="52" t="str">
        <f>IF(COUNT(K363,R363,S363,T363)=4,K363-R363-S363-T363,"")</f>
      </c>
      <c r="V363" s="51"/>
      <c r="W363" s="51"/>
      <c r="X363" s="51"/>
      <c r="Y363" s="52" t="str">
        <f>IF(COUNT(L363,V363,W363,X363)=4,L363-V363-W363-X363,"")</f>
      </c>
      <c r="Z363" s="51"/>
      <c r="AA363" s="51"/>
    </row>
    <row r="364" ht="22" customHeight="1">
      <c r="A364" s="49" t="str">
        <v>Acquisition-related costs - Total</v>
      </c>
      <c r="B364" s="3"/>
      <c r="C364" s="51"/>
      <c r="D364" s="51"/>
      <c r="E364" s="51"/>
      <c r="F364" s="51"/>
      <c r="G364" s="51"/>
      <c r="H364" s="51"/>
      <c r="I364" s="51" t="n">
        <v>1526</v>
      </c>
      <c r="J364" s="51" t="n">
        <v>1407</v>
      </c>
      <c r="K364" s="51" t="n">
        <v>1044</v>
      </c>
      <c r="L364" s="51"/>
      <c r="M364" s="51"/>
      <c r="N364" s="51"/>
      <c r="O364" s="51"/>
      <c r="P364" s="51"/>
      <c r="Q364" s="52" t="str">
        <f>IF(COUNT(J364,N364,O364,P364)=4,J364-N364-O364-P364,"")</f>
      </c>
      <c r="R364" s="51"/>
      <c r="S364" s="51"/>
      <c r="T364" s="51"/>
      <c r="U364" s="52" t="str">
        <f>IF(COUNT(K364,R364,S364,T364)=4,K364-R364-S364-T364,"")</f>
      </c>
      <c r="V364" s="51"/>
      <c r="W364" s="51"/>
      <c r="X364" s="51"/>
      <c r="Y364" s="52" t="str">
        <f>IF(COUNT(L364,V364,W364,X364)=4,L364-V364-W364-X364,"")</f>
      </c>
      <c r="Z364" s="51"/>
      <c r="AA364" s="51"/>
    </row>
    <row r="365" ht="22" customHeight="1">
      <c r="A365" s="49" t="str">
        <v>Share-based compensation - Cost of Sales</v>
      </c>
      <c r="B365" s="3"/>
      <c r="C365" s="51"/>
      <c r="D365" s="51"/>
      <c r="E365" s="51"/>
      <c r="F365" s="51"/>
      <c r="G365" s="51"/>
      <c r="H365" s="51"/>
      <c r="I365" s="51" t="n">
        <v>663</v>
      </c>
      <c r="J365" s="51" t="n">
        <v>705</v>
      </c>
      <c r="K365" s="51" t="n">
        <v>875</v>
      </c>
      <c r="L365" s="51"/>
      <c r="M365" s="51"/>
      <c r="N365" s="51"/>
      <c r="O365" s="51"/>
      <c r="P365" s="51"/>
      <c r="Q365" s="52" t="str">
        <f>IF(COUNT(J365,N365,O365,P365)=4,J365-N365-O365-P365,"")</f>
      </c>
      <c r="R365" s="51"/>
      <c r="S365" s="51"/>
      <c r="T365" s="51"/>
      <c r="U365" s="52" t="str">
        <f>IF(COUNT(K365,R365,S365,T365)=4,K365-R365-S365-T365,"")</f>
      </c>
      <c r="V365" s="51"/>
      <c r="W365" s="51"/>
      <c r="X365" s="51"/>
      <c r="Y365" s="52" t="str">
        <f>IF(COUNT(L365,V365,W365,X365)=4,L365-V365-W365-X365,"")</f>
      </c>
      <c r="Z365" s="51"/>
      <c r="AA365" s="51"/>
    </row>
    <row r="366" ht="22" customHeight="1">
      <c r="A366" s="49" t="str">
        <v>Share-based compensation - Operating Expenses</v>
      </c>
      <c r="B366" s="3"/>
      <c r="C366" s="51"/>
      <c r="D366" s="51"/>
      <c r="E366" s="51"/>
      <c r="F366" s="51"/>
      <c r="G366" s="51"/>
      <c r="H366" s="51"/>
      <c r="I366" s="51" t="n">
        <v>2465</v>
      </c>
      <c r="J366" s="51" t="n">
        <v>2524</v>
      </c>
      <c r="K366" s="51" t="n">
        <v>2535</v>
      </c>
      <c r="L366" s="51"/>
      <c r="M366" s="51"/>
      <c r="N366" s="51"/>
      <c r="O366" s="51"/>
      <c r="P366" s="51"/>
      <c r="Q366" s="52" t="str">
        <f>IF(COUNT(J366,N366,O366,P366)=4,J366-N366-O366-P366,"")</f>
      </c>
      <c r="R366" s="51"/>
      <c r="S366" s="51"/>
      <c r="T366" s="51"/>
      <c r="U366" s="52" t="str">
        <f>IF(COUNT(K366,R366,S366,T366)=4,K366-R366-S366-T366,"")</f>
      </c>
      <c r="V366" s="51"/>
      <c r="W366" s="51"/>
      <c r="X366" s="51"/>
      <c r="Y366" s="52" t="str">
        <f>IF(COUNT(L366,V366,W366,X366)=4,L366-V366-W366-X366,"")</f>
      </c>
      <c r="Z366" s="51"/>
      <c r="AA366" s="51"/>
    </row>
    <row r="367" ht="22" customHeight="1">
      <c r="A367" s="49" t="str">
        <v>Share-based compensation - Total</v>
      </c>
      <c r="B367" s="3"/>
      <c r="C367" s="51"/>
      <c r="D367" s="51"/>
      <c r="E367" s="51"/>
      <c r="F367" s="51"/>
      <c r="G367" s="51"/>
      <c r="H367" s="51"/>
      <c r="I367" s="51" t="n">
        <v>3128</v>
      </c>
      <c r="J367" s="51" t="n">
        <v>3229</v>
      </c>
      <c r="K367" s="51" t="n">
        <v>3410</v>
      </c>
      <c r="L367" s="51"/>
      <c r="M367" s="51"/>
      <c r="N367" s="51"/>
      <c r="O367" s="51"/>
      <c r="P367" s="51"/>
      <c r="Q367" s="52" t="str">
        <f>IF(COUNT(J367,N367,O367,P367)=4,J367-N367-O367-P367,"")</f>
      </c>
      <c r="R367" s="51"/>
      <c r="S367" s="51"/>
      <c r="T367" s="51"/>
      <c r="U367" s="52" t="str">
        <f>IF(COUNT(K367,R367,S367,T367)=4,K367-R367-S367-T367,"")</f>
      </c>
      <c r="V367" s="51"/>
      <c r="W367" s="51"/>
      <c r="X367" s="51"/>
      <c r="Y367" s="52" t="str">
        <f>IF(COUNT(L367,V367,W367,X367)=4,L367-V367-W367-X367,"")</f>
      </c>
      <c r="Z367" s="51"/>
      <c r="AA367" s="51"/>
    </row>
    <row r="368" ht="22" customHeight="1">
      <c r="A368" s="49" t="str">
        <v>Restructuring and other charges - Cost of Sales</v>
      </c>
      <c r="B368" s="3"/>
      <c r="C368" s="51"/>
      <c r="D368" s="51"/>
      <c r="E368" s="51"/>
      <c r="F368" s="51"/>
      <c r="G368" s="51"/>
      <c r="H368" s="51"/>
      <c r="I368" s="51" t="n">
        <v>0</v>
      </c>
      <c r="J368" s="51" t="n">
        <v>0</v>
      </c>
      <c r="K368" s="51" t="n">
        <v>0</v>
      </c>
      <c r="L368" s="51"/>
      <c r="M368" s="51"/>
      <c r="N368" s="51"/>
      <c r="O368" s="51"/>
      <c r="P368" s="51"/>
      <c r="Q368" s="52" t="str">
        <f>IF(COUNT(J368,N368,O368,P368)=4,J368-N368-O368-P368,"")</f>
      </c>
      <c r="R368" s="51"/>
      <c r="S368" s="51"/>
      <c r="T368" s="51"/>
      <c r="U368" s="52" t="str">
        <f>IF(COUNT(K368,R368,S368,T368)=4,K368-R368-S368-T368,"")</f>
      </c>
      <c r="V368" s="51"/>
      <c r="W368" s="51"/>
      <c r="X368" s="51"/>
      <c r="Y368" s="52" t="str">
        <f>IF(COUNT(L368,V368,W368,X368)=4,L368-V368-W368-X368,"")</f>
      </c>
      <c r="Z368" s="51"/>
      <c r="AA368" s="51"/>
    </row>
    <row r="369" ht="22" customHeight="1">
      <c r="A369" s="49" t="str">
        <v>Restructuring and other charges - Operating Expenses</v>
      </c>
      <c r="B369" s="3"/>
      <c r="C369" s="51"/>
      <c r="D369" s="51"/>
      <c r="E369" s="51"/>
      <c r="F369" s="51"/>
      <c r="G369" s="51"/>
      <c r="H369" s="51"/>
      <c r="I369" s="51" t="n">
        <v>2</v>
      </c>
      <c r="J369" s="51" t="n">
        <v>-62</v>
      </c>
      <c r="K369" s="51" t="n">
        <v>6970</v>
      </c>
      <c r="L369" s="51"/>
      <c r="M369" s="51"/>
      <c r="N369" s="51"/>
      <c r="O369" s="51"/>
      <c r="P369" s="51"/>
      <c r="Q369" s="52" t="str">
        <f>IF(COUNT(J369,N369,O369,P369)=4,J369-N369-O369-P369,"")</f>
      </c>
      <c r="R369" s="51"/>
      <c r="S369" s="51"/>
      <c r="T369" s="51"/>
      <c r="U369" s="52" t="str">
        <f>IF(COUNT(K369,R369,S369,T369)=4,K369-R369-S369-T369,"")</f>
      </c>
      <c r="V369" s="51"/>
      <c r="W369" s="51"/>
      <c r="X369" s="51"/>
      <c r="Y369" s="52" t="str">
        <f>IF(COUNT(L369,V369,W369,X369)=4,L369-V369-W369-X369,"")</f>
      </c>
      <c r="Z369" s="51"/>
      <c r="AA369" s="51"/>
    </row>
    <row r="370" ht="22" customHeight="1">
      <c r="A370" s="49" t="str">
        <v>Restructuring and other charges - Total</v>
      </c>
      <c r="B370" s="3"/>
      <c r="C370" s="51"/>
      <c r="D370" s="51"/>
      <c r="E370" s="51"/>
      <c r="F370" s="51"/>
      <c r="G370" s="51"/>
      <c r="H370" s="51"/>
      <c r="I370" s="51" t="n">
        <v>2</v>
      </c>
      <c r="J370" s="51" t="n">
        <v>-62</v>
      </c>
      <c r="K370" s="51" t="n">
        <v>6970</v>
      </c>
      <c r="L370" s="51"/>
      <c r="M370" s="51"/>
      <c r="N370" s="51"/>
      <c r="O370" s="51"/>
      <c r="P370" s="51"/>
      <c r="Q370" s="52" t="str">
        <f>IF(COUNT(J370,N370,O370,P370)=4,J370-N370-O370-P370,"")</f>
      </c>
      <c r="R370" s="51"/>
      <c r="S370" s="51"/>
      <c r="T370" s="51"/>
      <c r="U370" s="52" t="str">
        <f>IF(COUNT(K370,R370,S370,T370)=4,K370-R370-S370-T370,"")</f>
      </c>
      <c r="V370" s="51"/>
      <c r="W370" s="51"/>
      <c r="X370" s="51"/>
      <c r="Y370" s="52" t="str">
        <f>IF(COUNT(L370,V370,W370,X370)=4,L370-V370-W370-X370,"")</f>
      </c>
      <c r="Z370" s="51"/>
      <c r="AA370" s="51"/>
    </row>
    <row r="371" ht="22" customHeight="1">
      <c r="A371" s="49" t="str">
        <v>Other - Cost of Sales</v>
      </c>
      <c r="B371" s="3"/>
      <c r="C371" s="51"/>
      <c r="D371" s="51"/>
      <c r="E371" s="51"/>
      <c r="F371" s="51"/>
      <c r="G371" s="51"/>
      <c r="H371" s="51"/>
      <c r="I371" s="51" t="n">
        <v>-56</v>
      </c>
      <c r="J371" s="51" t="n">
        <v>196</v>
      </c>
      <c r="K371" s="51" t="n">
        <v>165</v>
      </c>
      <c r="L371" s="51"/>
      <c r="M371" s="51"/>
      <c r="N371" s="51"/>
      <c r="O371" s="51"/>
      <c r="P371" s="51"/>
      <c r="Q371" s="52" t="str">
        <f>IF(COUNT(J371,N371,O371,P371)=4,J371-N371-O371-P371,"")</f>
      </c>
      <c r="R371" s="51"/>
      <c r="S371" s="51"/>
      <c r="T371" s="51"/>
      <c r="U371" s="52" t="str">
        <f>IF(COUNT(K371,R371,S371,T371)=4,K371-R371-S371-T371,"")</f>
      </c>
      <c r="V371" s="51"/>
      <c r="W371" s="51"/>
      <c r="X371" s="51"/>
      <c r="Y371" s="52" t="str">
        <f>IF(COUNT(L371,V371,W371,X371)=4,L371-V371-W371-X371,"")</f>
      </c>
      <c r="Z371" s="51"/>
      <c r="AA371" s="51"/>
    </row>
    <row r="372" ht="22" customHeight="1">
      <c r="A372" s="49" t="str">
        <v>Other - Operating Expenses</v>
      </c>
      <c r="B372" s="3"/>
      <c r="C372" s="51"/>
      <c r="D372" s="51"/>
      <c r="E372" s="51"/>
      <c r="F372" s="51"/>
      <c r="G372" s="51"/>
      <c r="H372" s="51"/>
      <c r="I372" s="51" t="n">
        <v>106</v>
      </c>
      <c r="J372" s="51" t="n">
        <v>395</v>
      </c>
      <c r="K372" s="51" t="n">
        <v>-371</v>
      </c>
      <c r="L372" s="51"/>
      <c r="M372" s="51"/>
      <c r="N372" s="51"/>
      <c r="O372" s="51"/>
      <c r="P372" s="51"/>
      <c r="Q372" s="52" t="str">
        <f>IF(COUNT(J372,N372,O372,P372)=4,J372-N372-O372-P372,"")</f>
      </c>
      <c r="R372" s="51"/>
      <c r="S372" s="51"/>
      <c r="T372" s="51"/>
      <c r="U372" s="52" t="str">
        <f>IF(COUNT(K372,R372,S372,T372)=4,K372-R372-S372-T372,"")</f>
      </c>
      <c r="V372" s="51"/>
      <c r="W372" s="51"/>
      <c r="X372" s="51"/>
      <c r="Y372" s="52" t="str">
        <f>IF(COUNT(L372,V372,W372,X372)=4,L372-V372-W372-X372,"")</f>
      </c>
      <c r="Z372" s="51"/>
      <c r="AA372" s="51"/>
    </row>
    <row r="373" ht="22" customHeight="1">
      <c r="A373" s="49" t="str">
        <v>Other - Total</v>
      </c>
      <c r="B373" s="3"/>
      <c r="C373" s="51"/>
      <c r="D373" s="51"/>
      <c r="E373" s="51"/>
      <c r="F373" s="51"/>
      <c r="G373" s="51"/>
      <c r="H373" s="51"/>
      <c r="I373" s="51" t="n">
        <v>50</v>
      </c>
      <c r="J373" s="51" t="n">
        <v>591</v>
      </c>
      <c r="K373" s="51" t="n">
        <v>-206</v>
      </c>
      <c r="L373" s="51"/>
      <c r="M373" s="51"/>
      <c r="N373" s="51"/>
      <c r="O373" s="51"/>
      <c r="P373" s="51"/>
      <c r="Q373" s="52" t="str">
        <f>IF(COUNT(J373,N373,O373,P373)=4,J373-N373-O373-P373,"")</f>
      </c>
      <c r="R373" s="51"/>
      <c r="S373" s="51"/>
      <c r="T373" s="51"/>
      <c r="U373" s="52" t="str">
        <f>IF(COUNT(K373,R373,S373,T373)=4,K373-R373-S373-T373,"")</f>
      </c>
      <c r="V373" s="51"/>
      <c r="W373" s="51"/>
      <c r="X373" s="51"/>
      <c r="Y373" s="52" t="str">
        <f>IF(COUNT(L373,V373,W373,X373)=4,L373-V373-W373-X373,"")</f>
      </c>
      <c r="Z373" s="51"/>
      <c r="AA373" s="51"/>
    </row>
    <row r="374" ht="24" customHeight="1">
      <c r="A374" s="34" t="str">
        <v>Total corporate unallocated expenses - Cost of Sales</v>
      </c>
      <c r="B374" s="35"/>
      <c r="C374" s="36"/>
      <c r="D374" s="36"/>
      <c r="E374" s="36"/>
      <c r="F374" s="36"/>
      <c r="G374" s="36"/>
      <c r="H374" s="36"/>
      <c r="I374" s="36" t="n">
        <v>2875</v>
      </c>
      <c r="J374" s="36" t="n">
        <v>2136</v>
      </c>
      <c r="K374" s="36" t="n">
        <v>1919</v>
      </c>
      <c r="L374" s="36"/>
      <c r="M374" s="36"/>
      <c r="N374" s="36"/>
      <c r="O374" s="36"/>
      <c r="P374" s="36"/>
      <c r="Q374" s="37" t="str">
        <f>IF(COUNT(J374,N374,O374,P374)=4,J374-N374-O374-P374,"")</f>
      </c>
      <c r="R374" s="36"/>
      <c r="S374" s="36"/>
      <c r="T374" s="36"/>
      <c r="U374" s="37" t="str">
        <f>IF(COUNT(K374,R374,S374,T374)=4,K374-R374-S374-T374,"")</f>
      </c>
      <c r="V374" s="36"/>
      <c r="W374" s="36"/>
      <c r="X374" s="36"/>
      <c r="Y374" s="37" t="str">
        <f>IF(COUNT(L374,V374,W374,X374)=4,L374-V374-W374-X374,"")</f>
      </c>
      <c r="Z374" s="36"/>
      <c r="AA374" s="36"/>
    </row>
    <row r="375" ht="24" customHeight="1">
      <c r="A375" s="34" t="str">
        <v>Total corporate unallocated expenses - Operating Expenses</v>
      </c>
      <c r="B375" s="35"/>
      <c r="C375" s="36"/>
      <c r="D375" s="36"/>
      <c r="E375" s="36"/>
      <c r="F375" s="36"/>
      <c r="G375" s="36"/>
      <c r="H375" s="36"/>
      <c r="I375" s="36" t="n">
        <v>2758</v>
      </c>
      <c r="J375" s="36" t="n">
        <v>3029</v>
      </c>
      <c r="K375" s="36" t="n">
        <v>9299</v>
      </c>
      <c r="L375" s="36"/>
      <c r="M375" s="36"/>
      <c r="N375" s="36"/>
      <c r="O375" s="36"/>
      <c r="P375" s="36"/>
      <c r="Q375" s="37" t="str">
        <f>IF(COUNT(J375,N375,O375,P375)=4,J375-N375-O375-P375,"")</f>
      </c>
      <c r="R375" s="36"/>
      <c r="S375" s="36"/>
      <c r="T375" s="36"/>
      <c r="U375" s="37" t="str">
        <f>IF(COUNT(K375,R375,S375,T375)=4,K375-R375-S375-T375,"")</f>
      </c>
      <c r="V375" s="36"/>
      <c r="W375" s="36"/>
      <c r="X375" s="36"/>
      <c r="Y375" s="37" t="str">
        <f>IF(COUNT(L375,V375,W375,X375)=4,L375-V375-W375-X375,"")</f>
      </c>
      <c r="Z375" s="36"/>
      <c r="AA375" s="36"/>
    </row>
    <row r="376" ht="24" customHeight="1">
      <c r="A376" s="34" t="str">
        <v>Total corporate unallocated expenses</v>
      </c>
      <c r="B376" s="35"/>
      <c r="C376" s="36"/>
      <c r="D376" s="36"/>
      <c r="E376" s="36"/>
      <c r="F376" s="36"/>
      <c r="G376" s="36"/>
      <c r="H376" s="36"/>
      <c r="I376" s="36" t="n">
        <v>5633</v>
      </c>
      <c r="J376" s="36" t="n">
        <v>5165</v>
      </c>
      <c r="K376" s="36" t="n">
        <v>11218</v>
      </c>
      <c r="L376" s="36"/>
      <c r="M376" s="36"/>
      <c r="N376" s="36"/>
      <c r="O376" s="36"/>
      <c r="P376" s="36"/>
      <c r="Q376" s="37" t="str">
        <f>IF(COUNT(J376,N376,O376,P376)=4,J376-N376-O376-P376,"")</f>
      </c>
      <c r="R376" s="36"/>
      <c r="S376" s="36"/>
      <c r="T376" s="36"/>
      <c r="U376" s="37" t="str">
        <f>IF(COUNT(K376,R376,S376,T376)=4,K376-R376-S376-T376,"")</f>
      </c>
      <c r="V376" s="36"/>
      <c r="W376" s="36"/>
      <c r="X376" s="36"/>
      <c r="Y376" s="37" t="str">
        <f>IF(COUNT(L376,V376,W376,X376)=4,L376-V376-W376-X376,"")</f>
      </c>
      <c r="Z376" s="36"/>
      <c r="AA376" s="36"/>
    </row>
    <row r="377" ht="22" customHeight="1">
      <c r="A377" s="49" t="str">
        <v>Patent settlement - Cost of Sales</v>
      </c>
      <c r="B377" s="3"/>
      <c r="C377" s="51"/>
      <c r="D377" s="51"/>
      <c r="E377" s="51"/>
      <c r="F377" s="51"/>
      <c r="G377" s="51"/>
      <c r="H377" s="51"/>
      <c r="I377" s="51" t="n">
        <v>204</v>
      </c>
      <c r="J377" s="51"/>
      <c r="K377" s="51"/>
      <c r="L377" s="51"/>
      <c r="M377" s="51"/>
      <c r="N377" s="51"/>
      <c r="O377" s="51"/>
      <c r="P377" s="51"/>
      <c r="Q377" s="52" t="str">
        <f>IF(COUNT(J377,N377,O377,P377)=4,J377-N377-O377-P377,"")</f>
      </c>
      <c r="R377" s="51"/>
      <c r="S377" s="51"/>
      <c r="T377" s="51"/>
      <c r="U377" s="52" t="str">
        <f>IF(COUNT(K377,R377,S377,T377)=4,K377-R377-S377-T377,"")</f>
      </c>
      <c r="V377" s="51"/>
      <c r="W377" s="51"/>
      <c r="X377" s="51"/>
      <c r="Y377" s="52" t="str">
        <f>IF(COUNT(L377,V377,W377,X377)=4,L377-V377-W377-X377,"")</f>
      </c>
      <c r="Z377" s="51"/>
      <c r="AA377" s="51"/>
    </row>
    <row r="378" ht="22" customHeight="1">
      <c r="A378" s="49" t="str">
        <v>Patent settlement - Operating Expenses</v>
      </c>
      <c r="B378" s="3"/>
      <c r="C378" s="51"/>
      <c r="D378" s="51"/>
      <c r="E378" s="51"/>
      <c r="F378" s="51"/>
      <c r="G378" s="51"/>
      <c r="H378" s="51"/>
      <c r="I378" s="51" t="n">
        <v>0</v>
      </c>
      <c r="J378" s="51"/>
      <c r="K378" s="51"/>
      <c r="L378" s="51"/>
      <c r="M378" s="51"/>
      <c r="N378" s="51"/>
      <c r="O378" s="51"/>
      <c r="P378" s="51"/>
      <c r="Q378" s="52" t="str">
        <f>IF(COUNT(J378,N378,O378,P378)=4,J378-N378-O378-P378,"")</f>
      </c>
      <c r="R378" s="51"/>
      <c r="S378" s="51"/>
      <c r="T378" s="51"/>
      <c r="U378" s="52" t="str">
        <f>IF(COUNT(K378,R378,S378,T378)=4,K378-R378-S378-T378,"")</f>
      </c>
      <c r="V378" s="51"/>
      <c r="W378" s="51"/>
      <c r="X378" s="51"/>
      <c r="Y378" s="52" t="str">
        <f>IF(COUNT(L378,V378,W378,X378)=4,L378-V378-W378-X378,"")</f>
      </c>
      <c r="Z378" s="51"/>
      <c r="AA378" s="51"/>
    </row>
    <row r="379" ht="22" customHeight="1">
      <c r="A379" s="49" t="str">
        <v>Patent settlement - Total</v>
      </c>
      <c r="B379" s="3"/>
      <c r="C379" s="51"/>
      <c r="D379" s="51"/>
      <c r="E379" s="51"/>
      <c r="F379" s="51"/>
      <c r="G379" s="51"/>
      <c r="H379" s="51"/>
      <c r="I379" s="51" t="n">
        <v>204</v>
      </c>
      <c r="J379" s="51"/>
      <c r="K379" s="51"/>
      <c r="L379" s="51"/>
      <c r="M379" s="51"/>
      <c r="N379" s="51"/>
      <c r="O379" s="51"/>
      <c r="P379" s="51"/>
      <c r="Q379" s="52" t="str">
        <f>IF(COUNT(J379,N379,O379,P379)=4,J379-N379-O379-P379,"")</f>
      </c>
      <c r="R379" s="51"/>
      <c r="S379" s="51"/>
      <c r="T379" s="51"/>
      <c r="U379" s="52" t="str">
        <f>IF(COUNT(K379,R379,S379,T379)=4,K379-R379-S379-T379,"")</f>
      </c>
      <c r="V379" s="51"/>
      <c r="W379" s="51"/>
      <c r="X379" s="51"/>
      <c r="Y379" s="52" t="str">
        <f>IF(COUNT(L379,V379,W379,X379)=4,L379-V379-W379-X379,"")</f>
      </c>
      <c r="Z379" s="51"/>
      <c r="AA379" s="51"/>
    </row>
    <row r="380" ht="22" customHeight="1">
      <c r="A380" s="49" t="str">
        <v>Optane inventory impairment - Cost of Sales</v>
      </c>
      <c r="B380" s="3"/>
      <c r="C380" s="51"/>
      <c r="D380" s="51"/>
      <c r="E380" s="51"/>
      <c r="F380" s="51"/>
      <c r="G380" s="51"/>
      <c r="H380" s="51"/>
      <c r="I380" s="51" t="n">
        <v>723</v>
      </c>
      <c r="J380" s="51"/>
      <c r="K380" s="51"/>
      <c r="L380" s="51"/>
      <c r="M380" s="51"/>
      <c r="N380" s="51"/>
      <c r="O380" s="51"/>
      <c r="P380" s="51"/>
      <c r="Q380" s="52" t="str">
        <f>IF(COUNT(J380,N380,O380,P380)=4,J380-N380-O380-P380,"")</f>
      </c>
      <c r="R380" s="51"/>
      <c r="S380" s="51"/>
      <c r="T380" s="51"/>
      <c r="U380" s="52" t="str">
        <f>IF(COUNT(K380,R380,S380,T380)=4,K380-R380-S380-T380,"")</f>
      </c>
      <c r="V380" s="51"/>
      <c r="W380" s="51"/>
      <c r="X380" s="51"/>
      <c r="Y380" s="52" t="str">
        <f>IF(COUNT(L380,V380,W380,X380)=4,L380-V380-W380-X380,"")</f>
      </c>
      <c r="Z380" s="51"/>
      <c r="AA380" s="51"/>
    </row>
    <row r="381" ht="22" customHeight="1">
      <c r="A381" s="49" t="str">
        <v>Optane inventory impairment - Operating Expenses</v>
      </c>
      <c r="B381" s="3"/>
      <c r="C381" s="51"/>
      <c r="D381" s="51"/>
      <c r="E381" s="51"/>
      <c r="F381" s="51"/>
      <c r="G381" s="51"/>
      <c r="H381" s="51"/>
      <c r="I381" s="51" t="n">
        <v>0</v>
      </c>
      <c r="J381" s="51"/>
      <c r="K381" s="51"/>
      <c r="L381" s="51"/>
      <c r="M381" s="51"/>
      <c r="N381" s="51"/>
      <c r="O381" s="51"/>
      <c r="P381" s="51"/>
      <c r="Q381" s="52" t="str">
        <f>IF(COUNT(J381,N381,O381,P381)=4,J381-N381-O381-P381,"")</f>
      </c>
      <c r="R381" s="51"/>
      <c r="S381" s="51"/>
      <c r="T381" s="51"/>
      <c r="U381" s="52" t="str">
        <f>IF(COUNT(K381,R381,S381,T381)=4,K381-R381-S381-T381,"")</f>
      </c>
      <c r="V381" s="51"/>
      <c r="W381" s="51"/>
      <c r="X381" s="51"/>
      <c r="Y381" s="52" t="str">
        <f>IF(COUNT(L381,V381,W381,X381)=4,L381-V381-W381-X381,"")</f>
      </c>
      <c r="Z381" s="51"/>
      <c r="AA381" s="51"/>
    </row>
    <row r="382" ht="22" customHeight="1">
      <c r="A382" s="49" t="str">
        <v>Optane inventory impairment - Total</v>
      </c>
      <c r="B382" s="3"/>
      <c r="C382" s="51"/>
      <c r="D382" s="51"/>
      <c r="E382" s="51"/>
      <c r="F382" s="51"/>
      <c r="G382" s="51"/>
      <c r="H382" s="51"/>
      <c r="I382" s="51" t="n">
        <v>723</v>
      </c>
      <c r="J382" s="51"/>
      <c r="K382" s="51"/>
      <c r="L382" s="51"/>
      <c r="M382" s="51"/>
      <c r="N382" s="51"/>
      <c r="O382" s="51"/>
      <c r="P382" s="51"/>
      <c r="Q382" s="52" t="str">
        <f>IF(COUNT(J382,N382,O382,P382)=4,J382-N382-O382-P382,"")</f>
      </c>
      <c r="R382" s="51"/>
      <c r="S382" s="51"/>
      <c r="T382" s="51"/>
      <c r="U382" s="52" t="str">
        <f>IF(COUNT(K382,R382,S382,T382)=4,K382-R382-S382-T382,"")</f>
      </c>
      <c r="V382" s="51"/>
      <c r="W382" s="51"/>
      <c r="X382" s="51"/>
      <c r="Y382" s="52" t="str">
        <f>IF(COUNT(L382,V382,W382,X382)=4,L382-V382-W382-X382,"")</f>
      </c>
      <c r="Z382" s="51"/>
      <c r="AA382" s="51"/>
    </row>
    <row r="383" ht="22" customHeight="1">
      <c r="A383" s="49" t="str">
        <v>Acquisition-related costs</v>
      </c>
      <c r="B383" s="3"/>
      <c r="C383" s="51"/>
      <c r="D383" s="51"/>
      <c r="E383" s="51"/>
      <c r="F383" s="51"/>
      <c r="G383" s="51"/>
      <c r="H383" s="51"/>
      <c r="I383" s="51"/>
      <c r="J383" s="51"/>
      <c r="K383" s="51"/>
      <c r="L383" s="51"/>
      <c r="M383" s="51"/>
      <c r="N383" s="51"/>
      <c r="O383" s="51"/>
      <c r="P383" s="51" t="n">
        <v>-344</v>
      </c>
      <c r="Q383" s="52" t="str">
        <f>IF(COUNT(J383,N383,O383,P383)=4,J383-N383-O383-P383,"")</f>
      </c>
      <c r="R383" s="51"/>
      <c r="S383" s="51"/>
      <c r="T383" s="51" t="n">
        <v>-266</v>
      </c>
      <c r="U383" s="52" t="str">
        <f>IF(COUNT(K383,R383,S383,T383)=4,K383-R383-S383-T383,"")</f>
      </c>
      <c r="V383" s="51"/>
      <c r="W383" s="51"/>
      <c r="X383" s="51"/>
      <c r="Y383" s="52" t="str">
        <f>IF(COUNT(L383,V383,W383,X383)=4,L383-V383-W383-X383,"")</f>
      </c>
      <c r="Z383" s="51"/>
      <c r="AA383" s="51"/>
    </row>
    <row r="384" ht="22" customHeight="1">
      <c r="A384" s="49" t="str">
        <v>Acquisition-related adjustments</v>
      </c>
      <c r="B384" s="3"/>
      <c r="C384" s="51"/>
      <c r="D384" s="51"/>
      <c r="E384" s="51"/>
      <c r="F384" s="51"/>
      <c r="G384" s="51"/>
      <c r="H384" s="51"/>
      <c r="I384" s="51"/>
      <c r="J384" s="51"/>
      <c r="K384" s="51"/>
      <c r="L384" s="51"/>
      <c r="M384" s="51"/>
      <c r="N384" s="51" t="n">
        <v>-371</v>
      </c>
      <c r="O384" s="51" t="n">
        <v>-350</v>
      </c>
      <c r="P384" s="51"/>
      <c r="Q384" s="52" t="str">
        <f>IF(COUNT(J384,N384,O384,P384)=4,J384-N384-O384-P384,"")</f>
      </c>
      <c r="R384" s="51" t="n">
        <v>-265</v>
      </c>
      <c r="S384" s="51" t="n">
        <v>-265</v>
      </c>
      <c r="T384" s="51"/>
      <c r="U384" s="52" t="str">
        <f>IF(COUNT(K384,R384,S384,T384)=4,K384-R384-S384-T384,"")</f>
      </c>
      <c r="V384" s="51"/>
      <c r="W384" s="51"/>
      <c r="X384" s="51"/>
      <c r="Y384" s="52" t="str">
        <f>IF(COUNT(L384,V384,W384,X384)=4,L384-V384-W384-X384,"")</f>
      </c>
      <c r="Z384" s="51"/>
      <c r="AA384" s="51"/>
    </row>
    <row r="385" ht="22" customHeight="1">
      <c r="A385" s="49" t="str">
        <v>Share-based compensation</v>
      </c>
      <c r="B385" s="3"/>
      <c r="C385" s="51"/>
      <c r="D385" s="51"/>
      <c r="E385" s="51"/>
      <c r="F385" s="51"/>
      <c r="G385" s="51"/>
      <c r="H385" s="51"/>
      <c r="I385" s="51"/>
      <c r="J385" s="51"/>
      <c r="K385" s="51"/>
      <c r="L385" s="51"/>
      <c r="M385" s="51"/>
      <c r="N385" s="51" t="n">
        <v>-739</v>
      </c>
      <c r="O385" s="51" t="n">
        <v>-922</v>
      </c>
      <c r="P385" s="51" t="n">
        <v>-772</v>
      </c>
      <c r="Q385" s="52" t="str">
        <f>IF(COUNT(J385,N385,O385,P385)=4,J385-N385-O385-P385,"")</f>
      </c>
      <c r="R385" s="51" t="n">
        <v>-1179</v>
      </c>
      <c r="S385" s="51" t="n">
        <v>-780</v>
      </c>
      <c r="T385" s="51" t="n">
        <v>-800</v>
      </c>
      <c r="U385" s="52" t="str">
        <f>IF(COUNT(K385,R385,S385,T385)=4,K385-R385-S385-T385,"")</f>
      </c>
      <c r="V385" s="51"/>
      <c r="W385" s="51"/>
      <c r="X385" s="51"/>
      <c r="Y385" s="52" t="str">
        <f>IF(COUNT(L385,V385,W385,X385)=4,L385-V385-W385-X385,"")</f>
      </c>
      <c r="Z385" s="51"/>
      <c r="AA385" s="51"/>
    </row>
    <row r="386" ht="22" customHeight="1">
      <c r="A386" s="49" t="str">
        <v>Restructuring and other charges</v>
      </c>
      <c r="B386" s="3"/>
      <c r="C386" s="51"/>
      <c r="D386" s="51"/>
      <c r="E386" s="51"/>
      <c r="F386" s="51"/>
      <c r="G386" s="51"/>
      <c r="H386" s="51"/>
      <c r="I386" s="51"/>
      <c r="J386" s="51"/>
      <c r="K386" s="51"/>
      <c r="L386" s="51"/>
      <c r="M386" s="51"/>
      <c r="N386" s="51" t="n">
        <v>-64</v>
      </c>
      <c r="O386" s="51" t="n">
        <v>-200</v>
      </c>
      <c r="P386" s="51" t="n">
        <v>-816</v>
      </c>
      <c r="Q386" s="52" t="str">
        <f>IF(COUNT(J386,N386,O386,P386)=4,J386-N386-O386-P386,"")</f>
      </c>
      <c r="R386" s="51" t="n">
        <v>-348</v>
      </c>
      <c r="S386" s="51" t="n">
        <v>-943</v>
      </c>
      <c r="T386" s="51" t="n">
        <v>-5622</v>
      </c>
      <c r="U386" s="52" t="str">
        <f>IF(COUNT(K386,R386,S386,T386)=4,K386-R386-S386-T386,"")</f>
      </c>
      <c r="V386" s="51"/>
      <c r="W386" s="51"/>
      <c r="X386" s="51"/>
      <c r="Y386" s="52" t="str">
        <f>IF(COUNT(L386,V386,W386,X386)=4,L386-V386-W386-X386,"")</f>
      </c>
      <c r="Z386" s="51"/>
      <c r="AA386" s="51"/>
    </row>
    <row r="387" ht="22" customHeight="1">
      <c r="A387" s="49" t="str">
        <v>CORP UNALLOCATED: Other</v>
      </c>
      <c r="B387" s="3"/>
      <c r="C387" s="51"/>
      <c r="D387" s="51"/>
      <c r="E387" s="51"/>
      <c r="F387" s="51"/>
      <c r="G387" s="51"/>
      <c r="H387" s="51"/>
      <c r="I387" s="51"/>
      <c r="J387" s="51"/>
      <c r="K387" s="51"/>
      <c r="L387" s="51"/>
      <c r="M387" s="51"/>
      <c r="N387" s="51" t="n">
        <v>130</v>
      </c>
      <c r="O387" s="51" t="n">
        <v>-136</v>
      </c>
      <c r="P387" s="51" t="n">
        <v>-180</v>
      </c>
      <c r="Q387" s="52" t="str">
        <f>IF(COUNT(J387,N387,O387,P387)=4,J387-N387-O387-P387,"")</f>
      </c>
      <c r="R387" s="51" t="n">
        <v>-396</v>
      </c>
      <c r="S387" s="51" t="n">
        <v>268</v>
      </c>
      <c r="T387" s="51" t="n">
        <v>172</v>
      </c>
      <c r="U387" s="52" t="str">
        <f>IF(COUNT(K387,R387,S387,T387)=4,K387-R387-S387-T387,"")</f>
      </c>
      <c r="V387" s="51"/>
      <c r="W387" s="51"/>
      <c r="X387" s="51"/>
      <c r="Y387" s="52" t="str">
        <f>IF(COUNT(L387,V387,W387,X387)=4,L387-V387-W387-X387,"")</f>
      </c>
      <c r="Z387" s="51"/>
      <c r="AA387" s="51"/>
    </row>
    <row r="388" ht="24" customHeight="1">
      <c r="A388" s="34" t="str">
        <v>Total corporate unallocated expenses</v>
      </c>
      <c r="B388" s="35"/>
      <c r="C388" s="36"/>
      <c r="D388" s="36"/>
      <c r="E388" s="36"/>
      <c r="F388" s="36"/>
      <c r="G388" s="36"/>
      <c r="H388" s="36"/>
      <c r="I388" s="36"/>
      <c r="J388" s="36"/>
      <c r="K388" s="36"/>
      <c r="L388" s="36"/>
      <c r="M388" s="36"/>
      <c r="N388" s="36" t="n">
        <v>-1044</v>
      </c>
      <c r="O388" s="36" t="n">
        <v>-1608</v>
      </c>
      <c r="P388" s="36" t="n">
        <v>-2112</v>
      </c>
      <c r="Q388" s="37" t="str">
        <f>IF(COUNT(J388,N388,O388,P388)=4,J388-N388-O388-P388,"")</f>
      </c>
      <c r="R388" s="36" t="n">
        <v>-2188</v>
      </c>
      <c r="S388" s="36" t="n">
        <v>-1720</v>
      </c>
      <c r="T388" s="36" t="n">
        <v>-6516</v>
      </c>
      <c r="U388" s="37" t="str">
        <f>IF(COUNT(K388,R388,S388,T388)=4,K388-R388-S388-T388,"")</f>
      </c>
      <c r="V388" s="36"/>
      <c r="W388" s="36"/>
      <c r="X388" s="36"/>
      <c r="Y388" s="37" t="str">
        <f>IF(COUNT(L388,V388,W388,X388)=4,L388-V388-W388-X388,"")</f>
      </c>
      <c r="Z388" s="36"/>
      <c r="AA388" s="36"/>
    </row>
    <row r="389" ht="8"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22" customHeight="1">
      <c r="A390" s="21" t="str">
        <v>Segment operating margin</v>
      </c>
      <c r="B390" s="21" t="str">
        <v>Segment operating margin</v>
      </c>
      <c r="C390" s="21" t="str">
        <v>Segment operating margin</v>
      </c>
      <c r="D390" s="21" t="str">
        <v>Segment operating margin</v>
      </c>
      <c r="E390" s="21" t="str">
        <v>Segment operating margin</v>
      </c>
      <c r="F390" s="21" t="str">
        <v>Segment operating margin</v>
      </c>
      <c r="G390" s="21" t="str">
        <v>Segment operating margin</v>
      </c>
      <c r="H390" s="21" t="str">
        <v>Segment operating margin</v>
      </c>
      <c r="I390" s="21" t="str">
        <v>Segment operating margin</v>
      </c>
      <c r="J390" s="21" t="str">
        <v>Segment operating margin</v>
      </c>
      <c r="K390" s="21" t="str">
        <v>Segment operating margin</v>
      </c>
      <c r="L390" s="21" t="str">
        <v>Segment operating margin</v>
      </c>
      <c r="M390" s="21" t="str">
        <v>Segment operating margin</v>
      </c>
      <c r="N390" s="21" t="str">
        <v>Segment operating margin</v>
      </c>
      <c r="O390" s="21" t="str">
        <v>Segment operating margin</v>
      </c>
      <c r="P390" s="21" t="str">
        <v>Segment operating margin</v>
      </c>
      <c r="Q390" s="21" t="str">
        <v>Segment operating margin</v>
      </c>
      <c r="R390" s="21" t="str">
        <v>Segment operating margin</v>
      </c>
      <c r="S390" s="21" t="str">
        <v>Segment operating margin</v>
      </c>
      <c r="T390" s="21" t="str">
        <v>Segment operating margin</v>
      </c>
      <c r="U390" s="21" t="str">
        <v>Segment operating margin</v>
      </c>
      <c r="V390" s="21" t="str">
        <v>Segment operating margin</v>
      </c>
      <c r="W390" s="21" t="str">
        <v>Segment operating margin</v>
      </c>
      <c r="X390" s="21" t="str">
        <v>Segment operating margin</v>
      </c>
      <c r="Y390" s="21" t="str">
        <v>Segment operating margin</v>
      </c>
      <c r="Z390" s="21" t="str">
        <v>Segment operating margin</v>
      </c>
      <c r="AA390" s="21" t="str">
        <v>Segment operating margin</v>
      </c>
    </row>
    <row r="391" ht="20" customHeight="1">
      <c r="A391" s="40" t="str">
        <v>Operating margin % - CCPG</v>
      </c>
      <c r="B391" s="3"/>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t="n">
        <v>0.26</v>
      </c>
    </row>
    <row r="392" ht="20" customHeight="1">
      <c r="A392" s="40" t="str">
        <v>Gross margin % - CCG</v>
      </c>
      <c r="B392" s="3"/>
      <c r="C392" s="44"/>
      <c r="D392" s="44"/>
      <c r="E392" s="44"/>
      <c r="F392" s="44"/>
      <c r="G392" s="44"/>
      <c r="H392" s="44"/>
      <c r="I392" s="44" t="n">
        <v>0.47</v>
      </c>
      <c r="J392" s="44" t="n">
        <v>0.5</v>
      </c>
      <c r="K392" s="44" t="n">
        <v>0.52</v>
      </c>
      <c r="L392" s="44"/>
      <c r="M392" s="44"/>
      <c r="N392" s="44"/>
      <c r="O392" s="44"/>
      <c r="P392" s="44"/>
      <c r="Q392" s="44"/>
      <c r="R392" s="44"/>
      <c r="S392" s="44"/>
      <c r="T392" s="44"/>
      <c r="U392" s="44"/>
      <c r="V392" s="44"/>
      <c r="W392" s="44"/>
      <c r="X392" s="44"/>
      <c r="Y392" s="44"/>
      <c r="Z392" s="44"/>
      <c r="AA392" s="44"/>
    </row>
    <row r="393" ht="20" customHeight="1">
      <c r="A393" s="40" t="str">
        <v>Gross margin % - DCAI</v>
      </c>
      <c r="B393" s="3"/>
      <c r="C393" s="44"/>
      <c r="D393" s="44"/>
      <c r="E393" s="44"/>
      <c r="F393" s="44"/>
      <c r="G393" s="44"/>
      <c r="H393" s="44"/>
      <c r="I393" s="44" t="n">
        <v>0.58</v>
      </c>
      <c r="J393" s="44" t="n">
        <v>0.49</v>
      </c>
      <c r="K393" s="44" t="n">
        <v>0.47</v>
      </c>
      <c r="L393" s="44"/>
      <c r="M393" s="44"/>
      <c r="N393" s="44"/>
      <c r="O393" s="44"/>
      <c r="P393" s="44"/>
      <c r="Q393" s="44"/>
      <c r="R393" s="44"/>
      <c r="S393" s="44"/>
      <c r="T393" s="44"/>
      <c r="U393" s="44"/>
      <c r="V393" s="44"/>
      <c r="W393" s="44"/>
      <c r="X393" s="44"/>
      <c r="Y393" s="44"/>
      <c r="Z393" s="44"/>
      <c r="AA393" s="44"/>
    </row>
    <row r="394" ht="20" customHeight="1">
      <c r="A394" s="40" t="str">
        <v>Gross margin % - NEX</v>
      </c>
      <c r="B394" s="3"/>
      <c r="C394" s="44"/>
      <c r="D394" s="44"/>
      <c r="E394" s="44"/>
      <c r="F394" s="44"/>
      <c r="G394" s="44"/>
      <c r="H394" s="44"/>
      <c r="I394" s="44" t="n">
        <v>0.54</v>
      </c>
      <c r="J394" s="44" t="n">
        <v>0.46</v>
      </c>
      <c r="K394" s="44" t="n">
        <v>0.58</v>
      </c>
      <c r="L394" s="44"/>
      <c r="M394" s="44"/>
      <c r="N394" s="44"/>
      <c r="O394" s="44"/>
      <c r="P394" s="44"/>
      <c r="Q394" s="44"/>
      <c r="R394" s="44"/>
      <c r="S394" s="44"/>
      <c r="T394" s="44"/>
      <c r="U394" s="44"/>
      <c r="V394" s="44"/>
      <c r="W394" s="44"/>
      <c r="X394" s="44"/>
      <c r="Y394" s="44"/>
      <c r="Z394" s="44"/>
      <c r="AA394" s="44"/>
    </row>
    <row r="395" ht="20" customHeight="1">
      <c r="A395" s="40" t="str">
        <v>Gross margin % - Total</v>
      </c>
      <c r="B395" s="3"/>
      <c r="C395" s="44"/>
      <c r="D395" s="44"/>
      <c r="E395" s="44"/>
      <c r="F395" s="44"/>
      <c r="G395" s="44"/>
      <c r="H395" s="44"/>
      <c r="I395" s="44" t="n">
        <v>0.51</v>
      </c>
      <c r="J395" s="44" t="n">
        <v>0.49</v>
      </c>
      <c r="K395" s="44" t="n">
        <v>0.51</v>
      </c>
      <c r="L395" s="44"/>
      <c r="M395" s="44"/>
      <c r="N395" s="44"/>
      <c r="O395" s="44"/>
      <c r="P395" s="44"/>
      <c r="Q395" s="44"/>
      <c r="R395" s="44"/>
      <c r="S395" s="44"/>
      <c r="T395" s="44"/>
      <c r="U395" s="44"/>
      <c r="V395" s="44"/>
      <c r="W395" s="44"/>
      <c r="X395" s="44"/>
      <c r="Y395" s="44"/>
      <c r="Z395" s="44"/>
      <c r="AA395" s="44"/>
    </row>
    <row r="396" ht="20" customHeight="1">
      <c r="A396" s="40" t="str">
        <v>Operating margin % - CCG</v>
      </c>
      <c r="B396" s="3"/>
      <c r="C396" s="44"/>
      <c r="D396" s="44"/>
      <c r="E396" s="44"/>
      <c r="F396" s="44"/>
      <c r="G396" s="44"/>
      <c r="H396" s="44"/>
      <c r="I396" s="44" t="n">
        <v>0.26</v>
      </c>
      <c r="J396" s="44" t="n">
        <v>0.33</v>
      </c>
      <c r="K396" s="44" t="n">
        <v>0.36</v>
      </c>
      <c r="L396" s="44" t="n">
        <v>0.29</v>
      </c>
      <c r="M396" s="44"/>
      <c r="N396" s="44"/>
      <c r="O396" s="44"/>
      <c r="P396" s="44"/>
      <c r="Q396" s="44"/>
      <c r="R396" s="44" t="n">
        <v>0.34</v>
      </c>
      <c r="S396" s="44" t="n">
        <v>0.32</v>
      </c>
      <c r="T396" s="44" t="n">
        <v>0.36</v>
      </c>
      <c r="U396" s="44"/>
      <c r="V396" s="44" t="n">
        <v>0.31</v>
      </c>
      <c r="W396" s="44" t="n">
        <v>0.26</v>
      </c>
      <c r="X396" s="44" t="n">
        <v>0.32</v>
      </c>
      <c r="Y396" s="44"/>
      <c r="Z396" s="44" t="n">
        <v>0.33</v>
      </c>
      <c r="AA396" s="44"/>
    </row>
    <row r="397" ht="20" customHeight="1">
      <c r="A397" s="40" t="str">
        <v>Operating margin % - DCAI</v>
      </c>
      <c r="B397" s="3"/>
      <c r="C397" s="44"/>
      <c r="D397" s="44"/>
      <c r="E397" s="44"/>
      <c r="F397" s="44"/>
      <c r="G397" s="44"/>
      <c r="H397" s="44"/>
      <c r="I397" s="44" t="n">
        <v>0.25</v>
      </c>
      <c r="J397" s="44" t="n">
        <v>0.13</v>
      </c>
      <c r="K397" s="44" t="n">
        <v>0.1</v>
      </c>
      <c r="L397" s="44" t="n">
        <v>0.2</v>
      </c>
      <c r="M397" s="44"/>
      <c r="N397" s="44"/>
      <c r="O397" s="44"/>
      <c r="P397" s="44"/>
      <c r="Q397" s="44"/>
      <c r="R397" s="44" t="n">
        <v>0.11</v>
      </c>
      <c r="S397" s="44" t="n">
        <v>0.06</v>
      </c>
      <c r="T397" s="44" t="n">
        <v>0.09</v>
      </c>
      <c r="U397" s="44"/>
      <c r="V397" s="44" t="n">
        <v>0.14</v>
      </c>
      <c r="W397" s="44" t="n">
        <v>0.16</v>
      </c>
      <c r="X397" s="44" t="n">
        <v>0.23</v>
      </c>
      <c r="Y397" s="44"/>
      <c r="Z397" s="44" t="n">
        <v>0.31</v>
      </c>
      <c r="AA397" s="44" t="n">
        <v>0.4</v>
      </c>
    </row>
    <row r="398" ht="20" customHeight="1">
      <c r="A398" s="40" t="str">
        <v>Operating margin % - NEX</v>
      </c>
      <c r="B398" s="3"/>
      <c r="C398" s="44"/>
      <c r="D398" s="44"/>
      <c r="E398" s="44"/>
      <c r="F398" s="44"/>
      <c r="G398" s="44"/>
      <c r="H398" s="44"/>
      <c r="I398" s="44" t="n">
        <v>0.18</v>
      </c>
      <c r="J398" s="44" t="n">
        <v>0.04</v>
      </c>
      <c r="K398" s="44" t="n">
        <v>0.16</v>
      </c>
      <c r="L398" s="44"/>
      <c r="M398" s="44"/>
      <c r="N398" s="44"/>
      <c r="O398" s="44"/>
      <c r="P398" s="44"/>
      <c r="Q398" s="44"/>
      <c r="R398" s="44"/>
      <c r="S398" s="44"/>
      <c r="T398" s="44"/>
      <c r="U398" s="44"/>
      <c r="V398" s="44"/>
      <c r="W398" s="44"/>
      <c r="X398" s="44"/>
      <c r="Y398" s="44"/>
      <c r="Z398" s="44"/>
      <c r="AA398" s="44"/>
    </row>
    <row r="399" ht="20" customHeight="1">
      <c r="A399" s="40" t="str">
        <v>Operating margin % - Total</v>
      </c>
      <c r="B399" s="3"/>
      <c r="C399" s="44"/>
      <c r="D399" s="44"/>
      <c r="E399" s="44"/>
      <c r="F399" s="44"/>
      <c r="G399" s="44"/>
      <c r="H399" s="44"/>
      <c r="I399" s="44" t="n">
        <v>0.24</v>
      </c>
      <c r="J399" s="44" t="n">
        <v>0.24</v>
      </c>
      <c r="K399" s="44" t="n">
        <v>0.27</v>
      </c>
      <c r="L399" s="44" t="n">
        <v>0.26</v>
      </c>
      <c r="M399" s="44"/>
      <c r="N399" s="44"/>
      <c r="O399" s="44"/>
      <c r="P399" s="44"/>
      <c r="Q399" s="44"/>
      <c r="R399" s="44" t="n">
        <v>0.27</v>
      </c>
      <c r="S399" s="44" t="n">
        <v>0.24</v>
      </c>
      <c r="T399" s="44" t="n">
        <v>0.27</v>
      </c>
      <c r="U399" s="44"/>
      <c r="V399" s="44" t="n">
        <v>0.25</v>
      </c>
      <c r="W399" s="44" t="n">
        <v>0.23</v>
      </c>
      <c r="X399" s="44" t="n">
        <v>0.29</v>
      </c>
      <c r="Y399" s="44"/>
      <c r="Z399" s="44" t="n">
        <v>0.32</v>
      </c>
      <c r="AA399" s="44" t="n">
        <v>0.32</v>
      </c>
    </row>
    <row r="400" ht="20" customHeight="1">
      <c r="A400" s="40" t="str">
        <v>Gross loss % - Intel Foundry</v>
      </c>
      <c r="B400" s="3"/>
      <c r="C400" s="44"/>
      <c r="D400" s="44"/>
      <c r="E400" s="44"/>
      <c r="F400" s="44"/>
      <c r="G400" s="44"/>
      <c r="H400" s="44"/>
      <c r="I400" s="44" t="n">
        <v>-0.02</v>
      </c>
      <c r="J400" s="44" t="n">
        <v>-0.14</v>
      </c>
      <c r="K400" s="44" t="n">
        <v>-0.46</v>
      </c>
      <c r="L400" s="44"/>
      <c r="M400" s="44"/>
      <c r="N400" s="44"/>
      <c r="O400" s="44"/>
      <c r="P400" s="44"/>
      <c r="Q400" s="44"/>
      <c r="R400" s="44"/>
      <c r="S400" s="44"/>
      <c r="T400" s="44"/>
      <c r="U400" s="44"/>
      <c r="V400" s="44"/>
      <c r="W400" s="44"/>
      <c r="X400" s="44"/>
      <c r="Y400" s="44"/>
      <c r="Z400" s="44"/>
      <c r="AA400" s="44"/>
    </row>
    <row r="401" ht="20" customHeight="1">
      <c r="A401" s="40" t="str">
        <v>Operating loss % - Intel Foundry</v>
      </c>
      <c r="B401" s="3"/>
      <c r="C401" s="44"/>
      <c r="D401" s="44"/>
      <c r="E401" s="44"/>
      <c r="F401" s="44"/>
      <c r="G401" s="44"/>
      <c r="H401" s="44"/>
      <c r="I401" s="44" t="n">
        <v>-0.19</v>
      </c>
      <c r="J401" s="44" t="n">
        <v>-0.37</v>
      </c>
      <c r="K401" s="44" t="n">
        <v>-0.76</v>
      </c>
      <c r="L401" s="44" t="n">
        <v>-0.58</v>
      </c>
      <c r="M401" s="44"/>
      <c r="N401" s="44"/>
      <c r="O401" s="44"/>
      <c r="P401" s="44"/>
      <c r="Q401" s="44"/>
      <c r="R401" s="44" t="n">
        <v>-0.56</v>
      </c>
      <c r="S401" s="44" t="n">
        <v>-0.65</v>
      </c>
      <c r="T401" s="44" t="n">
        <v>-1.34</v>
      </c>
      <c r="U401" s="44"/>
      <c r="V401" s="44" t="n">
        <v>-0.5</v>
      </c>
      <c r="W401" s="44" t="n">
        <v>-0.72</v>
      </c>
      <c r="X401" s="44" t="n">
        <v>-0.55</v>
      </c>
      <c r="Y401" s="44"/>
      <c r="Z401" s="44" t="n">
        <v>-0.45</v>
      </c>
      <c r="AA401" s="44" t="n">
        <v>-0.36</v>
      </c>
    </row>
    <row r="402" ht="20" customHeight="1">
      <c r="A402" s="40" t="str">
        <v>Gross margin % - All other</v>
      </c>
      <c r="B402" s="3"/>
      <c r="C402" s="44"/>
      <c r="D402" s="44"/>
      <c r="E402" s="44"/>
      <c r="F402" s="44"/>
      <c r="G402" s="44"/>
      <c r="H402" s="44"/>
      <c r="I402" s="44" t="n">
        <v>0.56</v>
      </c>
      <c r="J402" s="44" t="n">
        <v>0.56</v>
      </c>
      <c r="K402" s="44" t="n">
        <v>0.52</v>
      </c>
      <c r="L402" s="44"/>
      <c r="M402" s="44"/>
      <c r="N402" s="44"/>
      <c r="O402" s="44"/>
      <c r="P402" s="44"/>
      <c r="Q402" s="44"/>
      <c r="R402" s="44"/>
      <c r="S402" s="44"/>
      <c r="T402" s="44"/>
      <c r="U402" s="44"/>
      <c r="V402" s="44"/>
      <c r="W402" s="44"/>
      <c r="X402" s="44"/>
      <c r="Y402" s="44"/>
      <c r="Z402" s="44"/>
      <c r="AA402" s="44"/>
    </row>
    <row r="403" ht="20" customHeight="1">
      <c r="A403" s="40" t="str">
        <v>Operating margin (loss) % - All other</v>
      </c>
      <c r="B403" s="3"/>
      <c r="C403" s="44"/>
      <c r="D403" s="44"/>
      <c r="E403" s="44"/>
      <c r="F403" s="44"/>
      <c r="G403" s="44"/>
      <c r="H403" s="44"/>
      <c r="I403" s="44" t="n">
        <v>0.21</v>
      </c>
      <c r="J403" s="44" t="n">
        <v>0.19</v>
      </c>
      <c r="K403" s="44" t="n">
        <v>-0.02</v>
      </c>
      <c r="L403" s="44" t="n">
        <v>0.07</v>
      </c>
      <c r="M403" s="44"/>
      <c r="N403" s="44"/>
      <c r="O403" s="44"/>
      <c r="P403" s="44"/>
      <c r="Q403" s="44"/>
      <c r="R403" s="44" t="n">
        <v>-0.26</v>
      </c>
      <c r="S403" s="44" t="n">
        <v>-0.05</v>
      </c>
      <c r="T403" s="44" t="n">
        <v>0.01</v>
      </c>
      <c r="U403" s="44"/>
      <c r="V403" s="44" t="n">
        <v>0.11</v>
      </c>
      <c r="W403" s="44" t="n">
        <v>0.07</v>
      </c>
      <c r="X403" s="44" t="n">
        <v>0.1</v>
      </c>
      <c r="Y403" s="44"/>
      <c r="Z403" s="44"/>
      <c r="AA403" s="44"/>
    </row>
    <row r="404" ht="20" customHeight="1">
      <c r="A404" s="40" t="str">
        <v>Operating margin % - All other</v>
      </c>
      <c r="B404" s="3"/>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t="n">
        <v>0.16</v>
      </c>
      <c r="AA404" s="44" t="n">
        <v>0.33</v>
      </c>
    </row>
    <row r="405" ht="8"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22"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sheetData>
  <mergeCells>
    <mergeCell ref="A1:AA1"/>
    <mergeCell ref="A2:AA2"/>
    <mergeCell ref="A7:AA7"/>
    <mergeCell ref="A8:AA8"/>
    <mergeCell ref="A19:AA19"/>
    <mergeCell ref="A20:AA20"/>
    <mergeCell ref="A31:AA31"/>
    <mergeCell ref="A32:AA32"/>
    <mergeCell ref="A43:AA43"/>
    <mergeCell ref="A44:AA44"/>
    <mergeCell ref="A55:AA55"/>
    <mergeCell ref="A56:AA56"/>
    <mergeCell ref="A67:AA67"/>
    <mergeCell ref="A68:AA68"/>
    <mergeCell ref="A90:AA90"/>
    <mergeCell ref="A91:AA91"/>
    <mergeCell ref="A98:AA98"/>
    <mergeCell ref="A99:AA99"/>
    <mergeCell ref="A116:AA116"/>
    <mergeCell ref="A117:AA117"/>
    <mergeCell ref="A128:AA128"/>
    <mergeCell ref="A129:AA129"/>
    <mergeCell ref="A145:AA145"/>
    <mergeCell ref="A146:AA146"/>
    <mergeCell ref="A156:AA156"/>
    <mergeCell ref="A157:AA157"/>
    <mergeCell ref="A173:AA173"/>
    <mergeCell ref="A174:AA174"/>
    <mergeCell ref="A186:AA186"/>
    <mergeCell ref="A187:AA187"/>
    <mergeCell ref="A203:AA203"/>
    <mergeCell ref="A204:AA204"/>
    <mergeCell ref="A216:AA216"/>
    <mergeCell ref="A217:AA217"/>
    <mergeCell ref="A233:AA233"/>
    <mergeCell ref="A234:AA234"/>
    <mergeCell ref="A245:AA245"/>
    <mergeCell ref="A246:AA246"/>
    <mergeCell ref="A259:AA259"/>
    <mergeCell ref="A260:AA260"/>
    <mergeCell ref="A270:AA270"/>
    <mergeCell ref="A271:AA271"/>
    <mergeCell ref="A297:AA297"/>
    <mergeCell ref="A298:AA298"/>
    <mergeCell ref="A322:AA322"/>
    <mergeCell ref="A323:AA323"/>
    <mergeCell ref="A335:AA335"/>
    <mergeCell ref="A336:AA336"/>
    <mergeCell ref="A347:AA347"/>
    <mergeCell ref="A348:AA348"/>
    <mergeCell ref="A360:AA360"/>
    <mergeCell ref="A361:AA361"/>
    <mergeCell ref="A390:AA390"/>
  </mergeCells>
  <conditionalFormatting sqref="C17:AA17">
    <cfRule type="cellIs" dxfId="20" priority="1" operator="notBetween">
      <formula>-0.01</formula>
      <formula>0.01</formula>
    </cfRule>
  </conditionalFormatting>
  <conditionalFormatting sqref="C29:AA29">
    <cfRule type="cellIs" dxfId="21" priority="2" operator="notBetween">
      <formula>-0.01</formula>
      <formula>0.01</formula>
    </cfRule>
  </conditionalFormatting>
  <conditionalFormatting sqref="C41:AA41">
    <cfRule type="cellIs" dxfId="22" priority="3" operator="notBetween">
      <formula>-0.01</formula>
      <formula>0.01</formula>
    </cfRule>
  </conditionalFormatting>
  <conditionalFormatting sqref="C53:AA53">
    <cfRule type="cellIs" dxfId="23" priority="4" operator="notBetween">
      <formula>-0.01</formula>
      <formula>0.01</formula>
    </cfRule>
  </conditionalFormatting>
  <conditionalFormatting sqref="C65:AA65">
    <cfRule type="cellIs" dxfId="24" priority="5" operator="notBetween">
      <formula>-0.01</formula>
      <formula>0.01</formula>
    </cfRule>
  </conditionalFormatting>
  <conditionalFormatting sqref="C114:AA114">
    <cfRule type="cellIs" dxfId="25" priority="6" operator="notBetween">
      <formula>-0.01</formula>
      <formula>0.01</formula>
    </cfRule>
  </conditionalFormatting>
  <conditionalFormatting sqref="C126:AA126">
    <cfRule type="cellIs" dxfId="26" priority="7" operator="notBetween">
      <formula>-0.01</formula>
      <formula>0.01</formula>
    </cfRule>
  </conditionalFormatting>
  <conditionalFormatting sqref="C143:AA143">
    <cfRule type="cellIs" dxfId="27" priority="8" operator="notBetween">
      <formula>-0.01</formula>
      <formula>0.01</formula>
    </cfRule>
  </conditionalFormatting>
  <conditionalFormatting sqref="C154:AA154">
    <cfRule type="cellIs" dxfId="28" priority="9" operator="notBetween">
      <formula>-0.01</formula>
      <formula>0.01</formula>
    </cfRule>
  </conditionalFormatting>
  <conditionalFormatting sqref="C171:AA171">
    <cfRule type="cellIs" dxfId="29" priority="10" operator="notBetween">
      <formula>-0.01</formula>
      <formula>0.01</formula>
    </cfRule>
  </conditionalFormatting>
  <conditionalFormatting sqref="C184:AA184">
    <cfRule type="cellIs" dxfId="30" priority="11" operator="notBetween">
      <formula>-0.01</formula>
      <formula>0.01</formula>
    </cfRule>
  </conditionalFormatting>
  <conditionalFormatting sqref="C201:AA201">
    <cfRule type="cellIs" dxfId="31" priority="12" operator="notBetween">
      <formula>-0.01</formula>
      <formula>0.01</formula>
    </cfRule>
  </conditionalFormatting>
  <conditionalFormatting sqref="C214:AA214">
    <cfRule type="cellIs" dxfId="32" priority="13" operator="notBetween">
      <formula>-0.01</formula>
      <formula>0.01</formula>
    </cfRule>
  </conditionalFormatting>
  <conditionalFormatting sqref="C231:AA231">
    <cfRule type="cellIs" dxfId="33" priority="14" operator="notBetween">
      <formula>-0.01</formula>
      <formula>0.01</formula>
    </cfRule>
  </conditionalFormatting>
  <conditionalFormatting sqref="C243:AA243">
    <cfRule type="cellIs" dxfId="34" priority="15" operator="notBetween">
      <formula>-0.01</formula>
      <formula>0.01</formula>
    </cfRule>
  </conditionalFormatting>
  <conditionalFormatting sqref="C257:AA257">
    <cfRule type="cellIs" dxfId="35" priority="16" operator="notBetween">
      <formula>-0.01</formula>
      <formula>0.01</formula>
    </cfRule>
  </conditionalFormatting>
  <conditionalFormatting sqref="C268:AA268">
    <cfRule type="cellIs" dxfId="36" priority="17" operator="notBetween">
      <formula>-0.01</formula>
      <formula>0.01</formula>
    </cfRule>
  </conditionalFormatting>
  <conditionalFormatting sqref="C333:AA333">
    <cfRule type="cellIs" dxfId="37" priority="18" operator="notBetween">
      <formula>-0.01</formula>
      <formula>0.01</formula>
    </cfRule>
  </conditionalFormatting>
  <conditionalFormatting sqref="C358:AA358">
    <cfRule type="cellIs" dxfId="38" priority="19" operator="notBetween">
      <formula>-0.01</formula>
      <formula>0.01</formula>
    </cfRule>
  </conditionalFormatting>
  <pageMargins left="0.7" right="0.7" top="0.75" bottom="0.75" header="0.3" footer="0.3"/>
</worksheet>
</file>

<file path=xl/worksheets/sheet7.xml><?xml version="1.0" encoding="utf-8"?>
<worksheet xmlns="http://schemas.openxmlformats.org/spreadsheetml/2006/main">
  <sheetPr>
    <tabColor rgb="FF20746C"/>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s>
  <sheetData>
    <row r="1" ht="28" customHeight="1">
      <c r="A1" s="6" t="str">
        <v>Intel Corporation — Revenue &amp; Operations</v>
      </c>
      <c r="B1" s="6" t="str">
        <v>Intel Corporation — Revenue &amp; Operations</v>
      </c>
      <c r="C1" s="6" t="str">
        <v>Intel Corporation — Revenue &amp; Operations</v>
      </c>
      <c r="D1" s="6" t="str">
        <v>Intel Corporation — Revenue &amp; Operations</v>
      </c>
      <c r="E1" s="6" t="str">
        <v>Intel Corporation — Revenue &amp; Operations</v>
      </c>
      <c r="F1" s="6" t="str">
        <v>Intel Corporation — Revenue &amp; Operations</v>
      </c>
      <c r="G1" s="6" t="str">
        <v>Intel Corporation — Revenue &amp; Operations</v>
      </c>
      <c r="H1" s="6" t="str">
        <v>Intel Corporation — Revenue &amp; Operations</v>
      </c>
      <c r="I1" s="6" t="str">
        <v>Intel Corporation — Revenue &amp; Operations</v>
      </c>
      <c r="J1" s="6" t="str">
        <v>Intel Corporation — Revenue &amp; Operations</v>
      </c>
      <c r="K1" s="6" t="str">
        <v>Intel Corporation — Revenue &amp; Operations</v>
      </c>
      <c r="L1" s="6" t="str">
        <v>Intel Corporation — Revenue &amp; Operations</v>
      </c>
    </row>
    <row r="2" ht="18" customHeight="1">
      <c r="A2" s="7" t="str">
        <v>USD million unless stated otherwise; annual FY2016–FY2025; latest interim 27 June 2026.</v>
      </c>
      <c r="B2" s="7"/>
      <c r="C2" s="7"/>
      <c r="D2" s="7"/>
      <c r="E2" s="7"/>
      <c r="F2" s="7"/>
      <c r="G2" s="7"/>
      <c r="H2" s="7"/>
      <c r="I2" s="7"/>
      <c r="J2" s="7"/>
      <c r="K2" s="7"/>
      <c r="L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row>
    <row r="6" ht="22" customHeight="1">
      <c r="A6" s="3"/>
      <c r="B6" s="3"/>
      <c r="C6" s="3"/>
      <c r="D6" s="3"/>
      <c r="E6" s="3"/>
      <c r="F6" s="3"/>
      <c r="G6" s="3"/>
      <c r="H6" s="3"/>
      <c r="I6" s="3"/>
      <c r="J6" s="3"/>
      <c r="K6" s="3"/>
      <c r="L6" s="3"/>
    </row>
    <row r="7" ht="22" customHeight="1">
      <c r="A7" s="21" t="str">
        <v>Net revenue by country / region</v>
      </c>
      <c r="B7" s="21" t="str">
        <v>Net revenue by country / region</v>
      </c>
      <c r="C7" s="21" t="str">
        <v>Net revenue by country / region</v>
      </c>
      <c r="D7" s="21" t="str">
        <v>Net revenue by country / region</v>
      </c>
      <c r="E7" s="21" t="str">
        <v>Net revenue by country / region</v>
      </c>
      <c r="F7" s="21" t="str">
        <v>Net revenue by country / region</v>
      </c>
      <c r="G7" s="21" t="str">
        <v>Net revenue by country / region</v>
      </c>
      <c r="H7" s="21" t="str">
        <v>Net revenue by country / region</v>
      </c>
      <c r="I7" s="21" t="str">
        <v>Net revenue by country / region</v>
      </c>
      <c r="J7" s="21" t="str">
        <v>Net revenue by country / region</v>
      </c>
      <c r="K7" s="21" t="str">
        <v>Net revenue by country / region</v>
      </c>
      <c r="L7" s="21" t="str">
        <v>Net revenue by country / region</v>
      </c>
    </row>
    <row r="8" ht="18" customHeight="1">
      <c r="A8" s="22" t="str">
        <v>Revenue geography uses customer billing location; it is not end-consumer demand geography.</v>
      </c>
      <c r="B8" s="22" t="str">
        <v>Revenue geography uses customer billing location; it is not end-consumer demand geography.</v>
      </c>
      <c r="C8" s="22" t="str">
        <v>Revenue geography uses customer billing location; it is not end-consumer demand geography.</v>
      </c>
      <c r="D8" s="22" t="str">
        <v>Revenue geography uses customer billing location; it is not end-consumer demand geography.</v>
      </c>
      <c r="E8" s="22" t="str">
        <v>Revenue geography uses customer billing location; it is not end-consumer demand geography.</v>
      </c>
      <c r="F8" s="22" t="str">
        <v>Revenue geography uses customer billing location; it is not end-consumer demand geography.</v>
      </c>
      <c r="G8" s="22" t="str">
        <v>Revenue geography uses customer billing location; it is not end-consumer demand geography.</v>
      </c>
      <c r="H8" s="22" t="str">
        <v>Revenue geography uses customer billing location; it is not end-consumer demand geography.</v>
      </c>
      <c r="I8" s="22" t="str">
        <v>Revenue geography uses customer billing location; it is not end-consumer demand geography.</v>
      </c>
      <c r="J8" s="22" t="str">
        <v>Revenue geography uses customer billing location; it is not end-consumer demand geography.</v>
      </c>
      <c r="K8" s="22" t="str">
        <v>Revenue geography uses customer billing location; it is not end-consumer demand geography.</v>
      </c>
      <c r="L8" s="22" t="str">
        <v>Revenue geography uses customer billing location; it is not end-consumer demand geography.</v>
      </c>
    </row>
    <row r="9" ht="22" customHeight="1">
      <c r="A9" s="49" t="str">
        <v>United States</v>
      </c>
      <c r="B9" s="3"/>
      <c r="C9" s="51" t="n">
        <v>12957</v>
      </c>
      <c r="D9" s="51" t="n">
        <v>12543</v>
      </c>
      <c r="E9" s="51" t="n">
        <v>14303</v>
      </c>
      <c r="F9" s="51" t="n">
        <v>15617</v>
      </c>
      <c r="G9" s="51" t="n">
        <v>16573</v>
      </c>
      <c r="H9" s="51" t="n">
        <v>14107</v>
      </c>
      <c r="I9" s="51" t="n">
        <v>16529</v>
      </c>
      <c r="J9" s="51" t="n">
        <v>13958</v>
      </c>
      <c r="K9" s="51" t="n">
        <v>12994</v>
      </c>
      <c r="L9" s="51" t="n">
        <v>15757</v>
      </c>
    </row>
    <row r="10" ht="22" customHeight="1">
      <c r="A10" s="49" t="str">
        <v>China</v>
      </c>
      <c r="B10" s="3"/>
      <c r="C10" s="51" t="n">
        <v>13977</v>
      </c>
      <c r="D10" s="51" t="n">
        <v>14796</v>
      </c>
      <c r="E10" s="51" t="n">
        <v>18824</v>
      </c>
      <c r="F10" s="51" t="n">
        <v>20026</v>
      </c>
      <c r="G10" s="51" t="n">
        <v>20257</v>
      </c>
      <c r="H10" s="51" t="n">
        <v>21141</v>
      </c>
      <c r="I10" s="51" t="n">
        <v>17125</v>
      </c>
      <c r="J10" s="51" t="n">
        <v>14854</v>
      </c>
      <c r="K10" s="51" t="n">
        <v>15532</v>
      </c>
      <c r="L10" s="51" t="n">
        <v>12694</v>
      </c>
    </row>
    <row r="11" ht="22" customHeight="1">
      <c r="A11" s="49" t="str">
        <v>Singapore</v>
      </c>
      <c r="B11" s="3"/>
      <c r="C11" s="51" t="n">
        <v>12780</v>
      </c>
      <c r="D11" s="51" t="n">
        <v>14285</v>
      </c>
      <c r="E11" s="51" t="n">
        <v>15409</v>
      </c>
      <c r="F11" s="51" t="n">
        <v>15650</v>
      </c>
      <c r="G11" s="51" t="n">
        <v>17845</v>
      </c>
      <c r="H11" s="51" t="n">
        <v>14254</v>
      </c>
      <c r="I11" s="51" t="n">
        <v>9664</v>
      </c>
      <c r="J11" s="51" t="n">
        <v>8602</v>
      </c>
      <c r="K11" s="51" t="n">
        <v>10187</v>
      </c>
      <c r="L11" s="51" t="n">
        <v>9535</v>
      </c>
    </row>
    <row r="12" ht="22" customHeight="1">
      <c r="A12" s="49" t="str">
        <v>Taiwan</v>
      </c>
      <c r="B12" s="3"/>
      <c r="C12" s="51" t="n">
        <v>9953</v>
      </c>
      <c r="D12" s="51" t="n">
        <v>10518</v>
      </c>
      <c r="E12" s="51" t="n">
        <v>10646</v>
      </c>
      <c r="F12" s="51" t="n">
        <v>10058</v>
      </c>
      <c r="G12" s="51" t="n">
        <v>11605</v>
      </c>
      <c r="H12" s="51" t="n">
        <v>13461</v>
      </c>
      <c r="I12" s="51" t="n">
        <v>8287</v>
      </c>
      <c r="J12" s="51" t="n">
        <v>6867</v>
      </c>
      <c r="K12" s="51" t="n">
        <v>7804</v>
      </c>
      <c r="L12" s="51" t="n">
        <v>7672</v>
      </c>
    </row>
    <row r="13" ht="22" customHeight="1">
      <c r="A13" s="49" t="str">
        <v>Other regions</v>
      </c>
      <c r="B13" s="3"/>
      <c r="C13" s="51" t="n">
        <v>9720</v>
      </c>
      <c r="D13" s="51" t="n">
        <v>10619</v>
      </c>
      <c r="E13" s="51" t="n">
        <v>11666</v>
      </c>
      <c r="F13" s="51" t="n">
        <v>10614</v>
      </c>
      <c r="G13" s="51" t="n">
        <v>11587</v>
      </c>
      <c r="H13" s="51" t="n">
        <v>16061</v>
      </c>
      <c r="I13" s="51" t="n">
        <v>11449</v>
      </c>
      <c r="J13" s="51" t="n">
        <v>9947</v>
      </c>
      <c r="K13" s="51" t="n">
        <v>6584</v>
      </c>
      <c r="L13" s="51" t="n">
        <v>7195</v>
      </c>
    </row>
    <row r="14" ht="24" customHeight="1">
      <c r="A14" s="34" t="str">
        <v>Total net revenue</v>
      </c>
      <c r="B14" s="35"/>
      <c r="C14" s="36" t="n">
        <v>59387</v>
      </c>
      <c r="D14" s="36" t="n">
        <v>62761</v>
      </c>
      <c r="E14" s="36" t="n">
        <v>70848</v>
      </c>
      <c r="F14" s="36" t="n">
        <v>71965</v>
      </c>
      <c r="G14" s="36" t="n">
        <v>77867</v>
      </c>
      <c r="H14" s="36" t="n">
        <v>79024</v>
      </c>
      <c r="I14" s="36" t="n">
        <v>63054</v>
      </c>
      <c r="J14" s="36" t="n">
        <v>54228</v>
      </c>
      <c r="K14" s="36" t="n">
        <v>53101</v>
      </c>
      <c r="L14" s="36" t="n">
        <v>52853</v>
      </c>
    </row>
    <row r="15" ht="22" customHeight="1">
      <c r="A15" s="49" t="str">
        <v>Check: regions - printed total (should be 0)</v>
      </c>
      <c r="B15" s="3"/>
      <c r="C15" s="59" t="n">
        <f>IF(COUNT(C9,C10,C11,C12,C13,C14)=6,C9+C10+C11+C12+C13-C14,"")</f>
        <v>0</v>
      </c>
      <c r="D15" s="59" t="n">
        <f>IF(COUNT(D9,D10,D11,D12,D13,D14)=6,D9+D10+D11+D12+D13-D14,"")</f>
        <v>0</v>
      </c>
      <c r="E15" s="59" t="n">
        <f>IF(COUNT(E9,E10,E11,E12,E13,E14)=6,E9+E10+E11+E12+E13-E14,"")</f>
        <v>0</v>
      </c>
      <c r="F15" s="59" t="n">
        <f>IF(COUNT(F9,F10,F11,F12,F13,F14)=6,F9+F10+F11+F12+F13-F14,"")</f>
        <v>0</v>
      </c>
      <c r="G15" s="59" t="n">
        <f>IF(COUNT(G9,G10,G11,G12,G13,G14)=6,G9+G10+G11+G12+G13-G14,"")</f>
        <v>0</v>
      </c>
      <c r="H15" s="59" t="n">
        <f>IF(COUNT(H9,H10,H11,H12,H13,H14)=6,H9+H10+H11+H12+H13-H14,"")</f>
        <v>0</v>
      </c>
      <c r="I15" s="59" t="n">
        <f>IF(COUNT(I9,I10,I11,I12,I13,I14)=6,I9+I10+I11+I12+I13-I14,"")</f>
        <v>0</v>
      </c>
      <c r="J15" s="59" t="n">
        <f>IF(COUNT(J9,J10,J11,J12,J13,J14)=6,J9+J10+J11+J12+J13-J14,"")</f>
        <v>0</v>
      </c>
      <c r="K15" s="59" t="n">
        <f>IF(COUNT(K9,K10,K11,K12,K13,K14)=6,K9+K10+K11+K12+K13-K14,"")</f>
        <v>0</v>
      </c>
      <c r="L15" s="59" t="n">
        <f>IF(COUNT(L9,L10,L11,L12,L13,L14)=6,L9+L10+L11+L12+L13-L14,"")</f>
        <v>0</v>
      </c>
    </row>
    <row r="16" ht="22" customHeight="1">
      <c r="A16" s="49" t="str">
        <v>Check: total vs income-statement net revenue (should be 0)</v>
      </c>
      <c r="B16" s="3"/>
      <c r="C16" s="59"/>
      <c r="D16" s="59"/>
      <c r="E16" s="59"/>
      <c r="F16" s="59"/>
      <c r="G16" s="59"/>
      <c r="H16" s="59"/>
      <c r="I16" s="59"/>
      <c r="J16" s="59"/>
      <c r="K16" s="59"/>
      <c r="L16" s="59"/>
    </row>
    <row r="17" ht="8" customHeight="1">
      <c r="A17" s="3"/>
      <c r="B17" s="3"/>
      <c r="C17" s="3"/>
      <c r="D17" s="3"/>
      <c r="E17" s="3"/>
      <c r="F17" s="3"/>
      <c r="G17" s="3"/>
      <c r="H17" s="3"/>
      <c r="I17" s="3"/>
      <c r="J17" s="3"/>
      <c r="K17" s="3"/>
      <c r="L17" s="3"/>
    </row>
    <row r="18" ht="22" customHeight="1">
      <c r="A18" s="21" t="str">
        <v>Customer concentration (% of revenue)</v>
      </c>
      <c r="B18" s="21" t="str">
        <v>Customer concentration (% of revenue)</v>
      </c>
      <c r="C18" s="21" t="str">
        <v>Customer concentration (% of revenue)</v>
      </c>
      <c r="D18" s="21" t="str">
        <v>Customer concentration (% of revenue)</v>
      </c>
      <c r="E18" s="21" t="str">
        <v>Customer concentration (% of revenue)</v>
      </c>
      <c r="F18" s="21" t="str">
        <v>Customer concentration (% of revenue)</v>
      </c>
      <c r="G18" s="21" t="str">
        <v>Customer concentration (% of revenue)</v>
      </c>
      <c r="H18" s="21" t="str">
        <v>Customer concentration (% of revenue)</v>
      </c>
      <c r="I18" s="21" t="str">
        <v>Customer concentration (% of revenue)</v>
      </c>
      <c r="J18" s="21" t="str">
        <v>Customer concentration (% of revenue)</v>
      </c>
      <c r="K18" s="21" t="str">
        <v>Customer concentration (% of revenue)</v>
      </c>
      <c r="L18" s="21" t="str">
        <v>Customer concentration (% of revenue)</v>
      </c>
    </row>
    <row r="19" ht="20" customHeight="1">
      <c r="A19" s="40" t="str">
        <v>Customer A</v>
      </c>
      <c r="B19" s="3"/>
      <c r="C19" s="44"/>
      <c r="D19" s="44"/>
      <c r="E19" s="44"/>
      <c r="F19" s="44"/>
      <c r="G19" s="44"/>
      <c r="H19" s="44"/>
      <c r="I19" s="44" t="n">
        <v>0.19</v>
      </c>
      <c r="J19" s="44" t="n">
        <v>0.19</v>
      </c>
      <c r="K19" s="44" t="n">
        <v>0.19</v>
      </c>
      <c r="L19" s="44" t="n">
        <v>0.19</v>
      </c>
    </row>
    <row r="20" ht="20" customHeight="1">
      <c r="A20" s="40" t="str">
        <v>Customer B</v>
      </c>
      <c r="B20" s="3"/>
      <c r="C20" s="44"/>
      <c r="D20" s="44"/>
      <c r="E20" s="44"/>
      <c r="F20" s="44"/>
      <c r="G20" s="44"/>
      <c r="H20" s="44"/>
      <c r="I20" s="44" t="n">
        <v>0.12</v>
      </c>
      <c r="J20" s="44" t="n">
        <v>0.11</v>
      </c>
      <c r="K20" s="44" t="n">
        <v>0.14</v>
      </c>
      <c r="L20" s="44" t="n">
        <v>0.12</v>
      </c>
    </row>
    <row r="21" ht="20" customHeight="1">
      <c r="A21" s="40" t="str">
        <v>Customer C</v>
      </c>
      <c r="B21" s="3"/>
      <c r="C21" s="44"/>
      <c r="D21" s="44"/>
      <c r="E21" s="44"/>
      <c r="F21" s="44"/>
      <c r="G21" s="44"/>
      <c r="H21" s="44"/>
      <c r="I21" s="44" t="n">
        <v>0.11</v>
      </c>
      <c r="J21" s="44" t="n">
        <v>0.1</v>
      </c>
      <c r="K21" s="44" t="n">
        <v>0.12</v>
      </c>
      <c r="L21" s="44" t="n">
        <v>0.12</v>
      </c>
    </row>
    <row r="22" ht="20" customHeight="1">
      <c r="A22" s="40" t="str">
        <v>Dell Inc.</v>
      </c>
      <c r="B22" s="3"/>
      <c r="C22" s="44"/>
      <c r="D22" s="44"/>
      <c r="E22" s="44"/>
      <c r="F22" s="44"/>
      <c r="G22" s="44"/>
      <c r="H22" s="44" t="n">
        <v>0.21</v>
      </c>
      <c r="I22" s="44" t="n">
        <v>0.19</v>
      </c>
      <c r="J22" s="44" t="n">
        <v>0.19</v>
      </c>
      <c r="K22" s="44"/>
      <c r="L22" s="44"/>
    </row>
    <row r="23" ht="20" customHeight="1">
      <c r="A23" s="40" t="str">
        <v>Lenovo Group Limited</v>
      </c>
      <c r="B23" s="3"/>
      <c r="C23" s="44"/>
      <c r="D23" s="44"/>
      <c r="E23" s="44"/>
      <c r="F23" s="44"/>
      <c r="G23" s="44"/>
      <c r="H23" s="44" t="n">
        <v>0.12</v>
      </c>
      <c r="I23" s="44" t="n">
        <v>0.12</v>
      </c>
      <c r="J23" s="44" t="n">
        <v>0.11</v>
      </c>
      <c r="K23" s="44"/>
      <c r="L23" s="44"/>
    </row>
    <row r="24" ht="20" customHeight="1">
      <c r="A24" s="40" t="str">
        <v>HP Inc.</v>
      </c>
      <c r="B24" s="3"/>
      <c r="C24" s="44"/>
      <c r="D24" s="44"/>
      <c r="E24" s="44"/>
      <c r="F24" s="44"/>
      <c r="G24" s="44"/>
      <c r="H24" s="44" t="n">
        <v>0.1</v>
      </c>
      <c r="I24" s="44" t="n">
        <v>0.11</v>
      </c>
      <c r="J24" s="44" t="n">
        <v>0.1</v>
      </c>
      <c r="K24" s="44"/>
      <c r="L24" s="44"/>
    </row>
    <row r="25" ht="24" customHeight="1">
      <c r="A25" s="72" t="str">
        <v>Total percentage of net revenue</v>
      </c>
      <c r="B25" s="35"/>
      <c r="C25" s="74"/>
      <c r="D25" s="74"/>
      <c r="E25" s="74"/>
      <c r="F25" s="74"/>
      <c r="G25" s="74"/>
      <c r="H25" s="74" t="n">
        <v>0.43</v>
      </c>
      <c r="I25" s="74" t="n">
        <v>0.42</v>
      </c>
      <c r="J25" s="74" t="n">
        <v>0.4</v>
      </c>
      <c r="K25" s="74" t="n">
        <v>0.45</v>
      </c>
      <c r="L25" s="74" t="n">
        <v>0.43</v>
      </c>
    </row>
    <row r="26" ht="8" customHeight="1">
      <c r="A26" s="3"/>
      <c r="B26" s="3"/>
      <c r="C26" s="3"/>
      <c r="D26" s="3"/>
      <c r="E26" s="3"/>
      <c r="F26" s="3"/>
      <c r="G26" s="3"/>
      <c r="H26" s="3"/>
      <c r="I26" s="3"/>
      <c r="J26" s="3"/>
      <c r="K26" s="3"/>
      <c r="L26" s="3"/>
    </row>
    <row r="27" ht="22" customHeight="1">
      <c r="A27" s="21" t="str">
        <v>Platform vs Adjacent revenue outside the segment note</v>
      </c>
      <c r="B27" s="21" t="str">
        <v>Platform vs Adjacent revenue outside the segment note</v>
      </c>
      <c r="C27" s="21" t="str">
        <v>Platform vs Adjacent revenue outside the segment note</v>
      </c>
      <c r="D27" s="21" t="str">
        <v>Platform vs Adjacent revenue outside the segment note</v>
      </c>
      <c r="E27" s="21" t="str">
        <v>Platform vs Adjacent revenue outside the segment note</v>
      </c>
      <c r="F27" s="21" t="str">
        <v>Platform vs Adjacent revenue outside the segment note</v>
      </c>
      <c r="G27" s="21" t="str">
        <v>Platform vs Adjacent revenue outside the segment note</v>
      </c>
      <c r="H27" s="21" t="str">
        <v>Platform vs Adjacent revenue outside the segment note</v>
      </c>
      <c r="I27" s="21" t="str">
        <v>Platform vs Adjacent revenue outside the segment note</v>
      </c>
      <c r="J27" s="21" t="str">
        <v>Platform vs Adjacent revenue outside the segment note</v>
      </c>
      <c r="K27" s="21" t="str">
        <v>Platform vs Adjacent revenue outside the segment note</v>
      </c>
      <c r="L27" s="21" t="str">
        <v>Platform vs Adjacent revenue outside the segment note</v>
      </c>
    </row>
    <row r="28" ht="22" customHeight="1">
      <c r="A28" s="49" t="str">
        <v>CCG notebook platform</v>
      </c>
      <c r="B28" s="3"/>
      <c r="C28" s="51"/>
      <c r="D28" s="51" t="n">
        <v>19414</v>
      </c>
      <c r="E28" s="51" t="n">
        <v>20930</v>
      </c>
      <c r="F28" s="51" t="n">
        <v>20779</v>
      </c>
      <c r="G28" s="51" t="n">
        <v>24903</v>
      </c>
      <c r="H28" s="51" t="n">
        <v>25475</v>
      </c>
      <c r="I28" s="51"/>
      <c r="J28" s="51"/>
      <c r="K28" s="51"/>
      <c r="L28" s="51"/>
    </row>
    <row r="29" ht="22" customHeight="1">
      <c r="A29" s="49" t="str">
        <v>Other platform</v>
      </c>
      <c r="B29" s="3"/>
      <c r="C29" s="51" t="n">
        <v>2467</v>
      </c>
      <c r="D29" s="51" t="n">
        <v>2810</v>
      </c>
      <c r="E29" s="51" t="n">
        <v>3149</v>
      </c>
      <c r="F29" s="51" t="n">
        <v>80</v>
      </c>
      <c r="G29" s="51"/>
      <c r="H29" s="51"/>
      <c r="I29" s="51"/>
      <c r="J29" s="51"/>
      <c r="K29" s="51"/>
      <c r="L29" s="51"/>
    </row>
    <row r="30" ht="22" customHeight="1">
      <c r="A30" s="49" t="str">
        <v>CCG desktop platform</v>
      </c>
      <c r="B30" s="3"/>
      <c r="C30" s="51"/>
      <c r="D30" s="51" t="n">
        <v>11647</v>
      </c>
      <c r="E30" s="51" t="n">
        <v>12220</v>
      </c>
      <c r="F30" s="51" t="n">
        <v>11822</v>
      </c>
      <c r="G30" s="51" t="n">
        <v>10692</v>
      </c>
      <c r="H30" s="51" t="n">
        <v>11835</v>
      </c>
      <c r="I30" s="51"/>
      <c r="J30" s="51"/>
      <c r="K30" s="51"/>
      <c r="L30" s="51"/>
    </row>
    <row r="31" ht="22" customHeight="1">
      <c r="A31" s="49" t="str">
        <v>CCG other platform1</v>
      </c>
      <c r="B31" s="3"/>
      <c r="C31" s="51"/>
      <c r="D31" s="51"/>
      <c r="E31" s="51" t="n">
        <v>84</v>
      </c>
      <c r="F31" s="51" t="n">
        <v>80</v>
      </c>
      <c r="G31" s="51" t="n">
        <v>47</v>
      </c>
      <c r="H31" s="51" t="n">
        <v>66</v>
      </c>
      <c r="I31" s="51"/>
      <c r="J31" s="51"/>
      <c r="K31" s="51"/>
      <c r="L31" s="51"/>
    </row>
    <row r="32" ht="22" customHeight="1">
      <c r="A32" s="49" t="str">
        <v>Desktop platform</v>
      </c>
      <c r="B32" s="3"/>
      <c r="C32" s="51" t="n">
        <v>12371</v>
      </c>
      <c r="D32" s="51" t="n">
        <v>11647</v>
      </c>
      <c r="E32" s="51" t="n">
        <v>12220</v>
      </c>
      <c r="F32" s="51"/>
      <c r="G32" s="51"/>
      <c r="H32" s="51"/>
      <c r="I32" s="51"/>
      <c r="J32" s="51"/>
      <c r="K32" s="51"/>
      <c r="L32" s="51"/>
    </row>
    <row r="33" ht="22" customHeight="1">
      <c r="A33" s="49" t="str">
        <v>Notebook platform</v>
      </c>
      <c r="B33" s="3"/>
      <c r="C33" s="51" t="n">
        <v>18203</v>
      </c>
      <c r="D33" s="51" t="n">
        <v>19414</v>
      </c>
      <c r="E33" s="51" t="n">
        <v>20930</v>
      </c>
      <c r="F33" s="51"/>
      <c r="G33" s="51"/>
      <c r="H33" s="51"/>
      <c r="I33" s="51"/>
      <c r="J33" s="51"/>
      <c r="K33" s="51"/>
      <c r="L33" s="51"/>
    </row>
    <row r="34" ht="22" customHeight="1">
      <c r="A34" s="49" t="str">
        <v>DCG platform</v>
      </c>
      <c r="B34" s="3"/>
      <c r="C34" s="51" t="n">
        <v>15895</v>
      </c>
      <c r="D34" s="51" t="n">
        <v>17439</v>
      </c>
      <c r="E34" s="51" t="n">
        <v>21155</v>
      </c>
      <c r="F34" s="51" t="n">
        <v>21441</v>
      </c>
      <c r="G34" s="51" t="n">
        <v>23056</v>
      </c>
      <c r="H34" s="51" t="n">
        <v>22703</v>
      </c>
      <c r="I34" s="51"/>
      <c r="J34" s="51"/>
      <c r="K34" s="51"/>
      <c r="L34" s="51"/>
    </row>
    <row r="35" ht="22" customHeight="1">
      <c r="A35" s="49" t="str">
        <v>IOTG platform</v>
      </c>
      <c r="B35" s="3"/>
      <c r="C35" s="51"/>
      <c r="D35" s="51" t="n">
        <v>2645</v>
      </c>
      <c r="E35" s="51" t="n">
        <v>3065</v>
      </c>
      <c r="F35" s="51" t="n">
        <v>3440</v>
      </c>
      <c r="G35" s="51" t="n">
        <v>2705</v>
      </c>
      <c r="H35" s="51" t="n">
        <v>3658</v>
      </c>
      <c r="I35" s="51"/>
      <c r="J35" s="51"/>
      <c r="K35" s="51"/>
      <c r="L35" s="51"/>
    </row>
    <row r="36" ht="22" customHeight="1">
      <c r="A36" s="49" t="str">
        <v>[Total platform revenue]</v>
      </c>
      <c r="B36" s="3"/>
      <c r="C36" s="51" t="n">
        <v>48936</v>
      </c>
      <c r="D36" s="51" t="n">
        <v>51310</v>
      </c>
      <c r="E36" s="51" t="n">
        <v>57454</v>
      </c>
      <c r="F36" s="51" t="n">
        <v>57562</v>
      </c>
      <c r="G36" s="51" t="n">
        <v>61403</v>
      </c>
      <c r="H36" s="51" t="n">
        <v>63737</v>
      </c>
      <c r="I36" s="51"/>
      <c r="J36" s="51"/>
      <c r="K36" s="51"/>
      <c r="L36" s="51"/>
    </row>
    <row r="37" ht="22" customHeight="1">
      <c r="A37" s="49" t="str">
        <v>Adjacent revenue</v>
      </c>
      <c r="B37" s="3"/>
      <c r="C37" s="51" t="n">
        <v>8290</v>
      </c>
      <c r="D37" s="51" t="n">
        <v>10917</v>
      </c>
      <c r="E37" s="51" t="n">
        <v>13394</v>
      </c>
      <c r="F37" s="51" t="n">
        <v>14403</v>
      </c>
      <c r="G37" s="51"/>
      <c r="H37" s="51"/>
      <c r="I37" s="51"/>
      <c r="J37" s="51"/>
      <c r="K37" s="51"/>
      <c r="L37" s="51"/>
    </row>
    <row r="38" ht="22" customHeight="1">
      <c r="A38" s="49" t="str">
        <v>ISecG divested business</v>
      </c>
      <c r="B38" s="3"/>
      <c r="C38" s="51" t="n">
        <v>2161</v>
      </c>
      <c r="D38" s="51" t="n">
        <v>534</v>
      </c>
      <c r="E38" s="51" t="n">
        <v>0</v>
      </c>
      <c r="F38" s="51" t="n">
        <v>0</v>
      </c>
      <c r="G38" s="51"/>
      <c r="H38" s="51"/>
      <c r="I38" s="51"/>
      <c r="J38" s="51"/>
      <c r="K38" s="51"/>
      <c r="L38" s="51"/>
    </row>
    <row r="39" ht="22" customHeight="1">
      <c r="A39" s="49" t="str">
        <v>Adjacent revenue2</v>
      </c>
      <c r="B39" s="3"/>
      <c r="C39" s="51"/>
      <c r="D39" s="51"/>
      <c r="E39" s="51" t="n">
        <v>13394</v>
      </c>
      <c r="F39" s="51" t="n">
        <v>14403</v>
      </c>
      <c r="G39" s="51" t="n">
        <v>16464</v>
      </c>
      <c r="H39" s="51" t="n">
        <v>15287</v>
      </c>
      <c r="I39" s="51"/>
      <c r="J39" s="51"/>
      <c r="K39" s="51"/>
      <c r="L39" s="51"/>
    </row>
    <row r="40" ht="24" customHeight="1">
      <c r="A40" s="34" t="str">
        <v>Total revenue</v>
      </c>
      <c r="B40" s="35"/>
      <c r="C40" s="36" t="n">
        <v>59387</v>
      </c>
      <c r="D40" s="36" t="n">
        <v>62761</v>
      </c>
      <c r="E40" s="36" t="n">
        <v>70848</v>
      </c>
      <c r="F40" s="36" t="n">
        <v>71965</v>
      </c>
      <c r="G40" s="36" t="n">
        <v>77867</v>
      </c>
      <c r="H40" s="36" t="n">
        <v>79024</v>
      </c>
      <c r="I40" s="36"/>
      <c r="J40" s="36"/>
      <c r="K40" s="36"/>
      <c r="L40" s="36"/>
    </row>
    <row r="41" ht="8" customHeight="1">
      <c r="A41" s="3"/>
      <c r="B41" s="3"/>
      <c r="C41" s="3"/>
      <c r="D41" s="3"/>
      <c r="E41" s="3"/>
      <c r="F41" s="3"/>
      <c r="G41" s="3"/>
      <c r="H41" s="3"/>
      <c r="I41" s="3"/>
      <c r="J41" s="3"/>
      <c r="K41" s="3"/>
      <c r="L41" s="3"/>
    </row>
    <row r="42" ht="22" customHeight="1">
      <c r="A42" s="21" t="str">
        <v>Platform sales volumes and average selling prices</v>
      </c>
      <c r="B42" s="21" t="str">
        <v>Platform sales volumes and average selling prices</v>
      </c>
      <c r="C42" s="21" t="str">
        <v>Platform sales volumes and average selling prices</v>
      </c>
      <c r="D42" s="21" t="str">
        <v>Platform sales volumes and average selling prices</v>
      </c>
      <c r="E42" s="21" t="str">
        <v>Platform sales volumes and average selling prices</v>
      </c>
      <c r="F42" s="21" t="str">
        <v>Platform sales volumes and average selling prices</v>
      </c>
      <c r="G42" s="21" t="str">
        <v>Platform sales volumes and average selling prices</v>
      </c>
      <c r="H42" s="21" t="str">
        <v>Platform sales volumes and average selling prices</v>
      </c>
      <c r="I42" s="21" t="str">
        <v>Platform sales volumes and average selling prices</v>
      </c>
      <c r="J42" s="21" t="str">
        <v>Platform sales volumes and average selling prices</v>
      </c>
      <c r="K42" s="21" t="str">
        <v>Platform sales volumes and average selling prices</v>
      </c>
      <c r="L42" s="21" t="str">
        <v>Platform sales volumes and average selling prices</v>
      </c>
    </row>
    <row r="43" ht="20" customHeight="1">
      <c r="A43" s="40" t="str">
        <v>Desktop platform volume - CCG: change (%)</v>
      </c>
      <c r="B43" s="3"/>
      <c r="C43" s="44"/>
      <c r="D43" s="44"/>
      <c r="E43" s="44" t="n">
        <v>-0.06</v>
      </c>
      <c r="F43" s="44" t="n">
        <v>-0.06</v>
      </c>
      <c r="G43" s="44" t="n">
        <v>-0.11</v>
      </c>
      <c r="H43" s="44" t="n">
        <v>0.08</v>
      </c>
      <c r="I43" s="44"/>
      <c r="J43" s="44"/>
      <c r="K43" s="44"/>
      <c r="L43" s="44"/>
    </row>
    <row r="44" ht="36" customHeight="1">
      <c r="A44" s="49" t="str">
        <v>Desktop platform volume - CCG: revenue contribution (USD million)</v>
      </c>
      <c r="B44" s="3"/>
      <c r="C44" s="95"/>
      <c r="D44" s="95"/>
      <c r="E44" s="95" t="n">
        <v>-608</v>
      </c>
      <c r="F44" s="95" t="n">
        <v>-705</v>
      </c>
      <c r="G44" s="95" t="n">
        <v>-1316</v>
      </c>
      <c r="H44" s="95" t="n">
        <v>851</v>
      </c>
      <c r="I44" s="95"/>
      <c r="J44" s="95"/>
      <c r="K44" s="95"/>
      <c r="L44" s="95"/>
    </row>
    <row r="45" ht="20" customHeight="1">
      <c r="A45" s="40" t="str">
        <v>Desktop platform ASP - CCG: change (%)</v>
      </c>
      <c r="B45" s="3"/>
      <c r="C45" s="44"/>
      <c r="D45" s="44"/>
      <c r="E45" s="44" t="n">
        <v>0.11</v>
      </c>
      <c r="F45" s="44" t="n">
        <v>0.03</v>
      </c>
      <c r="G45" s="44" t="n">
        <v>0.02</v>
      </c>
      <c r="H45" s="44" t="n">
        <v>0.03</v>
      </c>
      <c r="I45" s="44"/>
      <c r="J45" s="44"/>
      <c r="K45" s="44"/>
      <c r="L45" s="44"/>
    </row>
    <row r="46" ht="36" customHeight="1">
      <c r="A46" s="49" t="str">
        <v>Desktop platform ASP - CCG: revenue contribution (USD million)</v>
      </c>
      <c r="B46" s="3"/>
      <c r="C46" s="95"/>
      <c r="D46" s="95"/>
      <c r="E46" s="95" t="n">
        <v>1181</v>
      </c>
      <c r="F46" s="95" t="n">
        <v>307</v>
      </c>
      <c r="G46" s="95" t="n">
        <v>186</v>
      </c>
      <c r="H46" s="95" t="n">
        <v>292</v>
      </c>
      <c r="I46" s="95"/>
      <c r="J46" s="95"/>
      <c r="K46" s="95"/>
      <c r="L46" s="95"/>
    </row>
    <row r="47" ht="20" customHeight="1">
      <c r="A47" s="40" t="str">
        <v>Notebook platform volume - CCG: change (%)</v>
      </c>
      <c r="B47" s="3"/>
      <c r="C47" s="44"/>
      <c r="D47" s="44"/>
      <c r="E47" s="44" t="n">
        <v>0.04</v>
      </c>
      <c r="F47" s="44" t="n">
        <v>-0.05</v>
      </c>
      <c r="G47" s="44" t="n">
        <v>0.28</v>
      </c>
      <c r="H47" s="44" t="n">
        <v>0.08</v>
      </c>
      <c r="I47" s="44"/>
      <c r="J47" s="44"/>
      <c r="K47" s="44"/>
      <c r="L47" s="44"/>
    </row>
    <row r="48" ht="36" customHeight="1">
      <c r="A48" s="49" t="str">
        <v>Notebook platform volume - CCG: revenue contribution (USD million)</v>
      </c>
      <c r="B48" s="3"/>
      <c r="C48" s="95"/>
      <c r="D48" s="95"/>
      <c r="E48" s="95" t="n">
        <v>839</v>
      </c>
      <c r="F48" s="95" t="n">
        <v>-1080</v>
      </c>
      <c r="G48" s="95" t="n">
        <v>5770</v>
      </c>
      <c r="H48" s="95" t="n">
        <v>2102</v>
      </c>
      <c r="I48" s="95"/>
      <c r="J48" s="95"/>
      <c r="K48" s="95"/>
      <c r="L48" s="95"/>
    </row>
    <row r="49" ht="20" customHeight="1">
      <c r="A49" s="40" t="str">
        <v>Notebook platform ASP - CCG: change (%)</v>
      </c>
      <c r="B49" s="3"/>
      <c r="C49" s="44"/>
      <c r="D49" s="44"/>
      <c r="E49" s="44" t="n">
        <v>0.03</v>
      </c>
      <c r="F49" s="44" t="n">
        <v>0.05</v>
      </c>
      <c r="G49" s="44" t="n">
        <v>-0.06</v>
      </c>
      <c r="H49" s="44" t="n">
        <v>-0.06</v>
      </c>
      <c r="I49" s="44"/>
      <c r="J49" s="44"/>
      <c r="K49" s="44"/>
      <c r="L49" s="44"/>
    </row>
    <row r="50" ht="36" customHeight="1">
      <c r="A50" s="49" t="str">
        <v>Notebook platform ASP - CCG: revenue contribution (USD million)</v>
      </c>
      <c r="B50" s="3"/>
      <c r="C50" s="95"/>
      <c r="D50" s="95"/>
      <c r="E50" s="95" t="n">
        <v>677</v>
      </c>
      <c r="F50" s="95" t="n">
        <v>929</v>
      </c>
      <c r="G50" s="95" t="n">
        <v>-1646</v>
      </c>
      <c r="H50" s="95" t="n">
        <v>-1530</v>
      </c>
      <c r="I50" s="95"/>
      <c r="J50" s="95"/>
      <c r="K50" s="95"/>
      <c r="L50" s="95"/>
    </row>
    <row r="51" ht="36" customHeight="1">
      <c r="A51" s="49" t="str">
        <v>Adjacent products and other - CCG: revenue contribution (USD million)</v>
      </c>
      <c r="B51" s="3"/>
      <c r="C51" s="95"/>
      <c r="D51" s="95"/>
      <c r="E51" s="95" t="n">
        <v>912</v>
      </c>
      <c r="F51" s="95" t="n">
        <v>691</v>
      </c>
      <c r="G51" s="95" t="n">
        <v>-83</v>
      </c>
      <c r="H51" s="95" t="n">
        <v>-1261</v>
      </c>
      <c r="I51" s="95"/>
      <c r="J51" s="95"/>
      <c r="K51" s="95"/>
      <c r="L51" s="95"/>
    </row>
    <row r="52" ht="36" customHeight="1">
      <c r="A52" s="34" t="str">
        <v>Total change in revenue - CCG: revenue contribution (USD million)</v>
      </c>
      <c r="B52" s="35"/>
      <c r="C52" s="102"/>
      <c r="D52" s="102"/>
      <c r="E52" s="102" t="n">
        <v>3001</v>
      </c>
      <c r="F52" s="102" t="n">
        <v>142</v>
      </c>
      <c r="G52" s="102" t="n">
        <v>2911</v>
      </c>
      <c r="H52" s="102" t="n">
        <v>454</v>
      </c>
      <c r="I52" s="102"/>
      <c r="J52" s="102"/>
      <c r="K52" s="102"/>
      <c r="L52" s="102"/>
    </row>
    <row r="53" ht="20" customHeight="1">
      <c r="A53" s="40" t="str">
        <v>Platform ASP - DCG: change (%)</v>
      </c>
      <c r="B53" s="3"/>
      <c r="C53" s="44"/>
      <c r="D53" s="44"/>
      <c r="E53" s="44" t="n">
        <v>0.07</v>
      </c>
      <c r="F53" s="44" t="n">
        <v>0.05</v>
      </c>
      <c r="G53" s="44" t="n">
        <v>-0.03</v>
      </c>
      <c r="H53" s="44" t="n">
        <v>-0.04</v>
      </c>
      <c r="I53" s="44"/>
      <c r="J53" s="44"/>
      <c r="K53" s="44"/>
      <c r="L53" s="44"/>
    </row>
    <row r="54" ht="22" customHeight="1">
      <c r="A54" s="49" t="str">
        <v>Platform ASP - DCG: revenue contribution (USD million)</v>
      </c>
      <c r="B54" s="3"/>
      <c r="C54" s="95"/>
      <c r="D54" s="95"/>
      <c r="E54" s="95" t="n">
        <v>1382</v>
      </c>
      <c r="F54" s="95" t="n">
        <v>940</v>
      </c>
      <c r="G54" s="95" t="n">
        <v>-701</v>
      </c>
      <c r="H54" s="95" t="n">
        <v>-924</v>
      </c>
      <c r="I54" s="95"/>
      <c r="J54" s="95"/>
      <c r="K54" s="95"/>
      <c r="L54" s="95"/>
    </row>
    <row r="55" ht="20" customHeight="1">
      <c r="A55" s="40" t="str">
        <v>Adjacent Products - DCG: change (%)</v>
      </c>
      <c r="B55" s="3"/>
      <c r="C55" s="44"/>
      <c r="D55" s="44"/>
      <c r="E55" s="44" t="n">
        <v>0.13</v>
      </c>
      <c r="F55" s="44"/>
      <c r="G55" s="44"/>
      <c r="H55" s="44"/>
      <c r="I55" s="44"/>
      <c r="J55" s="44"/>
      <c r="K55" s="44"/>
      <c r="L55" s="44"/>
    </row>
    <row r="56" ht="36" customHeight="1">
      <c r="A56" s="49" t="str">
        <v>Adjacent Products - DCG: revenue contribution (USD million)</v>
      </c>
      <c r="B56" s="3"/>
      <c r="C56" s="95"/>
      <c r="D56" s="95"/>
      <c r="E56" s="95" t="n">
        <v>211</v>
      </c>
      <c r="F56" s="95"/>
      <c r="G56" s="95"/>
      <c r="H56" s="95"/>
      <c r="I56" s="95"/>
      <c r="J56" s="95"/>
      <c r="K56" s="95"/>
      <c r="L56" s="95"/>
    </row>
    <row r="57" ht="20" customHeight="1">
      <c r="A57" s="40" t="str">
        <v>Platform volume - DCG: change (%)</v>
      </c>
      <c r="B57" s="3"/>
      <c r="C57" s="44"/>
      <c r="D57" s="44"/>
      <c r="E57" s="44" t="n">
        <v>0.13</v>
      </c>
      <c r="F57" s="44" t="n">
        <v>-0.03</v>
      </c>
      <c r="G57" s="44" t="n">
        <v>0.11</v>
      </c>
      <c r="H57" s="44" t="n">
        <v>0.02</v>
      </c>
      <c r="I57" s="44"/>
      <c r="J57" s="44"/>
      <c r="K57" s="44"/>
      <c r="L57" s="44"/>
    </row>
    <row r="58" ht="22" customHeight="1">
      <c r="A58" s="49" t="str">
        <v>Platform volume - DCG: revenue contribution (USD million)</v>
      </c>
      <c r="B58" s="3"/>
      <c r="C58" s="95"/>
      <c r="D58" s="95"/>
      <c r="E58" s="95" t="n">
        <v>2334</v>
      </c>
      <c r="F58" s="95" t="n">
        <v>-654</v>
      </c>
      <c r="G58" s="95" t="n">
        <v>2316</v>
      </c>
      <c r="H58" s="95" t="n">
        <v>571</v>
      </c>
      <c r="I58" s="95"/>
      <c r="J58" s="95"/>
      <c r="K58" s="95"/>
      <c r="L58" s="95"/>
    </row>
    <row r="59" ht="20" customHeight="1">
      <c r="A59" s="40" t="str">
        <v>Adjacent products - DCG: change (%)</v>
      </c>
      <c r="B59" s="3"/>
      <c r="C59" s="44"/>
      <c r="D59" s="44"/>
      <c r="E59" s="44"/>
      <c r="F59" s="44" t="n">
        <v>0.11</v>
      </c>
      <c r="G59" s="44" t="n">
        <v>0.49</v>
      </c>
      <c r="H59" s="44" t="n">
        <v>0.02</v>
      </c>
      <c r="I59" s="44"/>
      <c r="J59" s="44"/>
      <c r="K59" s="44"/>
      <c r="L59" s="44"/>
    </row>
    <row r="60" ht="36" customHeight="1">
      <c r="A60" s="49" t="str">
        <v>Adjacent products - DCG: revenue contribution (USD million)</v>
      </c>
      <c r="B60" s="3"/>
      <c r="C60" s="95"/>
      <c r="D60" s="95"/>
      <c r="E60" s="95"/>
      <c r="F60" s="95" t="n">
        <v>204</v>
      </c>
      <c r="G60" s="95" t="n">
        <v>1007</v>
      </c>
      <c r="H60" s="95" t="n">
        <v>71</v>
      </c>
      <c r="I60" s="95"/>
      <c r="J60" s="95"/>
      <c r="K60" s="95"/>
      <c r="L60" s="95"/>
    </row>
    <row r="61" ht="36" customHeight="1">
      <c r="A61" s="34" t="str">
        <v>Total change in revenue - DCG: revenue contribution (USD million)</v>
      </c>
      <c r="B61" s="35"/>
      <c r="C61" s="102"/>
      <c r="D61" s="102"/>
      <c r="E61" s="102" t="n">
        <v>3927</v>
      </c>
      <c r="F61" s="102" t="n">
        <v>490</v>
      </c>
      <c r="G61" s="102" t="n">
        <v>2622</v>
      </c>
      <c r="H61" s="102" t="n">
        <v>-282</v>
      </c>
      <c r="I61" s="102"/>
      <c r="J61" s="102"/>
      <c r="K61" s="102"/>
      <c r="L61" s="102"/>
    </row>
    <row r="62" ht="20" customHeight="1">
      <c r="A62" s="40" t="str">
        <v>Volume - CCG: change (%)</v>
      </c>
      <c r="B62" s="3"/>
      <c r="C62" s="44"/>
      <c r="D62" s="44" t="n">
        <v>-0.05</v>
      </c>
      <c r="E62" s="44"/>
      <c r="F62" s="44"/>
      <c r="G62" s="44"/>
      <c r="H62" s="44"/>
      <c r="I62" s="44"/>
      <c r="J62" s="44"/>
      <c r="K62" s="44"/>
      <c r="L62" s="44"/>
    </row>
    <row r="63" ht="20" customHeight="1">
      <c r="A63" s="40" t="str">
        <v>ASP - CCG: change (%)</v>
      </c>
      <c r="B63" s="3"/>
      <c r="C63" s="44"/>
      <c r="D63" s="44" t="n">
        <v>0</v>
      </c>
      <c r="E63" s="44"/>
      <c r="F63" s="44"/>
      <c r="G63" s="44"/>
      <c r="H63" s="44"/>
      <c r="I63" s="44"/>
      <c r="J63" s="44"/>
      <c r="K63" s="44"/>
      <c r="L63" s="44"/>
    </row>
    <row r="64" ht="20" customHeight="1">
      <c r="A64" s="40" t="str">
        <v>Volume - CCG: change (%)</v>
      </c>
      <c r="B64" s="3"/>
      <c r="C64" s="44"/>
      <c r="D64" s="44" t="n">
        <v>0.05</v>
      </c>
      <c r="E64" s="44"/>
      <c r="F64" s="44"/>
      <c r="G64" s="44"/>
      <c r="H64" s="44"/>
      <c r="I64" s="44"/>
      <c r="J64" s="44"/>
      <c r="K64" s="44"/>
      <c r="L64" s="44"/>
    </row>
    <row r="65" ht="20" customHeight="1">
      <c r="A65" s="40" t="str">
        <v>ASP - CCG: change (%)</v>
      </c>
      <c r="B65" s="3"/>
      <c r="C65" s="44"/>
      <c r="D65" s="44" t="n">
        <v>0.02</v>
      </c>
      <c r="E65" s="44"/>
      <c r="F65" s="44"/>
      <c r="G65" s="44"/>
      <c r="H65" s="44"/>
      <c r="I65" s="44"/>
      <c r="J65" s="44"/>
      <c r="K65" s="44"/>
      <c r="L65" s="44"/>
    </row>
    <row r="66" ht="20" customHeight="1">
      <c r="A66" s="40" t="str">
        <v>Revenue - CCG: change (%)</v>
      </c>
      <c r="B66" s="3"/>
      <c r="C66" s="44"/>
      <c r="D66" s="44" t="n">
        <v>0.29</v>
      </c>
      <c r="E66" s="44"/>
      <c r="F66" s="44"/>
      <c r="G66" s="44"/>
      <c r="H66" s="44"/>
      <c r="I66" s="44"/>
      <c r="J66" s="44"/>
      <c r="K66" s="44"/>
      <c r="L66" s="44"/>
    </row>
    <row r="67" ht="20" customHeight="1">
      <c r="A67" s="40" t="str">
        <v>Cloud Service Provider - DCG: change (%)</v>
      </c>
      <c r="B67" s="3"/>
      <c r="C67" s="44"/>
      <c r="D67" s="44" t="n">
        <v>0.28</v>
      </c>
      <c r="E67" s="44"/>
      <c r="F67" s="44"/>
      <c r="G67" s="44"/>
      <c r="H67" s="44"/>
      <c r="I67" s="44"/>
      <c r="J67" s="44"/>
      <c r="K67" s="44"/>
      <c r="L67" s="44"/>
    </row>
    <row r="68" ht="20" customHeight="1">
      <c r="A68" s="40" t="str">
        <v>Enterprise and Government - DCG: change (%)</v>
      </c>
      <c r="B68" s="3"/>
      <c r="C68" s="44"/>
      <c r="D68" s="44" t="n">
        <v>-0.03</v>
      </c>
      <c r="E68" s="44"/>
      <c r="F68" s="44"/>
      <c r="G68" s="44"/>
      <c r="H68" s="44"/>
      <c r="I68" s="44"/>
      <c r="J68" s="44"/>
      <c r="K68" s="44"/>
      <c r="L68" s="44"/>
    </row>
    <row r="69" ht="20" customHeight="1">
      <c r="A69" s="40" t="str">
        <v>Communication Service Provider - DCG: change (%)</v>
      </c>
      <c r="B69" s="3"/>
      <c r="C69" s="44"/>
      <c r="D69" s="44" t="n">
        <v>0.15</v>
      </c>
      <c r="E69" s="44"/>
      <c r="F69" s="44"/>
      <c r="G69" s="44"/>
      <c r="H69" s="44"/>
      <c r="I69" s="44"/>
      <c r="J69" s="44"/>
      <c r="K69" s="44"/>
      <c r="L69" s="44"/>
    </row>
    <row r="70" ht="20" customHeight="1">
      <c r="A70" s="40" t="str">
        <v>Volume - DCG: change (%)</v>
      </c>
      <c r="B70" s="3"/>
      <c r="C70" s="44"/>
      <c r="D70" s="44" t="n">
        <v>0.05</v>
      </c>
      <c r="E70" s="44"/>
      <c r="F70" s="44"/>
      <c r="G70" s="44"/>
      <c r="H70" s="44"/>
      <c r="I70" s="44"/>
      <c r="J70" s="44"/>
      <c r="K70" s="44"/>
      <c r="L70" s="44"/>
    </row>
    <row r="71" ht="20" customHeight="1">
      <c r="A71" s="40" t="str">
        <v>ASP - DCG: change (%)</v>
      </c>
      <c r="B71" s="3"/>
      <c r="C71" s="44"/>
      <c r="D71" s="44" t="n">
        <v>0.04</v>
      </c>
      <c r="E71" s="44"/>
      <c r="F71" s="44"/>
      <c r="G71" s="44"/>
      <c r="H71" s="44"/>
      <c r="I71" s="44"/>
      <c r="J71" s="44"/>
      <c r="K71" s="44"/>
      <c r="L71" s="44"/>
    </row>
    <row r="72" ht="20" customHeight="1">
      <c r="A72" s="40" t="str">
        <v>Revenue - DCG: change (%)</v>
      </c>
      <c r="B72" s="3"/>
      <c r="C72" s="44"/>
      <c r="D72" s="44" t="n">
        <v>0.21</v>
      </c>
      <c r="E72" s="44"/>
      <c r="F72" s="44"/>
      <c r="G72" s="44"/>
      <c r="H72" s="44"/>
      <c r="I72" s="44"/>
      <c r="J72" s="44"/>
      <c r="K72" s="44"/>
      <c r="L72" s="44"/>
    </row>
    <row r="73" ht="20" customHeight="1">
      <c r="A73" s="40" t="str">
        <v>CCG platform unit sales - CCG: change (%)</v>
      </c>
      <c r="B73" s="3"/>
      <c r="C73" s="44" t="n">
        <v>-0.1</v>
      </c>
      <c r="D73" s="44"/>
      <c r="E73" s="44"/>
      <c r="F73" s="44"/>
      <c r="G73" s="44"/>
      <c r="H73" s="44"/>
      <c r="I73" s="44"/>
      <c r="J73" s="44"/>
      <c r="K73" s="44"/>
      <c r="L73" s="44"/>
    </row>
    <row r="74" ht="20" customHeight="1">
      <c r="A74" s="40" t="str">
        <v>CCG platform average selling prices - CCG: change (%)</v>
      </c>
      <c r="B74" s="3"/>
      <c r="C74" s="44" t="n">
        <v>0.11</v>
      </c>
      <c r="D74" s="44"/>
      <c r="E74" s="44"/>
      <c r="F74" s="44"/>
      <c r="G74" s="44"/>
      <c r="H74" s="44"/>
      <c r="I74" s="44"/>
      <c r="J74" s="44"/>
      <c r="K74" s="44"/>
      <c r="L74" s="44"/>
    </row>
    <row r="75" ht="20" customHeight="1">
      <c r="A75" s="40" t="str">
        <v>DCG platform unit sales - DCG: change (%)</v>
      </c>
      <c r="B75" s="3"/>
      <c r="C75" s="44" t="n">
        <v>0.08</v>
      </c>
      <c r="D75" s="44"/>
      <c r="E75" s="44"/>
      <c r="F75" s="44"/>
      <c r="G75" s="44"/>
      <c r="H75" s="44"/>
      <c r="I75" s="44"/>
      <c r="J75" s="44"/>
      <c r="K75" s="44"/>
      <c r="L75" s="44"/>
    </row>
    <row r="76" ht="20" customHeight="1">
      <c r="A76" s="40" t="str">
        <v>DCG platform average selling prices - DCG: change (%)</v>
      </c>
      <c r="B76" s="3"/>
      <c r="C76" s="44" t="n">
        <v>-0.01</v>
      </c>
      <c r="D76" s="44"/>
      <c r="E76" s="44"/>
      <c r="F76" s="44"/>
      <c r="G76" s="44"/>
      <c r="H76" s="44"/>
      <c r="I76" s="44"/>
      <c r="J76" s="44"/>
      <c r="K76" s="44"/>
      <c r="L76" s="44"/>
    </row>
    <row r="77" ht="8" customHeight="1">
      <c r="A77" s="3"/>
      <c r="B77" s="3"/>
      <c r="C77" s="3"/>
      <c r="D77" s="3"/>
      <c r="E77" s="3"/>
      <c r="F77" s="3"/>
      <c r="G77" s="3"/>
      <c r="H77" s="3"/>
      <c r="I77" s="3"/>
      <c r="J77" s="3"/>
      <c r="K77" s="3"/>
      <c r="L77" s="3"/>
    </row>
    <row r="78" ht="22" customHeight="1">
      <c r="A78" s="21" t="str">
        <v>Employees</v>
      </c>
      <c r="B78" s="21" t="str">
        <v>Employees</v>
      </c>
      <c r="C78" s="21" t="str">
        <v>Employees</v>
      </c>
      <c r="D78" s="21" t="str">
        <v>Employees</v>
      </c>
      <c r="E78" s="21" t="str">
        <v>Employees</v>
      </c>
      <c r="F78" s="21" t="str">
        <v>Employees</v>
      </c>
      <c r="G78" s="21" t="str">
        <v>Employees</v>
      </c>
      <c r="H78" s="21" t="str">
        <v>Employees</v>
      </c>
      <c r="I78" s="21" t="str">
        <v>Employees</v>
      </c>
      <c r="J78" s="21" t="str">
        <v>Employees</v>
      </c>
      <c r="K78" s="21" t="str">
        <v>Employees</v>
      </c>
      <c r="L78" s="21" t="str">
        <v>Employees</v>
      </c>
    </row>
    <row r="79" ht="22" customHeight="1">
      <c r="A79" s="49" t="str">
        <v>Employees (people)</v>
      </c>
      <c r="B79" s="3"/>
      <c r="C79" s="51" t="n">
        <v>106000</v>
      </c>
      <c r="D79" s="51" t="n">
        <v>102700</v>
      </c>
      <c r="E79" s="51" t="n">
        <v>107400</v>
      </c>
      <c r="F79" s="51" t="n">
        <v>110800</v>
      </c>
      <c r="G79" s="51" t="n">
        <v>110600</v>
      </c>
      <c r="H79" s="51" t="n">
        <v>121100</v>
      </c>
      <c r="I79" s="51" t="n">
        <v>131900</v>
      </c>
      <c r="J79" s="51" t="n">
        <v>124800</v>
      </c>
      <c r="K79" s="51" t="n">
        <v>108900</v>
      </c>
      <c r="L79" s="51" t="n">
        <v>85100</v>
      </c>
    </row>
    <row r="80" ht="8" customHeight="1">
      <c r="A80" s="3"/>
      <c r="B80" s="3"/>
      <c r="C80" s="3"/>
      <c r="D80" s="3"/>
      <c r="E80" s="3"/>
      <c r="F80" s="3"/>
      <c r="G80" s="3"/>
      <c r="H80" s="3"/>
      <c r="I80" s="3"/>
      <c r="J80" s="3"/>
      <c r="K80" s="3"/>
      <c r="L80" s="3"/>
    </row>
    <row r="81" ht="22" customHeight="1">
      <c r="A81" s="21" t="str">
        <v>Facilities (million square feet)</v>
      </c>
      <c r="B81" s="21" t="str">
        <v>Facilities (million square feet)</v>
      </c>
      <c r="C81" s="21" t="str">
        <v>Facilities (million square feet)</v>
      </c>
      <c r="D81" s="21" t="str">
        <v>Facilities (million square feet)</v>
      </c>
      <c r="E81" s="21" t="str">
        <v>Facilities (million square feet)</v>
      </c>
      <c r="F81" s="21" t="str">
        <v>Facilities (million square feet)</v>
      </c>
      <c r="G81" s="21" t="str">
        <v>Facilities (million square feet)</v>
      </c>
      <c r="H81" s="21" t="str">
        <v>Facilities (million square feet)</v>
      </c>
      <c r="I81" s="21" t="str">
        <v>Facilities (million square feet)</v>
      </c>
      <c r="J81" s="21" t="str">
        <v>Facilities (million square feet)</v>
      </c>
      <c r="K81" s="21" t="str">
        <v>Facilities (million square feet)</v>
      </c>
      <c r="L81" s="21" t="str">
        <v>Facilities (million square feet)</v>
      </c>
    </row>
    <row r="82" ht="22" customHeight="1">
      <c r="A82" s="49" t="str">
        <v>Owned facilities [UnitedStates]</v>
      </c>
      <c r="B82" s="3"/>
      <c r="C82" s="51" t="n">
        <v>31.5</v>
      </c>
      <c r="D82" s="51" t="n">
        <v>31.3</v>
      </c>
      <c r="E82" s="51" t="n">
        <v>30.5</v>
      </c>
      <c r="F82" s="51" t="n">
        <v>31.3</v>
      </c>
      <c r="G82" s="51" t="n">
        <v>31</v>
      </c>
      <c r="H82" s="51" t="n">
        <v>31</v>
      </c>
      <c r="I82" s="51" t="n">
        <v>34</v>
      </c>
      <c r="J82" s="51" t="n">
        <v>38</v>
      </c>
      <c r="K82" s="51" t="n">
        <v>35</v>
      </c>
      <c r="L82" s="51" t="n">
        <v>35</v>
      </c>
    </row>
    <row r="83" ht="22" customHeight="1">
      <c r="A83" s="49" t="str">
        <v>Owned facilities [OtherCountries]</v>
      </c>
      <c r="B83" s="3"/>
      <c r="C83" s="51" t="n">
        <v>19.2</v>
      </c>
      <c r="D83" s="51" t="n">
        <v>17.9</v>
      </c>
      <c r="E83" s="51" t="n">
        <v>22.2</v>
      </c>
      <c r="F83" s="51" t="n">
        <v>22.3</v>
      </c>
      <c r="G83" s="51" t="n">
        <v>23</v>
      </c>
      <c r="H83" s="51" t="n">
        <v>24</v>
      </c>
      <c r="I83" s="51" t="n">
        <v>25</v>
      </c>
      <c r="J83" s="51" t="n">
        <v>28</v>
      </c>
      <c r="K83" s="51" t="n">
        <v>28</v>
      </c>
      <c r="L83" s="51" t="n">
        <v>25</v>
      </c>
    </row>
    <row r="84" ht="22" customHeight="1">
      <c r="A84" s="49" t="str">
        <v>Owned facilities [Total]</v>
      </c>
      <c r="B84" s="3"/>
      <c r="C84" s="51" t="n">
        <v>50.7</v>
      </c>
      <c r="D84" s="51" t="n">
        <v>49.2</v>
      </c>
      <c r="E84" s="51" t="n">
        <v>52.7</v>
      </c>
      <c r="F84" s="51" t="n">
        <v>53.6</v>
      </c>
      <c r="G84" s="51" t="n">
        <v>54</v>
      </c>
      <c r="H84" s="51" t="n">
        <v>55</v>
      </c>
      <c r="I84" s="51" t="n">
        <v>59</v>
      </c>
      <c r="J84" s="51" t="n">
        <v>66</v>
      </c>
      <c r="K84" s="51" t="n">
        <v>63</v>
      </c>
      <c r="L84" s="51" t="n">
        <v>60</v>
      </c>
    </row>
    <row r="85" ht="22" customHeight="1">
      <c r="A85" s="49" t="str">
        <v>Leased facilities [UnitedStates]</v>
      </c>
      <c r="B85" s="3"/>
      <c r="C85" s="51" t="n">
        <v>2.5</v>
      </c>
      <c r="D85" s="51" t="n">
        <v>1.6</v>
      </c>
      <c r="E85" s="51" t="n">
        <v>1</v>
      </c>
      <c r="F85" s="51" t="n">
        <v>0.8</v>
      </c>
      <c r="G85" s="51" t="n">
        <v>1</v>
      </c>
      <c r="H85" s="51" t="n">
        <v>1</v>
      </c>
      <c r="I85" s="51" t="n">
        <v>1</v>
      </c>
      <c r="J85" s="51" t="n">
        <v>2</v>
      </c>
      <c r="K85" s="51" t="n">
        <v>3</v>
      </c>
      <c r="L85" s="51" t="n">
        <v>2</v>
      </c>
    </row>
    <row r="86" ht="22" customHeight="1">
      <c r="A86" s="49" t="str">
        <v>Leased facilities [OtherCountries]</v>
      </c>
      <c r="B86" s="3"/>
      <c r="C86" s="51" t="n">
        <v>7.1</v>
      </c>
      <c r="D86" s="51" t="n">
        <v>6.3</v>
      </c>
      <c r="E86" s="51" t="n">
        <v>6.6</v>
      </c>
      <c r="F86" s="51" t="n">
        <v>5.4</v>
      </c>
      <c r="G86" s="51" t="n">
        <v>5</v>
      </c>
      <c r="H86" s="51" t="n">
        <v>5</v>
      </c>
      <c r="I86" s="51" t="n">
        <v>5</v>
      </c>
      <c r="J86" s="51" t="n">
        <v>5</v>
      </c>
      <c r="K86" s="51" t="n">
        <v>4</v>
      </c>
      <c r="L86" s="51" t="n">
        <v>3</v>
      </c>
    </row>
    <row r="87" ht="22" customHeight="1">
      <c r="A87" s="49" t="str">
        <v>Leased facilities [Total]</v>
      </c>
      <c r="B87" s="3"/>
      <c r="C87" s="51" t="n">
        <v>9.6</v>
      </c>
      <c r="D87" s="51" t="n">
        <v>7.9</v>
      </c>
      <c r="E87" s="51" t="n">
        <v>7.6</v>
      </c>
      <c r="F87" s="51" t="n">
        <v>6.2</v>
      </c>
      <c r="G87" s="51" t="n">
        <v>6</v>
      </c>
      <c r="H87" s="51" t="n">
        <v>6</v>
      </c>
      <c r="I87" s="51" t="n">
        <v>6</v>
      </c>
      <c r="J87" s="51" t="n">
        <v>7</v>
      </c>
      <c r="K87" s="51" t="n">
        <v>7</v>
      </c>
      <c r="L87" s="51" t="n">
        <v>5</v>
      </c>
    </row>
    <row r="88" ht="24" customHeight="1">
      <c r="A88" s="34" t="str">
        <v>Total facilities [UnitedStates]</v>
      </c>
      <c r="B88" s="35"/>
      <c r="C88" s="36" t="n">
        <v>34</v>
      </c>
      <c r="D88" s="36" t="n">
        <v>32.9</v>
      </c>
      <c r="E88" s="36" t="n">
        <v>31.5</v>
      </c>
      <c r="F88" s="36" t="n">
        <v>32.1</v>
      </c>
      <c r="G88" s="36" t="n">
        <v>32</v>
      </c>
      <c r="H88" s="36" t="n">
        <v>32</v>
      </c>
      <c r="I88" s="36" t="n">
        <v>35</v>
      </c>
      <c r="J88" s="36" t="n">
        <v>40</v>
      </c>
      <c r="K88" s="36" t="n">
        <v>38</v>
      </c>
      <c r="L88" s="36" t="n">
        <v>37</v>
      </c>
    </row>
    <row r="89" ht="24" customHeight="1">
      <c r="A89" s="34" t="str">
        <v>Total facilities [OtherCountries]</v>
      </c>
      <c r="B89" s="35"/>
      <c r="C89" s="36" t="n">
        <v>26.3</v>
      </c>
      <c r="D89" s="36" t="n">
        <v>24.2</v>
      </c>
      <c r="E89" s="36" t="n">
        <v>28.8</v>
      </c>
      <c r="F89" s="36" t="n">
        <v>27.7</v>
      </c>
      <c r="G89" s="36" t="n">
        <v>28</v>
      </c>
      <c r="H89" s="36" t="n">
        <v>29</v>
      </c>
      <c r="I89" s="36" t="n">
        <v>30</v>
      </c>
      <c r="J89" s="36" t="n">
        <v>33</v>
      </c>
      <c r="K89" s="36" t="n">
        <v>32</v>
      </c>
      <c r="L89" s="36" t="n">
        <v>28</v>
      </c>
    </row>
    <row r="90" ht="24" customHeight="1">
      <c r="A90" s="34" t="str">
        <v>Total facilities [Total]</v>
      </c>
      <c r="B90" s="35"/>
      <c r="C90" s="36" t="n">
        <v>60.3</v>
      </c>
      <c r="D90" s="36" t="n">
        <v>57.1</v>
      </c>
      <c r="E90" s="36" t="n">
        <v>60.3</v>
      </c>
      <c r="F90" s="36" t="n">
        <v>59.8</v>
      </c>
      <c r="G90" s="36" t="n">
        <v>60</v>
      </c>
      <c r="H90" s="36" t="n">
        <v>61</v>
      </c>
      <c r="I90" s="36" t="n">
        <v>65</v>
      </c>
      <c r="J90" s="36" t="n">
        <v>73</v>
      </c>
      <c r="K90" s="36" t="n">
        <v>70</v>
      </c>
      <c r="L90" s="36" t="n">
        <v>65</v>
      </c>
    </row>
    <row r="91" ht="8" customHeight="1">
      <c r="A91" s="3"/>
      <c r="B91" s="3"/>
      <c r="C91" s="3"/>
      <c r="D91" s="3"/>
      <c r="E91" s="3"/>
      <c r="F91" s="3"/>
      <c r="G91" s="3"/>
      <c r="H91" s="3"/>
      <c r="I91" s="3"/>
      <c r="J91" s="3"/>
      <c r="K91" s="3"/>
      <c r="L91" s="3"/>
    </row>
    <row r="92" ht="22" customHeight="1">
      <c r="A92" s="21" t="str">
        <v>Other MD&amp;A tables</v>
      </c>
      <c r="B92" s="21" t="str">
        <v>Other MD&amp;A tables</v>
      </c>
      <c r="C92" s="21" t="str">
        <v>Other MD&amp;A tables</v>
      </c>
      <c r="D92" s="21" t="str">
        <v>Other MD&amp;A tables</v>
      </c>
      <c r="E92" s="21" t="str">
        <v>Other MD&amp;A tables</v>
      </c>
      <c r="F92" s="21" t="str">
        <v>Other MD&amp;A tables</v>
      </c>
      <c r="G92" s="21" t="str">
        <v>Other MD&amp;A tables</v>
      </c>
      <c r="H92" s="21" t="str">
        <v>Other MD&amp;A tables</v>
      </c>
      <c r="I92" s="21" t="str">
        <v>Other MD&amp;A tables</v>
      </c>
      <c r="J92" s="21" t="str">
        <v>Other MD&amp;A tables</v>
      </c>
      <c r="K92" s="21" t="str">
        <v>Other MD&amp;A tables</v>
      </c>
      <c r="L92" s="21" t="str">
        <v>Other MD&amp;A tables</v>
      </c>
    </row>
    <row r="93" ht="22" customHeight="1">
      <c r="A93" s="49" t="str">
        <v>Research and development (R&amp;D)</v>
      </c>
      <c r="B93" s="3"/>
      <c r="C93" s="51" t="n">
        <v>12740</v>
      </c>
      <c r="D93" s="51"/>
      <c r="E93" s="51"/>
      <c r="F93" s="51"/>
      <c r="G93" s="51"/>
      <c r="H93" s="51"/>
      <c r="I93" s="51"/>
      <c r="J93" s="51"/>
      <c r="K93" s="51"/>
      <c r="L93" s="51"/>
    </row>
    <row r="94" ht="22" customHeight="1">
      <c r="A94" s="49" t="str">
        <v>Marketing, general and administrative (MG&amp;A)</v>
      </c>
      <c r="B94" s="3"/>
      <c r="C94" s="51" t="n">
        <v>8397</v>
      </c>
      <c r="D94" s="51"/>
      <c r="E94" s="51"/>
      <c r="F94" s="51"/>
      <c r="G94" s="51"/>
      <c r="H94" s="51"/>
      <c r="I94" s="51"/>
      <c r="J94" s="51"/>
      <c r="K94" s="51"/>
      <c r="L94" s="51"/>
    </row>
    <row r="95" ht="20" customHeight="1">
      <c r="A95" s="40" t="str">
        <v>R&amp;D and MG&amp;A as percentage of net revenue</v>
      </c>
      <c r="B95" s="3"/>
      <c r="C95" s="44" t="n">
        <v>0.35600000000000004</v>
      </c>
      <c r="D95" s="44"/>
      <c r="E95" s="44"/>
      <c r="F95" s="44"/>
      <c r="G95" s="44"/>
      <c r="H95" s="44"/>
      <c r="I95" s="44"/>
      <c r="J95" s="44"/>
      <c r="K95" s="44"/>
      <c r="L95" s="44"/>
    </row>
    <row r="96" ht="22" customHeight="1">
      <c r="A96" s="49" t="str">
        <v>Restructuring and other charges</v>
      </c>
      <c r="B96" s="3"/>
      <c r="C96" s="51" t="n">
        <v>1886</v>
      </c>
      <c r="D96" s="51"/>
      <c r="E96" s="51"/>
      <c r="F96" s="51"/>
      <c r="G96" s="51"/>
      <c r="H96" s="51"/>
      <c r="I96" s="51"/>
      <c r="J96" s="51"/>
      <c r="K96" s="51"/>
      <c r="L96" s="51"/>
    </row>
    <row r="97" ht="22" customHeight="1">
      <c r="A97" s="49" t="str">
        <v>Amortization of acquisition-related intangibles</v>
      </c>
      <c r="B97" s="3"/>
      <c r="C97" s="51" t="n">
        <v>294</v>
      </c>
      <c r="D97" s="51"/>
      <c r="E97" s="51"/>
      <c r="F97" s="51"/>
      <c r="G97" s="51"/>
      <c r="H97" s="51"/>
      <c r="I97" s="51"/>
      <c r="J97" s="51"/>
      <c r="K97" s="51"/>
      <c r="L97" s="51"/>
    </row>
    <row r="98" ht="22" customHeight="1">
      <c r="A98" s="49" t="str">
        <v>Gains (losses) on equity investments, net</v>
      </c>
      <c r="B98" s="3"/>
      <c r="C98" s="51" t="n">
        <v>506</v>
      </c>
      <c r="D98" s="51" t="n">
        <v>2651</v>
      </c>
      <c r="E98" s="51" t="n">
        <v>-125</v>
      </c>
      <c r="F98" s="51"/>
      <c r="G98" s="51"/>
      <c r="H98" s="51"/>
      <c r="I98" s="51"/>
      <c r="J98" s="51"/>
      <c r="K98" s="51"/>
      <c r="L98" s="51"/>
    </row>
    <row r="99" ht="22" customHeight="1">
      <c r="A99" s="49" t="str">
        <v>Interest and other, net</v>
      </c>
      <c r="B99" s="3"/>
      <c r="C99" s="51" t="n">
        <v>-444</v>
      </c>
      <c r="D99" s="51" t="n">
        <v>-235</v>
      </c>
      <c r="E99" s="51" t="n">
        <v>126</v>
      </c>
      <c r="F99" s="51"/>
      <c r="G99" s="51"/>
      <c r="H99" s="51"/>
      <c r="I99" s="51"/>
      <c r="J99" s="51"/>
      <c r="K99" s="51"/>
      <c r="L99" s="51"/>
    </row>
    <row r="100" ht="8" customHeight="1">
      <c r="A100" s="3"/>
      <c r="B100" s="3"/>
      <c r="C100" s="3"/>
      <c r="D100" s="3"/>
      <c r="E100" s="3"/>
      <c r="F100" s="3"/>
      <c r="G100" s="3"/>
      <c r="H100" s="3"/>
      <c r="I100" s="3"/>
      <c r="J100" s="3"/>
      <c r="K100" s="3"/>
      <c r="L100" s="3"/>
    </row>
    <row r="101" ht="22" customHeight="1">
      <c r="A101" s="21" t="str">
        <v>Official growth attribution: Intel consolidated: gross margin bridge</v>
      </c>
      <c r="B101" s="21" t="str">
        <v>Official growth attribution: Intel consolidated: gross margin bridge</v>
      </c>
      <c r="C101" s="21" t="str">
        <v>Official growth attribution: Intel consolidated: gross margin bridge</v>
      </c>
      <c r="D101" s="21" t="str">
        <v>Official growth attribution: Intel consolidated: gross margin bridge</v>
      </c>
      <c r="E101" s="21" t="str">
        <v>Official growth attribution: Intel consolidated: gross margin bridge</v>
      </c>
      <c r="F101" s="21" t="str">
        <v>Official growth attribution: Intel consolidated: gross margin bridge</v>
      </c>
      <c r="G101" s="21" t="str">
        <v>Official growth attribution: Intel consolidated: gross margin bridge</v>
      </c>
      <c r="H101" s="21" t="str">
        <v>Official growth attribution: Intel consolidated: gross margin bridge</v>
      </c>
      <c r="I101" s="21" t="str">
        <v>Official growth attribution: Intel consolidated: gross margin bridge</v>
      </c>
      <c r="J101" s="21" t="str">
        <v>Official growth attribution: Intel consolidated: gross margin bridge</v>
      </c>
      <c r="K101" s="21" t="str">
        <v>Official growth attribution: Intel consolidated: gross margin bridge</v>
      </c>
      <c r="L101" s="21" t="str">
        <v>Official growth attribution: Intel consolidated: gross margin bridge</v>
      </c>
    </row>
    <row r="102" ht="18" customHeight="1">
      <c r="A102" s="22" t="str">
        <v>Company-disclosed year-on-year contributions in USD million. Only the filing year’s own comparison is shown; duplicated bridge endpoints remain in source records.</v>
      </c>
      <c r="B102" s="22" t="str">
        <v>Company-disclosed year-on-year contributions in USD million. Only the filing year’s own comparison is shown; duplicated bridge endpoints remain in source records.</v>
      </c>
      <c r="C102" s="22" t="str">
        <v>Company-disclosed year-on-year contributions in USD million. Only the filing year’s own comparison is shown; duplicated bridge endpoints remain in source records.</v>
      </c>
      <c r="D102" s="22" t="str">
        <v>Company-disclosed year-on-year contributions in USD million. Only the filing year’s own comparison is shown; duplicated bridge endpoints remain in source records.</v>
      </c>
      <c r="E102" s="22" t="str">
        <v>Company-disclosed year-on-year contributions in USD million. Only the filing year’s own comparison is shown; duplicated bridge endpoints remain in source records.</v>
      </c>
      <c r="F102" s="22" t="str">
        <v>Company-disclosed year-on-year contributions in USD million. Only the filing year’s own comparison is shown; duplicated bridge endpoints remain in source records.</v>
      </c>
      <c r="G102" s="22" t="str">
        <v>Company-disclosed year-on-year contributions in USD million. Only the filing year’s own comparison is shown; duplicated bridge endpoints remain in source records.</v>
      </c>
      <c r="H102" s="22" t="str">
        <v>Company-disclosed year-on-year contributions in USD million. Only the filing year’s own comparison is shown; duplicated bridge endpoints remain in source records.</v>
      </c>
      <c r="I102" s="22" t="str">
        <v>Company-disclosed year-on-year contributions in USD million. Only the filing year’s own comparison is shown; duplicated bridge endpoints remain in source records.</v>
      </c>
      <c r="J102" s="22" t="str">
        <v>Company-disclosed year-on-year contributions in USD million. Only the filing year’s own comparison is shown; duplicated bridge endpoints remain in source records.</v>
      </c>
      <c r="K102" s="22" t="str">
        <v>Company-disclosed year-on-year contributions in USD million. Only the filing year’s own comparison is shown; duplicated bridge endpoints remain in source records.</v>
      </c>
      <c r="L102" s="22" t="str">
        <v>Company-disclosed year-on-year contributions in USD million. Only the filing year’s own comparison is shown; duplicated bridge endpoints remain in source records.</v>
      </c>
    </row>
    <row r="103" ht="22" customHeight="1">
      <c r="A103" s="49" t="str">
        <v>Higher gross margin from platform revenue</v>
      </c>
      <c r="B103" s="3"/>
      <c r="C103" s="51" t="n">
        <v>1830</v>
      </c>
      <c r="D103" s="51" t="n">
        <v>2380</v>
      </c>
      <c r="E103" s="51" t="n">
        <v>5810</v>
      </c>
      <c r="F103" s="51" t="n">
        <v>580</v>
      </c>
      <c r="G103" s="51" t="n">
        <v>2360</v>
      </c>
      <c r="H103" s="51" t="n">
        <v>1010</v>
      </c>
      <c r="I103" s="51"/>
      <c r="J103" s="51"/>
      <c r="K103" s="51"/>
      <c r="L103" s="51"/>
    </row>
    <row r="104" ht="22" customHeight="1">
      <c r="A104" s="49" t="str">
        <v>PSG gross margin from acquisition of Altera</v>
      </c>
      <c r="B104" s="3"/>
      <c r="C104" s="51" t="n">
        <v>1150</v>
      </c>
      <c r="D104" s="51"/>
      <c r="E104" s="51"/>
      <c r="F104" s="51"/>
      <c r="G104" s="51"/>
      <c r="H104" s="51"/>
      <c r="I104" s="51"/>
      <c r="J104" s="51"/>
      <c r="K104" s="51"/>
      <c r="L104" s="51"/>
    </row>
    <row r="105" ht="22" customHeight="1">
      <c r="A105" s="49" t="str">
        <v>Lower platform unit cost</v>
      </c>
      <c r="B105" s="3"/>
      <c r="C105" s="51" t="n">
        <v>935</v>
      </c>
      <c r="D105" s="51"/>
      <c r="E105" s="51"/>
      <c r="F105" s="51"/>
      <c r="G105" s="51"/>
      <c r="H105" s="51"/>
      <c r="I105" s="51"/>
      <c r="J105" s="51"/>
      <c r="K105" s="51"/>
      <c r="L105" s="51"/>
    </row>
    <row r="106" ht="22" customHeight="1">
      <c r="A106" s="49" t="str">
        <v>Altera and other acquisition-related charges</v>
      </c>
      <c r="B106" s="3"/>
      <c r="C106" s="51" t="n">
        <v>-1045</v>
      </c>
      <c r="D106" s="51"/>
      <c r="E106" s="51"/>
      <c r="F106" s="51"/>
      <c r="G106" s="51"/>
      <c r="H106" s="51"/>
      <c r="I106" s="51"/>
      <c r="J106" s="51"/>
      <c r="K106" s="51"/>
      <c r="L106" s="51"/>
    </row>
    <row r="107" ht="22" customHeight="1">
      <c r="A107" s="49" t="str">
        <v>Lower NSG gross margin</v>
      </c>
      <c r="B107" s="3"/>
      <c r="C107" s="51" t="n">
        <v>-690</v>
      </c>
      <c r="D107" s="51"/>
      <c r="E107" s="51"/>
      <c r="F107" s="51"/>
      <c r="G107" s="51"/>
      <c r="H107" s="51"/>
      <c r="I107" s="51"/>
      <c r="J107" s="51"/>
      <c r="K107" s="51"/>
      <c r="L107" s="51"/>
    </row>
    <row r="108" ht="36" customHeight="1">
      <c r="A108" s="49" t="str">
        <v>Higher factory start-up costs, primarily driven by the ramp of our 10nm process technology</v>
      </c>
      <c r="B108" s="3"/>
      <c r="C108" s="51" t="n">
        <v>-645</v>
      </c>
      <c r="D108" s="51" t="n">
        <v>-535</v>
      </c>
      <c r="E108" s="51"/>
      <c r="F108" s="51"/>
      <c r="G108" s="51"/>
      <c r="H108" s="51"/>
      <c r="I108" s="51"/>
      <c r="J108" s="51"/>
      <c r="K108" s="51"/>
      <c r="L108" s="51"/>
    </row>
    <row r="109" ht="36" customHeight="1">
      <c r="A109" s="49" t="str">
        <v>Period charges associated with product warranty and intellectual property agreements</v>
      </c>
      <c r="B109" s="3"/>
      <c r="C109" s="51" t="n">
        <v>-315</v>
      </c>
      <c r="D109" s="51"/>
      <c r="E109" s="51"/>
      <c r="F109" s="51"/>
      <c r="G109" s="51"/>
      <c r="H109" s="51"/>
      <c r="I109" s="51"/>
      <c r="J109" s="51"/>
      <c r="K109" s="51"/>
      <c r="L109" s="51"/>
    </row>
    <row r="110" ht="22" customHeight="1">
      <c r="A110" s="49" t="str">
        <v>Other</v>
      </c>
      <c r="B110" s="3"/>
      <c r="C110" s="51" t="n">
        <v>292</v>
      </c>
      <c r="D110" s="51" t="n">
        <v>-47</v>
      </c>
      <c r="E110" s="51"/>
      <c r="F110" s="51" t="n">
        <v>-7</v>
      </c>
      <c r="G110" s="51" t="n">
        <v>12</v>
      </c>
      <c r="H110" s="51" t="n">
        <v>-72</v>
      </c>
      <c r="I110" s="51" t="n">
        <v>422</v>
      </c>
      <c r="J110" s="51" t="n">
        <v>-533</v>
      </c>
      <c r="K110" s="51"/>
      <c r="L110" s="51"/>
    </row>
    <row r="111" ht="36" customHeight="1">
      <c r="A111" s="49" t="str">
        <v>Lower platform unit cost, primarily on 14nm cost improvement</v>
      </c>
      <c r="B111" s="3"/>
      <c r="C111" s="51"/>
      <c r="D111" s="51" t="n">
        <v>1010</v>
      </c>
      <c r="E111" s="51"/>
      <c r="F111" s="51"/>
      <c r="G111" s="51"/>
      <c r="H111" s="51"/>
      <c r="I111" s="51"/>
      <c r="J111" s="51"/>
      <c r="K111" s="51"/>
      <c r="L111" s="51"/>
    </row>
    <row r="112" ht="22" customHeight="1">
      <c r="A112" s="49" t="str">
        <v>Lower Altera and other acquisition-related charges</v>
      </c>
      <c r="B112" s="3"/>
      <c r="C112" s="51"/>
      <c r="D112" s="51" t="n">
        <v>420</v>
      </c>
      <c r="E112" s="51"/>
      <c r="F112" s="51"/>
      <c r="G112" s="51"/>
      <c r="H112" s="51"/>
      <c r="I112" s="51"/>
      <c r="J112" s="51"/>
      <c r="K112" s="51"/>
      <c r="L112" s="51"/>
    </row>
    <row r="113" ht="36" customHeight="1">
      <c r="A113" s="49" t="str">
        <v>Lower period charges associated with product warranty and intellectual property agreements incurred in 2016</v>
      </c>
      <c r="B113" s="3"/>
      <c r="C113" s="51"/>
      <c r="D113" s="51" t="n">
        <v>315</v>
      </c>
      <c r="E113" s="51"/>
      <c r="F113" s="51"/>
      <c r="G113" s="51"/>
      <c r="H113" s="51"/>
      <c r="I113" s="51"/>
      <c r="J113" s="51"/>
      <c r="K113" s="51"/>
      <c r="L113" s="51"/>
    </row>
    <row r="114" ht="36" customHeight="1">
      <c r="A114" s="49" t="str">
        <v>Impact of the ISecG divestiture, offset by higher gross margin from adjacent businesses</v>
      </c>
      <c r="B114" s="3"/>
      <c r="C114" s="51"/>
      <c r="D114" s="51" t="n">
        <v>-390</v>
      </c>
      <c r="E114" s="51"/>
      <c r="F114" s="51"/>
      <c r="G114" s="51"/>
      <c r="H114" s="51"/>
      <c r="I114" s="51"/>
      <c r="J114" s="51"/>
      <c r="K114" s="51"/>
      <c r="L114" s="51"/>
    </row>
    <row r="115" ht="50" customHeight="1">
      <c r="A115" s="49" t="str">
        <v>Period charges primarily associated with engineering samples and higher initial production costs from our 10nm products</v>
      </c>
      <c r="B115" s="3"/>
      <c r="C115" s="51"/>
      <c r="D115" s="51" t="n">
        <v>-275</v>
      </c>
      <c r="E115" s="51"/>
      <c r="F115" s="51"/>
      <c r="G115" s="51"/>
      <c r="H115" s="51"/>
      <c r="I115" s="51"/>
      <c r="J115" s="51"/>
      <c r="K115" s="51"/>
      <c r="L115" s="51"/>
    </row>
    <row r="116" ht="36" customHeight="1">
      <c r="A116" s="49" t="str">
        <v>Higher platform unit cost, primarily from increased mix of performance products</v>
      </c>
      <c r="B116" s="3"/>
      <c r="C116" s="51"/>
      <c r="D116" s="51"/>
      <c r="E116" s="51" t="n">
        <v>-1085</v>
      </c>
      <c r="F116" s="51"/>
      <c r="G116" s="51"/>
      <c r="H116" s="51"/>
      <c r="I116" s="51"/>
      <c r="J116" s="51"/>
      <c r="K116" s="51"/>
      <c r="L116" s="51"/>
    </row>
    <row r="117" ht="36" customHeight="1">
      <c r="A117" s="49" t="str">
        <v>Other, primarily due to impact from divestitures, offset by higher gross margin from adjacent businesses</v>
      </c>
      <c r="B117" s="3"/>
      <c r="C117" s="51"/>
      <c r="D117" s="51"/>
      <c r="E117" s="51" t="n">
        <v>-86</v>
      </c>
      <c r="F117" s="51"/>
      <c r="G117" s="51"/>
      <c r="H117" s="51"/>
      <c r="I117" s="51"/>
      <c r="J117" s="51"/>
      <c r="K117" s="51"/>
      <c r="L117" s="51"/>
    </row>
    <row r="118" ht="50" customHeight="1">
      <c r="A118" s="49" t="str">
        <v>Lower gross margin from adjacent businesses primarily due to NAND, DCG adjacencies, and PSG offset by higher gross margin on Mobileye</v>
      </c>
      <c r="B118" s="3"/>
      <c r="C118" s="51"/>
      <c r="D118" s="51"/>
      <c r="E118" s="51"/>
      <c r="F118" s="51" t="n">
        <v>-1360</v>
      </c>
      <c r="G118" s="51"/>
      <c r="H118" s="51"/>
      <c r="I118" s="51"/>
      <c r="J118" s="51"/>
      <c r="K118" s="51"/>
      <c r="L118" s="51"/>
    </row>
    <row r="119" ht="36" customHeight="1">
      <c r="A119" s="49" t="str">
        <v>Higher platform unit cost primarily from increased mix of performance products</v>
      </c>
      <c r="B119" s="3"/>
      <c r="C119" s="51"/>
      <c r="D119" s="51"/>
      <c r="E119" s="51"/>
      <c r="F119" s="51" t="n">
        <v>-1300</v>
      </c>
      <c r="G119" s="51"/>
      <c r="H119" s="51"/>
      <c r="I119" s="51"/>
      <c r="J119" s="51"/>
      <c r="K119" s="51"/>
      <c r="L119" s="51"/>
    </row>
    <row r="120" ht="66" customHeight="1">
      <c r="A120" s="49" t="str">
        <v>Lower period charges primarily due to lower factory start-up costs and sell-through of previously reserved non-qualified platform product, offset by higher initial production costs associated with our 10nm process technology</v>
      </c>
      <c r="B120" s="3"/>
      <c r="C120" s="51"/>
      <c r="D120" s="51"/>
      <c r="E120" s="51"/>
      <c r="F120" s="51" t="n">
        <v>490</v>
      </c>
      <c r="G120" s="51"/>
      <c r="H120" s="51"/>
      <c r="I120" s="51"/>
      <c r="J120" s="51"/>
      <c r="K120" s="51"/>
      <c r="L120" s="51"/>
    </row>
    <row r="121" ht="50" customHeight="1">
      <c r="A121" s="49" t="str">
        <v>Higher gross margin from adjacent businesses primarily due to higher margins on NAND, modem, and Wi-Fi, partially offset by lower margins on DCG adjacencies</v>
      </c>
      <c r="B121" s="3"/>
      <c r="C121" s="51"/>
      <c r="D121" s="51"/>
      <c r="E121" s="51"/>
      <c r="F121" s="51"/>
      <c r="G121" s="51" t="n">
        <v>1855</v>
      </c>
      <c r="H121" s="51"/>
      <c r="I121" s="51"/>
      <c r="J121" s="51"/>
      <c r="K121" s="51"/>
      <c r="L121" s="51"/>
    </row>
    <row r="122" ht="36" customHeight="1">
      <c r="A122" s="49" t="str">
        <v>Lower factory start-up costs associated with our 10nm process technology</v>
      </c>
      <c r="B122" s="3"/>
      <c r="C122" s="51"/>
      <c r="D122" s="51"/>
      <c r="E122" s="51"/>
      <c r="F122" s="51"/>
      <c r="G122" s="51" t="n">
        <v>630</v>
      </c>
      <c r="H122" s="51"/>
      <c r="I122" s="51"/>
      <c r="J122" s="51"/>
      <c r="K122" s="51"/>
      <c r="L122" s="51"/>
    </row>
    <row r="123" ht="22" customHeight="1">
      <c r="A123" s="49" t="str">
        <v>Lower period charges</v>
      </c>
      <c r="B123" s="3"/>
      <c r="C123" s="51"/>
      <c r="D123" s="51"/>
      <c r="E123" s="51"/>
      <c r="F123" s="51"/>
      <c r="G123" s="51" t="n">
        <v>155</v>
      </c>
      <c r="H123" s="51"/>
      <c r="I123" s="51"/>
      <c r="J123" s="51"/>
      <c r="K123" s="51"/>
      <c r="L123" s="51"/>
    </row>
    <row r="124" ht="36" customHeight="1">
      <c r="A124" s="49" t="str">
        <v>Higher platform unit cost primarily from increased mix of 10nm products</v>
      </c>
      <c r="B124" s="3"/>
      <c r="C124" s="51"/>
      <c r="D124" s="51"/>
      <c r="E124" s="51"/>
      <c r="F124" s="51"/>
      <c r="G124" s="51" t="n">
        <v>-3285</v>
      </c>
      <c r="H124" s="51"/>
      <c r="I124" s="51"/>
      <c r="J124" s="51"/>
      <c r="K124" s="51"/>
      <c r="L124" s="51"/>
    </row>
    <row r="125" ht="36" customHeight="1">
      <c r="A125" s="49" t="str">
        <v>Primarily driven by higher logistic expenses due to COVID-19</v>
      </c>
      <c r="B125" s="3"/>
      <c r="C125" s="51"/>
      <c r="D125" s="51"/>
      <c r="E125" s="51"/>
      <c r="F125" s="51"/>
      <c r="G125" s="51" t="n">
        <v>-255</v>
      </c>
      <c r="H125" s="51"/>
      <c r="I125" s="51"/>
      <c r="J125" s="51"/>
      <c r="K125" s="51"/>
      <c r="L125" s="51"/>
    </row>
    <row r="126" ht="82" customHeight="1">
      <c r="A126" s="49" t="str">
        <v>Higher gross margin from adjacent businesses primarily due to the absence of depreciation expense from NAND property, plant and equipment that was held for sale, increased Mobileye volume and higher margins on wireless and connectivity</v>
      </c>
      <c r="B126" s="3"/>
      <c r="C126" s="51"/>
      <c r="D126" s="51"/>
      <c r="E126" s="51"/>
      <c r="F126" s="51"/>
      <c r="G126" s="51"/>
      <c r="H126" s="51" t="n">
        <v>680</v>
      </c>
      <c r="I126" s="51"/>
      <c r="J126" s="51"/>
      <c r="K126" s="51"/>
      <c r="L126" s="51"/>
    </row>
    <row r="127" ht="36" customHeight="1">
      <c r="A127" s="49" t="str">
        <v>Prepaid customer supply agreement settled and recognized to revenue in Q1 2021</v>
      </c>
      <c r="B127" s="3"/>
      <c r="C127" s="51"/>
      <c r="D127" s="51"/>
      <c r="E127" s="51"/>
      <c r="F127" s="51"/>
      <c r="G127" s="51"/>
      <c r="H127" s="51" t="n">
        <v>585</v>
      </c>
      <c r="I127" s="51"/>
      <c r="J127" s="51"/>
      <c r="K127" s="51"/>
      <c r="L127" s="51"/>
    </row>
    <row r="128" ht="66" customHeight="1">
      <c r="A128" s="49" t="str">
        <v>Lower period charges driven by a decrease in engineering samples and lower reserves taken on non-qualified platform products compared to 2020, partially offset by 2020 sell-through of other reserves and other reserves taken in 2021</v>
      </c>
      <c r="B128" s="3"/>
      <c r="C128" s="51"/>
      <c r="D128" s="51"/>
      <c r="E128" s="51"/>
      <c r="F128" s="51"/>
      <c r="G128" s="51"/>
      <c r="H128" s="51" t="n">
        <v>75</v>
      </c>
      <c r="I128" s="51"/>
      <c r="J128" s="51"/>
      <c r="K128" s="51"/>
      <c r="L128" s="51"/>
    </row>
    <row r="129" ht="36" customHeight="1">
      <c r="A129" s="49" t="str">
        <v>Higher period charges primarily associated with the ramp up of Intel 4</v>
      </c>
      <c r="B129" s="3"/>
      <c r="C129" s="51"/>
      <c r="D129" s="51"/>
      <c r="E129" s="51"/>
      <c r="F129" s="51"/>
      <c r="G129" s="51"/>
      <c r="H129" s="51" t="n">
        <v>-1325</v>
      </c>
      <c r="I129" s="51"/>
      <c r="J129" s="51"/>
      <c r="K129" s="51"/>
      <c r="L129" s="51"/>
    </row>
    <row r="130" ht="36" customHeight="1">
      <c r="A130" s="49" t="str">
        <v>Higher period charges primarily associated with the ramp down of 14nm</v>
      </c>
      <c r="B130" s="3"/>
      <c r="C130" s="51"/>
      <c r="D130" s="51"/>
      <c r="E130" s="51"/>
      <c r="F130" s="51"/>
      <c r="G130" s="51"/>
      <c r="H130" s="51" t="n">
        <v>-515</v>
      </c>
      <c r="I130" s="51"/>
      <c r="J130" s="51"/>
      <c r="K130" s="51"/>
      <c r="L130" s="51"/>
    </row>
    <row r="131" ht="36" customHeight="1">
      <c r="A131" s="49" t="str">
        <v>Higher platform unit cost primarily from increased mix of 10nm SuperFin products</v>
      </c>
      <c r="B131" s="3"/>
      <c r="C131" s="51"/>
      <c r="D131" s="51"/>
      <c r="E131" s="51"/>
      <c r="F131" s="51"/>
      <c r="G131" s="51"/>
      <c r="H131" s="51" t="n">
        <v>-235</v>
      </c>
      <c r="I131" s="51"/>
      <c r="J131" s="51"/>
      <c r="K131" s="51"/>
      <c r="L131" s="51"/>
    </row>
    <row r="132" ht="36" customHeight="1">
      <c r="A132" s="49" t="str">
        <v>Lower gross margin from CCG revenue, driven by notebook and desktop revenue</v>
      </c>
      <c r="B132" s="3"/>
      <c r="C132" s="51"/>
      <c r="D132" s="51"/>
      <c r="E132" s="51"/>
      <c r="F132" s="51"/>
      <c r="G132" s="51"/>
      <c r="H132" s="51"/>
      <c r="I132" s="51" t="n">
        <v>-4673</v>
      </c>
      <c r="J132" s="51"/>
      <c r="K132" s="51"/>
      <c r="L132" s="51"/>
    </row>
    <row r="133" ht="22" customHeight="1">
      <c r="A133" s="49" t="str">
        <v>Lower gross margin from DCAI server revenue</v>
      </c>
      <c r="B133" s="3"/>
      <c r="C133" s="51"/>
      <c r="D133" s="51"/>
      <c r="E133" s="51"/>
      <c r="F133" s="51"/>
      <c r="G133" s="51"/>
      <c r="H133" s="51"/>
      <c r="I133" s="51" t="n">
        <v>-3330</v>
      </c>
      <c r="J133" s="51"/>
      <c r="K133" s="51"/>
      <c r="L133" s="51"/>
    </row>
    <row r="134" ht="36" customHeight="1">
      <c r="A134" s="49" t="str">
        <v>Higher unit cost primarily from increased mix of Intel 7 products and 10nm SuperFin</v>
      </c>
      <c r="B134" s="3"/>
      <c r="C134" s="51"/>
      <c r="D134" s="51"/>
      <c r="E134" s="51"/>
      <c r="F134" s="51"/>
      <c r="G134" s="51"/>
      <c r="H134" s="51"/>
      <c r="I134" s="51" t="n">
        <v>-2663</v>
      </c>
      <c r="J134" s="51"/>
      <c r="K134" s="51"/>
      <c r="L134" s="51"/>
    </row>
    <row r="135" ht="36" customHeight="1">
      <c r="A135" s="49" t="str">
        <v>Higher period charges primarily driven by inventory reserves taken in 2022</v>
      </c>
      <c r="B135" s="3"/>
      <c r="C135" s="51"/>
      <c r="D135" s="51"/>
      <c r="E135" s="51"/>
      <c r="F135" s="51"/>
      <c r="G135" s="51"/>
      <c r="H135" s="51"/>
      <c r="I135" s="51" t="n">
        <v>-2159</v>
      </c>
      <c r="J135" s="51"/>
      <c r="K135" s="51"/>
      <c r="L135" s="51"/>
    </row>
    <row r="136" ht="36" customHeight="1">
      <c r="A136" s="49" t="str">
        <v>Higher period charges primarily associated with the ramp up of Intel 4 and other product enhancements</v>
      </c>
      <c r="B136" s="3"/>
      <c r="C136" s="51"/>
      <c r="D136" s="51"/>
      <c r="E136" s="51"/>
      <c r="F136" s="51"/>
      <c r="G136" s="51"/>
      <c r="H136" s="51"/>
      <c r="I136" s="51" t="n">
        <v>-2012</v>
      </c>
      <c r="J136" s="51"/>
      <c r="K136" s="51"/>
      <c r="L136" s="51"/>
    </row>
    <row r="137" ht="36" customHeight="1">
      <c r="A137" s="49" t="str">
        <v>Lower gross margin related to the divested NAND memory business</v>
      </c>
      <c r="B137" s="3"/>
      <c r="C137" s="51"/>
      <c r="D137" s="51"/>
      <c r="E137" s="51"/>
      <c r="F137" s="51"/>
      <c r="G137" s="51"/>
      <c r="H137" s="51"/>
      <c r="I137" s="51" t="n">
        <v>-1995</v>
      </c>
      <c r="J137" s="51"/>
      <c r="K137" s="51"/>
      <c r="L137" s="51"/>
    </row>
    <row r="138" ht="36" customHeight="1">
      <c r="A138" s="49" t="str">
        <v>Optane inventory impairment related to the wind down of our Intel Optane memory business</v>
      </c>
      <c r="B138" s="3"/>
      <c r="C138" s="51"/>
      <c r="D138" s="51"/>
      <c r="E138" s="51"/>
      <c r="F138" s="51"/>
      <c r="G138" s="51"/>
      <c r="H138" s="51"/>
      <c r="I138" s="51" t="n">
        <v>-723</v>
      </c>
      <c r="J138" s="51"/>
      <c r="K138" s="51"/>
      <c r="L138" s="51"/>
    </row>
    <row r="139" ht="36" customHeight="1">
      <c r="A139" s="49" t="str">
        <v>Lack of revenue recognized in Q1 2021 from a prepaid customer supply contract</v>
      </c>
      <c r="B139" s="3"/>
      <c r="C139" s="51"/>
      <c r="D139" s="51"/>
      <c r="E139" s="51"/>
      <c r="F139" s="51"/>
      <c r="G139" s="51"/>
      <c r="H139" s="51"/>
      <c r="I139" s="51" t="n">
        <v>-584</v>
      </c>
      <c r="J139" s="51"/>
      <c r="K139" s="51"/>
      <c r="L139" s="51"/>
    </row>
    <row r="140" ht="22" customHeight="1">
      <c r="A140" s="49" t="str">
        <v>Higher stock-based compensation</v>
      </c>
      <c r="B140" s="3"/>
      <c r="C140" s="51"/>
      <c r="D140" s="51"/>
      <c r="E140" s="51"/>
      <c r="F140" s="51"/>
      <c r="G140" s="51"/>
      <c r="H140" s="51"/>
      <c r="I140" s="51" t="n">
        <v>-313</v>
      </c>
      <c r="J140" s="51"/>
      <c r="K140" s="51"/>
      <c r="L140" s="51"/>
    </row>
    <row r="141" ht="22" customHeight="1">
      <c r="A141" s="49" t="str">
        <v>Higher period charges due to excess capacity charges</v>
      </c>
      <c r="B141" s="3"/>
      <c r="C141" s="51"/>
      <c r="D141" s="51"/>
      <c r="E141" s="51"/>
      <c r="F141" s="51"/>
      <c r="G141" s="51"/>
      <c r="H141" s="51"/>
      <c r="I141" s="51" t="n">
        <v>-423</v>
      </c>
      <c r="J141" s="51"/>
      <c r="K141" s="51"/>
      <c r="L141" s="51"/>
    </row>
    <row r="142" ht="22" customHeight="1">
      <c r="A142" s="49" t="str">
        <v>Corporate charges from patent settlement</v>
      </c>
      <c r="B142" s="3"/>
      <c r="C142" s="51"/>
      <c r="D142" s="51"/>
      <c r="E142" s="51"/>
      <c r="F142" s="51"/>
      <c r="G142" s="51"/>
      <c r="H142" s="51"/>
      <c r="I142" s="51" t="n">
        <v>-204</v>
      </c>
      <c r="J142" s="51"/>
      <c r="K142" s="51"/>
      <c r="L142" s="51"/>
    </row>
    <row r="143" ht="50" customHeight="1">
      <c r="A143" s="49" t="str">
        <v>Lower period charges due to a benefit related to insurance proceeds received for business interruption and property damage that occurred in 2020</v>
      </c>
      <c r="B143" s="3"/>
      <c r="C143" s="51"/>
      <c r="D143" s="51"/>
      <c r="E143" s="51"/>
      <c r="F143" s="51"/>
      <c r="G143" s="51"/>
      <c r="H143" s="51"/>
      <c r="I143" s="51" t="n">
        <v>484</v>
      </c>
      <c r="J143" s="51"/>
      <c r="K143" s="51"/>
      <c r="L143" s="51"/>
    </row>
    <row r="144" ht="22" customHeight="1">
      <c r="A144" s="49" t="str">
        <v>Higher gross margin from NEX Ethernet revenue</v>
      </c>
      <c r="B144" s="3"/>
      <c r="C144" s="51"/>
      <c r="D144" s="51"/>
      <c r="E144" s="51"/>
      <c r="F144" s="51"/>
      <c r="G144" s="51"/>
      <c r="H144" s="51"/>
      <c r="I144" s="51" t="n">
        <v>522</v>
      </c>
      <c r="J144" s="51"/>
      <c r="K144" s="51"/>
      <c r="L144" s="51"/>
    </row>
    <row r="145" ht="22" customHeight="1">
      <c r="A145" s="49" t="str">
        <v>Higher gross margin from DCAI other product revenue</v>
      </c>
      <c r="B145" s="3"/>
      <c r="C145" s="51"/>
      <c r="D145" s="51"/>
      <c r="E145" s="51"/>
      <c r="F145" s="51"/>
      <c r="G145" s="51"/>
      <c r="H145" s="51"/>
      <c r="I145" s="51" t="n">
        <v>702</v>
      </c>
      <c r="J145" s="51"/>
      <c r="K145" s="51"/>
      <c r="L145" s="51"/>
    </row>
    <row r="146" ht="22" customHeight="1">
      <c r="A146" s="49" t="str">
        <v>Lower product margin primarily due to lower server revenue</v>
      </c>
      <c r="B146" s="3"/>
      <c r="C146" s="51"/>
      <c r="D146" s="51"/>
      <c r="E146" s="51"/>
      <c r="F146" s="51"/>
      <c r="G146" s="51"/>
      <c r="H146" s="51"/>
      <c r="I146" s="51"/>
      <c r="J146" s="51" t="n">
        <v>-2709</v>
      </c>
      <c r="K146" s="51"/>
      <c r="L146" s="51"/>
    </row>
    <row r="147" ht="36" customHeight="1">
      <c r="A147" s="49" t="str">
        <v>Lower product margin driven by lower revenue across NEX product lines</v>
      </c>
      <c r="B147" s="3"/>
      <c r="C147" s="51"/>
      <c r="D147" s="51"/>
      <c r="E147" s="51"/>
      <c r="F147" s="51"/>
      <c r="G147" s="51"/>
      <c r="H147" s="51"/>
      <c r="I147" s="51"/>
      <c r="J147" s="51" t="n">
        <v>-1832</v>
      </c>
      <c r="K147" s="51"/>
      <c r="L147" s="51"/>
    </row>
    <row r="148" ht="36" customHeight="1">
      <c r="A148" s="49" t="str">
        <v>Lower product margin primarily from lower notebook and desktop revenue</v>
      </c>
      <c r="B148" s="3"/>
      <c r="C148" s="51"/>
      <c r="D148" s="51"/>
      <c r="E148" s="51"/>
      <c r="F148" s="51"/>
      <c r="G148" s="51"/>
      <c r="H148" s="51"/>
      <c r="I148" s="51"/>
      <c r="J148" s="51" t="n">
        <v>-1704</v>
      </c>
      <c r="K148" s="51"/>
      <c r="L148" s="51"/>
    </row>
    <row r="149" ht="36" customHeight="1">
      <c r="A149" s="49" t="str">
        <v>Higher unit cost primarily from increased mix of Intel 7 products</v>
      </c>
      <c r="B149" s="3"/>
      <c r="C149" s="51"/>
      <c r="D149" s="51"/>
      <c r="E149" s="51"/>
      <c r="F149" s="51"/>
      <c r="G149" s="51"/>
      <c r="H149" s="51"/>
      <c r="I149" s="51"/>
      <c r="J149" s="51" t="n">
        <v>-1654</v>
      </c>
      <c r="K149" s="51"/>
      <c r="L149" s="51"/>
    </row>
    <row r="150" ht="22" customHeight="1">
      <c r="A150" s="49" t="str">
        <v>Higher period charges related to excess capacity charges</v>
      </c>
      <c r="B150" s="3"/>
      <c r="C150" s="51"/>
      <c r="D150" s="51"/>
      <c r="E150" s="51"/>
      <c r="F150" s="51"/>
      <c r="G150" s="51"/>
      <c r="H150" s="51"/>
      <c r="I150" s="51"/>
      <c r="J150" s="51" t="n">
        <v>-411</v>
      </c>
      <c r="K150" s="51"/>
      <c r="L150" s="51"/>
    </row>
    <row r="151" ht="36" customHeight="1">
      <c r="A151" s="49" t="str">
        <v>Lower period charges driven by the sell-through of previously reserved inventory and lower reserves taken in 2023</v>
      </c>
      <c r="B151" s="3"/>
      <c r="C151" s="51"/>
      <c r="D151" s="51"/>
      <c r="E151" s="51"/>
      <c r="F151" s="51"/>
      <c r="G151" s="51"/>
      <c r="H151" s="51"/>
      <c r="I151" s="51"/>
      <c r="J151" s="51" t="n">
        <v>1973</v>
      </c>
      <c r="K151" s="51"/>
      <c r="L151" s="51"/>
    </row>
    <row r="152" ht="36" customHeight="1">
      <c r="A152" s="49" t="str">
        <v>Lower period charges primarily driven by a decrease in product ramp costs</v>
      </c>
      <c r="B152" s="3"/>
      <c r="C152" s="51"/>
      <c r="D152" s="51"/>
      <c r="E152" s="51"/>
      <c r="F152" s="51"/>
      <c r="G152" s="51"/>
      <c r="H152" s="51"/>
      <c r="I152" s="51"/>
      <c r="J152" s="51" t="n">
        <v>788</v>
      </c>
      <c r="K152" s="51"/>
      <c r="L152" s="51"/>
    </row>
    <row r="153" ht="50" customHeight="1">
      <c r="A153" s="49" t="str">
        <v>Absence of the inventory impairment charge taken in 2022 related to the wind down of our Intel Optane memory business</v>
      </c>
      <c r="B153" s="3"/>
      <c r="C153" s="51"/>
      <c r="D153" s="51"/>
      <c r="E153" s="51"/>
      <c r="F153" s="51"/>
      <c r="G153" s="51"/>
      <c r="H153" s="51"/>
      <c r="I153" s="51"/>
      <c r="J153" s="51" t="n">
        <v>723</v>
      </c>
      <c r="K153" s="51"/>
      <c r="L153" s="51"/>
    </row>
    <row r="154" ht="36" customHeight="1">
      <c r="A154" s="49" t="str">
        <v>Absence of corporate charges from a patent settlement in 2022</v>
      </c>
      <c r="B154" s="3"/>
      <c r="C154" s="51"/>
      <c r="D154" s="51"/>
      <c r="E154" s="51"/>
      <c r="F154" s="51"/>
      <c r="G154" s="51"/>
      <c r="H154" s="51"/>
      <c r="I154" s="51"/>
      <c r="J154" s="51" t="n">
        <v>204</v>
      </c>
      <c r="K154" s="51"/>
      <c r="L154" s="51"/>
    </row>
    <row r="155" ht="8" customHeight="1">
      <c r="A155" s="3"/>
      <c r="B155" s="3"/>
      <c r="C155" s="3"/>
      <c r="D155" s="3"/>
      <c r="E155" s="3"/>
      <c r="F155" s="3"/>
      <c r="G155" s="3"/>
      <c r="H155" s="3"/>
      <c r="I155" s="3"/>
      <c r="J155" s="3"/>
      <c r="K155" s="3"/>
      <c r="L155" s="3"/>
    </row>
    <row r="156" ht="22" customHeight="1">
      <c r="A156" s="21" t="str">
        <v>Official growth attribution: CCG: revenue bridge</v>
      </c>
      <c r="B156" s="21" t="str">
        <v>Official growth attribution: CCG: revenue bridge</v>
      </c>
      <c r="C156" s="21" t="str">
        <v>Official growth attribution: CCG: revenue bridge</v>
      </c>
      <c r="D156" s="21" t="str">
        <v>Official growth attribution: CCG: revenue bridge</v>
      </c>
      <c r="E156" s="21" t="str">
        <v>Official growth attribution: CCG: revenue bridge</v>
      </c>
      <c r="F156" s="21" t="str">
        <v>Official growth attribution: CCG: revenue bridge</v>
      </c>
      <c r="G156" s="21" t="str">
        <v>Official growth attribution: CCG: revenue bridge</v>
      </c>
      <c r="H156" s="21" t="str">
        <v>Official growth attribution: CCG: revenue bridge</v>
      </c>
      <c r="I156" s="21" t="str">
        <v>Official growth attribution: CCG: revenue bridge</v>
      </c>
      <c r="J156" s="21" t="str">
        <v>Official growth attribution: CCG: revenue bridge</v>
      </c>
      <c r="K156" s="21" t="str">
        <v>Official growth attribution: CCG: revenue bridge</v>
      </c>
      <c r="L156" s="21" t="str">
        <v>Official growth attribution: CCG: revenue bridge</v>
      </c>
    </row>
    <row r="157" ht="18" customHeight="1">
      <c r="A157" s="22" t="str">
        <v>Company-disclosed year-on-year contributions in USD million. Only the filing year’s own comparison is shown; duplicated bridge endpoints remain in source records.</v>
      </c>
      <c r="B157" s="22" t="str">
        <v>Company-disclosed year-on-year contributions in USD million. Only the filing year’s own comparison is shown; duplicated bridge endpoints remain in source records.</v>
      </c>
      <c r="C157" s="22" t="str">
        <v>Company-disclosed year-on-year contributions in USD million. Only the filing year’s own comparison is shown; duplicated bridge endpoints remain in source records.</v>
      </c>
      <c r="D157" s="22" t="str">
        <v>Company-disclosed year-on-year contributions in USD million. Only the filing year’s own comparison is shown; duplicated bridge endpoints remain in source records.</v>
      </c>
      <c r="E157" s="22" t="str">
        <v>Company-disclosed year-on-year contributions in USD million. Only the filing year’s own comparison is shown; duplicated bridge endpoints remain in source records.</v>
      </c>
      <c r="F157" s="22" t="str">
        <v>Company-disclosed year-on-year contributions in USD million. Only the filing year’s own comparison is shown; duplicated bridge endpoints remain in source records.</v>
      </c>
      <c r="G157" s="22" t="str">
        <v>Company-disclosed year-on-year contributions in USD million. Only the filing year’s own comparison is shown; duplicated bridge endpoints remain in source records.</v>
      </c>
      <c r="H157" s="22" t="str">
        <v>Company-disclosed year-on-year contributions in USD million. Only the filing year’s own comparison is shown; duplicated bridge endpoints remain in source records.</v>
      </c>
      <c r="I157" s="22" t="str">
        <v>Company-disclosed year-on-year contributions in USD million. Only the filing year’s own comparison is shown; duplicated bridge endpoints remain in source records.</v>
      </c>
      <c r="J157" s="22" t="str">
        <v>Company-disclosed year-on-year contributions in USD million. Only the filing year’s own comparison is shown; duplicated bridge endpoints remain in source records.</v>
      </c>
      <c r="K157" s="22" t="str">
        <v>Company-disclosed year-on-year contributions in USD million. Only the filing year’s own comparison is shown; duplicated bridge endpoints remain in source records.</v>
      </c>
      <c r="L157" s="22" t="str">
        <v>Company-disclosed year-on-year contributions in USD million. Only the filing year’s own comparison is shown; duplicated bridge endpoints remain in source records.</v>
      </c>
    </row>
    <row r="158" ht="22" customHeight="1">
      <c r="A158" s="49" t="str">
        <v>Higher CCG non-platform revenue</v>
      </c>
      <c r="B158" s="3"/>
      <c r="C158" s="51" t="n">
        <v>618</v>
      </c>
      <c r="D158" s="51"/>
      <c r="E158" s="51"/>
      <c r="F158" s="51"/>
      <c r="G158" s="51"/>
      <c r="H158" s="51"/>
      <c r="I158" s="51"/>
      <c r="J158" s="51"/>
      <c r="K158" s="51"/>
      <c r="L158" s="51"/>
    </row>
    <row r="159" ht="22" customHeight="1">
      <c r="A159" s="49" t="str">
        <v>Higher notebook platform average selling prices, up 2%</v>
      </c>
      <c r="B159" s="3"/>
      <c r="C159" s="51" t="n">
        <v>389</v>
      </c>
      <c r="D159" s="51"/>
      <c r="E159" s="51"/>
      <c r="F159" s="51"/>
      <c r="G159" s="51"/>
      <c r="H159" s="51"/>
      <c r="I159" s="51"/>
      <c r="J159" s="51"/>
      <c r="K159" s="51"/>
      <c r="L159" s="51"/>
    </row>
    <row r="160" ht="22" customHeight="1">
      <c r="A160" s="49" t="str">
        <v>Higher desktop platform average selling prices, up 2%</v>
      </c>
      <c r="B160" s="3"/>
      <c r="C160" s="51" t="n">
        <v>279</v>
      </c>
      <c r="D160" s="51"/>
      <c r="E160" s="51"/>
      <c r="F160" s="51"/>
      <c r="G160" s="51"/>
      <c r="H160" s="51"/>
      <c r="I160" s="51"/>
      <c r="J160" s="51"/>
      <c r="K160" s="51"/>
      <c r="L160" s="51"/>
    </row>
    <row r="161" ht="36" customHeight="1">
      <c r="A161" s="49" t="str">
        <v>Higher mobile platform revenue, primarily from reduction of cash consideration to our customers</v>
      </c>
      <c r="B161" s="3"/>
      <c r="C161" s="51" t="n">
        <v>222</v>
      </c>
      <c r="D161" s="51"/>
      <c r="E161" s="51"/>
      <c r="F161" s="51"/>
      <c r="G161" s="51"/>
      <c r="H161" s="51"/>
      <c r="I161" s="51"/>
      <c r="J161" s="51"/>
      <c r="K161" s="51"/>
      <c r="L161" s="51"/>
    </row>
    <row r="162" ht="22" customHeight="1">
      <c r="A162" s="49" t="str">
        <v>Lower desktop platform unit sales, down 6%</v>
      </c>
      <c r="B162" s="3"/>
      <c r="C162" s="51" t="n">
        <v>-663</v>
      </c>
      <c r="D162" s="51"/>
      <c r="E162" s="51"/>
      <c r="F162" s="51"/>
      <c r="G162" s="51"/>
      <c r="H162" s="51"/>
      <c r="I162" s="51"/>
      <c r="J162" s="51"/>
      <c r="K162" s="51"/>
      <c r="L162" s="51"/>
    </row>
    <row r="163" ht="22" customHeight="1">
      <c r="A163" s="49" t="str">
        <v>Other</v>
      </c>
      <c r="B163" s="3"/>
      <c r="C163" s="51" t="n">
        <v>-156</v>
      </c>
      <c r="D163" s="51"/>
      <c r="E163" s="51"/>
      <c r="F163" s="51"/>
      <c r="G163" s="51"/>
      <c r="H163" s="51"/>
      <c r="I163" s="51"/>
      <c r="J163" s="51"/>
      <c r="K163" s="51"/>
      <c r="L163" s="51"/>
    </row>
    <row r="164" ht="8" customHeight="1">
      <c r="A164" s="3"/>
      <c r="B164" s="3"/>
      <c r="C164" s="3"/>
      <c r="D164" s="3"/>
      <c r="E164" s="3"/>
      <c r="F164" s="3"/>
      <c r="G164" s="3"/>
      <c r="H164" s="3"/>
      <c r="I164" s="3"/>
      <c r="J164" s="3"/>
      <c r="K164" s="3"/>
      <c r="L164" s="3"/>
    </row>
    <row r="165" ht="22" customHeight="1">
      <c r="A165" s="21" t="str">
        <v>Official growth attribution: CCG: operating income bridge</v>
      </c>
      <c r="B165" s="21" t="str">
        <v>Official growth attribution: CCG: operating income bridge</v>
      </c>
      <c r="C165" s="21" t="str">
        <v>Official growth attribution: CCG: operating income bridge</v>
      </c>
      <c r="D165" s="21" t="str">
        <v>Official growth attribution: CCG: operating income bridge</v>
      </c>
      <c r="E165" s="21" t="str">
        <v>Official growth attribution: CCG: operating income bridge</v>
      </c>
      <c r="F165" s="21" t="str">
        <v>Official growth attribution: CCG: operating income bridge</v>
      </c>
      <c r="G165" s="21" t="str">
        <v>Official growth attribution: CCG: operating income bridge</v>
      </c>
      <c r="H165" s="21" t="str">
        <v>Official growth attribution: CCG: operating income bridge</v>
      </c>
      <c r="I165" s="21" t="str">
        <v>Official growth attribution: CCG: operating income bridge</v>
      </c>
      <c r="J165" s="21" t="str">
        <v>Official growth attribution: CCG: operating income bridge</v>
      </c>
      <c r="K165" s="21" t="str">
        <v>Official growth attribution: CCG: operating income bridge</v>
      </c>
      <c r="L165" s="21" t="str">
        <v>Official growth attribution: CCG: operating income bridge</v>
      </c>
    </row>
    <row r="166" ht="18" customHeight="1">
      <c r="A166" s="22" t="str">
        <v>Company-disclosed year-on-year contributions in USD million. Only the filing year’s own comparison is shown; duplicated bridge endpoints remain in source records.</v>
      </c>
      <c r="B166" s="22" t="str">
        <v>Company-disclosed year-on-year contributions in USD million. Only the filing year’s own comparison is shown; duplicated bridge endpoints remain in source records.</v>
      </c>
      <c r="C166" s="22" t="str">
        <v>Company-disclosed year-on-year contributions in USD million. Only the filing year’s own comparison is shown; duplicated bridge endpoints remain in source records.</v>
      </c>
      <c r="D166" s="22" t="str">
        <v>Company-disclosed year-on-year contributions in USD million. Only the filing year’s own comparison is shown; duplicated bridge endpoints remain in source records.</v>
      </c>
      <c r="E166" s="22" t="str">
        <v>Company-disclosed year-on-year contributions in USD million. Only the filing year’s own comparison is shown; duplicated bridge endpoints remain in source records.</v>
      </c>
      <c r="F166" s="22" t="str">
        <v>Company-disclosed year-on-year contributions in USD million. Only the filing year’s own comparison is shown; duplicated bridge endpoints remain in source records.</v>
      </c>
      <c r="G166" s="22" t="str">
        <v>Company-disclosed year-on-year contributions in USD million. Only the filing year’s own comparison is shown; duplicated bridge endpoints remain in source records.</v>
      </c>
      <c r="H166" s="22" t="str">
        <v>Company-disclosed year-on-year contributions in USD million. Only the filing year’s own comparison is shown; duplicated bridge endpoints remain in source records.</v>
      </c>
      <c r="I166" s="22" t="str">
        <v>Company-disclosed year-on-year contributions in USD million. Only the filing year’s own comparison is shown; duplicated bridge endpoints remain in source records.</v>
      </c>
      <c r="J166" s="22" t="str">
        <v>Company-disclosed year-on-year contributions in USD million. Only the filing year’s own comparison is shown; duplicated bridge endpoints remain in source records.</v>
      </c>
      <c r="K166" s="22" t="str">
        <v>Company-disclosed year-on-year contributions in USD million. Only the filing year’s own comparison is shown; duplicated bridge endpoints remain in source records.</v>
      </c>
      <c r="L166" s="22" t="str">
        <v>Company-disclosed year-on-year contributions in USD million. Only the filing year’s own comparison is shown; duplicated bridge endpoints remain in source records.</v>
      </c>
    </row>
    <row r="167" ht="22" customHeight="1">
      <c r="A167" s="49" t="str">
        <v>Lower CCG platform unit cost</v>
      </c>
      <c r="B167" s="3"/>
      <c r="C167" s="51" t="n">
        <v>1250</v>
      </c>
      <c r="D167" s="51"/>
      <c r="E167" s="51"/>
      <c r="F167" s="51"/>
      <c r="G167" s="51"/>
      <c r="H167" s="51"/>
      <c r="I167" s="51"/>
      <c r="J167" s="51"/>
      <c r="K167" s="51"/>
      <c r="L167" s="51"/>
    </row>
    <row r="168" ht="22" customHeight="1">
      <c r="A168" s="49" t="str">
        <v>Lower CCG operating expense</v>
      </c>
      <c r="B168" s="3"/>
      <c r="C168" s="51" t="n">
        <v>905</v>
      </c>
      <c r="D168" s="51"/>
      <c r="E168" s="51"/>
      <c r="F168" s="51"/>
      <c r="G168" s="51"/>
      <c r="H168" s="51"/>
      <c r="I168" s="51"/>
      <c r="J168" s="51"/>
      <c r="K168" s="51"/>
      <c r="L168" s="51"/>
    </row>
    <row r="169" ht="22" customHeight="1">
      <c r="A169" s="49" t="str">
        <v>Higher gross margin from CCG platform revenue</v>
      </c>
      <c r="B169" s="3"/>
      <c r="C169" s="51" t="n">
        <v>625</v>
      </c>
      <c r="D169" s="51" t="n">
        <v>635</v>
      </c>
      <c r="E169" s="51" t="n">
        <v>2080</v>
      </c>
      <c r="F169" s="51"/>
      <c r="G169" s="51"/>
      <c r="H169" s="51"/>
      <c r="I169" s="51"/>
      <c r="J169" s="51"/>
      <c r="K169" s="51"/>
      <c r="L169" s="51"/>
    </row>
    <row r="170" ht="36" customHeight="1">
      <c r="A170" s="49" t="str">
        <v>Higher factory start-up costs, primarily driven by the ramp of our 10nm process technology</v>
      </c>
      <c r="B170" s="3"/>
      <c r="C170" s="51" t="n">
        <v>-645</v>
      </c>
      <c r="D170" s="51"/>
      <c r="E170" s="51"/>
      <c r="F170" s="51"/>
      <c r="G170" s="51"/>
      <c r="H170" s="51"/>
      <c r="I170" s="51"/>
      <c r="J170" s="51"/>
      <c r="K170" s="51"/>
      <c r="L170" s="51"/>
    </row>
    <row r="171" ht="22" customHeight="1">
      <c r="A171" s="49" t="str">
        <v>Other</v>
      </c>
      <c r="B171" s="3"/>
      <c r="C171" s="51" t="n">
        <v>345</v>
      </c>
      <c r="D171" s="51" t="n">
        <v>303</v>
      </c>
      <c r="E171" s="51" t="n">
        <v>-97</v>
      </c>
      <c r="F171" s="51" t="n">
        <v>145</v>
      </c>
      <c r="G171" s="51" t="n">
        <v>2</v>
      </c>
      <c r="H171" s="51" t="n">
        <v>-7</v>
      </c>
      <c r="I171" s="51" t="n">
        <v>-97</v>
      </c>
      <c r="J171" s="51"/>
      <c r="K171" s="51"/>
      <c r="L171" s="51"/>
    </row>
    <row r="172" ht="36" customHeight="1">
      <c r="A172" s="49" t="str">
        <v>Lower CCG platform unit cost, primarily on 14nm cost improvement</v>
      </c>
      <c r="B172" s="3"/>
      <c r="C172" s="51"/>
      <c r="D172" s="51" t="n">
        <v>1135</v>
      </c>
      <c r="E172" s="51"/>
      <c r="F172" s="51"/>
      <c r="G172" s="51"/>
      <c r="H172" s="51"/>
      <c r="I172" s="51"/>
      <c r="J172" s="51"/>
      <c r="K172" s="51"/>
      <c r="L172" s="51"/>
    </row>
    <row r="173" ht="36" customHeight="1">
      <c r="A173" s="49" t="str">
        <v>Lower CCG spending and share of technology development and MG&amp;A costs</v>
      </c>
      <c r="B173" s="3"/>
      <c r="C173" s="51"/>
      <c r="D173" s="51" t="n">
        <v>630</v>
      </c>
      <c r="E173" s="51"/>
      <c r="F173" s="51"/>
      <c r="G173" s="51"/>
      <c r="H173" s="51"/>
      <c r="I173" s="51"/>
      <c r="J173" s="51"/>
      <c r="K173" s="51"/>
      <c r="L173" s="51"/>
    </row>
    <row r="174" ht="50" customHeight="1">
      <c r="A174" s="49" t="str">
        <v>Period charges primarily associated with engineering samples and higher initial production costs from our 10nm products</v>
      </c>
      <c r="B174" s="3"/>
      <c r="C174" s="51"/>
      <c r="D174" s="51" t="n">
        <v>-430</v>
      </c>
      <c r="E174" s="51"/>
      <c r="F174" s="51"/>
      <c r="G174" s="51"/>
      <c r="H174" s="51"/>
      <c r="I174" s="51"/>
      <c r="J174" s="51"/>
      <c r="K174" s="51"/>
      <c r="L174" s="51"/>
    </row>
    <row r="175" ht="22" customHeight="1">
      <c r="A175" s="49" t="str">
        <v>Lower operating expenses</v>
      </c>
      <c r="B175" s="3"/>
      <c r="C175" s="51"/>
      <c r="D175" s="51"/>
      <c r="E175" s="51" t="n">
        <v>235</v>
      </c>
      <c r="F175" s="51"/>
      <c r="G175" s="51" t="n">
        <v>640</v>
      </c>
      <c r="H175" s="51"/>
      <c r="I175" s="51"/>
      <c r="J175" s="51"/>
      <c r="K175" s="51"/>
      <c r="L175" s="51"/>
    </row>
    <row r="176" ht="36" customHeight="1">
      <c r="A176" s="49" t="str">
        <v>Higher platform unit cost due to increased mix to performance products</v>
      </c>
      <c r="B176" s="3"/>
      <c r="C176" s="51"/>
      <c r="D176" s="51"/>
      <c r="E176" s="51" t="n">
        <v>-690</v>
      </c>
      <c r="F176" s="51"/>
      <c r="G176" s="51"/>
      <c r="H176" s="51"/>
      <c r="I176" s="51"/>
      <c r="J176" s="51"/>
      <c r="K176" s="51"/>
      <c r="L176" s="51"/>
    </row>
    <row r="177" ht="36" customHeight="1">
      <c r="A177" s="49" t="str">
        <v>Higher period charges, primarily due to reserved non-qualified platform product as we ramp 10nm</v>
      </c>
      <c r="B177" s="3"/>
      <c r="C177" s="51"/>
      <c r="D177" s="51"/>
      <c r="E177" s="51" t="n">
        <v>-225</v>
      </c>
      <c r="F177" s="51"/>
      <c r="G177" s="51"/>
      <c r="H177" s="51"/>
      <c r="I177" s="51"/>
      <c r="J177" s="51"/>
      <c r="K177" s="51"/>
      <c r="L177" s="51"/>
    </row>
    <row r="178" ht="66" customHeight="1">
      <c r="A178" s="49" t="str">
        <v>Lower period charges primarily due to lower factory start-up costs and sell-through of previously reserved non-qualified platform product associated with our 10nm process technology</v>
      </c>
      <c r="B178" s="3"/>
      <c r="C178" s="51"/>
      <c r="D178" s="51"/>
      <c r="E178" s="51"/>
      <c r="F178" s="51" t="n">
        <v>1425</v>
      </c>
      <c r="G178" s="51"/>
      <c r="H178" s="51"/>
      <c r="I178" s="51"/>
      <c r="J178" s="51"/>
      <c r="K178" s="51"/>
      <c r="L178" s="51"/>
    </row>
    <row r="179" ht="36" customHeight="1">
      <c r="A179" s="49" t="str">
        <v>Lower operating expenses primarily driven by lower investment in modem</v>
      </c>
      <c r="B179" s="3"/>
      <c r="C179" s="51"/>
      <c r="D179" s="51"/>
      <c r="E179" s="51"/>
      <c r="F179" s="51" t="n">
        <v>725</v>
      </c>
      <c r="G179" s="51"/>
      <c r="H179" s="51"/>
      <c r="I179" s="51"/>
      <c r="J179" s="51"/>
      <c r="K179" s="51"/>
      <c r="L179" s="51"/>
    </row>
    <row r="180" ht="22" customHeight="1">
      <c r="A180" s="49" t="str">
        <v>Higher platform unit cost</v>
      </c>
      <c r="B180" s="3"/>
      <c r="C180" s="51"/>
      <c r="D180" s="51"/>
      <c r="E180" s="51"/>
      <c r="F180" s="51" t="n">
        <v>-1170</v>
      </c>
      <c r="G180" s="51"/>
      <c r="H180" s="51"/>
      <c r="I180" s="51"/>
      <c r="J180" s="51"/>
      <c r="K180" s="51"/>
      <c r="L180" s="51"/>
    </row>
    <row r="181" ht="22" customHeight="1">
      <c r="A181" s="49" t="str">
        <v>Lower gross margin from platform revenue</v>
      </c>
      <c r="B181" s="3"/>
      <c r="C181" s="51"/>
      <c r="D181" s="51"/>
      <c r="E181" s="51"/>
      <c r="F181" s="51" t="n">
        <v>-145</v>
      </c>
      <c r="G181" s="51"/>
      <c r="H181" s="51"/>
      <c r="I181" s="51"/>
      <c r="J181" s="51"/>
      <c r="K181" s="51"/>
      <c r="L181" s="51"/>
    </row>
    <row r="182" ht="36" customHeight="1">
      <c r="A182" s="49" t="str">
        <v>Higher platform unit cost primarily from increased mix of 10nm products</v>
      </c>
      <c r="B182" s="3"/>
      <c r="C182" s="51"/>
      <c r="D182" s="51"/>
      <c r="E182" s="51"/>
      <c r="F182" s="51"/>
      <c r="G182" s="51" t="n">
        <v>-3025</v>
      </c>
      <c r="H182" s="51"/>
      <c r="I182" s="51"/>
      <c r="J182" s="51"/>
      <c r="K182" s="51"/>
      <c r="L182" s="51"/>
    </row>
    <row r="183" ht="36" customHeight="1">
      <c r="A183" s="49" t="str">
        <v>Primarily driven by higher logistic expenses due to COVID-19</v>
      </c>
      <c r="B183" s="3"/>
      <c r="C183" s="51"/>
      <c r="D183" s="51"/>
      <c r="E183" s="51"/>
      <c r="F183" s="51"/>
      <c r="G183" s="51" t="n">
        <v>-125</v>
      </c>
      <c r="H183" s="51"/>
      <c r="I183" s="51"/>
      <c r="J183" s="51"/>
      <c r="K183" s="51"/>
      <c r="L183" s="51"/>
    </row>
    <row r="184" ht="22" customHeight="1">
      <c r="A184" s="49" t="str">
        <v>Higher gross margin from platform revenue</v>
      </c>
      <c r="B184" s="3"/>
      <c r="C184" s="51"/>
      <c r="D184" s="51"/>
      <c r="E184" s="51"/>
      <c r="F184" s="51"/>
      <c r="G184" s="51" t="n">
        <v>1715</v>
      </c>
      <c r="H184" s="51" t="n">
        <v>710</v>
      </c>
      <c r="I184" s="51"/>
      <c r="J184" s="51"/>
      <c r="K184" s="51"/>
      <c r="L184" s="51"/>
    </row>
    <row r="185" ht="50" customHeight="1">
      <c r="A185" s="49" t="str">
        <v>Lower period charges due to lower start-up cost associated with 10nm products and sell-through of previously reserved platform products related to our 10nm process technology</v>
      </c>
      <c r="B185" s="3"/>
      <c r="C185" s="51"/>
      <c r="D185" s="51"/>
      <c r="E185" s="51"/>
      <c r="F185" s="51"/>
      <c r="G185" s="51" t="n">
        <v>420</v>
      </c>
      <c r="H185" s="51"/>
      <c r="I185" s="51"/>
      <c r="J185" s="51"/>
      <c r="K185" s="51"/>
      <c r="L185" s="51"/>
    </row>
    <row r="186" ht="22" customHeight="1">
      <c r="A186" s="49" t="str">
        <v>Higher CCG adjacent product margin</v>
      </c>
      <c r="B186" s="3"/>
      <c r="C186" s="51"/>
      <c r="D186" s="51"/>
      <c r="E186" s="51"/>
      <c r="F186" s="51"/>
      <c r="G186" s="51" t="n">
        <v>300</v>
      </c>
      <c r="H186" s="51"/>
      <c r="I186" s="51"/>
      <c r="J186" s="51"/>
      <c r="K186" s="51"/>
      <c r="L186" s="51"/>
    </row>
    <row r="187" ht="36" customHeight="1">
      <c r="A187" s="49" t="str">
        <v>Higher operating expenses driven by increased investment in leadership products</v>
      </c>
      <c r="B187" s="3"/>
      <c r="C187" s="51"/>
      <c r="D187" s="51"/>
      <c r="E187" s="51"/>
      <c r="F187" s="51"/>
      <c r="G187" s="51"/>
      <c r="H187" s="51" t="n">
        <v>-850</v>
      </c>
      <c r="I187" s="51"/>
      <c r="J187" s="51"/>
      <c r="K187" s="51"/>
      <c r="L187" s="51"/>
    </row>
    <row r="188" ht="36" customHeight="1">
      <c r="A188" s="49" t="str">
        <v>Higher period charges primarily associated with the ramp up of Intel 4</v>
      </c>
      <c r="B188" s="3"/>
      <c r="C188" s="51"/>
      <c r="D188" s="51"/>
      <c r="E188" s="51"/>
      <c r="F188" s="51"/>
      <c r="G188" s="51"/>
      <c r="H188" s="51" t="n">
        <v>-565</v>
      </c>
      <c r="I188" s="51"/>
      <c r="J188" s="51"/>
      <c r="K188" s="51"/>
      <c r="L188" s="51"/>
    </row>
    <row r="189" ht="36" customHeight="1">
      <c r="A189" s="49" t="str">
        <v>Higher period charges primarily associated with the ramp down of 14nm</v>
      </c>
      <c r="B189" s="3"/>
      <c r="C189" s="51"/>
      <c r="D189" s="51"/>
      <c r="E189" s="51"/>
      <c r="F189" s="51"/>
      <c r="G189" s="51"/>
      <c r="H189" s="51" t="n">
        <v>-240</v>
      </c>
      <c r="I189" s="51"/>
      <c r="J189" s="51"/>
      <c r="K189" s="51"/>
      <c r="L189" s="51"/>
    </row>
    <row r="190" ht="36" customHeight="1">
      <c r="A190" s="49" t="str">
        <v>Lower adjacent product margin primarily driven by the exit of our 5G smartphone modem business</v>
      </c>
      <c r="B190" s="3"/>
      <c r="C190" s="51"/>
      <c r="D190" s="51"/>
      <c r="E190" s="51"/>
      <c r="F190" s="51"/>
      <c r="G190" s="51"/>
      <c r="H190" s="51" t="n">
        <v>-185</v>
      </c>
      <c r="I190" s="51"/>
      <c r="J190" s="51"/>
      <c r="K190" s="51"/>
      <c r="L190" s="51"/>
    </row>
    <row r="191" ht="50" customHeight="1">
      <c r="A191" s="49" t="str">
        <v>Higher period charges driven by less sell-through of reserves on non-qualified platform products in 2021 as compared to in 2020, and other reserves taken in 2021</v>
      </c>
      <c r="B191" s="3"/>
      <c r="C191" s="51"/>
      <c r="D191" s="51"/>
      <c r="E191" s="51"/>
      <c r="F191" s="51"/>
      <c r="G191" s="51"/>
      <c r="H191" s="51" t="n">
        <v>-140</v>
      </c>
      <c r="I191" s="51"/>
      <c r="J191" s="51"/>
      <c r="K191" s="51"/>
      <c r="L191" s="51"/>
    </row>
    <row r="192" ht="36" customHeight="1">
      <c r="A192" s="49" t="str">
        <v>Lower platform unit cost primarily due to cost improvements in 10nm SuperFin</v>
      </c>
      <c r="B192" s="3"/>
      <c r="C192" s="51"/>
      <c r="D192" s="51"/>
      <c r="E192" s="51"/>
      <c r="F192" s="51"/>
      <c r="G192" s="51"/>
      <c r="H192" s="51" t="n">
        <v>655</v>
      </c>
      <c r="I192" s="51"/>
      <c r="J192" s="51"/>
      <c r="K192" s="51"/>
      <c r="L192" s="51"/>
    </row>
    <row r="193" ht="36" customHeight="1">
      <c r="A193" s="49" t="str">
        <v>Lower period charges primarily driven by a decrease in engineering samples</v>
      </c>
      <c r="B193" s="3"/>
      <c r="C193" s="51"/>
      <c r="D193" s="51"/>
      <c r="E193" s="51"/>
      <c r="F193" s="51"/>
      <c r="G193" s="51"/>
      <c r="H193" s="51" t="n">
        <v>165</v>
      </c>
      <c r="I193" s="51"/>
      <c r="J193" s="51"/>
      <c r="K193" s="51"/>
      <c r="L193" s="51"/>
    </row>
    <row r="194" ht="22" customHeight="1">
      <c r="A194" s="49" t="str">
        <v>Lower gross margin from notebook revenue</v>
      </c>
      <c r="B194" s="3"/>
      <c r="C194" s="51"/>
      <c r="D194" s="51"/>
      <c r="E194" s="51"/>
      <c r="F194" s="51"/>
      <c r="G194" s="51"/>
      <c r="H194" s="51"/>
      <c r="I194" s="51" t="n">
        <v>-3047</v>
      </c>
      <c r="J194" s="51"/>
      <c r="K194" s="51"/>
      <c r="L194" s="51"/>
    </row>
    <row r="195" ht="36" customHeight="1">
      <c r="A195" s="49" t="str">
        <v>Higher notebook and desktop unit cost primarily from increased mix of Intel 7 products</v>
      </c>
      <c r="B195" s="3"/>
      <c r="C195" s="51"/>
      <c r="D195" s="51"/>
      <c r="E195" s="51"/>
      <c r="F195" s="51"/>
      <c r="G195" s="51"/>
      <c r="H195" s="51"/>
      <c r="I195" s="51" t="n">
        <v>-2183</v>
      </c>
      <c r="J195" s="51"/>
      <c r="K195" s="51"/>
      <c r="L195" s="51"/>
    </row>
    <row r="196" ht="22" customHeight="1">
      <c r="A196" s="49" t="str">
        <v>Lower gross margin from desktop revenue</v>
      </c>
      <c r="B196" s="3"/>
      <c r="C196" s="51"/>
      <c r="D196" s="51"/>
      <c r="E196" s="51"/>
      <c r="F196" s="51"/>
      <c r="G196" s="51"/>
      <c r="H196" s="51"/>
      <c r="I196" s="51" t="n">
        <v>-1306</v>
      </c>
      <c r="J196" s="51"/>
      <c r="K196" s="51"/>
      <c r="L196" s="51"/>
    </row>
    <row r="197" ht="36" customHeight="1">
      <c r="A197" s="49" t="str">
        <v>Higher operating expenses driven by increased investments in leadership products</v>
      </c>
      <c r="B197" s="3"/>
      <c r="C197" s="51"/>
      <c r="D197" s="51"/>
      <c r="E197" s="51"/>
      <c r="F197" s="51"/>
      <c r="G197" s="51"/>
      <c r="H197" s="51"/>
      <c r="I197" s="51" t="n">
        <v>-1284</v>
      </c>
      <c r="J197" s="51"/>
      <c r="K197" s="51"/>
      <c r="L197" s="51"/>
    </row>
    <row r="198" ht="36" customHeight="1">
      <c r="A198" s="49" t="str">
        <v>Higher period charges primarily driven by inventory reserves taken in 2022</v>
      </c>
      <c r="B198" s="3"/>
      <c r="C198" s="51"/>
      <c r="D198" s="51"/>
      <c r="E198" s="51"/>
      <c r="F198" s="51"/>
      <c r="G198" s="51"/>
      <c r="H198" s="51"/>
      <c r="I198" s="51" t="n">
        <v>-969</v>
      </c>
      <c r="J198" s="51"/>
      <c r="K198" s="51"/>
      <c r="L198" s="51"/>
    </row>
    <row r="199" ht="66" customHeight="1">
      <c r="A199" s="49" t="str">
        <v>Lower CCG other product gross margin driven by lower demand for our wireless and connectivity products and the continued ramp down from the exit of our 5G smartphone modem business</v>
      </c>
      <c r="B199" s="3"/>
      <c r="C199" s="51"/>
      <c r="D199" s="51"/>
      <c r="E199" s="51"/>
      <c r="F199" s="51"/>
      <c r="G199" s="51"/>
      <c r="H199" s="51"/>
      <c r="I199" s="51" t="n">
        <v>-320</v>
      </c>
      <c r="J199" s="51"/>
      <c r="K199" s="51"/>
      <c r="L199" s="51"/>
    </row>
    <row r="200" ht="36" customHeight="1">
      <c r="A200" s="49" t="str">
        <v>Higher period charges primarily associated with the ramp of Intel 4</v>
      </c>
      <c r="B200" s="3"/>
      <c r="C200" s="51"/>
      <c r="D200" s="51"/>
      <c r="E200" s="51"/>
      <c r="F200" s="51"/>
      <c r="G200" s="51"/>
      <c r="H200" s="51"/>
      <c r="I200" s="51" t="n">
        <v>-262</v>
      </c>
      <c r="J200" s="51"/>
      <c r="K200" s="51"/>
      <c r="L200" s="51"/>
    </row>
    <row r="201" ht="22" customHeight="1">
      <c r="A201" s="49" t="str">
        <v>Higher period charges related excess capacity charges</v>
      </c>
      <c r="B201" s="3"/>
      <c r="C201" s="51"/>
      <c r="D201" s="51"/>
      <c r="E201" s="51"/>
      <c r="F201" s="51"/>
      <c r="G201" s="51"/>
      <c r="H201" s="51"/>
      <c r="I201" s="51" t="n">
        <v>-162</v>
      </c>
      <c r="J201" s="51"/>
      <c r="K201" s="51"/>
      <c r="L201" s="51"/>
    </row>
    <row r="202" ht="50" customHeight="1">
      <c r="A202" s="49" t="str">
        <v>Lower period charges due to a benefit related to insurance proceeds received for business interruption and property damage that occurred in 2020</v>
      </c>
      <c r="B202" s="3"/>
      <c r="C202" s="51"/>
      <c r="D202" s="51"/>
      <c r="E202" s="51"/>
      <c r="F202" s="51"/>
      <c r="G202" s="51"/>
      <c r="H202" s="51"/>
      <c r="I202" s="51" t="n">
        <v>192</v>
      </c>
      <c r="J202" s="51"/>
      <c r="K202" s="51"/>
      <c r="L202" s="51"/>
    </row>
    <row r="203" ht="36" customHeight="1">
      <c r="A203" s="49" t="str">
        <v>Lower period charges driven by the sell-through of previously reserved inventory and lower reserves taken in 2023</v>
      </c>
      <c r="B203" s="3"/>
      <c r="C203" s="51"/>
      <c r="D203" s="51"/>
      <c r="E203" s="51"/>
      <c r="F203" s="51"/>
      <c r="G203" s="51"/>
      <c r="H203" s="51"/>
      <c r="I203" s="51"/>
      <c r="J203" s="51" t="n">
        <v>1692</v>
      </c>
      <c r="K203" s="51"/>
      <c r="L203" s="51"/>
    </row>
    <row r="204" ht="36" customHeight="1">
      <c r="A204" s="49" t="str">
        <v>Lower operating expenses driven by various cost-cutting measures</v>
      </c>
      <c r="B204" s="3"/>
      <c r="C204" s="51"/>
      <c r="D204" s="51"/>
      <c r="E204" s="51"/>
      <c r="F204" s="51"/>
      <c r="G204" s="51"/>
      <c r="H204" s="51"/>
      <c r="I204" s="51"/>
      <c r="J204" s="51" t="n">
        <v>1220</v>
      </c>
      <c r="K204" s="51"/>
      <c r="L204" s="51"/>
    </row>
    <row r="205" ht="36" customHeight="1">
      <c r="A205" s="49" t="str">
        <v>Lower period charges primarily driven by a decrease in product ramp costs</v>
      </c>
      <c r="B205" s="3"/>
      <c r="C205" s="51"/>
      <c r="D205" s="51"/>
      <c r="E205" s="51"/>
      <c r="F205" s="51"/>
      <c r="G205" s="51"/>
      <c r="H205" s="51"/>
      <c r="I205" s="51"/>
      <c r="J205" s="51" t="n">
        <v>268</v>
      </c>
      <c r="K205" s="51"/>
      <c r="L205" s="51"/>
    </row>
    <row r="206" ht="36" customHeight="1">
      <c r="A206" s="49" t="str">
        <v>Lower product margin primarily from lower notebook and desktop revenue</v>
      </c>
      <c r="B206" s="3"/>
      <c r="C206" s="51"/>
      <c r="D206" s="51"/>
      <c r="E206" s="51"/>
      <c r="F206" s="51"/>
      <c r="G206" s="51"/>
      <c r="H206" s="51"/>
      <c r="I206" s="51"/>
      <c r="J206" s="51" t="n">
        <v>-1704</v>
      </c>
      <c r="K206" s="51"/>
      <c r="L206" s="51"/>
    </row>
    <row r="207" ht="36" customHeight="1">
      <c r="A207" s="49" t="str">
        <v>Higher unit cost primarily from increased mix of Intel 7 products</v>
      </c>
      <c r="B207" s="3"/>
      <c r="C207" s="51"/>
      <c r="D207" s="51"/>
      <c r="E207" s="51"/>
      <c r="F207" s="51"/>
      <c r="G207" s="51"/>
      <c r="H207" s="51"/>
      <c r="I207" s="51"/>
      <c r="J207" s="51" t="n">
        <v>-385</v>
      </c>
      <c r="K207" s="51"/>
      <c r="L207" s="51"/>
    </row>
    <row r="208" ht="22" customHeight="1">
      <c r="A208" s="49" t="str">
        <v>Higher period charges related to excess capacity charges</v>
      </c>
      <c r="B208" s="3"/>
      <c r="C208" s="51"/>
      <c r="D208" s="51"/>
      <c r="E208" s="51"/>
      <c r="F208" s="51"/>
      <c r="G208" s="51"/>
      <c r="H208" s="51"/>
      <c r="I208" s="51"/>
      <c r="J208" s="51" t="n">
        <v>-140</v>
      </c>
      <c r="K208" s="51"/>
      <c r="L208" s="51"/>
    </row>
    <row r="209" ht="8" customHeight="1">
      <c r="A209" s="3"/>
      <c r="B209" s="3"/>
      <c r="C209" s="3"/>
      <c r="D209" s="3"/>
      <c r="E209" s="3"/>
      <c r="F209" s="3"/>
      <c r="G209" s="3"/>
      <c r="H209" s="3"/>
      <c r="I209" s="3"/>
      <c r="J209" s="3"/>
      <c r="K209" s="3"/>
      <c r="L209" s="3"/>
    </row>
    <row r="210" ht="22" customHeight="1">
      <c r="A210" s="21" t="str">
        <v>Official growth attribution: DCG: revenue bridge</v>
      </c>
      <c r="B210" s="21" t="str">
        <v>Official growth attribution: DCG: revenue bridge</v>
      </c>
      <c r="C210" s="21" t="str">
        <v>Official growth attribution: DCG: revenue bridge</v>
      </c>
      <c r="D210" s="21" t="str">
        <v>Official growth attribution: DCG: revenue bridge</v>
      </c>
      <c r="E210" s="21" t="str">
        <v>Official growth attribution: DCG: revenue bridge</v>
      </c>
      <c r="F210" s="21" t="str">
        <v>Official growth attribution: DCG: revenue bridge</v>
      </c>
      <c r="G210" s="21" t="str">
        <v>Official growth attribution: DCG: revenue bridge</v>
      </c>
      <c r="H210" s="21" t="str">
        <v>Official growth attribution: DCG: revenue bridge</v>
      </c>
      <c r="I210" s="21" t="str">
        <v>Official growth attribution: DCG: revenue bridge</v>
      </c>
      <c r="J210" s="21" t="str">
        <v>Official growth attribution: DCG: revenue bridge</v>
      </c>
      <c r="K210" s="21" t="str">
        <v>Official growth attribution: DCG: revenue bridge</v>
      </c>
      <c r="L210" s="21" t="str">
        <v>Official growth attribution: DCG: revenue bridge</v>
      </c>
    </row>
    <row r="211" ht="18" customHeight="1">
      <c r="A211" s="22" t="str">
        <v>Company-disclosed year-on-year contributions in USD million. Only the filing year’s own comparison is shown; duplicated bridge endpoints remain in source records.</v>
      </c>
      <c r="B211" s="22" t="str">
        <v>Company-disclosed year-on-year contributions in USD million. Only the filing year’s own comparison is shown; duplicated bridge endpoints remain in source records.</v>
      </c>
      <c r="C211" s="22" t="str">
        <v>Company-disclosed year-on-year contributions in USD million. Only the filing year’s own comparison is shown; duplicated bridge endpoints remain in source records.</v>
      </c>
      <c r="D211" s="22" t="str">
        <v>Company-disclosed year-on-year contributions in USD million. Only the filing year’s own comparison is shown; duplicated bridge endpoints remain in source records.</v>
      </c>
      <c r="E211" s="22" t="str">
        <v>Company-disclosed year-on-year contributions in USD million. Only the filing year’s own comparison is shown; duplicated bridge endpoints remain in source records.</v>
      </c>
      <c r="F211" s="22" t="str">
        <v>Company-disclosed year-on-year contributions in USD million. Only the filing year’s own comparison is shown; duplicated bridge endpoints remain in source records.</v>
      </c>
      <c r="G211" s="22" t="str">
        <v>Company-disclosed year-on-year contributions in USD million. Only the filing year’s own comparison is shown; duplicated bridge endpoints remain in source records.</v>
      </c>
      <c r="H211" s="22" t="str">
        <v>Company-disclosed year-on-year contributions in USD million. Only the filing year’s own comparison is shown; duplicated bridge endpoints remain in source records.</v>
      </c>
      <c r="I211" s="22" t="str">
        <v>Company-disclosed year-on-year contributions in USD million. Only the filing year’s own comparison is shown; duplicated bridge endpoints remain in source records.</v>
      </c>
      <c r="J211" s="22" t="str">
        <v>Company-disclosed year-on-year contributions in USD million. Only the filing year’s own comparison is shown; duplicated bridge endpoints remain in source records.</v>
      </c>
      <c r="K211" s="22" t="str">
        <v>Company-disclosed year-on-year contributions in USD million. Only the filing year’s own comparison is shown; duplicated bridge endpoints remain in source records.</v>
      </c>
      <c r="L211" s="22" t="str">
        <v>Company-disclosed year-on-year contributions in USD million. Only the filing year’s own comparison is shown; duplicated bridge endpoints remain in source records.</v>
      </c>
    </row>
    <row r="212" ht="22" customHeight="1">
      <c r="A212" s="49" t="str">
        <v>Higher DCG platform unit sales</v>
      </c>
      <c r="B212" s="3"/>
      <c r="C212" s="51" t="n">
        <v>1149</v>
      </c>
      <c r="D212" s="51"/>
      <c r="E212" s="51"/>
      <c r="F212" s="51"/>
      <c r="G212" s="51"/>
      <c r="H212" s="51"/>
      <c r="I212" s="51"/>
      <c r="J212" s="51"/>
      <c r="K212" s="51"/>
      <c r="L212" s="51"/>
    </row>
    <row r="213" ht="22" customHeight="1">
      <c r="A213" s="49" t="str">
        <v>Other</v>
      </c>
      <c r="B213" s="3"/>
      <c r="C213" s="51" t="n">
        <v>106</v>
      </c>
      <c r="D213" s="51"/>
      <c r="E213" s="51"/>
      <c r="F213" s="51"/>
      <c r="G213" s="51"/>
      <c r="H213" s="51"/>
      <c r="I213" s="51"/>
      <c r="J213" s="51"/>
      <c r="K213" s="51"/>
      <c r="L213" s="51"/>
    </row>
    <row r="214" ht="8" customHeight="1">
      <c r="A214" s="3"/>
      <c r="B214" s="3"/>
      <c r="C214" s="3"/>
      <c r="D214" s="3"/>
      <c r="E214" s="3"/>
      <c r="F214" s="3"/>
      <c r="G214" s="3"/>
      <c r="H214" s="3"/>
      <c r="I214" s="3"/>
      <c r="J214" s="3"/>
      <c r="K214" s="3"/>
      <c r="L214" s="3"/>
    </row>
    <row r="215" ht="22" customHeight="1">
      <c r="A215" s="21" t="str">
        <v>Official growth attribution: DCG: operating income bridge</v>
      </c>
      <c r="B215" s="21" t="str">
        <v>Official growth attribution: DCG: operating income bridge</v>
      </c>
      <c r="C215" s="21" t="str">
        <v>Official growth attribution: DCG: operating income bridge</v>
      </c>
      <c r="D215" s="21" t="str">
        <v>Official growth attribution: DCG: operating income bridge</v>
      </c>
      <c r="E215" s="21" t="str">
        <v>Official growth attribution: DCG: operating income bridge</v>
      </c>
      <c r="F215" s="21" t="str">
        <v>Official growth attribution: DCG: operating income bridge</v>
      </c>
      <c r="G215" s="21" t="str">
        <v>Official growth attribution: DCG: operating income bridge</v>
      </c>
      <c r="H215" s="21" t="str">
        <v>Official growth attribution: DCG: operating income bridge</v>
      </c>
      <c r="I215" s="21" t="str">
        <v>Official growth attribution: DCG: operating income bridge</v>
      </c>
      <c r="J215" s="21" t="str">
        <v>Official growth attribution: DCG: operating income bridge</v>
      </c>
      <c r="K215" s="21" t="str">
        <v>Official growth attribution: DCG: operating income bridge</v>
      </c>
      <c r="L215" s="21" t="str">
        <v>Official growth attribution: DCG: operating income bridge</v>
      </c>
    </row>
    <row r="216" ht="18" customHeight="1">
      <c r="A216" s="22" t="str">
        <v>Company-disclosed year-on-year contributions in USD million. Only the filing year’s own comparison is shown; duplicated bridge endpoints remain in source records.</v>
      </c>
      <c r="B216" s="22" t="str">
        <v>Company-disclosed year-on-year contributions in USD million. Only the filing year’s own comparison is shown; duplicated bridge endpoints remain in source records.</v>
      </c>
      <c r="C216" s="22" t="str">
        <v>Company-disclosed year-on-year contributions in USD million. Only the filing year’s own comparison is shown; duplicated bridge endpoints remain in source records.</v>
      </c>
      <c r="D216" s="22" t="str">
        <v>Company-disclosed year-on-year contributions in USD million. Only the filing year’s own comparison is shown; duplicated bridge endpoints remain in source records.</v>
      </c>
      <c r="E216" s="22" t="str">
        <v>Company-disclosed year-on-year contributions in USD million. Only the filing year’s own comparison is shown; duplicated bridge endpoints remain in source records.</v>
      </c>
      <c r="F216" s="22" t="str">
        <v>Company-disclosed year-on-year contributions in USD million. Only the filing year’s own comparison is shown; duplicated bridge endpoints remain in source records.</v>
      </c>
      <c r="G216" s="22" t="str">
        <v>Company-disclosed year-on-year contributions in USD million. Only the filing year’s own comparison is shown; duplicated bridge endpoints remain in source records.</v>
      </c>
      <c r="H216" s="22" t="str">
        <v>Company-disclosed year-on-year contributions in USD million. Only the filing year’s own comparison is shown; duplicated bridge endpoints remain in source records.</v>
      </c>
      <c r="I216" s="22" t="str">
        <v>Company-disclosed year-on-year contributions in USD million. Only the filing year’s own comparison is shown; duplicated bridge endpoints remain in source records.</v>
      </c>
      <c r="J216" s="22" t="str">
        <v>Company-disclosed year-on-year contributions in USD million. Only the filing year’s own comparison is shown; duplicated bridge endpoints remain in source records.</v>
      </c>
      <c r="K216" s="22" t="str">
        <v>Company-disclosed year-on-year contributions in USD million. Only the filing year’s own comparison is shown; duplicated bridge endpoints remain in source records.</v>
      </c>
      <c r="L216" s="22" t="str">
        <v>Company-disclosed year-on-year contributions in USD million. Only the filing year’s own comparison is shown; duplicated bridge endpoints remain in source records.</v>
      </c>
    </row>
    <row r="217" ht="22" customHeight="1">
      <c r="A217" s="49" t="str">
        <v>Higher gross margin from DCG platform revenue</v>
      </c>
      <c r="B217" s="3"/>
      <c r="C217" s="51" t="n">
        <v>930</v>
      </c>
      <c r="D217" s="51" t="n">
        <v>1450</v>
      </c>
      <c r="E217" s="51"/>
      <c r="F217" s="51"/>
      <c r="G217" s="51"/>
      <c r="H217" s="51"/>
      <c r="I217" s="51"/>
      <c r="J217" s="51"/>
      <c r="K217" s="51"/>
      <c r="L217" s="51"/>
    </row>
    <row r="218" ht="22" customHeight="1">
      <c r="A218" s="49" t="str">
        <v>Higher DCG operating expense</v>
      </c>
      <c r="B218" s="3"/>
      <c r="C218" s="51" t="n">
        <v>-655</v>
      </c>
      <c r="D218" s="51"/>
      <c r="E218" s="51"/>
      <c r="F218" s="51"/>
      <c r="G218" s="51"/>
      <c r="H218" s="51"/>
      <c r="I218" s="51"/>
      <c r="J218" s="51"/>
      <c r="K218" s="51"/>
      <c r="L218" s="51"/>
    </row>
    <row r="219" ht="22" customHeight="1">
      <c r="A219" s="49" t="str">
        <v>Higher DCG platform unit costs</v>
      </c>
      <c r="B219" s="3"/>
      <c r="C219" s="51" t="n">
        <v>-335</v>
      </c>
      <c r="D219" s="51"/>
      <c r="E219" s="51"/>
      <c r="F219" s="51"/>
      <c r="G219" s="51"/>
      <c r="H219" s="51"/>
      <c r="I219" s="51"/>
      <c r="J219" s="51"/>
      <c r="K219" s="51"/>
      <c r="L219" s="51"/>
    </row>
    <row r="220" ht="36" customHeight="1">
      <c r="A220" s="49" t="str">
        <v>Period charges associated with product warranty and intellectual property agreements</v>
      </c>
      <c r="B220" s="3"/>
      <c r="C220" s="51" t="n">
        <v>-215</v>
      </c>
      <c r="D220" s="51"/>
      <c r="E220" s="51"/>
      <c r="F220" s="51"/>
      <c r="G220" s="51"/>
      <c r="H220" s="51"/>
      <c r="I220" s="51"/>
      <c r="J220" s="51"/>
      <c r="K220" s="51"/>
      <c r="L220" s="51"/>
    </row>
    <row r="221" ht="22" customHeight="1">
      <c r="A221" s="49" t="str">
        <v>Other</v>
      </c>
      <c r="B221" s="3"/>
      <c r="C221" s="51" t="n">
        <v>-52</v>
      </c>
      <c r="D221" s="51" t="n">
        <v>110</v>
      </c>
      <c r="E221" s="51" t="n">
        <v>-14</v>
      </c>
      <c r="F221" s="51" t="n">
        <v>-84</v>
      </c>
      <c r="G221" s="51" t="n">
        <v>4</v>
      </c>
      <c r="H221" s="51" t="n">
        <v>-9</v>
      </c>
      <c r="I221" s="51"/>
      <c r="J221" s="51"/>
      <c r="K221" s="51"/>
      <c r="L221" s="51"/>
    </row>
    <row r="222" ht="36" customHeight="1">
      <c r="A222" s="49" t="str">
        <v>Lower period charges associated with product warranty and intellectual property agreements incurred in 2016</v>
      </c>
      <c r="B222" s="3"/>
      <c r="C222" s="51"/>
      <c r="D222" s="51" t="n">
        <v>215</v>
      </c>
      <c r="E222" s="51"/>
      <c r="F222" s="51"/>
      <c r="G222" s="51"/>
      <c r="H222" s="51"/>
      <c r="I222" s="51"/>
      <c r="J222" s="51"/>
      <c r="K222" s="51"/>
      <c r="L222" s="51"/>
    </row>
    <row r="223" ht="36" customHeight="1">
      <c r="A223" s="49" t="str">
        <v>Higher factory start-up costs, primarily driven by the ramp of our 10nm process technology</v>
      </c>
      <c r="B223" s="3"/>
      <c r="C223" s="51"/>
      <c r="D223" s="51" t="n">
        <v>-585</v>
      </c>
      <c r="E223" s="51"/>
      <c r="F223" s="51"/>
      <c r="G223" s="51"/>
      <c r="H223" s="51"/>
      <c r="I223" s="51"/>
      <c r="J223" s="51"/>
      <c r="K223" s="51"/>
      <c r="L223" s="51"/>
    </row>
    <row r="224" ht="36" customHeight="1">
      <c r="A224" s="49" t="str">
        <v>Higher DCG spending and share of technology development and MG&amp;A costs</v>
      </c>
      <c r="B224" s="3"/>
      <c r="C224" s="51"/>
      <c r="D224" s="51" t="n">
        <v>-315</v>
      </c>
      <c r="E224" s="51"/>
      <c r="F224" s="51"/>
      <c r="G224" s="51"/>
      <c r="H224" s="51"/>
      <c r="I224" s="51"/>
      <c r="J224" s="51"/>
      <c r="K224" s="51"/>
      <c r="L224" s="51"/>
    </row>
    <row r="225" ht="22" customHeight="1">
      <c r="A225" s="49" t="str">
        <v>Higher gross margin from platform revenue</v>
      </c>
      <c r="B225" s="3"/>
      <c r="C225" s="51"/>
      <c r="D225" s="51"/>
      <c r="E225" s="51" t="n">
        <v>3445</v>
      </c>
      <c r="F225" s="51" t="n">
        <v>370</v>
      </c>
      <c r="G225" s="51" t="n">
        <v>1325</v>
      </c>
      <c r="H225" s="51"/>
      <c r="I225" s="51"/>
      <c r="J225" s="51"/>
      <c r="K225" s="51"/>
      <c r="L225" s="51"/>
    </row>
    <row r="226" ht="22" customHeight="1">
      <c r="A226" s="49" t="str">
        <v>Higher platform unit cost</v>
      </c>
      <c r="B226" s="3"/>
      <c r="C226" s="51"/>
      <c r="D226" s="51"/>
      <c r="E226" s="51" t="n">
        <v>-350</v>
      </c>
      <c r="F226" s="51" t="n">
        <v>-80</v>
      </c>
      <c r="G226" s="51" t="n">
        <v>-295</v>
      </c>
      <c r="H226" s="51"/>
      <c r="I226" s="51"/>
      <c r="J226" s="51"/>
      <c r="K226" s="51"/>
      <c r="L226" s="51"/>
    </row>
    <row r="227" ht="36" customHeight="1">
      <c r="A227" s="49" t="str">
        <v>Higher period charges, primarily associated with the initial ramp of 10nm</v>
      </c>
      <c r="B227" s="3"/>
      <c r="C227" s="51"/>
      <c r="D227" s="51"/>
      <c r="E227" s="51"/>
      <c r="F227" s="51" t="n">
        <v>-805</v>
      </c>
      <c r="G227" s="51"/>
      <c r="H227" s="51"/>
      <c r="I227" s="51"/>
      <c r="J227" s="51"/>
      <c r="K227" s="51"/>
      <c r="L227" s="51"/>
    </row>
    <row r="228" ht="22" customHeight="1">
      <c r="A228" s="49" t="str">
        <v>Higher operating expenses primarily related to R&amp;D</v>
      </c>
      <c r="B228" s="3"/>
      <c r="C228" s="51"/>
      <c r="D228" s="51"/>
      <c r="E228" s="51"/>
      <c r="F228" s="51" t="n">
        <v>-510</v>
      </c>
      <c r="G228" s="51"/>
      <c r="H228" s="51"/>
      <c r="I228" s="51"/>
      <c r="J228" s="51"/>
      <c r="K228" s="51"/>
      <c r="L228" s="51"/>
    </row>
    <row r="229" ht="22" customHeight="1">
      <c r="A229" s="49" t="str">
        <v>Lower gross margin from adjacent businesses</v>
      </c>
      <c r="B229" s="3"/>
      <c r="C229" s="51"/>
      <c r="D229" s="51"/>
      <c r="E229" s="51"/>
      <c r="F229" s="51" t="n">
        <v>-140</v>
      </c>
      <c r="G229" s="51"/>
      <c r="H229" s="51"/>
      <c r="I229" s="51"/>
      <c r="J229" s="51"/>
      <c r="K229" s="51"/>
      <c r="L229" s="51"/>
    </row>
    <row r="230" ht="50" customHeight="1">
      <c r="A230" s="49" t="str">
        <v>Lower period charges due to lower factory start-up costs associated with the initial ramp of 10nm, partially offset by platform product reserves</v>
      </c>
      <c r="B230" s="3"/>
      <c r="C230" s="51"/>
      <c r="D230" s="51"/>
      <c r="E230" s="51"/>
      <c r="F230" s="51"/>
      <c r="G230" s="51" t="n">
        <v>235</v>
      </c>
      <c r="H230" s="51"/>
      <c r="I230" s="51"/>
      <c r="J230" s="51"/>
      <c r="K230" s="51"/>
      <c r="L230" s="51"/>
    </row>
    <row r="231" ht="22" customHeight="1">
      <c r="A231" s="49" t="str">
        <v>Higher operating expenses</v>
      </c>
      <c r="B231" s="3"/>
      <c r="C231" s="51"/>
      <c r="D231" s="51"/>
      <c r="E231" s="51"/>
      <c r="F231" s="51"/>
      <c r="G231" s="51" t="n">
        <v>-425</v>
      </c>
      <c r="H231" s="51"/>
      <c r="I231" s="51"/>
      <c r="J231" s="51"/>
      <c r="K231" s="51"/>
      <c r="L231" s="51"/>
    </row>
    <row r="232" ht="22" customHeight="1">
      <c r="A232" s="49" t="str">
        <v>Lower DCG adjacent product margin</v>
      </c>
      <c r="B232" s="3"/>
      <c r="C232" s="51"/>
      <c r="D232" s="51"/>
      <c r="E232" s="51"/>
      <c r="F232" s="51"/>
      <c r="G232" s="51" t="n">
        <v>-375</v>
      </c>
      <c r="H232" s="51"/>
      <c r="I232" s="51"/>
      <c r="J232" s="51"/>
      <c r="K232" s="51"/>
      <c r="L232" s="51"/>
    </row>
    <row r="233" ht="36" customHeight="1">
      <c r="A233" s="49" t="str">
        <v>Primarily driven by higher logistic expenses due to COVID-19</v>
      </c>
      <c r="B233" s="3"/>
      <c r="C233" s="51"/>
      <c r="D233" s="51"/>
      <c r="E233" s="51"/>
      <c r="F233" s="51"/>
      <c r="G233" s="51" t="n">
        <v>-125</v>
      </c>
      <c r="H233" s="51"/>
      <c r="I233" s="51"/>
      <c r="J233" s="51"/>
      <c r="K233" s="51"/>
      <c r="L233" s="51"/>
    </row>
    <row r="234" ht="36" customHeight="1">
      <c r="A234" s="49" t="str">
        <v>Higher operating expenses driven by investment in leadership products</v>
      </c>
      <c r="B234" s="3"/>
      <c r="C234" s="51"/>
      <c r="D234" s="51"/>
      <c r="E234" s="51"/>
      <c r="F234" s="51"/>
      <c r="G234" s="51"/>
      <c r="H234" s="51" t="n">
        <v>-1185</v>
      </c>
      <c r="I234" s="51"/>
      <c r="J234" s="51"/>
      <c r="K234" s="51"/>
      <c r="L234" s="51"/>
    </row>
    <row r="235" ht="36" customHeight="1">
      <c r="A235" s="49" t="str">
        <v>Higher platform unit cost primarily from increased mix of 10nm SuperFin products</v>
      </c>
      <c r="B235" s="3"/>
      <c r="C235" s="51"/>
      <c r="D235" s="51"/>
      <c r="E235" s="51"/>
      <c r="F235" s="51"/>
      <c r="G235" s="51"/>
      <c r="H235" s="51" t="n">
        <v>-840</v>
      </c>
      <c r="I235" s="51"/>
      <c r="J235" s="51"/>
      <c r="K235" s="51"/>
      <c r="L235" s="51"/>
    </row>
    <row r="236" ht="36" customHeight="1">
      <c r="A236" s="49" t="str">
        <v>Higher period charges primarily associated with ramp up of Intel 4</v>
      </c>
      <c r="B236" s="3"/>
      <c r="C236" s="51"/>
      <c r="D236" s="51"/>
      <c r="E236" s="51"/>
      <c r="F236" s="51"/>
      <c r="G236" s="51"/>
      <c r="H236" s="51" t="n">
        <v>-685</v>
      </c>
      <c r="I236" s="51"/>
      <c r="J236" s="51"/>
      <c r="K236" s="51"/>
      <c r="L236" s="51"/>
    </row>
    <row r="237" ht="22" customHeight="1">
      <c r="A237" s="49" t="str">
        <v>Lower gross margin from platform revenue</v>
      </c>
      <c r="B237" s="3"/>
      <c r="C237" s="51"/>
      <c r="D237" s="51"/>
      <c r="E237" s="51"/>
      <c r="F237" s="51"/>
      <c r="G237" s="51"/>
      <c r="H237" s="51" t="n">
        <v>-435</v>
      </c>
      <c r="I237" s="51"/>
      <c r="J237" s="51"/>
      <c r="K237" s="51"/>
      <c r="L237" s="51"/>
    </row>
    <row r="238" ht="36" customHeight="1">
      <c r="A238" s="49" t="str">
        <v>Higher period charges primarily associated with ramp down of 14nm</v>
      </c>
      <c r="B238" s="3"/>
      <c r="C238" s="51"/>
      <c r="D238" s="51"/>
      <c r="E238" s="51"/>
      <c r="F238" s="51"/>
      <c r="G238" s="51"/>
      <c r="H238" s="51" t="n">
        <v>-250</v>
      </c>
      <c r="I238" s="51"/>
      <c r="J238" s="51"/>
      <c r="K238" s="51"/>
      <c r="L238" s="51"/>
    </row>
    <row r="239" ht="36" customHeight="1">
      <c r="A239" s="49" t="str">
        <v>Higher period charges driven by increased engineering samples</v>
      </c>
      <c r="B239" s="3"/>
      <c r="C239" s="51"/>
      <c r="D239" s="51"/>
      <c r="E239" s="51"/>
      <c r="F239" s="51"/>
      <c r="G239" s="51"/>
      <c r="H239" s="51" t="n">
        <v>-160</v>
      </c>
      <c r="I239" s="51"/>
      <c r="J239" s="51"/>
      <c r="K239" s="51"/>
      <c r="L239" s="51"/>
    </row>
    <row r="240" ht="22" customHeight="1">
      <c r="A240" s="49" t="str">
        <v>Lower adjacent product margin</v>
      </c>
      <c r="B240" s="3"/>
      <c r="C240" s="51"/>
      <c r="D240" s="51"/>
      <c r="E240" s="51"/>
      <c r="F240" s="51"/>
      <c r="G240" s="51"/>
      <c r="H240" s="51" t="n">
        <v>-155</v>
      </c>
      <c r="I240" s="51"/>
      <c r="J240" s="51"/>
      <c r="K240" s="51"/>
      <c r="L240" s="51"/>
    </row>
    <row r="241" ht="50" customHeight="1">
      <c r="A241" s="49" t="str">
        <v>Lower period charges driven by absence of other reserves taken in 2020, partially offset by reserves recorded in 2021</v>
      </c>
      <c r="B241" s="3"/>
      <c r="C241" s="51"/>
      <c r="D241" s="51"/>
      <c r="E241" s="51"/>
      <c r="F241" s="51"/>
      <c r="G241" s="51"/>
      <c r="H241" s="51" t="n">
        <v>145</v>
      </c>
      <c r="I241" s="51"/>
      <c r="J241" s="51"/>
      <c r="K241" s="51"/>
      <c r="L241" s="51"/>
    </row>
    <row r="242" ht="8" customHeight="1">
      <c r="A242" s="3"/>
      <c r="B242" s="3"/>
      <c r="C242" s="3"/>
      <c r="D242" s="3"/>
      <c r="E242" s="3"/>
      <c r="F242" s="3"/>
      <c r="G242" s="3"/>
      <c r="H242" s="3"/>
      <c r="I242" s="3"/>
      <c r="J242" s="3"/>
      <c r="K242" s="3"/>
      <c r="L242" s="3"/>
    </row>
    <row r="243" ht="22" customHeight="1">
      <c r="A243" s="21" t="str">
        <v>Official growth attribution: DCAI: operating income bridge</v>
      </c>
      <c r="B243" s="21" t="str">
        <v>Official growth attribution: DCAI: operating income bridge</v>
      </c>
      <c r="C243" s="21" t="str">
        <v>Official growth attribution: DCAI: operating income bridge</v>
      </c>
      <c r="D243" s="21" t="str">
        <v>Official growth attribution: DCAI: operating income bridge</v>
      </c>
      <c r="E243" s="21" t="str">
        <v>Official growth attribution: DCAI: operating income bridge</v>
      </c>
      <c r="F243" s="21" t="str">
        <v>Official growth attribution: DCAI: operating income bridge</v>
      </c>
      <c r="G243" s="21" t="str">
        <v>Official growth attribution: DCAI: operating income bridge</v>
      </c>
      <c r="H243" s="21" t="str">
        <v>Official growth attribution: DCAI: operating income bridge</v>
      </c>
      <c r="I243" s="21" t="str">
        <v>Official growth attribution: DCAI: operating income bridge</v>
      </c>
      <c r="J243" s="21" t="str">
        <v>Official growth attribution: DCAI: operating income bridge</v>
      </c>
      <c r="K243" s="21" t="str">
        <v>Official growth attribution: DCAI: operating income bridge</v>
      </c>
      <c r="L243" s="21" t="str">
        <v>Official growth attribution: DCAI: operating income bridge</v>
      </c>
    </row>
    <row r="244" ht="18" customHeight="1">
      <c r="A244" s="22" t="str">
        <v>Company-disclosed year-on-year contributions in USD million. Only the filing year’s own comparison is shown; duplicated bridge endpoints remain in source records.</v>
      </c>
      <c r="B244" s="22" t="str">
        <v>Company-disclosed year-on-year contributions in USD million. Only the filing year’s own comparison is shown; duplicated bridge endpoints remain in source records.</v>
      </c>
      <c r="C244" s="22" t="str">
        <v>Company-disclosed year-on-year contributions in USD million. Only the filing year’s own comparison is shown; duplicated bridge endpoints remain in source records.</v>
      </c>
      <c r="D244" s="22" t="str">
        <v>Company-disclosed year-on-year contributions in USD million. Only the filing year’s own comparison is shown; duplicated bridge endpoints remain in source records.</v>
      </c>
      <c r="E244" s="22" t="str">
        <v>Company-disclosed year-on-year contributions in USD million. Only the filing year’s own comparison is shown; duplicated bridge endpoints remain in source records.</v>
      </c>
      <c r="F244" s="22" t="str">
        <v>Company-disclosed year-on-year contributions in USD million. Only the filing year’s own comparison is shown; duplicated bridge endpoints remain in source records.</v>
      </c>
      <c r="G244" s="22" t="str">
        <v>Company-disclosed year-on-year contributions in USD million. Only the filing year’s own comparison is shown; duplicated bridge endpoints remain in source records.</v>
      </c>
      <c r="H244" s="22" t="str">
        <v>Company-disclosed year-on-year contributions in USD million. Only the filing year’s own comparison is shown; duplicated bridge endpoints remain in source records.</v>
      </c>
      <c r="I244" s="22" t="str">
        <v>Company-disclosed year-on-year contributions in USD million. Only the filing year’s own comparison is shown; duplicated bridge endpoints remain in source records.</v>
      </c>
      <c r="J244" s="22" t="str">
        <v>Company-disclosed year-on-year contributions in USD million. Only the filing year’s own comparison is shown; duplicated bridge endpoints remain in source records.</v>
      </c>
      <c r="K244" s="22" t="str">
        <v>Company-disclosed year-on-year contributions in USD million. Only the filing year’s own comparison is shown; duplicated bridge endpoints remain in source records.</v>
      </c>
      <c r="L244" s="22" t="str">
        <v>Company-disclosed year-on-year contributions in USD million. Only the filing year’s own comparison is shown; duplicated bridge endpoints remain in source records.</v>
      </c>
    </row>
    <row r="245" ht="22" customHeight="1">
      <c r="A245" s="49" t="str">
        <v>Lower gross margin from server revenue</v>
      </c>
      <c r="B245" s="3"/>
      <c r="C245" s="51"/>
      <c r="D245" s="51"/>
      <c r="E245" s="51"/>
      <c r="F245" s="51"/>
      <c r="G245" s="51"/>
      <c r="H245" s="51"/>
      <c r="I245" s="51" t="n">
        <v>-3330</v>
      </c>
      <c r="J245" s="51"/>
      <c r="K245" s="51"/>
      <c r="L245" s="51"/>
    </row>
    <row r="246" ht="36" customHeight="1">
      <c r="A246" s="49" t="str">
        <v>Higher period charges primarily associated with the ramp up of Intel 4</v>
      </c>
      <c r="B246" s="3"/>
      <c r="C246" s="51"/>
      <c r="D246" s="51"/>
      <c r="E246" s="51"/>
      <c r="F246" s="51"/>
      <c r="G246" s="51"/>
      <c r="H246" s="51"/>
      <c r="I246" s="51" t="n">
        <v>-1139</v>
      </c>
      <c r="J246" s="51"/>
      <c r="K246" s="51"/>
      <c r="L246" s="51"/>
    </row>
    <row r="247" ht="36" customHeight="1">
      <c r="A247" s="49" t="str">
        <v>Higher operating expenses driven by increased investments in leadership products</v>
      </c>
      <c r="B247" s="3"/>
      <c r="C247" s="51"/>
      <c r="D247" s="51"/>
      <c r="E247" s="51"/>
      <c r="F247" s="51"/>
      <c r="G247" s="51"/>
      <c r="H247" s="51"/>
      <c r="I247" s="51" t="n">
        <v>-1001</v>
      </c>
      <c r="J247" s="51"/>
      <c r="K247" s="51"/>
      <c r="L247" s="51"/>
    </row>
    <row r="248" ht="36" customHeight="1">
      <c r="A248" s="49" t="str">
        <v>Higher server unit cost from increased mix of 10nm SuperFin products</v>
      </c>
      <c r="B248" s="3"/>
      <c r="C248" s="51"/>
      <c r="D248" s="51"/>
      <c r="E248" s="51"/>
      <c r="F248" s="51"/>
      <c r="G248" s="51"/>
      <c r="H248" s="51"/>
      <c r="I248" s="51" t="n">
        <v>-671</v>
      </c>
      <c r="J248" s="51"/>
      <c r="K248" s="51"/>
      <c r="L248" s="51"/>
    </row>
    <row r="249" ht="36" customHeight="1">
      <c r="A249" s="49" t="str">
        <v>Higher period charges driven by inventory reserves taken in 2022</v>
      </c>
      <c r="B249" s="3"/>
      <c r="C249" s="51"/>
      <c r="D249" s="51"/>
      <c r="E249" s="51"/>
      <c r="F249" s="51"/>
      <c r="G249" s="51"/>
      <c r="H249" s="51"/>
      <c r="I249" s="51" t="n">
        <v>-441</v>
      </c>
      <c r="J249" s="51"/>
      <c r="K249" s="51"/>
      <c r="L249" s="51"/>
    </row>
    <row r="250" ht="36" customHeight="1">
      <c r="A250" s="49" t="str">
        <v>Higher other period charges primarily related to product development costs</v>
      </c>
      <c r="B250" s="3"/>
      <c r="C250" s="51"/>
      <c r="D250" s="51"/>
      <c r="E250" s="51"/>
      <c r="F250" s="51"/>
      <c r="G250" s="51"/>
      <c r="H250" s="51"/>
      <c r="I250" s="51" t="n">
        <v>-305</v>
      </c>
      <c r="J250" s="51"/>
      <c r="K250" s="51"/>
      <c r="L250" s="51"/>
    </row>
    <row r="251" ht="22" customHeight="1">
      <c r="A251" s="49" t="str">
        <v>Higher period charges related to excess capacity charges</v>
      </c>
      <c r="B251" s="3"/>
      <c r="C251" s="51"/>
      <c r="D251" s="51"/>
      <c r="E251" s="51"/>
      <c r="F251" s="51"/>
      <c r="G251" s="51"/>
      <c r="H251" s="51"/>
      <c r="I251" s="51" t="n">
        <v>-189</v>
      </c>
      <c r="J251" s="51" t="n">
        <v>-171</v>
      </c>
      <c r="K251" s="51"/>
      <c r="L251" s="51"/>
    </row>
    <row r="252" ht="22" customHeight="1">
      <c r="A252" s="49" t="str">
        <v>Higher gross margin from DCAI other product revenue</v>
      </c>
      <c r="B252" s="3"/>
      <c r="C252" s="51"/>
      <c r="D252" s="51"/>
      <c r="E252" s="51"/>
      <c r="F252" s="51"/>
      <c r="G252" s="51"/>
      <c r="H252" s="51"/>
      <c r="I252" s="51" t="n">
        <v>702</v>
      </c>
      <c r="J252" s="51"/>
      <c r="K252" s="51"/>
      <c r="L252" s="51"/>
    </row>
    <row r="253" ht="50" customHeight="1">
      <c r="A253" s="49" t="str">
        <v>Lower period charges due to a benefit related to insurance proceeds received for business interruption and property damage that occurred in 2020</v>
      </c>
      <c r="B253" s="3"/>
      <c r="C253" s="51"/>
      <c r="D253" s="51"/>
      <c r="E253" s="51"/>
      <c r="F253" s="51"/>
      <c r="G253" s="51"/>
      <c r="H253" s="51"/>
      <c r="I253" s="51" t="n">
        <v>223</v>
      </c>
      <c r="J253" s="51"/>
      <c r="K253" s="51"/>
      <c r="L253" s="51"/>
    </row>
    <row r="254" ht="22" customHeight="1">
      <c r="A254" s="49" t="str">
        <v>Lower product margin primarily due to lower server revenue</v>
      </c>
      <c r="B254" s="3"/>
      <c r="C254" s="51"/>
      <c r="D254" s="51"/>
      <c r="E254" s="51"/>
      <c r="F254" s="51"/>
      <c r="G254" s="51"/>
      <c r="H254" s="51"/>
      <c r="I254" s="51"/>
      <c r="J254" s="51" t="n">
        <v>-2709</v>
      </c>
      <c r="K254" s="51"/>
      <c r="L254" s="51"/>
    </row>
    <row r="255" ht="36" customHeight="1">
      <c r="A255" s="49" t="str">
        <v>Higher server unit cost primarily from increased mix of Intel 7 products</v>
      </c>
      <c r="B255" s="3"/>
      <c r="C255" s="51"/>
      <c r="D255" s="51"/>
      <c r="E255" s="51"/>
      <c r="F255" s="51"/>
      <c r="G255" s="51"/>
      <c r="H255" s="51"/>
      <c r="I255" s="51"/>
      <c r="J255" s="51" t="n">
        <v>-1269</v>
      </c>
      <c r="K255" s="51"/>
      <c r="L255" s="51"/>
    </row>
    <row r="256" ht="36" customHeight="1">
      <c r="A256" s="49" t="str">
        <v>Lower operating expenses driven by various cost-cutting measures</v>
      </c>
      <c r="B256" s="3"/>
      <c r="C256" s="51"/>
      <c r="D256" s="51"/>
      <c r="E256" s="51"/>
      <c r="F256" s="51"/>
      <c r="G256" s="51"/>
      <c r="H256" s="51"/>
      <c r="I256" s="51"/>
      <c r="J256" s="51" t="n">
        <v>1337</v>
      </c>
      <c r="K256" s="51"/>
      <c r="L256" s="51"/>
    </row>
    <row r="257" ht="36" customHeight="1">
      <c r="A257" s="49" t="str">
        <v>Lower period charges primarily driven by a decrease in product ramp costs</v>
      </c>
      <c r="B257" s="3"/>
      <c r="C257" s="51"/>
      <c r="D257" s="51"/>
      <c r="E257" s="51"/>
      <c r="F257" s="51"/>
      <c r="G257" s="51"/>
      <c r="H257" s="51"/>
      <c r="I257" s="51"/>
      <c r="J257" s="51" t="n">
        <v>520</v>
      </c>
      <c r="K257" s="51"/>
      <c r="L257" s="51"/>
    </row>
    <row r="258" ht="36" customHeight="1">
      <c r="A258" s="49" t="str">
        <v>Lower period charges driven by the sell-through of previously reserved inventory and lower reserves taken in 2023</v>
      </c>
      <c r="B258" s="3"/>
      <c r="C258" s="51"/>
      <c r="D258" s="51"/>
      <c r="E258" s="51"/>
      <c r="F258" s="51"/>
      <c r="G258" s="51"/>
      <c r="H258" s="51"/>
      <c r="I258" s="51"/>
      <c r="J258" s="51" t="n">
        <v>462</v>
      </c>
      <c r="K258" s="51"/>
      <c r="L258" s="51"/>
    </row>
    <row r="259" ht="8" customHeight="1">
      <c r="A259" s="3"/>
      <c r="B259" s="3"/>
      <c r="C259" s="3"/>
      <c r="D259" s="3"/>
      <c r="E259" s="3"/>
      <c r="F259" s="3"/>
      <c r="G259" s="3"/>
      <c r="H259" s="3"/>
      <c r="I259" s="3"/>
      <c r="J259" s="3"/>
      <c r="K259" s="3"/>
      <c r="L259" s="3"/>
    </row>
    <row r="260" ht="22" customHeight="1">
      <c r="A260" s="21" t="str">
        <v>Official growth attribution: NEX: operating income bridge</v>
      </c>
      <c r="B260" s="21" t="str">
        <v>Official growth attribution: NEX: operating income bridge</v>
      </c>
      <c r="C260" s="21" t="str">
        <v>Official growth attribution: NEX: operating income bridge</v>
      </c>
      <c r="D260" s="21" t="str">
        <v>Official growth attribution: NEX: operating income bridge</v>
      </c>
      <c r="E260" s="21" t="str">
        <v>Official growth attribution: NEX: operating income bridge</v>
      </c>
      <c r="F260" s="21" t="str">
        <v>Official growth attribution: NEX: operating income bridge</v>
      </c>
      <c r="G260" s="21" t="str">
        <v>Official growth attribution: NEX: operating income bridge</v>
      </c>
      <c r="H260" s="21" t="str">
        <v>Official growth attribution: NEX: operating income bridge</v>
      </c>
      <c r="I260" s="21" t="str">
        <v>Official growth attribution: NEX: operating income bridge</v>
      </c>
      <c r="J260" s="21" t="str">
        <v>Official growth attribution: NEX: operating income bridge</v>
      </c>
      <c r="K260" s="21" t="str">
        <v>Official growth attribution: NEX: operating income bridge</v>
      </c>
      <c r="L260" s="21" t="str">
        <v>Official growth attribution: NEX: operating income bridge</v>
      </c>
    </row>
    <row r="261" ht="18" customHeight="1">
      <c r="A261" s="22" t="str">
        <v>Company-disclosed year-on-year contributions in USD million. Only the filing year’s own comparison is shown; duplicated bridge endpoints remain in source records.</v>
      </c>
      <c r="B261" s="22" t="str">
        <v>Company-disclosed year-on-year contributions in USD million. Only the filing year’s own comparison is shown; duplicated bridge endpoints remain in source records.</v>
      </c>
      <c r="C261" s="22" t="str">
        <v>Company-disclosed year-on-year contributions in USD million. Only the filing year’s own comparison is shown; duplicated bridge endpoints remain in source records.</v>
      </c>
      <c r="D261" s="22" t="str">
        <v>Company-disclosed year-on-year contributions in USD million. Only the filing year’s own comparison is shown; duplicated bridge endpoints remain in source records.</v>
      </c>
      <c r="E261" s="22" t="str">
        <v>Company-disclosed year-on-year contributions in USD million. Only the filing year’s own comparison is shown; duplicated bridge endpoints remain in source records.</v>
      </c>
      <c r="F261" s="22" t="str">
        <v>Company-disclosed year-on-year contributions in USD million. Only the filing year’s own comparison is shown; duplicated bridge endpoints remain in source records.</v>
      </c>
      <c r="G261" s="22" t="str">
        <v>Company-disclosed year-on-year contributions in USD million. Only the filing year’s own comparison is shown; duplicated bridge endpoints remain in source records.</v>
      </c>
      <c r="H261" s="22" t="str">
        <v>Company-disclosed year-on-year contributions in USD million. Only the filing year’s own comparison is shown; duplicated bridge endpoints remain in source records.</v>
      </c>
      <c r="I261" s="22" t="str">
        <v>Company-disclosed year-on-year contributions in USD million. Only the filing year’s own comparison is shown; duplicated bridge endpoints remain in source records.</v>
      </c>
      <c r="J261" s="22" t="str">
        <v>Company-disclosed year-on-year contributions in USD million. Only the filing year’s own comparison is shown; duplicated bridge endpoints remain in source records.</v>
      </c>
      <c r="K261" s="22" t="str">
        <v>Company-disclosed year-on-year contributions in USD million. Only the filing year’s own comparison is shown; duplicated bridge endpoints remain in source records.</v>
      </c>
      <c r="L261" s="22" t="str">
        <v>Company-disclosed year-on-year contributions in USD million. Only the filing year’s own comparison is shown; duplicated bridge endpoints remain in source records.</v>
      </c>
    </row>
    <row r="262" ht="36" customHeight="1">
      <c r="A262" s="49" t="str">
        <v>Higher operating expenses driven by increased investments in leadership products</v>
      </c>
      <c r="B262" s="3"/>
      <c r="C262" s="51"/>
      <c r="D262" s="51"/>
      <c r="E262" s="51"/>
      <c r="F262" s="51"/>
      <c r="G262" s="51"/>
      <c r="H262" s="51"/>
      <c r="I262" s="51" t="n">
        <v>-530</v>
      </c>
      <c r="J262" s="51"/>
      <c r="K262" s="51"/>
      <c r="L262" s="51"/>
    </row>
    <row r="263" ht="36" customHeight="1">
      <c r="A263" s="49" t="str">
        <v>Higher period charges primarily associated with the ramp up of Intel 4</v>
      </c>
      <c r="B263" s="3"/>
      <c r="C263" s="51"/>
      <c r="D263" s="51"/>
      <c r="E263" s="51"/>
      <c r="F263" s="51"/>
      <c r="G263" s="51"/>
      <c r="H263" s="51"/>
      <c r="I263" s="51" t="n">
        <v>-461</v>
      </c>
      <c r="J263" s="51"/>
      <c r="K263" s="51"/>
      <c r="L263" s="51"/>
    </row>
    <row r="264" ht="36" customHeight="1">
      <c r="A264" s="49" t="str">
        <v>Higher period charges driven by reserves taken in 2022 and lack of sell-through of reserves compared to 2021</v>
      </c>
      <c r="B264" s="3"/>
      <c r="C264" s="51"/>
      <c r="D264" s="51"/>
      <c r="E264" s="51"/>
      <c r="F264" s="51"/>
      <c r="G264" s="51"/>
      <c r="H264" s="51"/>
      <c r="I264" s="51" t="n">
        <v>-359</v>
      </c>
      <c r="J264" s="51"/>
      <c r="K264" s="51"/>
      <c r="L264" s="51"/>
    </row>
    <row r="265" ht="36" customHeight="1">
      <c r="A265" s="49" t="str">
        <v>Higher period charges primarily due to other product enhancements</v>
      </c>
      <c r="B265" s="3"/>
      <c r="C265" s="51"/>
      <c r="D265" s="51"/>
      <c r="E265" s="51"/>
      <c r="F265" s="51"/>
      <c r="G265" s="51"/>
      <c r="H265" s="51"/>
      <c r="I265" s="51" t="n">
        <v>-150</v>
      </c>
      <c r="J265" s="51"/>
      <c r="K265" s="51"/>
      <c r="L265" s="51"/>
    </row>
    <row r="266" ht="22" customHeight="1">
      <c r="A266" s="49" t="str">
        <v>Lower gross margin from Network Xeon revenue</v>
      </c>
      <c r="B266" s="3"/>
      <c r="C266" s="51"/>
      <c r="D266" s="51"/>
      <c r="E266" s="51"/>
      <c r="F266" s="51"/>
      <c r="G266" s="51"/>
      <c r="H266" s="51"/>
      <c r="I266" s="51" t="n">
        <v>-98</v>
      </c>
      <c r="J266" s="51"/>
      <c r="K266" s="51"/>
      <c r="L266" s="51"/>
    </row>
    <row r="267" ht="22" customHeight="1">
      <c r="A267" s="49" t="str">
        <v>Higher gross margin from Ethernet revenue</v>
      </c>
      <c r="B267" s="3"/>
      <c r="C267" s="51"/>
      <c r="D267" s="51"/>
      <c r="E267" s="51"/>
      <c r="F267" s="51"/>
      <c r="G267" s="51"/>
      <c r="H267" s="51"/>
      <c r="I267" s="51" t="n">
        <v>522</v>
      </c>
      <c r="J267" s="51"/>
      <c r="K267" s="51"/>
      <c r="L267" s="51"/>
    </row>
    <row r="268" ht="22" customHeight="1">
      <c r="A268" s="49" t="str">
        <v>Lower unit cost primarily from10nm SuperFin products</v>
      </c>
      <c r="B268" s="3"/>
      <c r="C268" s="51"/>
      <c r="D268" s="51"/>
      <c r="E268" s="51"/>
      <c r="F268" s="51"/>
      <c r="G268" s="51"/>
      <c r="H268" s="51"/>
      <c r="I268" s="51" t="n">
        <v>191</v>
      </c>
      <c r="J268" s="51"/>
      <c r="K268" s="51"/>
      <c r="L268" s="51"/>
    </row>
    <row r="269" ht="22" customHeight="1">
      <c r="A269" s="49" t="str">
        <v>Other</v>
      </c>
      <c r="B269" s="3"/>
      <c r="C269" s="51"/>
      <c r="D269" s="51"/>
      <c r="E269" s="51"/>
      <c r="F269" s="51"/>
      <c r="G269" s="51"/>
      <c r="H269" s="51"/>
      <c r="I269" s="51" t="n">
        <v>-86</v>
      </c>
      <c r="J269" s="51"/>
      <c r="K269" s="51"/>
      <c r="L269" s="51"/>
    </row>
    <row r="270" ht="36" customHeight="1">
      <c r="A270" s="49" t="str">
        <v>Lower product margin driven by lower revenue across NEX product lines</v>
      </c>
      <c r="B270" s="3"/>
      <c r="C270" s="51"/>
      <c r="D270" s="51"/>
      <c r="E270" s="51"/>
      <c r="F270" s="51"/>
      <c r="G270" s="51"/>
      <c r="H270" s="51"/>
      <c r="I270" s="51"/>
      <c r="J270" s="51" t="n">
        <v>-1832</v>
      </c>
      <c r="K270" s="51"/>
      <c r="L270" s="51"/>
    </row>
    <row r="271" ht="36" customHeight="1">
      <c r="A271" s="49" t="str">
        <v>Higher period charges driven by inventory reserves taken in 2023</v>
      </c>
      <c r="B271" s="3"/>
      <c r="C271" s="51"/>
      <c r="D271" s="51"/>
      <c r="E271" s="51"/>
      <c r="F271" s="51"/>
      <c r="G271" s="51"/>
      <c r="H271" s="51"/>
      <c r="I271" s="51"/>
      <c r="J271" s="51" t="n">
        <v>-181</v>
      </c>
      <c r="K271" s="51"/>
      <c r="L271" s="51"/>
    </row>
    <row r="272" ht="36" customHeight="1">
      <c r="A272" s="49" t="str">
        <v>Lower operating expenses driven by various cost-cutting measures</v>
      </c>
      <c r="B272" s="3"/>
      <c r="C272" s="51"/>
      <c r="D272" s="51"/>
      <c r="E272" s="51"/>
      <c r="F272" s="51"/>
      <c r="G272" s="51"/>
      <c r="H272" s="51"/>
      <c r="I272" s="51"/>
      <c r="J272" s="51" t="n">
        <v>498</v>
      </c>
      <c r="K272" s="51"/>
      <c r="L272" s="51"/>
    </row>
    <row r="273" ht="8" customHeight="1">
      <c r="A273" s="3"/>
      <c r="B273" s="3"/>
      <c r="C273" s="3"/>
      <c r="D273" s="3"/>
      <c r="E273" s="3"/>
      <c r="F273" s="3"/>
      <c r="G273" s="3"/>
      <c r="H273" s="3"/>
      <c r="I273" s="3"/>
      <c r="J273" s="3"/>
      <c r="K273" s="3"/>
      <c r="L273" s="3"/>
    </row>
    <row r="274" ht="22" customHeight="1">
      <c r="A274" s="3"/>
      <c r="B274" s="3"/>
      <c r="C274" s="3"/>
      <c r="D274" s="3"/>
      <c r="E274" s="3"/>
      <c r="F274" s="3"/>
      <c r="G274" s="3"/>
      <c r="H274" s="3"/>
      <c r="I274" s="3"/>
      <c r="J274" s="3"/>
      <c r="K274" s="3"/>
      <c r="L274" s="3"/>
    </row>
  </sheetData>
  <mergeCells>
    <mergeCell ref="A1:L1"/>
    <mergeCell ref="A2:L2"/>
    <mergeCell ref="A7:L7"/>
    <mergeCell ref="A8:L8"/>
    <mergeCell ref="A18:L18"/>
    <mergeCell ref="A27:L27"/>
    <mergeCell ref="A42:L42"/>
    <mergeCell ref="A78:L78"/>
    <mergeCell ref="A81:L81"/>
    <mergeCell ref="A92:L92"/>
    <mergeCell ref="A101:L101"/>
    <mergeCell ref="A102:L102"/>
    <mergeCell ref="A156:L156"/>
    <mergeCell ref="A157:L157"/>
    <mergeCell ref="A165:L165"/>
    <mergeCell ref="A166:L166"/>
    <mergeCell ref="A210:L210"/>
    <mergeCell ref="A211:L211"/>
    <mergeCell ref="A215:L215"/>
    <mergeCell ref="A216:L216"/>
    <mergeCell ref="A243:L243"/>
    <mergeCell ref="A244:L244"/>
    <mergeCell ref="A260:L260"/>
    <mergeCell ref="A261:L261"/>
  </mergeCells>
  <conditionalFormatting sqref="C15:L15">
    <cfRule type="cellIs" dxfId="39" priority="1" operator="notBetween">
      <formula>-0.01</formula>
      <formula>0.01</formula>
    </cfRule>
  </conditionalFormatting>
  <conditionalFormatting sqref="C16:L16">
    <cfRule type="cellIs" dxfId="40" priority="2" operator="notBetween">
      <formula>-0.01</formula>
      <formula>0.01</formula>
    </cfRule>
  </conditionalFormatting>
  <pageMargins left="0.7" right="0.7" top="0.75" bottom="0.75" header="0.3" footer="0.3"/>
</worksheet>
</file>

<file path=xl/worksheets/sheet8.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Assets &amp; Investments</v>
      </c>
      <c r="B1" s="6" t="str">
        <v>Intel Corporation — Assets &amp; Investments</v>
      </c>
      <c r="C1" s="6" t="str">
        <v>Intel Corporation — Assets &amp; Investments</v>
      </c>
      <c r="D1" s="6" t="str">
        <v>Intel Corporation — Assets &amp; Investments</v>
      </c>
      <c r="E1" s="6" t="str">
        <v>Intel Corporation — Assets &amp; Investments</v>
      </c>
      <c r="F1" s="6" t="str">
        <v>Intel Corporation — Assets &amp; Investments</v>
      </c>
      <c r="G1" s="6" t="str">
        <v>Intel Corporation — Assets &amp; Investments</v>
      </c>
      <c r="H1" s="6" t="str">
        <v>Intel Corporation — Assets &amp; Investments</v>
      </c>
      <c r="I1" s="6" t="str">
        <v>Intel Corporation — Assets &amp; Investments</v>
      </c>
      <c r="J1" s="6" t="str">
        <v>Intel Corporation — Assets &amp; Investments</v>
      </c>
      <c r="K1" s="6" t="str">
        <v>Intel Corporation — Assets &amp; Investments</v>
      </c>
      <c r="L1" s="6" t="str">
        <v>Intel Corporation — Assets &amp; Investments</v>
      </c>
      <c r="M1" s="6" t="str">
        <v>Intel Corporation — Assets &amp; Investments</v>
      </c>
      <c r="N1" s="6" t="str">
        <v>Intel Corporation — Assets &amp; Investments</v>
      </c>
      <c r="O1" s="6" t="str">
        <v>Intel Corporation — Assets &amp; Investments</v>
      </c>
      <c r="P1" s="6" t="str">
        <v>Intel Corporation — Assets &amp; Investments</v>
      </c>
      <c r="Q1" s="6" t="str">
        <v>Intel Corporation — Assets &amp; Investments</v>
      </c>
      <c r="R1" s="6" t="str">
        <v>Intel Corporation — Assets &amp; Investments</v>
      </c>
      <c r="S1" s="6" t="str">
        <v>Intel Corporation — Assets &amp; Investments</v>
      </c>
      <c r="T1" s="6" t="str">
        <v>Intel Corporation — Assets &amp; Investments</v>
      </c>
      <c r="U1" s="6" t="str">
        <v>Intel Corporation — Assets &amp; Investments</v>
      </c>
      <c r="V1" s="6" t="str">
        <v>Intel Corporation — Assets &amp; Investments</v>
      </c>
      <c r="W1" s="6" t="str">
        <v>Intel Corporation — Assets &amp; Investments</v>
      </c>
      <c r="X1" s="6" t="str">
        <v>Intel Corporation — Assets &amp; Investments</v>
      </c>
      <c r="Y1" s="6" t="str">
        <v>Intel Corporation — Assets &amp; Investments</v>
      </c>
      <c r="Z1" s="6" t="str">
        <v>Intel Corporation — Assets &amp; Investments</v>
      </c>
      <c r="AA1" s="6" t="str">
        <v>Intel Corporation — Assets &amp; Investments</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Net property, plant and equipment by country</v>
      </c>
      <c r="B7" s="21" t="str">
        <v>Net property, plant and equipment by country</v>
      </c>
      <c r="C7" s="21" t="str">
        <v>Net property, plant and equipment by country</v>
      </c>
      <c r="D7" s="21" t="str">
        <v>Net property, plant and equipment by country</v>
      </c>
      <c r="E7" s="21" t="str">
        <v>Net property, plant and equipment by country</v>
      </c>
      <c r="F7" s="21" t="str">
        <v>Net property, plant and equipment by country</v>
      </c>
      <c r="G7" s="21" t="str">
        <v>Net property, plant and equipment by country</v>
      </c>
      <c r="H7" s="21" t="str">
        <v>Net property, plant and equipment by country</v>
      </c>
      <c r="I7" s="21" t="str">
        <v>Net property, plant and equipment by country</v>
      </c>
      <c r="J7" s="21" t="str">
        <v>Net property, plant and equipment by country</v>
      </c>
      <c r="K7" s="21" t="str">
        <v>Net property, plant and equipment by country</v>
      </c>
      <c r="L7" s="21" t="str">
        <v>Net property, plant and equipment by country</v>
      </c>
      <c r="M7" s="21" t="str">
        <v>Net property, plant and equipment by country</v>
      </c>
      <c r="N7" s="21" t="str">
        <v>Net property, plant and equipment by country</v>
      </c>
      <c r="O7" s="21" t="str">
        <v>Net property, plant and equipment by country</v>
      </c>
      <c r="P7" s="21" t="str">
        <v>Net property, plant and equipment by country</v>
      </c>
      <c r="Q7" s="21" t="str">
        <v>Net property, plant and equipment by country</v>
      </c>
      <c r="R7" s="21" t="str">
        <v>Net property, plant and equipment by country</v>
      </c>
      <c r="S7" s="21" t="str">
        <v>Net property, plant and equipment by country</v>
      </c>
      <c r="T7" s="21" t="str">
        <v>Net property, plant and equipment by country</v>
      </c>
      <c r="U7" s="21" t="str">
        <v>Net property, plant and equipment by country</v>
      </c>
      <c r="V7" s="21" t="str">
        <v>Net property, plant and equipment by country</v>
      </c>
      <c r="W7" s="21" t="str">
        <v>Net property, plant and equipment by country</v>
      </c>
      <c r="X7" s="21" t="str">
        <v>Net property, plant and equipment by country</v>
      </c>
      <c r="Y7" s="21" t="str">
        <v>Net property, plant and equipment by country</v>
      </c>
      <c r="Z7" s="21" t="str">
        <v>Net property, plant and equipment by country</v>
      </c>
      <c r="AA7" s="21" t="str">
        <v>Net property, plant and equipment by country</v>
      </c>
    </row>
    <row r="8" ht="22" customHeight="1">
      <c r="A8" s="49" t="str">
        <v>United States</v>
      </c>
      <c r="B8" s="3"/>
      <c r="C8" s="51" t="n">
        <v>23598</v>
      </c>
      <c r="D8" s="51" t="n">
        <v>24459</v>
      </c>
      <c r="E8" s="51" t="n">
        <v>27512</v>
      </c>
      <c r="F8" s="51" t="n">
        <v>35262</v>
      </c>
      <c r="G8" s="51" t="n">
        <v>38829</v>
      </c>
      <c r="H8" s="51" t="n">
        <v>43428</v>
      </c>
      <c r="I8" s="51" t="n">
        <v>53681</v>
      </c>
      <c r="J8" s="51" t="n">
        <v>63234</v>
      </c>
      <c r="K8" s="51" t="n">
        <v>72068</v>
      </c>
      <c r="L8" s="51" t="n">
        <v>71158</v>
      </c>
      <c r="M8" s="51"/>
      <c r="N8" s="51"/>
      <c r="O8" s="51"/>
      <c r="P8" s="51"/>
      <c r="Q8" s="51"/>
      <c r="R8" s="51"/>
      <c r="S8" s="51"/>
      <c r="T8" s="51"/>
      <c r="U8" s="51"/>
      <c r="V8" s="51"/>
      <c r="W8" s="51"/>
      <c r="X8" s="51"/>
      <c r="Y8" s="51"/>
      <c r="Z8" s="51"/>
      <c r="AA8" s="51"/>
    </row>
    <row r="9" ht="22" customHeight="1">
      <c r="A9" s="49" t="str">
        <v>Ireland</v>
      </c>
      <c r="B9" s="3"/>
      <c r="C9" s="51" t="n">
        <v>4865</v>
      </c>
      <c r="D9" s="51" t="n">
        <v>3938</v>
      </c>
      <c r="E9" s="51" t="n">
        <v>3947</v>
      </c>
      <c r="F9" s="51" t="n">
        <v>3854</v>
      </c>
      <c r="G9" s="51" t="n">
        <v>5828</v>
      </c>
      <c r="H9" s="51" t="n">
        <v>7503</v>
      </c>
      <c r="I9" s="51" t="n">
        <v>13179</v>
      </c>
      <c r="J9" s="51" t="n">
        <v>16746</v>
      </c>
      <c r="K9" s="51" t="n">
        <v>18152</v>
      </c>
      <c r="L9" s="51" t="n">
        <v>17120</v>
      </c>
      <c r="M9" s="51"/>
      <c r="N9" s="51"/>
      <c r="O9" s="51"/>
      <c r="P9" s="51"/>
      <c r="Q9" s="51"/>
      <c r="R9" s="51"/>
      <c r="S9" s="51"/>
      <c r="T9" s="51"/>
      <c r="U9" s="51"/>
      <c r="V9" s="51"/>
      <c r="W9" s="51"/>
      <c r="X9" s="51"/>
      <c r="Y9" s="51"/>
      <c r="Z9" s="51"/>
      <c r="AA9" s="51"/>
    </row>
    <row r="10" ht="22" customHeight="1">
      <c r="A10" s="49" t="str">
        <v>Israel</v>
      </c>
      <c r="B10" s="3"/>
      <c r="C10" s="51" t="n">
        <v>3923</v>
      </c>
      <c r="D10" s="51" t="n">
        <v>6501</v>
      </c>
      <c r="E10" s="51" t="n">
        <v>8861</v>
      </c>
      <c r="F10" s="51" t="n">
        <v>8463</v>
      </c>
      <c r="G10" s="51" t="n">
        <v>7837</v>
      </c>
      <c r="H10" s="51" t="n">
        <v>7754</v>
      </c>
      <c r="I10" s="51" t="n">
        <v>7908</v>
      </c>
      <c r="J10" s="51" t="n">
        <v>9290</v>
      </c>
      <c r="K10" s="51" t="n">
        <v>10414</v>
      </c>
      <c r="L10" s="51" t="n">
        <v>10620</v>
      </c>
      <c r="M10" s="51"/>
      <c r="N10" s="51"/>
      <c r="O10" s="51"/>
      <c r="P10" s="51"/>
      <c r="Q10" s="51"/>
      <c r="R10" s="51"/>
      <c r="S10" s="51"/>
      <c r="T10" s="51"/>
      <c r="U10" s="51"/>
      <c r="V10" s="51"/>
      <c r="W10" s="51"/>
      <c r="X10" s="51"/>
      <c r="Y10" s="51"/>
      <c r="Z10" s="51"/>
      <c r="AA10" s="51"/>
    </row>
    <row r="11" ht="22" customHeight="1">
      <c r="A11" s="49" t="str">
        <v>China</v>
      </c>
      <c r="B11" s="3"/>
      <c r="C11" s="51"/>
      <c r="D11" s="51" t="n">
        <v>4275</v>
      </c>
      <c r="E11" s="51" t="n">
        <v>6417</v>
      </c>
      <c r="F11" s="51" t="n">
        <v>5315</v>
      </c>
      <c r="G11" s="51" t="n">
        <v>851</v>
      </c>
      <c r="H11" s="51"/>
      <c r="I11" s="51"/>
      <c r="J11" s="51"/>
      <c r="K11" s="51"/>
      <c r="L11" s="51"/>
      <c r="M11" s="51"/>
      <c r="N11" s="51"/>
      <c r="O11" s="51"/>
      <c r="P11" s="51"/>
      <c r="Q11" s="51"/>
      <c r="R11" s="51"/>
      <c r="S11" s="51"/>
      <c r="T11" s="51"/>
      <c r="U11" s="51"/>
      <c r="V11" s="51"/>
      <c r="W11" s="51"/>
      <c r="X11" s="51"/>
      <c r="Y11" s="51"/>
      <c r="Z11" s="51"/>
      <c r="AA11" s="51"/>
    </row>
    <row r="12" ht="22" customHeight="1">
      <c r="A12" s="49" t="str">
        <v>Other regions</v>
      </c>
      <c r="B12" s="3"/>
      <c r="C12" s="51" t="n">
        <v>3785</v>
      </c>
      <c r="D12" s="51" t="n">
        <v>1936</v>
      </c>
      <c r="E12" s="51" t="n">
        <v>2239</v>
      </c>
      <c r="F12" s="51" t="n">
        <v>2492</v>
      </c>
      <c r="G12" s="51" t="n">
        <v>3239</v>
      </c>
      <c r="H12" s="51" t="n">
        <v>4560</v>
      </c>
      <c r="I12" s="51" t="n">
        <v>6092</v>
      </c>
      <c r="J12" s="51" t="n">
        <v>7377</v>
      </c>
      <c r="K12" s="51" t="n">
        <v>7285</v>
      </c>
      <c r="L12" s="51" t="n">
        <v>6516</v>
      </c>
      <c r="M12" s="51"/>
      <c r="N12" s="51"/>
      <c r="O12" s="51"/>
      <c r="P12" s="51"/>
      <c r="Q12" s="51"/>
      <c r="R12" s="51"/>
      <c r="S12" s="51"/>
      <c r="T12" s="51"/>
      <c r="U12" s="51"/>
      <c r="V12" s="51"/>
      <c r="W12" s="51"/>
      <c r="X12" s="51"/>
      <c r="Y12" s="51"/>
      <c r="Z12" s="51"/>
      <c r="AA12" s="51"/>
    </row>
    <row r="13" ht="24" customHeight="1">
      <c r="A13" s="34" t="str">
        <v>Total property, plant, and equipment, net</v>
      </c>
      <c r="B13" s="35"/>
      <c r="C13" s="36"/>
      <c r="D13" s="36"/>
      <c r="E13" s="36"/>
      <c r="F13" s="36"/>
      <c r="G13" s="36"/>
      <c r="H13" s="36"/>
      <c r="I13" s="36"/>
      <c r="J13" s="36" t="n">
        <v>96647</v>
      </c>
      <c r="K13" s="36" t="n">
        <v>107919</v>
      </c>
      <c r="L13" s="36"/>
      <c r="M13" s="36"/>
      <c r="N13" s="36"/>
      <c r="O13" s="36"/>
      <c r="P13" s="36"/>
      <c r="Q13" s="36"/>
      <c r="R13" s="36"/>
      <c r="S13" s="36"/>
      <c r="T13" s="36"/>
      <c r="U13" s="36"/>
      <c r="V13" s="36"/>
      <c r="W13" s="36"/>
      <c r="X13" s="36"/>
      <c r="Y13" s="36"/>
      <c r="Z13" s="36"/>
      <c r="AA13" s="36"/>
    </row>
    <row r="14" ht="24" customHeight="1">
      <c r="A14" s="34" t="str">
        <v>Total property, plant and equipment, net</v>
      </c>
      <c r="B14" s="35"/>
      <c r="C14" s="36" t="n">
        <v>36171</v>
      </c>
      <c r="D14" s="36" t="n">
        <v>41109</v>
      </c>
      <c r="E14" s="36" t="n">
        <v>48976</v>
      </c>
      <c r="F14" s="36" t="n">
        <v>55386</v>
      </c>
      <c r="G14" s="36" t="n">
        <v>56584</v>
      </c>
      <c r="H14" s="36" t="n">
        <v>63245</v>
      </c>
      <c r="I14" s="36" t="n">
        <v>80860</v>
      </c>
      <c r="J14" s="36"/>
      <c r="K14" s="36"/>
      <c r="L14" s="36" t="n">
        <v>105414</v>
      </c>
      <c r="M14" s="36"/>
      <c r="N14" s="36"/>
      <c r="O14" s="36"/>
      <c r="P14" s="36"/>
      <c r="Q14" s="36"/>
      <c r="R14" s="36"/>
      <c r="S14" s="36"/>
      <c r="T14" s="36"/>
      <c r="U14" s="36"/>
      <c r="V14" s="36"/>
      <c r="W14" s="36"/>
      <c r="X14" s="36"/>
      <c r="Y14" s="36"/>
      <c r="Z14" s="36"/>
      <c r="AA14" s="36"/>
    </row>
    <row r="15" ht="8"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ht="22" customHeight="1">
      <c r="A16" s="21" t="str">
        <v>Identified financial and capital-related balances</v>
      </c>
      <c r="B16" s="21" t="str">
        <v>Identified financial and capital-related balances</v>
      </c>
      <c r="C16" s="21" t="str">
        <v>Identified financial and capital-related balances</v>
      </c>
      <c r="D16" s="21" t="str">
        <v>Identified financial and capital-related balances</v>
      </c>
      <c r="E16" s="21" t="str">
        <v>Identified financial and capital-related balances</v>
      </c>
      <c r="F16" s="21" t="str">
        <v>Identified financial and capital-related balances</v>
      </c>
      <c r="G16" s="21" t="str">
        <v>Identified financial and capital-related balances</v>
      </c>
      <c r="H16" s="21" t="str">
        <v>Identified financial and capital-related balances</v>
      </c>
      <c r="I16" s="21" t="str">
        <v>Identified financial and capital-related balances</v>
      </c>
      <c r="J16" s="21" t="str">
        <v>Identified financial and capital-related balances</v>
      </c>
      <c r="K16" s="21" t="str">
        <v>Identified financial and capital-related balances</v>
      </c>
      <c r="L16" s="21" t="str">
        <v>Identified financial and capital-related balances</v>
      </c>
      <c r="M16" s="21" t="str">
        <v>Identified financial and capital-related balances</v>
      </c>
      <c r="N16" s="21" t="str">
        <v>Identified financial and capital-related balances</v>
      </c>
      <c r="O16" s="21" t="str">
        <v>Identified financial and capital-related balances</v>
      </c>
      <c r="P16" s="21" t="str">
        <v>Identified financial and capital-related balances</v>
      </c>
      <c r="Q16" s="21" t="str">
        <v>Identified financial and capital-related balances</v>
      </c>
      <c r="R16" s="21" t="str">
        <v>Identified financial and capital-related balances</v>
      </c>
      <c r="S16" s="21" t="str">
        <v>Identified financial and capital-related balances</v>
      </c>
      <c r="T16" s="21" t="str">
        <v>Identified financial and capital-related balances</v>
      </c>
      <c r="U16" s="21" t="str">
        <v>Identified financial and capital-related balances</v>
      </c>
      <c r="V16" s="21" t="str">
        <v>Identified financial and capital-related balances</v>
      </c>
      <c r="W16" s="21" t="str">
        <v>Identified financial and capital-related balances</v>
      </c>
      <c r="X16" s="21" t="str">
        <v>Identified financial and capital-related balances</v>
      </c>
      <c r="Y16" s="21" t="str">
        <v>Identified financial and capital-related balances</v>
      </c>
      <c r="Z16" s="21" t="str">
        <v>Identified financial and capital-related balances</v>
      </c>
      <c r="AA16" s="21" t="str">
        <v>Identified financial and capital-related balances</v>
      </c>
    </row>
    <row r="17" ht="22" customHeight="1">
      <c r="A17" s="49" t="str">
        <v>Reverse repos &gt;3 months: classification not split</v>
      </c>
      <c r="B17" s="3"/>
      <c r="C17" s="51" t="n">
        <v>250</v>
      </c>
      <c r="D17" s="51" t="n">
        <v>250</v>
      </c>
      <c r="E17" s="51" t="n">
        <v>250</v>
      </c>
      <c r="F17" s="51" t="n">
        <v>350</v>
      </c>
      <c r="G17" s="51" t="n">
        <v>0</v>
      </c>
      <c r="H17" s="51"/>
      <c r="I17" s="51" t="n">
        <v>400</v>
      </c>
      <c r="J17" s="51"/>
      <c r="K17" s="51"/>
      <c r="L17" s="51"/>
      <c r="M17" s="51"/>
      <c r="N17" s="51"/>
      <c r="O17" s="51"/>
      <c r="P17" s="51"/>
      <c r="Q17" s="51"/>
      <c r="R17" s="51"/>
      <c r="S17" s="51"/>
      <c r="T17" s="51"/>
      <c r="U17" s="51"/>
      <c r="V17" s="51"/>
      <c r="W17" s="51"/>
      <c r="X17" s="51"/>
      <c r="Y17" s="51"/>
      <c r="Z17" s="51"/>
      <c r="AA17" s="51"/>
    </row>
    <row r="18" ht="22" customHeight="1">
      <c r="A18" s="49" t="str">
        <v>Derivative assets: current</v>
      </c>
      <c r="B18" s="3"/>
      <c r="C18" s="51" t="n">
        <v>382</v>
      </c>
      <c r="D18" s="51" t="n">
        <v>279</v>
      </c>
      <c r="E18" s="51" t="n">
        <v>180</v>
      </c>
      <c r="F18" s="51" t="n">
        <v>280</v>
      </c>
      <c r="G18" s="51" t="n">
        <v>692</v>
      </c>
      <c r="H18" s="51" t="n">
        <v>656</v>
      </c>
      <c r="I18" s="51" t="n">
        <v>1264</v>
      </c>
      <c r="J18" s="51" t="n">
        <v>1175</v>
      </c>
      <c r="K18" s="51" t="n">
        <v>1081</v>
      </c>
      <c r="L18" s="51" t="n">
        <v>1039</v>
      </c>
      <c r="M18" s="51"/>
      <c r="N18" s="51"/>
      <c r="O18" s="51"/>
      <c r="P18" s="51" t="n">
        <v>1144</v>
      </c>
      <c r="Q18" s="51"/>
      <c r="R18" s="51" t="n">
        <v>773</v>
      </c>
      <c r="S18" s="51" t="n">
        <v>812</v>
      </c>
      <c r="T18" s="51" t="n">
        <v>914</v>
      </c>
      <c r="U18" s="51"/>
      <c r="V18" s="51" t="n">
        <v>473</v>
      </c>
      <c r="W18" s="51" t="n">
        <v>979</v>
      </c>
      <c r="X18" s="51" t="n">
        <v>822</v>
      </c>
      <c r="Y18" s="51"/>
      <c r="Z18" s="51" t="n">
        <v>443</v>
      </c>
      <c r="AA18" s="51" t="n">
        <v>612</v>
      </c>
    </row>
    <row r="19" ht="22" customHeight="1">
      <c r="A19" s="49" t="str">
        <v>Loans receivable: current</v>
      </c>
      <c r="B19" s="3"/>
      <c r="C19" s="51" t="n">
        <v>326</v>
      </c>
      <c r="D19" s="51" t="n">
        <v>30</v>
      </c>
      <c r="E19" s="51" t="n">
        <v>354</v>
      </c>
      <c r="F19" s="51" t="n">
        <v>0</v>
      </c>
      <c r="G19" s="51" t="n">
        <v>439</v>
      </c>
      <c r="H19" s="51" t="n">
        <v>152</v>
      </c>
      <c r="I19" s="51" t="n">
        <v>53</v>
      </c>
      <c r="J19" s="51" t="n">
        <v>0</v>
      </c>
      <c r="K19" s="51"/>
      <c r="L19" s="51"/>
      <c r="M19" s="51"/>
      <c r="N19" s="51"/>
      <c r="O19" s="51"/>
      <c r="P19" s="51" t="n">
        <v>53</v>
      </c>
      <c r="Q19" s="51"/>
      <c r="R19" s="51"/>
      <c r="S19" s="51"/>
      <c r="T19" s="51"/>
      <c r="U19" s="51"/>
      <c r="V19" s="51"/>
      <c r="W19" s="51"/>
      <c r="X19" s="51"/>
      <c r="Y19" s="51"/>
      <c r="Z19" s="51"/>
      <c r="AA19" s="51"/>
    </row>
    <row r="20" ht="22" customHeight="1">
      <c r="A20" s="49" t="str">
        <v>Derivative assets: long-term</v>
      </c>
      <c r="B20" s="3"/>
      <c r="C20" s="51" t="n">
        <v>40</v>
      </c>
      <c r="D20" s="51" t="n">
        <v>84</v>
      </c>
      <c r="E20" s="51" t="n">
        <v>100</v>
      </c>
      <c r="F20" s="51" t="n">
        <v>706</v>
      </c>
      <c r="G20" s="51" t="n">
        <v>1550</v>
      </c>
      <c r="H20" s="51" t="n">
        <v>779</v>
      </c>
      <c r="I20" s="51" t="n">
        <v>10</v>
      </c>
      <c r="J20" s="51" t="n">
        <v>21</v>
      </c>
      <c r="K20" s="51" t="n">
        <v>1</v>
      </c>
      <c r="L20" s="51" t="n">
        <v>2</v>
      </c>
      <c r="M20" s="51"/>
      <c r="N20" s="51"/>
      <c r="O20" s="51"/>
      <c r="P20" s="51" t="n">
        <v>1</v>
      </c>
      <c r="Q20" s="51"/>
      <c r="R20" s="51" t="n">
        <v>6</v>
      </c>
      <c r="S20" s="51" t="n">
        <v>2</v>
      </c>
      <c r="T20" s="51" t="n">
        <v>5</v>
      </c>
      <c r="U20" s="51"/>
      <c r="V20" s="51" t="n">
        <v>3</v>
      </c>
      <c r="W20" s="51" t="n">
        <v>4</v>
      </c>
      <c r="X20" s="51" t="n">
        <v>1</v>
      </c>
      <c r="Y20" s="51"/>
      <c r="Z20" s="51" t="n">
        <v>1</v>
      </c>
      <c r="AA20" s="51" t="n">
        <v>40</v>
      </c>
    </row>
    <row r="21" ht="22" customHeight="1">
      <c r="A21" s="49" t="str">
        <v>Loans receivable: long-term</v>
      </c>
      <c r="B21" s="3"/>
      <c r="C21" s="51" t="n">
        <v>236</v>
      </c>
      <c r="D21" s="51" t="n">
        <v>860</v>
      </c>
      <c r="E21" s="51" t="n">
        <v>479</v>
      </c>
      <c r="F21" s="51" t="n">
        <v>554</v>
      </c>
      <c r="G21" s="51" t="n">
        <v>157</v>
      </c>
      <c r="H21" s="51" t="n">
        <v>57</v>
      </c>
      <c r="I21" s="51" t="n">
        <v>0</v>
      </c>
      <c r="J21" s="51"/>
      <c r="K21" s="51"/>
      <c r="L21" s="51"/>
      <c r="M21" s="51"/>
      <c r="N21" s="51"/>
      <c r="O21" s="51"/>
      <c r="P21" s="51"/>
      <c r="Q21" s="51"/>
      <c r="R21" s="51"/>
      <c r="S21" s="51"/>
      <c r="T21" s="51"/>
      <c r="U21" s="51"/>
      <c r="V21" s="51"/>
      <c r="W21" s="51"/>
      <c r="X21" s="51"/>
      <c r="Y21" s="51"/>
      <c r="Z21" s="51"/>
      <c r="AA21" s="51"/>
    </row>
    <row r="22" ht="22" customHeight="1">
      <c r="A22" s="49" t="str">
        <v>Capital-related grant receivables: current</v>
      </c>
      <c r="B22" s="3"/>
      <c r="C22" s="51"/>
      <c r="D22" s="51"/>
      <c r="E22" s="51"/>
      <c r="F22" s="51"/>
      <c r="G22" s="51"/>
      <c r="H22" s="51"/>
      <c r="I22" s="51"/>
      <c r="J22" s="51"/>
      <c r="K22" s="51" t="n">
        <v>859</v>
      </c>
      <c r="L22" s="51" t="n">
        <v>57</v>
      </c>
      <c r="M22" s="51"/>
      <c r="N22" s="51"/>
      <c r="O22" s="51"/>
      <c r="P22" s="51"/>
      <c r="Q22" s="51"/>
      <c r="R22" s="51"/>
      <c r="S22" s="51"/>
      <c r="T22" s="51"/>
      <c r="U22" s="51"/>
      <c r="V22" s="51"/>
      <c r="W22" s="51"/>
      <c r="X22" s="51"/>
      <c r="Y22" s="51"/>
      <c r="Z22" s="51"/>
      <c r="AA22" s="51"/>
    </row>
    <row r="23" ht="22" customHeight="1">
      <c r="A23" s="49" t="str">
        <v>Capital-related refundable tax credits: current</v>
      </c>
      <c r="B23" s="3"/>
      <c r="C23" s="51"/>
      <c r="D23" s="51"/>
      <c r="E23" s="51"/>
      <c r="F23" s="51"/>
      <c r="G23" s="51"/>
      <c r="H23" s="51"/>
      <c r="I23" s="51"/>
      <c r="J23" s="51"/>
      <c r="K23" s="51" t="n">
        <v>2099</v>
      </c>
      <c r="L23" s="51" t="n">
        <v>7549</v>
      </c>
      <c r="M23" s="51"/>
      <c r="N23" s="51"/>
      <c r="O23" s="51"/>
      <c r="P23" s="51"/>
      <c r="Q23" s="51"/>
      <c r="R23" s="51"/>
      <c r="S23" s="51"/>
      <c r="T23" s="51"/>
      <c r="U23" s="51"/>
      <c r="V23" s="51"/>
      <c r="W23" s="51"/>
      <c r="X23" s="51"/>
      <c r="Y23" s="51"/>
      <c r="Z23" s="51"/>
      <c r="AA23" s="51"/>
    </row>
    <row r="24" ht="22" customHeight="1">
      <c r="A24" s="49" t="str">
        <v>Restricted cash: long-term</v>
      </c>
      <c r="B24" s="3"/>
      <c r="C24" s="51"/>
      <c r="D24" s="51"/>
      <c r="E24" s="51"/>
      <c r="F24" s="51"/>
      <c r="G24" s="51"/>
      <c r="H24" s="51"/>
      <c r="I24" s="51"/>
      <c r="J24" s="51"/>
      <c r="K24" s="51"/>
      <c r="L24" s="51" t="n">
        <v>447</v>
      </c>
      <c r="M24" s="51"/>
      <c r="N24" s="51"/>
      <c r="O24" s="51"/>
      <c r="P24" s="51"/>
      <c r="Q24" s="51"/>
      <c r="R24" s="51"/>
      <c r="S24" s="51"/>
      <c r="T24" s="51"/>
      <c r="U24" s="51"/>
      <c r="V24" s="51"/>
      <c r="W24" s="51"/>
      <c r="X24" s="51"/>
      <c r="Y24" s="51"/>
      <c r="Z24" s="51" t="n">
        <v>448</v>
      </c>
      <c r="AA24" s="51" t="n">
        <v>553</v>
      </c>
    </row>
    <row r="25" ht="22" customHeight="1">
      <c r="A25" s="49" t="str">
        <v>Restricted cash: current</v>
      </c>
      <c r="B25" s="3"/>
      <c r="C25" s="51"/>
      <c r="D25" s="51"/>
      <c r="E25" s="51"/>
      <c r="F25" s="51"/>
      <c r="G25" s="51"/>
      <c r="H25" s="51"/>
      <c r="I25" s="51"/>
      <c r="J25" s="51"/>
      <c r="K25" s="51"/>
      <c r="L25" s="51"/>
      <c r="M25" s="51"/>
      <c r="N25" s="51"/>
      <c r="O25" s="51"/>
      <c r="P25" s="51"/>
      <c r="Q25" s="51"/>
      <c r="R25" s="51"/>
      <c r="S25" s="51"/>
      <c r="T25" s="51"/>
      <c r="U25" s="51"/>
      <c r="V25" s="51"/>
      <c r="W25" s="51"/>
      <c r="X25" s="51"/>
      <c r="Y25" s="51"/>
      <c r="Z25" s="51"/>
      <c r="AA25" s="51" t="n">
        <v>170</v>
      </c>
    </row>
    <row r="26" ht="22" customHeight="1">
      <c r="A26" s="49" t="str">
        <v>Held-for-sale cash within other current assets</v>
      </c>
      <c r="B26" s="3"/>
      <c r="C26" s="51"/>
      <c r="D26" s="51"/>
      <c r="E26" s="51"/>
      <c r="F26" s="51"/>
      <c r="G26" s="51"/>
      <c r="H26" s="51"/>
      <c r="I26" s="51"/>
      <c r="J26" s="51"/>
      <c r="K26" s="51"/>
      <c r="L26" s="51"/>
      <c r="M26" s="51"/>
      <c r="N26" s="51"/>
      <c r="O26" s="51"/>
      <c r="P26" s="51"/>
      <c r="Q26" s="51"/>
      <c r="R26" s="51"/>
      <c r="S26" s="51"/>
      <c r="T26" s="51"/>
      <c r="U26" s="51"/>
      <c r="V26" s="51"/>
      <c r="W26" s="51" t="n">
        <v>50</v>
      </c>
      <c r="X26" s="51"/>
      <c r="Y26" s="51"/>
      <c r="Z26" s="51"/>
      <c r="AA26" s="51"/>
    </row>
    <row r="27" ht="22" customHeight="1">
      <c r="A27" s="49" t="str">
        <v>Equity method investments within other long-term assets</v>
      </c>
      <c r="B27" s="3"/>
      <c r="C27" s="51" t="n">
        <v>1328</v>
      </c>
      <c r="D27" s="51" t="n">
        <v>1887</v>
      </c>
      <c r="E27" s="51"/>
      <c r="F27" s="51"/>
      <c r="G27" s="51"/>
      <c r="H27" s="51"/>
      <c r="I27" s="51"/>
      <c r="J27" s="51"/>
      <c r="K27" s="51"/>
      <c r="L27" s="51"/>
      <c r="M27" s="51"/>
      <c r="N27" s="51"/>
      <c r="O27" s="51"/>
      <c r="P27" s="51"/>
      <c r="Q27" s="51"/>
      <c r="R27" s="51"/>
      <c r="S27" s="51"/>
      <c r="T27" s="51"/>
      <c r="U27" s="51"/>
      <c r="V27" s="51"/>
      <c r="W27" s="51"/>
      <c r="X27" s="51"/>
      <c r="Y27" s="51"/>
      <c r="Z27" s="51"/>
      <c r="AA27" s="51"/>
    </row>
    <row r="28" ht="36" customHeight="1">
      <c r="A28" s="49" t="str">
        <v>Non-marketable cost method investments within other long-term assets</v>
      </c>
      <c r="B28" s="3"/>
      <c r="C28" s="51" t="n">
        <v>3098</v>
      </c>
      <c r="D28" s="51" t="n">
        <v>2613</v>
      </c>
      <c r="E28" s="51"/>
      <c r="F28" s="51"/>
      <c r="G28" s="51"/>
      <c r="H28" s="51"/>
      <c r="I28" s="51"/>
      <c r="J28" s="51"/>
      <c r="K28" s="51"/>
      <c r="L28" s="51"/>
      <c r="M28" s="51"/>
      <c r="N28" s="51"/>
      <c r="O28" s="51"/>
      <c r="P28" s="51"/>
      <c r="Q28" s="51"/>
      <c r="R28" s="51"/>
      <c r="S28" s="51"/>
      <c r="T28" s="51"/>
      <c r="U28" s="51"/>
      <c r="V28" s="51"/>
      <c r="W28" s="51"/>
      <c r="X28" s="51"/>
      <c r="Y28" s="51"/>
      <c r="Z28" s="51"/>
      <c r="AA28" s="51"/>
    </row>
    <row r="29" ht="22" customHeight="1">
      <c r="A29" s="49" t="str">
        <v>Loans at cost: current (FV loans excluded)</v>
      </c>
      <c r="B29" s="3"/>
      <c r="C29" s="51" t="n">
        <v>265</v>
      </c>
      <c r="D29" s="51"/>
      <c r="E29" s="51"/>
      <c r="F29" s="51"/>
      <c r="G29" s="51"/>
      <c r="H29" s="51"/>
      <c r="I29" s="51"/>
      <c r="J29" s="51"/>
      <c r="K29" s="51"/>
      <c r="L29" s="51"/>
      <c r="M29" s="51"/>
      <c r="N29" s="51"/>
      <c r="O29" s="51"/>
      <c r="P29" s="51"/>
      <c r="Q29" s="51"/>
      <c r="R29" s="51"/>
      <c r="S29" s="51"/>
      <c r="T29" s="51"/>
      <c r="U29" s="51"/>
      <c r="V29" s="51"/>
      <c r="W29" s="51"/>
      <c r="X29" s="51"/>
      <c r="Y29" s="51"/>
      <c r="Z29" s="51"/>
      <c r="AA29" s="51"/>
    </row>
    <row r="30" ht="8"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22" customHeight="1">
      <c r="A31" s="21" t="str">
        <v>Equity investments: marketable and non-marketable</v>
      </c>
      <c r="B31" s="21" t="str">
        <v>Equity investments: marketable and non-marketable</v>
      </c>
      <c r="C31" s="21" t="str">
        <v>Equity investments: marketable and non-marketable</v>
      </c>
      <c r="D31" s="21" t="str">
        <v>Equity investments: marketable and non-marketable</v>
      </c>
      <c r="E31" s="21" t="str">
        <v>Equity investments: marketable and non-marketable</v>
      </c>
      <c r="F31" s="21" t="str">
        <v>Equity investments: marketable and non-marketable</v>
      </c>
      <c r="G31" s="21" t="str">
        <v>Equity investments: marketable and non-marketable</v>
      </c>
      <c r="H31" s="21" t="str">
        <v>Equity investments: marketable and non-marketable</v>
      </c>
      <c r="I31" s="21" t="str">
        <v>Equity investments: marketable and non-marketable</v>
      </c>
      <c r="J31" s="21" t="str">
        <v>Equity investments: marketable and non-marketable</v>
      </c>
      <c r="K31" s="21" t="str">
        <v>Equity investments: marketable and non-marketable</v>
      </c>
      <c r="L31" s="21" t="str">
        <v>Equity investments: marketable and non-marketable</v>
      </c>
      <c r="M31" s="21" t="str">
        <v>Equity investments: marketable and non-marketable</v>
      </c>
      <c r="N31" s="21" t="str">
        <v>Equity investments: marketable and non-marketable</v>
      </c>
      <c r="O31" s="21" t="str">
        <v>Equity investments: marketable and non-marketable</v>
      </c>
      <c r="P31" s="21" t="str">
        <v>Equity investments: marketable and non-marketable</v>
      </c>
      <c r="Q31" s="21" t="str">
        <v>Equity investments: marketable and non-marketable</v>
      </c>
      <c r="R31" s="21" t="str">
        <v>Equity investments: marketable and non-marketable</v>
      </c>
      <c r="S31" s="21" t="str">
        <v>Equity investments: marketable and non-marketable</v>
      </c>
      <c r="T31" s="21" t="str">
        <v>Equity investments: marketable and non-marketable</v>
      </c>
      <c r="U31" s="21" t="str">
        <v>Equity investments: marketable and non-marketable</v>
      </c>
      <c r="V31" s="21" t="str">
        <v>Equity investments: marketable and non-marketable</v>
      </c>
      <c r="W31" s="21" t="str">
        <v>Equity investments: marketable and non-marketable</v>
      </c>
      <c r="X31" s="21" t="str">
        <v>Equity investments: marketable and non-marketable</v>
      </c>
      <c r="Y31" s="21" t="str">
        <v>Equity investments: marketable and non-marketable</v>
      </c>
      <c r="Z31" s="21" t="str">
        <v>Equity investments: marketable and non-marketable</v>
      </c>
      <c r="AA31" s="21" t="str">
        <v>Equity investments: marketable and non-marketable</v>
      </c>
    </row>
    <row r="32" ht="22" customHeight="1">
      <c r="A32" s="49" t="str">
        <v>Marketable equity investments1</v>
      </c>
      <c r="B32" s="3"/>
      <c r="C32" s="51"/>
      <c r="D32" s="51"/>
      <c r="E32" s="51"/>
      <c r="F32" s="51"/>
      <c r="G32" s="51"/>
      <c r="H32" s="51"/>
      <c r="I32" s="51"/>
      <c r="J32" s="51"/>
      <c r="K32" s="51" t="n">
        <v>848</v>
      </c>
      <c r="L32" s="51" t="n">
        <v>484</v>
      </c>
      <c r="M32" s="51"/>
      <c r="N32" s="51"/>
      <c r="O32" s="51"/>
      <c r="P32" s="51"/>
      <c r="Q32" s="51"/>
      <c r="R32" s="51"/>
      <c r="S32" s="51"/>
      <c r="T32" s="51"/>
      <c r="U32" s="51"/>
      <c r="V32" s="51" t="n">
        <v>541</v>
      </c>
      <c r="W32" s="51" t="n">
        <v>467</v>
      </c>
      <c r="X32" s="51" t="n">
        <v>572</v>
      </c>
      <c r="Y32" s="51"/>
      <c r="Z32" s="51" t="n">
        <v>317</v>
      </c>
      <c r="AA32" s="51" t="n">
        <v>250</v>
      </c>
    </row>
    <row r="33" ht="22" customHeight="1">
      <c r="A33" s="49" t="str">
        <v>Non-marketable equity investments</v>
      </c>
      <c r="B33" s="3"/>
      <c r="C33" s="51"/>
      <c r="D33" s="51"/>
      <c r="E33" s="51"/>
      <c r="F33" s="51"/>
      <c r="G33" s="51"/>
      <c r="H33" s="51"/>
      <c r="I33" s="51"/>
      <c r="J33" s="51"/>
      <c r="K33" s="51" t="n">
        <v>4535</v>
      </c>
      <c r="L33" s="51" t="n">
        <v>8028</v>
      </c>
      <c r="M33" s="51"/>
      <c r="N33" s="51"/>
      <c r="O33" s="51"/>
      <c r="P33" s="51"/>
      <c r="Q33" s="51"/>
      <c r="R33" s="51"/>
      <c r="S33" s="51"/>
      <c r="T33" s="51"/>
      <c r="U33" s="51"/>
      <c r="V33" s="51" t="n">
        <v>4486</v>
      </c>
      <c r="W33" s="51" t="n">
        <v>4916</v>
      </c>
      <c r="X33" s="51" t="n">
        <v>8095</v>
      </c>
      <c r="Y33" s="51"/>
      <c r="Z33" s="51" t="n">
        <v>8164</v>
      </c>
      <c r="AA33" s="51" t="n">
        <v>8160</v>
      </c>
    </row>
    <row r="34" ht="24" customHeight="1">
      <c r="A34" s="34" t="str">
        <v>Total</v>
      </c>
      <c r="B34" s="35"/>
      <c r="C34" s="36"/>
      <c r="D34" s="36"/>
      <c r="E34" s="36"/>
      <c r="F34" s="36"/>
      <c r="G34" s="36"/>
      <c r="H34" s="36"/>
      <c r="I34" s="36"/>
      <c r="J34" s="36"/>
      <c r="K34" s="36" t="n">
        <v>5383</v>
      </c>
      <c r="L34" s="36" t="n">
        <v>8512</v>
      </c>
      <c r="M34" s="36"/>
      <c r="N34" s="36"/>
      <c r="O34" s="36"/>
      <c r="P34" s="36"/>
      <c r="Q34" s="36"/>
      <c r="R34" s="36"/>
      <c r="S34" s="36"/>
      <c r="T34" s="36"/>
      <c r="U34" s="36"/>
      <c r="V34" s="36" t="n">
        <v>5027</v>
      </c>
      <c r="W34" s="36" t="n">
        <v>5383</v>
      </c>
      <c r="X34" s="36" t="n">
        <v>8667</v>
      </c>
      <c r="Y34" s="36"/>
      <c r="Z34" s="36" t="n">
        <v>8481</v>
      </c>
      <c r="AA34" s="36" t="n">
        <v>8410</v>
      </c>
    </row>
    <row r="35" ht="8"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22" customHeight="1">
      <c r="A36" s="21" t="str">
        <v>Inventories</v>
      </c>
      <c r="B36" s="21" t="str">
        <v>Inventories</v>
      </c>
      <c r="C36" s="21" t="str">
        <v>Inventories</v>
      </c>
      <c r="D36" s="21" t="str">
        <v>Inventories</v>
      </c>
      <c r="E36" s="21" t="str">
        <v>Inventories</v>
      </c>
      <c r="F36" s="21" t="str">
        <v>Inventories</v>
      </c>
      <c r="G36" s="21" t="str">
        <v>Inventories</v>
      </c>
      <c r="H36" s="21" t="str">
        <v>Inventories</v>
      </c>
      <c r="I36" s="21" t="str">
        <v>Inventories</v>
      </c>
      <c r="J36" s="21" t="str">
        <v>Inventories</v>
      </c>
      <c r="K36" s="21" t="str">
        <v>Inventories</v>
      </c>
      <c r="L36" s="21" t="str">
        <v>Inventories</v>
      </c>
      <c r="M36" s="21" t="str">
        <v>Inventories</v>
      </c>
      <c r="N36" s="21" t="str">
        <v>Inventories</v>
      </c>
      <c r="O36" s="21" t="str">
        <v>Inventories</v>
      </c>
      <c r="P36" s="21" t="str">
        <v>Inventories</v>
      </c>
      <c r="Q36" s="21" t="str">
        <v>Inventories</v>
      </c>
      <c r="R36" s="21" t="str">
        <v>Inventories</v>
      </c>
      <c r="S36" s="21" t="str">
        <v>Inventories</v>
      </c>
      <c r="T36" s="21" t="str">
        <v>Inventories</v>
      </c>
      <c r="U36" s="21" t="str">
        <v>Inventories</v>
      </c>
      <c r="V36" s="21" t="str">
        <v>Inventories</v>
      </c>
      <c r="W36" s="21" t="str">
        <v>Inventories</v>
      </c>
      <c r="X36" s="21" t="str">
        <v>Inventories</v>
      </c>
      <c r="Y36" s="21" t="str">
        <v>Inventories</v>
      </c>
      <c r="Z36" s="21" t="str">
        <v>Inventories</v>
      </c>
      <c r="AA36" s="21" t="str">
        <v>Inventories</v>
      </c>
    </row>
    <row r="37" ht="22" customHeight="1">
      <c r="A37" s="49" t="str">
        <v>Raw materials</v>
      </c>
      <c r="B37" s="3"/>
      <c r="C37" s="51" t="n">
        <v>695</v>
      </c>
      <c r="D37" s="51" t="n">
        <v>1098</v>
      </c>
      <c r="E37" s="51" t="n">
        <v>813</v>
      </c>
      <c r="F37" s="51" t="n">
        <v>840</v>
      </c>
      <c r="G37" s="51" t="n">
        <v>908</v>
      </c>
      <c r="H37" s="51" t="n">
        <v>1441</v>
      </c>
      <c r="I37" s="51" t="n">
        <v>1517</v>
      </c>
      <c r="J37" s="51" t="n">
        <v>1166</v>
      </c>
      <c r="K37" s="51" t="n">
        <v>1344</v>
      </c>
      <c r="L37" s="51" t="n">
        <v>993</v>
      </c>
      <c r="M37" s="51"/>
      <c r="N37" s="51"/>
      <c r="O37" s="51"/>
      <c r="P37" s="51" t="n">
        <v>1278</v>
      </c>
      <c r="Q37" s="52" t="n">
        <f>IF(COUNT(J37)=1,J37,"")</f>
        <v>1166</v>
      </c>
      <c r="R37" s="51" t="n">
        <v>1209</v>
      </c>
      <c r="S37" s="51" t="n">
        <v>1284</v>
      </c>
      <c r="T37" s="51" t="n">
        <v>1434</v>
      </c>
      <c r="U37" s="52" t="n">
        <f>IF(COUNT(K37)=1,K37,"")</f>
        <v>1344</v>
      </c>
      <c r="V37" s="51" t="n">
        <v>1322</v>
      </c>
      <c r="W37" s="51" t="n">
        <v>1194</v>
      </c>
      <c r="X37" s="51" t="n">
        <v>1135</v>
      </c>
      <c r="Y37" s="52" t="n">
        <f>IF(COUNT(L37)=1,L37,"")</f>
        <v>993</v>
      </c>
      <c r="Z37" s="51" t="n">
        <v>918</v>
      </c>
      <c r="AA37" s="51" t="n">
        <v>1046</v>
      </c>
    </row>
    <row r="38" ht="22" customHeight="1">
      <c r="A38" s="49" t="str">
        <v>Work in process</v>
      </c>
      <c r="B38" s="3"/>
      <c r="C38" s="51" t="n">
        <v>3190</v>
      </c>
      <c r="D38" s="51" t="n">
        <v>3893</v>
      </c>
      <c r="E38" s="51" t="n">
        <v>4511</v>
      </c>
      <c r="F38" s="51" t="n">
        <v>6225</v>
      </c>
      <c r="G38" s="51" t="n">
        <v>6007</v>
      </c>
      <c r="H38" s="51" t="n">
        <v>6656</v>
      </c>
      <c r="I38" s="51" t="n">
        <v>7565</v>
      </c>
      <c r="J38" s="51" t="n">
        <v>6203</v>
      </c>
      <c r="K38" s="51" t="n">
        <v>7432</v>
      </c>
      <c r="L38" s="51" t="n">
        <v>7840</v>
      </c>
      <c r="M38" s="51"/>
      <c r="N38" s="51"/>
      <c r="O38" s="51"/>
      <c r="P38" s="51" t="n">
        <v>6266</v>
      </c>
      <c r="Q38" s="52" t="n">
        <f>IF(COUNT(J38)=1,J38,"")</f>
        <v>6203</v>
      </c>
      <c r="R38" s="51" t="n">
        <v>6560</v>
      </c>
      <c r="S38" s="51" t="n">
        <v>6294</v>
      </c>
      <c r="T38" s="51" t="n">
        <v>6971</v>
      </c>
      <c r="U38" s="52" t="n">
        <f>IF(COUNT(K38)=1,K38,"")</f>
        <v>7432</v>
      </c>
      <c r="V38" s="51" t="n">
        <v>7240</v>
      </c>
      <c r="W38" s="51" t="n">
        <v>6484</v>
      </c>
      <c r="X38" s="51" t="n">
        <v>6751</v>
      </c>
      <c r="Y38" s="52" t="n">
        <f>IF(COUNT(L38)=1,L38,"")</f>
        <v>7840</v>
      </c>
      <c r="Z38" s="51" t="n">
        <v>9004</v>
      </c>
      <c r="AA38" s="51" t="n">
        <v>8685</v>
      </c>
    </row>
    <row r="39" ht="22" customHeight="1">
      <c r="A39" s="49" t="str">
        <v>Finished goods</v>
      </c>
      <c r="B39" s="3"/>
      <c r="C39" s="51" t="n">
        <v>1668</v>
      </c>
      <c r="D39" s="51" t="n">
        <v>1992</v>
      </c>
      <c r="E39" s="51" t="n">
        <v>1929</v>
      </c>
      <c r="F39" s="51" t="n">
        <v>1679</v>
      </c>
      <c r="G39" s="51" t="n">
        <v>1512</v>
      </c>
      <c r="H39" s="51" t="n">
        <v>2679</v>
      </c>
      <c r="I39" s="51" t="n">
        <v>4142</v>
      </c>
      <c r="J39" s="51" t="n">
        <v>3758</v>
      </c>
      <c r="K39" s="51" t="n">
        <v>3422</v>
      </c>
      <c r="L39" s="51" t="n">
        <v>2785</v>
      </c>
      <c r="M39" s="51"/>
      <c r="N39" s="51"/>
      <c r="O39" s="51"/>
      <c r="P39" s="51" t="n">
        <v>3922</v>
      </c>
      <c r="Q39" s="52" t="n">
        <f>IF(COUNT(J39)=1,J39,"")</f>
        <v>3758</v>
      </c>
      <c r="R39" s="51" t="n">
        <v>3725</v>
      </c>
      <c r="S39" s="51" t="n">
        <v>3666</v>
      </c>
      <c r="T39" s="51" t="n">
        <v>3657</v>
      </c>
      <c r="U39" s="52" t="n">
        <f>IF(COUNT(K39)=1,K39,"")</f>
        <v>3422</v>
      </c>
      <c r="V39" s="51" t="n">
        <v>3719</v>
      </c>
      <c r="W39" s="51" t="n">
        <v>3699</v>
      </c>
      <c r="X39" s="51" t="n">
        <v>3603</v>
      </c>
      <c r="Y39" s="52" t="n">
        <f>IF(COUNT(L39)=1,L39,"")</f>
        <v>2785</v>
      </c>
      <c r="Z39" s="51" t="n">
        <v>2504</v>
      </c>
      <c r="AA39" s="51" t="n">
        <v>2761</v>
      </c>
    </row>
    <row r="40" ht="24" customHeight="1">
      <c r="A40" s="34" t="str">
        <v>Total inventories</v>
      </c>
      <c r="B40" s="35"/>
      <c r="C40" s="36" t="n">
        <v>5553</v>
      </c>
      <c r="D40" s="36" t="n">
        <v>6983</v>
      </c>
      <c r="E40" s="36" t="n">
        <v>7253</v>
      </c>
      <c r="F40" s="36" t="n">
        <v>8744</v>
      </c>
      <c r="G40" s="36" t="n">
        <v>8427</v>
      </c>
      <c r="H40" s="36" t="n">
        <v>10776</v>
      </c>
      <c r="I40" s="36" t="n">
        <v>13224</v>
      </c>
      <c r="J40" s="36" t="n">
        <v>11127</v>
      </c>
      <c r="K40" s="36" t="n">
        <v>12198</v>
      </c>
      <c r="L40" s="36" t="n">
        <v>11618</v>
      </c>
      <c r="M40" s="36"/>
      <c r="N40" s="36"/>
      <c r="O40" s="36"/>
      <c r="P40" s="36" t="n">
        <v>11466</v>
      </c>
      <c r="Q40" s="37" t="n">
        <f>IF(COUNT(J40)=1,J40,"")</f>
        <v>11127</v>
      </c>
      <c r="R40" s="36" t="n">
        <v>11494</v>
      </c>
      <c r="S40" s="36" t="n">
        <v>11244</v>
      </c>
      <c r="T40" s="36" t="n">
        <v>12062</v>
      </c>
      <c r="U40" s="37" t="n">
        <f>IF(COUNT(K40)=1,K40,"")</f>
        <v>12198</v>
      </c>
      <c r="V40" s="36" t="n">
        <v>12281</v>
      </c>
      <c r="W40" s="36" t="n">
        <v>11377</v>
      </c>
      <c r="X40" s="36" t="n">
        <v>11489</v>
      </c>
      <c r="Y40" s="37" t="n">
        <f>IF(COUNT(L40)=1,L40,"")</f>
        <v>11618</v>
      </c>
      <c r="Z40" s="36" t="n">
        <v>12426</v>
      </c>
      <c r="AA40" s="36" t="n">
        <v>12492</v>
      </c>
    </row>
    <row r="41" ht="22" customHeight="1">
      <c r="A41" s="49" t="str">
        <v>Check: components - total inventories (should be 0)</v>
      </c>
      <c r="B41" s="3"/>
      <c r="C41" s="59" t="n">
        <f>IF(COUNT(C37,C38,C39,C40)=4,C37+C38+C39-C40,"")</f>
        <v>0</v>
      </c>
      <c r="D41" s="59" t="n">
        <f>IF(COUNT(D37,D38,D39,D40)=4,D37+D38+D39-D40,"")</f>
        <v>0</v>
      </c>
      <c r="E41" s="59" t="n">
        <f>IF(COUNT(E37,E38,E39,E40)=4,E37+E38+E39-E40,"")</f>
        <v>0</v>
      </c>
      <c r="F41" s="59" t="n">
        <f>IF(COUNT(F37,F38,F39,F40)=4,F37+F38+F39-F40,"")</f>
        <v>0</v>
      </c>
      <c r="G41" s="59" t="n">
        <f>IF(COUNT(G37,G38,G39,G40)=4,G37+G38+G39-G40,"")</f>
        <v>0</v>
      </c>
      <c r="H41" s="59" t="n">
        <f>IF(COUNT(H37,H38,H39,H40)=4,H37+H38+H39-H40,"")</f>
        <v>0</v>
      </c>
      <c r="I41" s="59" t="n">
        <f>IF(COUNT(I37,I38,I39,I40)=4,I37+I38+I39-I40,"")</f>
        <v>0</v>
      </c>
      <c r="J41" s="59" t="n">
        <f>IF(COUNT(J37,J38,J39,J40)=4,J37+J38+J39-J40,"")</f>
        <v>0</v>
      </c>
      <c r="K41" s="59" t="n">
        <f>IF(COUNT(K37,K38,K39,K40)=4,K37+K38+K39-K40,"")</f>
        <v>0</v>
      </c>
      <c r="L41" s="59" t="n">
        <f>IF(COUNT(L37,L38,L39,L40)=4,L37+L38+L39-L40,"")</f>
        <v>0</v>
      </c>
      <c r="M41" s="59"/>
      <c r="N41" s="59"/>
      <c r="O41" s="59"/>
      <c r="P41" s="59" t="n">
        <f>IF(COUNT(P37,P38,P39,P40)=4,P37+P38+P39-P40,"")</f>
        <v>0</v>
      </c>
      <c r="Q41" s="59" t="n">
        <f>IF(COUNT(Q37,Q38,Q39,Q40)=4,Q37+Q38+Q39-Q40,"")</f>
        <v>0</v>
      </c>
      <c r="R41" s="59" t="n">
        <f>IF(COUNT(R37,R38,R39,R40)=4,R37+R38+R39-R40,"")</f>
        <v>0</v>
      </c>
      <c r="S41" s="59" t="n">
        <f>IF(COUNT(S37,S38,S39,S40)=4,S37+S38+S39-S40,"")</f>
        <v>0</v>
      </c>
      <c r="T41" s="59" t="n">
        <f>IF(COUNT(T37,T38,T39,T40)=4,T37+T38+T39-T40,"")</f>
        <v>0</v>
      </c>
      <c r="U41" s="59" t="n">
        <f>IF(COUNT(U37,U38,U39,U40)=4,U37+U38+U39-U40,"")</f>
        <v>0</v>
      </c>
      <c r="V41" s="59" t="n">
        <f>IF(COUNT(V37,V38,V39,V40)=4,V37+V38+V39-V40,"")</f>
        <v>0</v>
      </c>
      <c r="W41" s="59" t="n">
        <f>IF(COUNT(W37,W38,W39,W40)=4,W37+W38+W39-W40,"")</f>
        <v>0</v>
      </c>
      <c r="X41" s="59" t="n">
        <f>IF(COUNT(X37,X38,X39,X40)=4,X37+X38+X39-X40,"")</f>
        <v>0</v>
      </c>
      <c r="Y41" s="59" t="n">
        <f>IF(COUNT(Y37,Y38,Y39,Y40)=4,Y37+Y38+Y39-Y40,"")</f>
        <v>0</v>
      </c>
      <c r="Z41" s="59" t="n">
        <f>IF(COUNT(Z37,Z38,Z39,Z40)=4,Z37+Z38+Z39-Z40,"")</f>
        <v>0</v>
      </c>
      <c r="AA41" s="59" t="n">
        <f>IF(COUNT(AA37,AA38,AA39,AA40)=4,AA37+AA38+AA39-AA40,"")</f>
        <v>0</v>
      </c>
    </row>
    <row r="42" ht="36" customHeight="1">
      <c r="A42" s="49" t="str">
        <v>Check: note total - balance-sheet inventories (should be 0)</v>
      </c>
      <c r="B42" s="3"/>
      <c r="C42" s="59"/>
      <c r="D42" s="59"/>
      <c r="E42" s="59"/>
      <c r="F42" s="59"/>
      <c r="G42" s="59"/>
      <c r="H42" s="59"/>
      <c r="I42" s="59"/>
      <c r="J42" s="59"/>
      <c r="K42" s="59"/>
      <c r="L42" s="59"/>
      <c r="M42" s="59"/>
      <c r="N42" s="59"/>
      <c r="O42" s="59"/>
      <c r="P42" s="59"/>
      <c r="Q42" s="59"/>
      <c r="R42" s="59"/>
      <c r="S42" s="59"/>
      <c r="T42" s="59"/>
      <c r="U42" s="59"/>
      <c r="V42" s="59"/>
      <c r="W42" s="59"/>
      <c r="X42" s="59"/>
      <c r="Y42" s="59"/>
      <c r="Z42" s="59"/>
      <c r="AA42" s="59"/>
    </row>
    <row r="43" ht="8"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22" customHeight="1">
      <c r="A44" s="21" t="str">
        <v>Property, plant and equipment</v>
      </c>
      <c r="B44" s="21" t="str">
        <v>Property, plant and equipment</v>
      </c>
      <c r="C44" s="21" t="str">
        <v>Property, plant and equipment</v>
      </c>
      <c r="D44" s="21" t="str">
        <v>Property, plant and equipment</v>
      </c>
      <c r="E44" s="21" t="str">
        <v>Property, plant and equipment</v>
      </c>
      <c r="F44" s="21" t="str">
        <v>Property, plant and equipment</v>
      </c>
      <c r="G44" s="21" t="str">
        <v>Property, plant and equipment</v>
      </c>
      <c r="H44" s="21" t="str">
        <v>Property, plant and equipment</v>
      </c>
      <c r="I44" s="21" t="str">
        <v>Property, plant and equipment</v>
      </c>
      <c r="J44" s="21" t="str">
        <v>Property, plant and equipment</v>
      </c>
      <c r="K44" s="21" t="str">
        <v>Property, plant and equipment</v>
      </c>
      <c r="L44" s="21" t="str">
        <v>Property, plant and equipment</v>
      </c>
      <c r="M44" s="21" t="str">
        <v>Property, plant and equipment</v>
      </c>
      <c r="N44" s="21" t="str">
        <v>Property, plant and equipment</v>
      </c>
      <c r="O44" s="21" t="str">
        <v>Property, plant and equipment</v>
      </c>
      <c r="P44" s="21" t="str">
        <v>Property, plant and equipment</v>
      </c>
      <c r="Q44" s="21" t="str">
        <v>Property, plant and equipment</v>
      </c>
      <c r="R44" s="21" t="str">
        <v>Property, plant and equipment</v>
      </c>
      <c r="S44" s="21" t="str">
        <v>Property, plant and equipment</v>
      </c>
      <c r="T44" s="21" t="str">
        <v>Property, plant and equipment</v>
      </c>
      <c r="U44" s="21" t="str">
        <v>Property, plant and equipment</v>
      </c>
      <c r="V44" s="21" t="str">
        <v>Property, plant and equipment</v>
      </c>
      <c r="W44" s="21" t="str">
        <v>Property, plant and equipment</v>
      </c>
      <c r="X44" s="21" t="str">
        <v>Property, plant and equipment</v>
      </c>
      <c r="Y44" s="21" t="str">
        <v>Property, plant and equipment</v>
      </c>
      <c r="Z44" s="21" t="str">
        <v>Property, plant and equipment</v>
      </c>
      <c r="AA44" s="21" t="str">
        <v>Property, plant and equipment</v>
      </c>
    </row>
    <row r="45" ht="22" customHeight="1">
      <c r="A45" s="49" t="str">
        <v>Land and buildings</v>
      </c>
      <c r="B45" s="3"/>
      <c r="C45" s="51" t="n">
        <v>26627</v>
      </c>
      <c r="D45" s="51" t="n">
        <v>27391</v>
      </c>
      <c r="E45" s="51" t="n">
        <v>30954</v>
      </c>
      <c r="F45" s="51" t="n">
        <v>37743</v>
      </c>
      <c r="G45" s="51" t="n">
        <v>37536</v>
      </c>
      <c r="H45" s="51" t="n">
        <v>40039</v>
      </c>
      <c r="I45" s="51" t="n">
        <v>44808</v>
      </c>
      <c r="J45" s="51" t="n">
        <v>51182</v>
      </c>
      <c r="K45" s="51" t="n">
        <v>56544</v>
      </c>
      <c r="L45" s="51" t="n">
        <v>65395</v>
      </c>
      <c r="M45" s="51"/>
      <c r="N45" s="51"/>
      <c r="O45" s="51"/>
      <c r="P45" s="51"/>
      <c r="Q45" s="51"/>
      <c r="R45" s="51"/>
      <c r="S45" s="51"/>
      <c r="T45" s="51"/>
      <c r="U45" s="51"/>
      <c r="V45" s="51"/>
      <c r="W45" s="51"/>
      <c r="X45" s="51"/>
      <c r="Y45" s="51"/>
      <c r="Z45" s="51"/>
      <c r="AA45" s="51"/>
    </row>
    <row r="46" ht="22" customHeight="1">
      <c r="A46" s="49" t="str">
        <v>Machinery and equipment</v>
      </c>
      <c r="B46" s="3"/>
      <c r="C46" s="51" t="n">
        <v>52608</v>
      </c>
      <c r="D46" s="51" t="n">
        <v>57192</v>
      </c>
      <c r="E46" s="51" t="n">
        <v>66721</v>
      </c>
      <c r="F46" s="51" t="n">
        <v>74901</v>
      </c>
      <c r="G46" s="51" t="n">
        <v>79384</v>
      </c>
      <c r="H46" s="51" t="n">
        <v>86955</v>
      </c>
      <c r="I46" s="51" t="n">
        <v>92711</v>
      </c>
      <c r="J46" s="51" t="n">
        <v>100033</v>
      </c>
      <c r="K46" s="51" t="n">
        <v>103150</v>
      </c>
      <c r="L46" s="51" t="n">
        <v>111940</v>
      </c>
      <c r="M46" s="51"/>
      <c r="N46" s="51"/>
      <c r="O46" s="51"/>
      <c r="P46" s="51"/>
      <c r="Q46" s="51"/>
      <c r="R46" s="51"/>
      <c r="S46" s="51"/>
      <c r="T46" s="51"/>
      <c r="U46" s="51"/>
      <c r="V46" s="51"/>
      <c r="W46" s="51"/>
      <c r="X46" s="51"/>
      <c r="Y46" s="51"/>
      <c r="Z46" s="51"/>
      <c r="AA46" s="51"/>
    </row>
    <row r="47" ht="22" customHeight="1">
      <c r="A47" s="49" t="str">
        <v>Construction in progress</v>
      </c>
      <c r="B47" s="3"/>
      <c r="C47" s="51" t="n">
        <v>10870</v>
      </c>
      <c r="D47" s="51" t="n">
        <v>15812</v>
      </c>
      <c r="E47" s="51" t="n">
        <v>16643</v>
      </c>
      <c r="F47" s="51" t="n">
        <v>16063</v>
      </c>
      <c r="G47" s="51" t="n">
        <v>17309</v>
      </c>
      <c r="H47" s="51" t="n">
        <v>21545</v>
      </c>
      <c r="I47" s="51" t="n">
        <v>36727</v>
      </c>
      <c r="J47" s="51" t="n">
        <v>43442</v>
      </c>
      <c r="K47" s="51" t="n">
        <v>50418</v>
      </c>
      <c r="L47" s="51" t="n">
        <v>34543</v>
      </c>
      <c r="M47" s="51"/>
      <c r="N47" s="51"/>
      <c r="O47" s="51"/>
      <c r="P47" s="51"/>
      <c r="Q47" s="51"/>
      <c r="R47" s="51"/>
      <c r="S47" s="51"/>
      <c r="T47" s="51"/>
      <c r="U47" s="51"/>
      <c r="V47" s="51"/>
      <c r="W47" s="51"/>
      <c r="X47" s="51"/>
      <c r="Y47" s="51"/>
      <c r="Z47" s="51"/>
      <c r="AA47" s="51"/>
    </row>
    <row r="48" ht="24" customHeight="1">
      <c r="A48" s="34" t="str">
        <v>Total property, plant and equipment, gross</v>
      </c>
      <c r="B48" s="35"/>
      <c r="C48" s="36" t="n">
        <v>90105</v>
      </c>
      <c r="D48" s="36" t="n">
        <v>100395</v>
      </c>
      <c r="E48" s="36" t="n">
        <v>114318</v>
      </c>
      <c r="F48" s="36" t="n">
        <v>128707</v>
      </c>
      <c r="G48" s="36" t="n">
        <v>134229</v>
      </c>
      <c r="H48" s="36" t="n">
        <v>148539</v>
      </c>
      <c r="I48" s="36" t="n">
        <v>174246</v>
      </c>
      <c r="J48" s="36" t="n">
        <v>194657</v>
      </c>
      <c r="K48" s="36" t="n">
        <v>210112</v>
      </c>
      <c r="L48" s="36" t="n">
        <v>211878</v>
      </c>
      <c r="M48" s="36"/>
      <c r="N48" s="36"/>
      <c r="O48" s="36"/>
      <c r="P48" s="36"/>
      <c r="Q48" s="36"/>
      <c r="R48" s="36"/>
      <c r="S48" s="36"/>
      <c r="T48" s="36"/>
      <c r="U48" s="36"/>
      <c r="V48" s="36"/>
      <c r="W48" s="36"/>
      <c r="X48" s="36"/>
      <c r="Y48" s="36"/>
      <c r="Z48" s="36"/>
      <c r="AA48" s="36"/>
    </row>
    <row r="49" ht="22" customHeight="1">
      <c r="A49" s="49" t="str">
        <v>Less: Accumulated depreciation</v>
      </c>
      <c r="B49" s="3"/>
      <c r="C49" s="51" t="n">
        <v>-53934</v>
      </c>
      <c r="D49" s="51" t="n">
        <v>59286</v>
      </c>
      <c r="E49" s="51" t="n">
        <v>65342</v>
      </c>
      <c r="F49" s="51" t="n">
        <v>-73321</v>
      </c>
      <c r="G49" s="51" t="n">
        <v>-77645</v>
      </c>
      <c r="H49" s="51" t="n">
        <v>-85294</v>
      </c>
      <c r="I49" s="51" t="n">
        <v>-93386</v>
      </c>
      <c r="J49" s="51" t="n">
        <v>-98010</v>
      </c>
      <c r="K49" s="51" t="n">
        <v>-102193</v>
      </c>
      <c r="L49" s="51" t="n">
        <v>-106464</v>
      </c>
      <c r="M49" s="51"/>
      <c r="N49" s="51"/>
      <c r="O49" s="51"/>
      <c r="P49" s="51"/>
      <c r="Q49" s="51"/>
      <c r="R49" s="51"/>
      <c r="S49" s="51"/>
      <c r="T49" s="51"/>
      <c r="U49" s="51"/>
      <c r="V49" s="51"/>
      <c r="W49" s="51"/>
      <c r="X49" s="51"/>
      <c r="Y49" s="51"/>
      <c r="Z49" s="51"/>
      <c r="AA49" s="51"/>
    </row>
    <row r="50" ht="24" customHeight="1">
      <c r="A50" s="34" t="str">
        <v>Total property, plant and equipment, net</v>
      </c>
      <c r="B50" s="35"/>
      <c r="C50" s="36" t="n">
        <v>36171</v>
      </c>
      <c r="D50" s="36" t="n">
        <v>41109</v>
      </c>
      <c r="E50" s="36" t="n">
        <v>48976</v>
      </c>
      <c r="F50" s="36" t="n">
        <v>55386</v>
      </c>
      <c r="G50" s="36" t="n">
        <v>56584</v>
      </c>
      <c r="H50" s="36" t="n">
        <v>63245</v>
      </c>
      <c r="I50" s="36" t="n">
        <v>80860</v>
      </c>
      <c r="J50" s="36" t="n">
        <v>96647</v>
      </c>
      <c r="K50" s="36" t="n">
        <v>107919</v>
      </c>
      <c r="L50" s="36" t="n">
        <v>105414</v>
      </c>
      <c r="M50" s="36"/>
      <c r="N50" s="36"/>
      <c r="O50" s="36"/>
      <c r="P50" s="36"/>
      <c r="Q50" s="36"/>
      <c r="R50" s="36"/>
      <c r="S50" s="36"/>
      <c r="T50" s="36"/>
      <c r="U50" s="36"/>
      <c r="V50" s="36"/>
      <c r="W50" s="36"/>
      <c r="X50" s="36"/>
      <c r="Y50" s="36"/>
      <c r="Z50" s="36"/>
      <c r="AA50" s="36"/>
    </row>
    <row r="51" ht="22" customHeight="1">
      <c r="A51" s="49" t="str">
        <v>Check: note PP&amp;E net - balance-sheet PP&amp;E (should be 0)</v>
      </c>
      <c r="B51" s="3"/>
      <c r="C51" s="59"/>
      <c r="D51" s="59"/>
      <c r="E51" s="59"/>
      <c r="F51" s="59"/>
      <c r="G51" s="59"/>
      <c r="H51" s="59"/>
      <c r="I51" s="59"/>
      <c r="J51" s="59"/>
      <c r="K51" s="59"/>
      <c r="L51" s="59"/>
      <c r="M51" s="59"/>
      <c r="N51" s="59"/>
      <c r="O51" s="59"/>
      <c r="P51" s="59"/>
      <c r="Q51" s="59"/>
      <c r="R51" s="59"/>
      <c r="S51" s="59"/>
      <c r="T51" s="59"/>
      <c r="U51" s="59"/>
      <c r="V51" s="59"/>
      <c r="W51" s="59"/>
      <c r="X51" s="59"/>
      <c r="Y51" s="59"/>
      <c r="Z51" s="59"/>
      <c r="AA51" s="59"/>
    </row>
    <row r="52" ht="8"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22" customHeight="1">
      <c r="A53" s="21" t="str">
        <v>Goodwill by reporting unit: opening, changes and closing</v>
      </c>
      <c r="B53" s="21" t="str">
        <v>Goodwill by reporting unit: opening, changes and closing</v>
      </c>
      <c r="C53" s="21" t="str">
        <v>Goodwill by reporting unit: opening, changes and closing</v>
      </c>
      <c r="D53" s="21" t="str">
        <v>Goodwill by reporting unit: opening, changes and closing</v>
      </c>
      <c r="E53" s="21" t="str">
        <v>Goodwill by reporting unit: opening, changes and closing</v>
      </c>
      <c r="F53" s="21" t="str">
        <v>Goodwill by reporting unit: opening, changes and closing</v>
      </c>
      <c r="G53" s="21" t="str">
        <v>Goodwill by reporting unit: opening, changes and closing</v>
      </c>
      <c r="H53" s="21" t="str">
        <v>Goodwill by reporting unit: opening, changes and closing</v>
      </c>
      <c r="I53" s="21" t="str">
        <v>Goodwill by reporting unit: opening, changes and closing</v>
      </c>
      <c r="J53" s="21" t="str">
        <v>Goodwill by reporting unit: opening, changes and closing</v>
      </c>
      <c r="K53" s="21" t="str">
        <v>Goodwill by reporting unit: opening, changes and closing</v>
      </c>
      <c r="L53" s="21" t="str">
        <v>Goodwill by reporting unit: opening, changes and closing</v>
      </c>
      <c r="M53" s="21" t="str">
        <v>Goodwill by reporting unit: opening, changes and closing</v>
      </c>
      <c r="N53" s="21" t="str">
        <v>Goodwill by reporting unit: opening, changes and closing</v>
      </c>
      <c r="O53" s="21" t="str">
        <v>Goodwill by reporting unit: opening, changes and closing</v>
      </c>
      <c r="P53" s="21" t="str">
        <v>Goodwill by reporting unit: opening, changes and closing</v>
      </c>
      <c r="Q53" s="21" t="str">
        <v>Goodwill by reporting unit: opening, changes and closing</v>
      </c>
      <c r="R53" s="21" t="str">
        <v>Goodwill by reporting unit: opening, changes and closing</v>
      </c>
      <c r="S53" s="21" t="str">
        <v>Goodwill by reporting unit: opening, changes and closing</v>
      </c>
      <c r="T53" s="21" t="str">
        <v>Goodwill by reporting unit: opening, changes and closing</v>
      </c>
      <c r="U53" s="21" t="str">
        <v>Goodwill by reporting unit: opening, changes and closing</v>
      </c>
      <c r="V53" s="21" t="str">
        <v>Goodwill by reporting unit: opening, changes and closing</v>
      </c>
      <c r="W53" s="21" t="str">
        <v>Goodwill by reporting unit: opening, changes and closing</v>
      </c>
      <c r="X53" s="21" t="str">
        <v>Goodwill by reporting unit: opening, changes and closing</v>
      </c>
      <c r="Y53" s="21" t="str">
        <v>Goodwill by reporting unit: opening, changes and closing</v>
      </c>
      <c r="Z53" s="21" t="str">
        <v>Goodwill by reporting unit: opening, changes and closing</v>
      </c>
      <c r="AA53" s="21" t="str">
        <v>Goodwill by reporting unit: opening, changes and closing</v>
      </c>
    </row>
    <row r="54" ht="22" customHeight="1">
      <c r="A54" s="49" t="str">
        <v>Client Computing - begin</v>
      </c>
      <c r="B54" s="3"/>
      <c r="C54" s="51"/>
      <c r="D54" s="51"/>
      <c r="E54" s="51"/>
      <c r="F54" s="51"/>
      <c r="G54" s="51"/>
      <c r="H54" s="51"/>
      <c r="I54" s="51" t="n">
        <v>4237</v>
      </c>
      <c r="J54" s="51" t="n">
        <v>4254</v>
      </c>
      <c r="K54" s="51" t="n">
        <v>4749</v>
      </c>
      <c r="L54" s="51" t="n">
        <v>4619</v>
      </c>
      <c r="M54" s="51"/>
      <c r="N54" s="51"/>
      <c r="O54" s="51"/>
      <c r="P54" s="51"/>
      <c r="Q54" s="51"/>
      <c r="R54" s="51"/>
      <c r="S54" s="51"/>
      <c r="T54" s="51"/>
      <c r="U54" s="51"/>
      <c r="V54" s="51"/>
      <c r="W54" s="51"/>
      <c r="X54" s="51"/>
      <c r="Y54" s="51"/>
      <c r="Z54" s="51"/>
      <c r="AA54" s="51"/>
    </row>
    <row r="55" ht="22" customHeight="1">
      <c r="A55" s="49" t="str">
        <v>Client Computing - additions</v>
      </c>
      <c r="B55" s="3"/>
      <c r="C55" s="51"/>
      <c r="D55" s="51"/>
      <c r="E55" s="51"/>
      <c r="F55" s="51"/>
      <c r="G55" s="51"/>
      <c r="H55" s="51"/>
      <c r="I55" s="51" t="n">
        <v>17</v>
      </c>
      <c r="J55" s="51" t="n">
        <v>0</v>
      </c>
      <c r="K55" s="51" t="n">
        <v>0</v>
      </c>
      <c r="L55" s="51"/>
      <c r="M55" s="51"/>
      <c r="N55" s="51"/>
      <c r="O55" s="51"/>
      <c r="P55" s="51"/>
      <c r="Q55" s="51"/>
      <c r="R55" s="51"/>
      <c r="S55" s="51"/>
      <c r="T55" s="51"/>
      <c r="U55" s="51"/>
      <c r="V55" s="51"/>
      <c r="W55" s="51"/>
      <c r="X55" s="51"/>
      <c r="Y55" s="51"/>
      <c r="Z55" s="51"/>
      <c r="AA55" s="51"/>
    </row>
    <row r="56" ht="22" customHeight="1">
      <c r="A56" s="49" t="str">
        <v>Client Computing - divestitures</v>
      </c>
      <c r="B56" s="3"/>
      <c r="C56" s="51"/>
      <c r="D56" s="51"/>
      <c r="E56" s="51"/>
      <c r="F56" s="51"/>
      <c r="G56" s="51"/>
      <c r="H56" s="51"/>
      <c r="I56" s="51"/>
      <c r="J56" s="51"/>
      <c r="K56" s="51"/>
      <c r="L56" s="51" t="n">
        <v>0</v>
      </c>
      <c r="M56" s="51"/>
      <c r="N56" s="51"/>
      <c r="O56" s="51"/>
      <c r="P56" s="51"/>
      <c r="Q56" s="51"/>
      <c r="R56" s="51"/>
      <c r="S56" s="51"/>
      <c r="T56" s="51"/>
      <c r="U56" s="51"/>
      <c r="V56" s="51"/>
      <c r="W56" s="51"/>
      <c r="X56" s="51"/>
      <c r="Y56" s="51"/>
      <c r="Z56" s="51"/>
      <c r="AA56" s="51"/>
    </row>
    <row r="57" ht="22" customHeight="1">
      <c r="A57" s="49" t="str">
        <v>Client Computing - transfers</v>
      </c>
      <c r="B57" s="3"/>
      <c r="C57" s="51"/>
      <c r="D57" s="51"/>
      <c r="E57" s="51"/>
      <c r="F57" s="51"/>
      <c r="G57" s="51"/>
      <c r="H57" s="51"/>
      <c r="I57" s="51"/>
      <c r="J57" s="51" t="n">
        <v>495</v>
      </c>
      <c r="K57" s="51" t="n">
        <v>-130</v>
      </c>
      <c r="L57" s="51" t="n">
        <v>1865</v>
      </c>
      <c r="M57" s="51"/>
      <c r="N57" s="51"/>
      <c r="O57" s="51"/>
      <c r="P57" s="51"/>
      <c r="Q57" s="51"/>
      <c r="R57" s="51"/>
      <c r="S57" s="51"/>
      <c r="T57" s="51"/>
      <c r="U57" s="51"/>
      <c r="V57" s="51"/>
      <c r="W57" s="51"/>
      <c r="X57" s="51"/>
      <c r="Y57" s="51"/>
      <c r="Z57" s="51"/>
      <c r="AA57" s="51"/>
    </row>
    <row r="58" ht="22" customHeight="1">
      <c r="A58" s="49" t="str">
        <v>Client Computing - other</v>
      </c>
      <c r="B58" s="3"/>
      <c r="C58" s="51"/>
      <c r="D58" s="51"/>
      <c r="E58" s="51"/>
      <c r="F58" s="51"/>
      <c r="G58" s="51"/>
      <c r="H58" s="51"/>
      <c r="I58" s="51" t="n">
        <v>0</v>
      </c>
      <c r="J58" s="51" t="n">
        <v>0</v>
      </c>
      <c r="K58" s="51"/>
      <c r="L58" s="51"/>
      <c r="M58" s="51"/>
      <c r="N58" s="51"/>
      <c r="O58" s="51"/>
      <c r="P58" s="51"/>
      <c r="Q58" s="51"/>
      <c r="R58" s="51"/>
      <c r="S58" s="51"/>
      <c r="T58" s="51"/>
      <c r="U58" s="51"/>
      <c r="V58" s="51"/>
      <c r="W58" s="51"/>
      <c r="X58" s="51"/>
      <c r="Y58" s="51"/>
      <c r="Z58" s="51"/>
      <c r="AA58" s="51"/>
    </row>
    <row r="59" ht="22" customHeight="1">
      <c r="A59" s="49" t="str">
        <v>Client Computing - impairment</v>
      </c>
      <c r="B59" s="3"/>
      <c r="C59" s="51"/>
      <c r="D59" s="51"/>
      <c r="E59" s="51"/>
      <c r="F59" s="51"/>
      <c r="G59" s="51"/>
      <c r="H59" s="51"/>
      <c r="I59" s="51"/>
      <c r="J59" s="51"/>
      <c r="K59" s="51" t="n">
        <v>0</v>
      </c>
      <c r="L59" s="51" t="n">
        <v>0</v>
      </c>
      <c r="M59" s="51"/>
      <c r="N59" s="51"/>
      <c r="O59" s="51"/>
      <c r="P59" s="51"/>
      <c r="Q59" s="51"/>
      <c r="R59" s="51"/>
      <c r="S59" s="51"/>
      <c r="T59" s="51"/>
      <c r="U59" s="51"/>
      <c r="V59" s="51"/>
      <c r="W59" s="51"/>
      <c r="X59" s="51"/>
      <c r="Y59" s="51"/>
      <c r="Z59" s="51"/>
      <c r="AA59" s="51"/>
    </row>
    <row r="60" ht="24" customHeight="1">
      <c r="A60" s="34" t="str">
        <v>Client Computing - end</v>
      </c>
      <c r="B60" s="35"/>
      <c r="C60" s="36"/>
      <c r="D60" s="36"/>
      <c r="E60" s="36"/>
      <c r="F60" s="36"/>
      <c r="G60" s="36"/>
      <c r="H60" s="36"/>
      <c r="I60" s="36" t="n">
        <v>4254</v>
      </c>
      <c r="J60" s="36" t="n">
        <v>4749</v>
      </c>
      <c r="K60" s="36" t="n">
        <v>4619</v>
      </c>
      <c r="L60" s="36" t="n">
        <v>6484</v>
      </c>
      <c r="M60" s="36"/>
      <c r="N60" s="36"/>
      <c r="O60" s="36"/>
      <c r="P60" s="36"/>
      <c r="Q60" s="36"/>
      <c r="R60" s="36"/>
      <c r="S60" s="36"/>
      <c r="T60" s="36"/>
      <c r="U60" s="36"/>
      <c r="V60" s="36"/>
      <c r="W60" s="36"/>
      <c r="X60" s="36"/>
      <c r="Y60" s="36"/>
      <c r="Z60" s="36"/>
      <c r="AA60" s="36"/>
    </row>
    <row r="61" ht="22" customHeight="1">
      <c r="A61" s="49" t="str">
        <v>Data Center and AI - begin</v>
      </c>
      <c r="B61" s="3"/>
      <c r="C61" s="51"/>
      <c r="D61" s="51"/>
      <c r="E61" s="51"/>
      <c r="F61" s="51"/>
      <c r="G61" s="51"/>
      <c r="H61" s="51"/>
      <c r="I61" s="51" t="n">
        <v>8595</v>
      </c>
      <c r="J61" s="51" t="n">
        <v>9013</v>
      </c>
      <c r="K61" s="51" t="n">
        <v>8721</v>
      </c>
      <c r="L61" s="51" t="n">
        <v>7944</v>
      </c>
      <c r="M61" s="51"/>
      <c r="N61" s="51"/>
      <c r="O61" s="51"/>
      <c r="P61" s="51"/>
      <c r="Q61" s="51"/>
      <c r="R61" s="51"/>
      <c r="S61" s="51"/>
      <c r="T61" s="51"/>
      <c r="U61" s="51"/>
      <c r="V61" s="51"/>
      <c r="W61" s="51"/>
      <c r="X61" s="51"/>
      <c r="Y61" s="51"/>
      <c r="Z61" s="51"/>
      <c r="AA61" s="51"/>
    </row>
    <row r="62" ht="22" customHeight="1">
      <c r="A62" s="49" t="str">
        <v>Data Center and AI - additions</v>
      </c>
      <c r="B62" s="3"/>
      <c r="C62" s="51"/>
      <c r="D62" s="51"/>
      <c r="E62" s="51"/>
      <c r="F62" s="51"/>
      <c r="G62" s="51"/>
      <c r="H62" s="51"/>
      <c r="I62" s="51" t="n">
        <v>418</v>
      </c>
      <c r="J62" s="51" t="n">
        <v>0</v>
      </c>
      <c r="K62" s="51" t="n">
        <v>0</v>
      </c>
      <c r="L62" s="51"/>
      <c r="M62" s="51"/>
      <c r="N62" s="51"/>
      <c r="O62" s="51"/>
      <c r="P62" s="51"/>
      <c r="Q62" s="51"/>
      <c r="R62" s="51"/>
      <c r="S62" s="51"/>
      <c r="T62" s="51"/>
      <c r="U62" s="51"/>
      <c r="V62" s="51"/>
      <c r="W62" s="51"/>
      <c r="X62" s="51"/>
      <c r="Y62" s="51"/>
      <c r="Z62" s="51"/>
      <c r="AA62" s="51"/>
    </row>
    <row r="63" ht="22" customHeight="1">
      <c r="A63" s="49" t="str">
        <v>Data Center and AI - divestitures</v>
      </c>
      <c r="B63" s="3"/>
      <c r="C63" s="51"/>
      <c r="D63" s="51"/>
      <c r="E63" s="51"/>
      <c r="F63" s="51"/>
      <c r="G63" s="51"/>
      <c r="H63" s="51"/>
      <c r="I63" s="51"/>
      <c r="J63" s="51"/>
      <c r="K63" s="51"/>
      <c r="L63" s="51" t="n">
        <v>0</v>
      </c>
      <c r="M63" s="51"/>
      <c r="N63" s="51"/>
      <c r="O63" s="51"/>
      <c r="P63" s="51"/>
      <c r="Q63" s="51"/>
      <c r="R63" s="51"/>
      <c r="S63" s="51"/>
      <c r="T63" s="51"/>
      <c r="U63" s="51"/>
      <c r="V63" s="51"/>
      <c r="W63" s="51"/>
      <c r="X63" s="51"/>
      <c r="Y63" s="51"/>
      <c r="Z63" s="51"/>
      <c r="AA63" s="51"/>
    </row>
    <row r="64" ht="22" customHeight="1">
      <c r="A64" s="49" t="str">
        <v>Data Center and AI - transfers</v>
      </c>
      <c r="B64" s="3"/>
      <c r="C64" s="51"/>
      <c r="D64" s="51"/>
      <c r="E64" s="51"/>
      <c r="F64" s="51"/>
      <c r="G64" s="51"/>
      <c r="H64" s="51"/>
      <c r="I64" s="51"/>
      <c r="J64" s="51" t="n">
        <v>-292</v>
      </c>
      <c r="K64" s="51" t="n">
        <v>-777</v>
      </c>
      <c r="L64" s="51" t="n">
        <v>1001</v>
      </c>
      <c r="M64" s="51"/>
      <c r="N64" s="51"/>
      <c r="O64" s="51"/>
      <c r="P64" s="51"/>
      <c r="Q64" s="51"/>
      <c r="R64" s="51"/>
      <c r="S64" s="51"/>
      <c r="T64" s="51"/>
      <c r="U64" s="51"/>
      <c r="V64" s="51"/>
      <c r="W64" s="51"/>
      <c r="X64" s="51"/>
      <c r="Y64" s="51"/>
      <c r="Z64" s="51"/>
      <c r="AA64" s="51"/>
    </row>
    <row r="65" ht="22" customHeight="1">
      <c r="A65" s="49" t="str">
        <v>Data Center and AI - other</v>
      </c>
      <c r="B65" s="3"/>
      <c r="C65" s="51"/>
      <c r="D65" s="51"/>
      <c r="E65" s="51"/>
      <c r="F65" s="51"/>
      <c r="G65" s="51"/>
      <c r="H65" s="51"/>
      <c r="I65" s="51" t="n">
        <v>0</v>
      </c>
      <c r="J65" s="51" t="n">
        <v>0</v>
      </c>
      <c r="K65" s="51"/>
      <c r="L65" s="51"/>
      <c r="M65" s="51"/>
      <c r="N65" s="51"/>
      <c r="O65" s="51"/>
      <c r="P65" s="51"/>
      <c r="Q65" s="51"/>
      <c r="R65" s="51"/>
      <c r="S65" s="51"/>
      <c r="T65" s="51"/>
      <c r="U65" s="51"/>
      <c r="V65" s="51"/>
      <c r="W65" s="51"/>
      <c r="X65" s="51"/>
      <c r="Y65" s="51"/>
      <c r="Z65" s="51"/>
      <c r="AA65" s="51"/>
    </row>
    <row r="66" ht="22" customHeight="1">
      <c r="A66" s="49" t="str">
        <v>Data Center and AI - impairment</v>
      </c>
      <c r="B66" s="3"/>
      <c r="C66" s="51"/>
      <c r="D66" s="51"/>
      <c r="E66" s="51"/>
      <c r="F66" s="51"/>
      <c r="G66" s="51"/>
      <c r="H66" s="51"/>
      <c r="I66" s="51"/>
      <c r="J66" s="51"/>
      <c r="K66" s="51" t="n">
        <v>0</v>
      </c>
      <c r="L66" s="51" t="n">
        <v>0</v>
      </c>
      <c r="M66" s="51"/>
      <c r="N66" s="51"/>
      <c r="O66" s="51"/>
      <c r="P66" s="51"/>
      <c r="Q66" s="51"/>
      <c r="R66" s="51"/>
      <c r="S66" s="51"/>
      <c r="T66" s="51"/>
      <c r="U66" s="51"/>
      <c r="V66" s="51"/>
      <c r="W66" s="51"/>
      <c r="X66" s="51"/>
      <c r="Y66" s="51"/>
      <c r="Z66" s="51"/>
      <c r="AA66" s="51"/>
    </row>
    <row r="67" ht="24" customHeight="1">
      <c r="A67" s="34" t="str">
        <v>Data Center and AI - end</v>
      </c>
      <c r="B67" s="35"/>
      <c r="C67" s="36"/>
      <c r="D67" s="36"/>
      <c r="E67" s="36"/>
      <c r="F67" s="36"/>
      <c r="G67" s="36"/>
      <c r="H67" s="36"/>
      <c r="I67" s="36" t="n">
        <v>9013</v>
      </c>
      <c r="J67" s="36" t="n">
        <v>8721</v>
      </c>
      <c r="K67" s="36" t="n">
        <v>7944</v>
      </c>
      <c r="L67" s="36" t="n">
        <v>8945</v>
      </c>
      <c r="M67" s="36"/>
      <c r="N67" s="36"/>
      <c r="O67" s="36"/>
      <c r="P67" s="36"/>
      <c r="Q67" s="36"/>
      <c r="R67" s="36"/>
      <c r="S67" s="36"/>
      <c r="T67" s="36"/>
      <c r="U67" s="36"/>
      <c r="V67" s="36"/>
      <c r="W67" s="36"/>
      <c r="X67" s="36"/>
      <c r="Y67" s="36"/>
      <c r="Z67" s="36"/>
      <c r="AA67" s="36"/>
    </row>
    <row r="68" ht="22" customHeight="1">
      <c r="A68" s="49" t="str">
        <v>Network and Edge - begin</v>
      </c>
      <c r="B68" s="3"/>
      <c r="C68" s="51"/>
      <c r="D68" s="51"/>
      <c r="E68" s="51"/>
      <c r="F68" s="51"/>
      <c r="G68" s="51"/>
      <c r="H68" s="51"/>
      <c r="I68" s="51" t="n">
        <v>2774</v>
      </c>
      <c r="J68" s="51" t="n">
        <v>2809</v>
      </c>
      <c r="K68" s="51" t="n">
        <v>2809</v>
      </c>
      <c r="L68" s="51" t="n">
        <v>2780</v>
      </c>
      <c r="M68" s="51"/>
      <c r="N68" s="51"/>
      <c r="O68" s="51"/>
      <c r="P68" s="51"/>
      <c r="Q68" s="51"/>
      <c r="R68" s="51"/>
      <c r="S68" s="51"/>
      <c r="T68" s="51"/>
      <c r="U68" s="51"/>
      <c r="V68" s="51"/>
      <c r="W68" s="51"/>
      <c r="X68" s="51"/>
      <c r="Y68" s="51"/>
      <c r="Z68" s="51"/>
      <c r="AA68" s="51"/>
    </row>
    <row r="69" ht="22" customHeight="1">
      <c r="A69" s="49" t="str">
        <v>Network and Edge - additions</v>
      </c>
      <c r="B69" s="3"/>
      <c r="C69" s="51"/>
      <c r="D69" s="51"/>
      <c r="E69" s="51"/>
      <c r="F69" s="51"/>
      <c r="G69" s="51"/>
      <c r="H69" s="51"/>
      <c r="I69" s="51" t="n">
        <v>35</v>
      </c>
      <c r="J69" s="51" t="n">
        <v>0</v>
      </c>
      <c r="K69" s="51" t="n">
        <v>0</v>
      </c>
      <c r="L69" s="51"/>
      <c r="M69" s="51"/>
      <c r="N69" s="51"/>
      <c r="O69" s="51"/>
      <c r="P69" s="51"/>
      <c r="Q69" s="51"/>
      <c r="R69" s="51"/>
      <c r="S69" s="51"/>
      <c r="T69" s="51"/>
      <c r="U69" s="51"/>
      <c r="V69" s="51"/>
      <c r="W69" s="51"/>
      <c r="X69" s="51"/>
      <c r="Y69" s="51"/>
      <c r="Z69" s="51"/>
      <c r="AA69" s="51"/>
    </row>
    <row r="70" ht="22" customHeight="1">
      <c r="A70" s="49" t="str">
        <v>Network and Edge - divestitures</v>
      </c>
      <c r="B70" s="3"/>
      <c r="C70" s="51"/>
      <c r="D70" s="51"/>
      <c r="E70" s="51"/>
      <c r="F70" s="51"/>
      <c r="G70" s="51"/>
      <c r="H70" s="51"/>
      <c r="I70" s="51"/>
      <c r="J70" s="51"/>
      <c r="K70" s="51"/>
      <c r="L70" s="51" t="n">
        <v>0</v>
      </c>
      <c r="M70" s="51"/>
      <c r="N70" s="51"/>
      <c r="O70" s="51"/>
      <c r="P70" s="51"/>
      <c r="Q70" s="51"/>
      <c r="R70" s="51"/>
      <c r="S70" s="51"/>
      <c r="T70" s="51"/>
      <c r="U70" s="51"/>
      <c r="V70" s="51"/>
      <c r="W70" s="51"/>
      <c r="X70" s="51"/>
      <c r="Y70" s="51"/>
      <c r="Z70" s="51"/>
      <c r="AA70" s="51"/>
    </row>
    <row r="71" ht="22" customHeight="1">
      <c r="A71" s="49" t="str">
        <v>Network and Edge - transfers</v>
      </c>
      <c r="B71" s="3"/>
      <c r="C71" s="51"/>
      <c r="D71" s="51"/>
      <c r="E71" s="51"/>
      <c r="F71" s="51"/>
      <c r="G71" s="51"/>
      <c r="H71" s="51"/>
      <c r="I71" s="51"/>
      <c r="J71" s="51" t="n">
        <v>0</v>
      </c>
      <c r="K71" s="51" t="n">
        <v>-29</v>
      </c>
      <c r="L71" s="51" t="n">
        <v>-2780</v>
      </c>
      <c r="M71" s="51"/>
      <c r="N71" s="51"/>
      <c r="O71" s="51"/>
      <c r="P71" s="51"/>
      <c r="Q71" s="51"/>
      <c r="R71" s="51"/>
      <c r="S71" s="51"/>
      <c r="T71" s="51"/>
      <c r="U71" s="51"/>
      <c r="V71" s="51"/>
      <c r="W71" s="51"/>
      <c r="X71" s="51"/>
      <c r="Y71" s="51"/>
      <c r="Z71" s="51"/>
      <c r="AA71" s="51"/>
    </row>
    <row r="72" ht="22" customHeight="1">
      <c r="A72" s="49" t="str">
        <v>Network and Edge - other</v>
      </c>
      <c r="B72" s="3"/>
      <c r="C72" s="51"/>
      <c r="D72" s="51"/>
      <c r="E72" s="51"/>
      <c r="F72" s="51"/>
      <c r="G72" s="51"/>
      <c r="H72" s="51"/>
      <c r="I72" s="51" t="n">
        <v>0</v>
      </c>
      <c r="J72" s="51" t="n">
        <v>0</v>
      </c>
      <c r="K72" s="51"/>
      <c r="L72" s="51"/>
      <c r="M72" s="51"/>
      <c r="N72" s="51"/>
      <c r="O72" s="51"/>
      <c r="P72" s="51"/>
      <c r="Q72" s="51"/>
      <c r="R72" s="51"/>
      <c r="S72" s="51"/>
      <c r="T72" s="51"/>
      <c r="U72" s="51"/>
      <c r="V72" s="51"/>
      <c r="W72" s="51"/>
      <c r="X72" s="51"/>
      <c r="Y72" s="51"/>
      <c r="Z72" s="51"/>
      <c r="AA72" s="51"/>
    </row>
    <row r="73" ht="22" customHeight="1">
      <c r="A73" s="49" t="str">
        <v>Network and Edge - impairment</v>
      </c>
      <c r="B73" s="3"/>
      <c r="C73" s="51"/>
      <c r="D73" s="51"/>
      <c r="E73" s="51"/>
      <c r="F73" s="51"/>
      <c r="G73" s="51"/>
      <c r="H73" s="51"/>
      <c r="I73" s="51"/>
      <c r="J73" s="51"/>
      <c r="K73" s="51" t="n">
        <v>0</v>
      </c>
      <c r="L73" s="51" t="n">
        <v>0</v>
      </c>
      <c r="M73" s="51"/>
      <c r="N73" s="51"/>
      <c r="O73" s="51"/>
      <c r="P73" s="51"/>
      <c r="Q73" s="51"/>
      <c r="R73" s="51"/>
      <c r="S73" s="51"/>
      <c r="T73" s="51"/>
      <c r="U73" s="51"/>
      <c r="V73" s="51"/>
      <c r="W73" s="51"/>
      <c r="X73" s="51"/>
      <c r="Y73" s="51"/>
      <c r="Z73" s="51"/>
      <c r="AA73" s="51"/>
    </row>
    <row r="74" ht="24" customHeight="1">
      <c r="A74" s="34" t="str">
        <v>Network and Edge - end</v>
      </c>
      <c r="B74" s="35"/>
      <c r="C74" s="36"/>
      <c r="D74" s="36"/>
      <c r="E74" s="36"/>
      <c r="F74" s="36"/>
      <c r="G74" s="36"/>
      <c r="H74" s="36"/>
      <c r="I74" s="36" t="n">
        <v>2809</v>
      </c>
      <c r="J74" s="36" t="n">
        <v>2809</v>
      </c>
      <c r="K74" s="36" t="n">
        <v>2780</v>
      </c>
      <c r="L74" s="36" t="n">
        <v>0</v>
      </c>
      <c r="M74" s="36"/>
      <c r="N74" s="36"/>
      <c r="O74" s="36"/>
      <c r="P74" s="36"/>
      <c r="Q74" s="36"/>
      <c r="R74" s="36"/>
      <c r="S74" s="36"/>
      <c r="T74" s="36"/>
      <c r="U74" s="36"/>
      <c r="V74" s="36"/>
      <c r="W74" s="36"/>
      <c r="X74" s="36"/>
      <c r="Y74" s="36"/>
      <c r="Z74" s="36"/>
      <c r="AA74" s="36"/>
    </row>
    <row r="75" ht="22" customHeight="1">
      <c r="A75" s="49" t="str">
        <v>Intel Foundry - begin</v>
      </c>
      <c r="B75" s="3"/>
      <c r="C75" s="51"/>
      <c r="D75" s="51"/>
      <c r="E75" s="51"/>
      <c r="F75" s="51"/>
      <c r="G75" s="51"/>
      <c r="H75" s="51"/>
      <c r="I75" s="51"/>
      <c r="J75" s="51"/>
      <c r="K75" s="51" t="n">
        <v>0</v>
      </c>
      <c r="L75" s="51"/>
      <c r="M75" s="51"/>
      <c r="N75" s="51"/>
      <c r="O75" s="51"/>
      <c r="P75" s="51"/>
      <c r="Q75" s="51"/>
      <c r="R75" s="51"/>
      <c r="S75" s="51"/>
      <c r="T75" s="51"/>
      <c r="U75" s="51"/>
      <c r="V75" s="51"/>
      <c r="W75" s="51"/>
      <c r="X75" s="51"/>
      <c r="Y75" s="51"/>
      <c r="Z75" s="51"/>
      <c r="AA75" s="51"/>
    </row>
    <row r="76" ht="22" customHeight="1">
      <c r="A76" s="49" t="str">
        <v>Intel Foundry - additions</v>
      </c>
      <c r="B76" s="3"/>
      <c r="C76" s="51"/>
      <c r="D76" s="51"/>
      <c r="E76" s="51"/>
      <c r="F76" s="51"/>
      <c r="G76" s="51"/>
      <c r="H76" s="51"/>
      <c r="I76" s="51"/>
      <c r="J76" s="51"/>
      <c r="K76" s="51" t="n">
        <v>0</v>
      </c>
      <c r="L76" s="51"/>
      <c r="M76" s="51"/>
      <c r="N76" s="51"/>
      <c r="O76" s="51"/>
      <c r="P76" s="51"/>
      <c r="Q76" s="51"/>
      <c r="R76" s="51"/>
      <c r="S76" s="51"/>
      <c r="T76" s="51"/>
      <c r="U76" s="51"/>
      <c r="V76" s="51"/>
      <c r="W76" s="51"/>
      <c r="X76" s="51"/>
      <c r="Y76" s="51"/>
      <c r="Z76" s="51"/>
      <c r="AA76" s="51"/>
    </row>
    <row r="77" ht="22" customHeight="1">
      <c r="A77" s="49" t="str">
        <v>Intel Foundry - transfers</v>
      </c>
      <c r="B77" s="3"/>
      <c r="C77" s="51"/>
      <c r="D77" s="51"/>
      <c r="E77" s="51"/>
      <c r="F77" s="51"/>
      <c r="G77" s="51"/>
      <c r="H77" s="51"/>
      <c r="I77" s="51"/>
      <c r="J77" s="51"/>
      <c r="K77" s="51" t="n">
        <v>222</v>
      </c>
      <c r="L77" s="51"/>
      <c r="M77" s="51"/>
      <c r="N77" s="51"/>
      <c r="O77" s="51"/>
      <c r="P77" s="51"/>
      <c r="Q77" s="51"/>
      <c r="R77" s="51"/>
      <c r="S77" s="51"/>
      <c r="T77" s="51"/>
      <c r="U77" s="51"/>
      <c r="V77" s="51"/>
      <c r="W77" s="51"/>
      <c r="X77" s="51"/>
      <c r="Y77" s="51"/>
      <c r="Z77" s="51"/>
      <c r="AA77" s="51"/>
    </row>
    <row r="78" ht="22" customHeight="1">
      <c r="A78" s="49" t="str">
        <v>Intel Foundry - impairment</v>
      </c>
      <c r="B78" s="3"/>
      <c r="C78" s="51"/>
      <c r="D78" s="51"/>
      <c r="E78" s="51"/>
      <c r="F78" s="51"/>
      <c r="G78" s="51"/>
      <c r="H78" s="51"/>
      <c r="I78" s="51"/>
      <c r="J78" s="51"/>
      <c r="K78" s="51" t="n">
        <v>-222</v>
      </c>
      <c r="L78" s="51"/>
      <c r="M78" s="51"/>
      <c r="N78" s="51"/>
      <c r="O78" s="51"/>
      <c r="P78" s="51"/>
      <c r="Q78" s="51"/>
      <c r="R78" s="51"/>
      <c r="S78" s="51"/>
      <c r="T78" s="51"/>
      <c r="U78" s="51"/>
      <c r="V78" s="51"/>
      <c r="W78" s="51"/>
      <c r="X78" s="51"/>
      <c r="Y78" s="51"/>
      <c r="Z78" s="51"/>
      <c r="AA78" s="51"/>
    </row>
    <row r="79" ht="24" customHeight="1">
      <c r="A79" s="34" t="str">
        <v>Intel Foundry - end</v>
      </c>
      <c r="B79" s="35"/>
      <c r="C79" s="36"/>
      <c r="D79" s="36"/>
      <c r="E79" s="36"/>
      <c r="F79" s="36"/>
      <c r="G79" s="36"/>
      <c r="H79" s="36"/>
      <c r="I79" s="36"/>
      <c r="J79" s="36"/>
      <c r="K79" s="36" t="n">
        <v>0</v>
      </c>
      <c r="L79" s="36"/>
      <c r="M79" s="36"/>
      <c r="N79" s="36"/>
      <c r="O79" s="36"/>
      <c r="P79" s="36"/>
      <c r="Q79" s="36"/>
      <c r="R79" s="36"/>
      <c r="S79" s="36"/>
      <c r="T79" s="36"/>
      <c r="U79" s="36"/>
      <c r="V79" s="36"/>
      <c r="W79" s="36"/>
      <c r="X79" s="36"/>
      <c r="Y79" s="36"/>
      <c r="Z79" s="36"/>
      <c r="AA79" s="36"/>
    </row>
    <row r="80" ht="22" customHeight="1">
      <c r="A80" s="49" t="str">
        <v>Client Computing Group - begin</v>
      </c>
      <c r="B80" s="3"/>
      <c r="C80" s="51"/>
      <c r="D80" s="51" t="n">
        <v>4356</v>
      </c>
      <c r="E80" s="51" t="n">
        <v>4356</v>
      </c>
      <c r="F80" s="51" t="n">
        <v>4403</v>
      </c>
      <c r="G80" s="51" t="n">
        <v>4333</v>
      </c>
      <c r="H80" s="51" t="n">
        <v>4360</v>
      </c>
      <c r="I80" s="51"/>
      <c r="J80" s="51"/>
      <c r="K80" s="51"/>
      <c r="L80" s="51"/>
      <c r="M80" s="51"/>
      <c r="N80" s="51"/>
      <c r="O80" s="51"/>
      <c r="P80" s="51"/>
      <c r="Q80" s="51"/>
      <c r="R80" s="51"/>
      <c r="S80" s="51"/>
      <c r="T80" s="51"/>
      <c r="U80" s="51"/>
      <c r="V80" s="51"/>
      <c r="W80" s="51"/>
      <c r="X80" s="51"/>
      <c r="Y80" s="51"/>
      <c r="Z80" s="51"/>
      <c r="AA80" s="51"/>
    </row>
    <row r="81" ht="22" customHeight="1">
      <c r="A81" s="49" t="str">
        <v>Client Computing Group - additions</v>
      </c>
      <c r="B81" s="3"/>
      <c r="C81" s="51"/>
      <c r="D81" s="51" t="n">
        <v>0</v>
      </c>
      <c r="E81" s="51" t="n">
        <v>47</v>
      </c>
      <c r="F81" s="51" t="n">
        <v>0</v>
      </c>
      <c r="G81" s="51" t="n">
        <v>27</v>
      </c>
      <c r="H81" s="51" t="n">
        <v>73</v>
      </c>
      <c r="I81" s="51"/>
      <c r="J81" s="51"/>
      <c r="K81" s="51"/>
      <c r="L81" s="51"/>
      <c r="M81" s="51"/>
      <c r="N81" s="51"/>
      <c r="O81" s="51"/>
      <c r="P81" s="51"/>
      <c r="Q81" s="51"/>
      <c r="R81" s="51"/>
      <c r="S81" s="51"/>
      <c r="T81" s="51"/>
      <c r="U81" s="51"/>
      <c r="V81" s="51"/>
      <c r="W81" s="51"/>
      <c r="X81" s="51"/>
      <c r="Y81" s="51"/>
      <c r="Z81" s="51"/>
      <c r="AA81" s="51"/>
    </row>
    <row r="82" ht="22" customHeight="1">
      <c r="A82" s="49" t="str">
        <v>Client Computing Group - transfers</v>
      </c>
      <c r="B82" s="3"/>
      <c r="C82" s="51"/>
      <c r="D82" s="51" t="n">
        <v>0</v>
      </c>
      <c r="E82" s="51" t="n">
        <v>0</v>
      </c>
      <c r="F82" s="51" t="n">
        <v>0</v>
      </c>
      <c r="G82" s="51"/>
      <c r="H82" s="51"/>
      <c r="I82" s="51"/>
      <c r="J82" s="51"/>
      <c r="K82" s="51"/>
      <c r="L82" s="51"/>
      <c r="M82" s="51"/>
      <c r="N82" s="51"/>
      <c r="O82" s="51"/>
      <c r="P82" s="51"/>
      <c r="Q82" s="51"/>
      <c r="R82" s="51"/>
      <c r="S82" s="51"/>
      <c r="T82" s="51"/>
      <c r="U82" s="51"/>
      <c r="V82" s="51"/>
      <c r="W82" s="51"/>
      <c r="X82" s="51"/>
      <c r="Y82" s="51"/>
      <c r="Z82" s="51"/>
      <c r="AA82" s="51"/>
    </row>
    <row r="83" ht="22" customHeight="1">
      <c r="A83" s="49" t="str">
        <v>Client Computing Group - other</v>
      </c>
      <c r="B83" s="3"/>
      <c r="C83" s="51"/>
      <c r="D83" s="51" t="n">
        <v>0</v>
      </c>
      <c r="E83" s="51" t="n">
        <v>0</v>
      </c>
      <c r="F83" s="51" t="n">
        <v>-70</v>
      </c>
      <c r="G83" s="51" t="n">
        <v>0</v>
      </c>
      <c r="H83" s="51" t="n">
        <v>0</v>
      </c>
      <c r="I83" s="51"/>
      <c r="J83" s="51"/>
      <c r="K83" s="51"/>
      <c r="L83" s="51"/>
      <c r="M83" s="51"/>
      <c r="N83" s="51"/>
      <c r="O83" s="51"/>
      <c r="P83" s="51"/>
      <c r="Q83" s="51"/>
      <c r="R83" s="51"/>
      <c r="S83" s="51"/>
      <c r="T83" s="51"/>
      <c r="U83" s="51"/>
      <c r="V83" s="51"/>
      <c r="W83" s="51"/>
      <c r="X83" s="51"/>
      <c r="Y83" s="51"/>
      <c r="Z83" s="51"/>
      <c r="AA83" s="51"/>
    </row>
    <row r="84" ht="24" customHeight="1">
      <c r="A84" s="34" t="str">
        <v>Client Computing Group - end</v>
      </c>
      <c r="B84" s="35"/>
      <c r="C84" s="36"/>
      <c r="D84" s="36" t="n">
        <v>4356</v>
      </c>
      <c r="E84" s="36" t="n">
        <v>4403</v>
      </c>
      <c r="F84" s="36" t="n">
        <v>4333</v>
      </c>
      <c r="G84" s="36" t="n">
        <v>4360</v>
      </c>
      <c r="H84" s="36" t="n">
        <v>4433</v>
      </c>
      <c r="I84" s="36"/>
      <c r="J84" s="36"/>
      <c r="K84" s="36"/>
      <c r="L84" s="36"/>
      <c r="M84" s="36"/>
      <c r="N84" s="36"/>
      <c r="O84" s="36"/>
      <c r="P84" s="36"/>
      <c r="Q84" s="36"/>
      <c r="R84" s="36"/>
      <c r="S84" s="36"/>
      <c r="T84" s="36"/>
      <c r="U84" s="36"/>
      <c r="V84" s="36"/>
      <c r="W84" s="36"/>
      <c r="X84" s="36"/>
      <c r="Y84" s="36"/>
      <c r="Z84" s="36"/>
      <c r="AA84" s="36"/>
    </row>
    <row r="85" ht="22" customHeight="1">
      <c r="A85" s="49" t="str">
        <v>Data Center Group - begin</v>
      </c>
      <c r="B85" s="3"/>
      <c r="C85" s="51"/>
      <c r="D85" s="51" t="n">
        <v>5412</v>
      </c>
      <c r="E85" s="51" t="n">
        <v>5421</v>
      </c>
      <c r="F85" s="51" t="n">
        <v>5424</v>
      </c>
      <c r="G85" s="51" t="n">
        <v>7182</v>
      </c>
      <c r="H85" s="51" t="n">
        <v>7232</v>
      </c>
      <c r="I85" s="51"/>
      <c r="J85" s="51"/>
      <c r="K85" s="51"/>
      <c r="L85" s="51"/>
      <c r="M85" s="51"/>
      <c r="N85" s="51"/>
      <c r="O85" s="51"/>
      <c r="P85" s="51"/>
      <c r="Q85" s="51"/>
      <c r="R85" s="51"/>
      <c r="S85" s="51"/>
      <c r="T85" s="51"/>
      <c r="U85" s="51"/>
      <c r="V85" s="51"/>
      <c r="W85" s="51"/>
      <c r="X85" s="51"/>
      <c r="Y85" s="51"/>
      <c r="Z85" s="51"/>
      <c r="AA85" s="51"/>
    </row>
    <row r="86" ht="22" customHeight="1">
      <c r="A86" s="49" t="str">
        <v>Data Center Group - additions</v>
      </c>
      <c r="B86" s="3"/>
      <c r="C86" s="51"/>
      <c r="D86" s="51" t="n">
        <v>9</v>
      </c>
      <c r="E86" s="51" t="n">
        <v>3</v>
      </c>
      <c r="F86" s="51" t="n">
        <v>1758</v>
      </c>
      <c r="G86" s="51" t="n">
        <v>50</v>
      </c>
      <c r="H86" s="51" t="n">
        <v>123</v>
      </c>
      <c r="I86" s="51"/>
      <c r="J86" s="51"/>
      <c r="K86" s="51"/>
      <c r="L86" s="51"/>
      <c r="M86" s="51"/>
      <c r="N86" s="51"/>
      <c r="O86" s="51"/>
      <c r="P86" s="51"/>
      <c r="Q86" s="51"/>
      <c r="R86" s="51"/>
      <c r="S86" s="51"/>
      <c r="T86" s="51"/>
      <c r="U86" s="51"/>
      <c r="V86" s="51"/>
      <c r="W86" s="51"/>
      <c r="X86" s="51"/>
      <c r="Y86" s="51"/>
      <c r="Z86" s="51"/>
      <c r="AA86" s="51"/>
    </row>
    <row r="87" ht="22" customHeight="1">
      <c r="A87" s="49" t="str">
        <v>Data Center Group - transfers</v>
      </c>
      <c r="B87" s="3"/>
      <c r="C87" s="51"/>
      <c r="D87" s="51" t="n">
        <v>0</v>
      </c>
      <c r="E87" s="51" t="n">
        <v>0</v>
      </c>
      <c r="F87" s="51" t="n">
        <v>0</v>
      </c>
      <c r="G87" s="51"/>
      <c r="H87" s="51"/>
      <c r="I87" s="51"/>
      <c r="J87" s="51"/>
      <c r="K87" s="51"/>
      <c r="L87" s="51"/>
      <c r="M87" s="51"/>
      <c r="N87" s="51"/>
      <c r="O87" s="51"/>
      <c r="P87" s="51"/>
      <c r="Q87" s="51"/>
      <c r="R87" s="51"/>
      <c r="S87" s="51"/>
      <c r="T87" s="51"/>
      <c r="U87" s="51"/>
      <c r="V87" s="51"/>
      <c r="W87" s="51"/>
      <c r="X87" s="51"/>
      <c r="Y87" s="51"/>
      <c r="Z87" s="51"/>
      <c r="AA87" s="51"/>
    </row>
    <row r="88" ht="22" customHeight="1">
      <c r="A88" s="49" t="str">
        <v>Data Center Group - other</v>
      </c>
      <c r="B88" s="3"/>
      <c r="C88" s="51"/>
      <c r="D88" s="51" t="n">
        <v>0</v>
      </c>
      <c r="E88" s="51" t="n">
        <v>0</v>
      </c>
      <c r="F88" s="51" t="n">
        <v>0</v>
      </c>
      <c r="G88" s="51" t="n">
        <v>0</v>
      </c>
      <c r="H88" s="51" t="n">
        <v>0</v>
      </c>
      <c r="I88" s="51"/>
      <c r="J88" s="51"/>
      <c r="K88" s="51"/>
      <c r="L88" s="51"/>
      <c r="M88" s="51"/>
      <c r="N88" s="51"/>
      <c r="O88" s="51"/>
      <c r="P88" s="51"/>
      <c r="Q88" s="51"/>
      <c r="R88" s="51"/>
      <c r="S88" s="51"/>
      <c r="T88" s="51"/>
      <c r="U88" s="51"/>
      <c r="V88" s="51"/>
      <c r="W88" s="51"/>
      <c r="X88" s="51"/>
      <c r="Y88" s="51"/>
      <c r="Z88" s="51"/>
      <c r="AA88" s="51"/>
    </row>
    <row r="89" ht="24" customHeight="1">
      <c r="A89" s="34" t="str">
        <v>Data Center Group - end</v>
      </c>
      <c r="B89" s="35"/>
      <c r="C89" s="36"/>
      <c r="D89" s="36" t="n">
        <v>5421</v>
      </c>
      <c r="E89" s="36" t="n">
        <v>5424</v>
      </c>
      <c r="F89" s="36" t="n">
        <v>7155</v>
      </c>
      <c r="G89" s="36" t="n">
        <v>7232</v>
      </c>
      <c r="H89" s="36" t="n">
        <v>7355</v>
      </c>
      <c r="I89" s="36"/>
      <c r="J89" s="36"/>
      <c r="K89" s="36"/>
      <c r="L89" s="36"/>
      <c r="M89" s="36"/>
      <c r="N89" s="36"/>
      <c r="O89" s="36"/>
      <c r="P89" s="36"/>
      <c r="Q89" s="36"/>
      <c r="R89" s="36"/>
      <c r="S89" s="36"/>
      <c r="T89" s="36"/>
      <c r="U89" s="36"/>
      <c r="V89" s="36"/>
      <c r="W89" s="36"/>
      <c r="X89" s="36"/>
      <c r="Y89" s="36"/>
      <c r="Z89" s="36"/>
      <c r="AA89" s="36"/>
    </row>
    <row r="90" ht="22" customHeight="1">
      <c r="A90" s="49" t="str">
        <v>Internet of Things Group - begin</v>
      </c>
      <c r="B90" s="3"/>
      <c r="C90" s="51"/>
      <c r="D90" s="51" t="n">
        <v>1123</v>
      </c>
      <c r="E90" s="51" t="n">
        <v>1126</v>
      </c>
      <c r="F90" s="51" t="n">
        <v>1579</v>
      </c>
      <c r="G90" s="51" t="n">
        <v>1579</v>
      </c>
      <c r="H90" s="51" t="n">
        <v>1591</v>
      </c>
      <c r="I90" s="51"/>
      <c r="J90" s="51"/>
      <c r="K90" s="51"/>
      <c r="L90" s="51"/>
      <c r="M90" s="51"/>
      <c r="N90" s="51"/>
      <c r="O90" s="51"/>
      <c r="P90" s="51"/>
      <c r="Q90" s="51"/>
      <c r="R90" s="51"/>
      <c r="S90" s="51"/>
      <c r="T90" s="51"/>
      <c r="U90" s="51"/>
      <c r="V90" s="51"/>
      <c r="W90" s="51"/>
      <c r="X90" s="51"/>
      <c r="Y90" s="51"/>
      <c r="Z90" s="51"/>
      <c r="AA90" s="51"/>
    </row>
    <row r="91" ht="22" customHeight="1">
      <c r="A91" s="49" t="str">
        <v>Internet of Things Group - additions</v>
      </c>
      <c r="B91" s="3"/>
      <c r="C91" s="51"/>
      <c r="D91" s="51" t="n">
        <v>3</v>
      </c>
      <c r="E91" s="51" t="n">
        <v>16</v>
      </c>
      <c r="F91" s="51" t="n">
        <v>0</v>
      </c>
      <c r="G91" s="51" t="n">
        <v>12</v>
      </c>
      <c r="H91" s="51" t="n">
        <v>0</v>
      </c>
      <c r="I91" s="51"/>
      <c r="J91" s="51"/>
      <c r="K91" s="51"/>
      <c r="L91" s="51"/>
      <c r="M91" s="51"/>
      <c r="N91" s="51"/>
      <c r="O91" s="51"/>
      <c r="P91" s="51"/>
      <c r="Q91" s="51"/>
      <c r="R91" s="51"/>
      <c r="S91" s="51"/>
      <c r="T91" s="51"/>
      <c r="U91" s="51"/>
      <c r="V91" s="51"/>
      <c r="W91" s="51"/>
      <c r="X91" s="51"/>
      <c r="Y91" s="51"/>
      <c r="Z91" s="51"/>
      <c r="AA91" s="51"/>
    </row>
    <row r="92" ht="22" customHeight="1">
      <c r="A92" s="49" t="str">
        <v>Internet of Things Group - transfers</v>
      </c>
      <c r="B92" s="3"/>
      <c r="C92" s="51"/>
      <c r="D92" s="51" t="n">
        <v>0</v>
      </c>
      <c r="E92" s="51" t="n">
        <v>480</v>
      </c>
      <c r="F92" s="51" t="n">
        <v>0</v>
      </c>
      <c r="G92" s="51"/>
      <c r="H92" s="51"/>
      <c r="I92" s="51"/>
      <c r="J92" s="51"/>
      <c r="K92" s="51"/>
      <c r="L92" s="51"/>
      <c r="M92" s="51"/>
      <c r="N92" s="51"/>
      <c r="O92" s="51"/>
      <c r="P92" s="51"/>
      <c r="Q92" s="51"/>
      <c r="R92" s="51"/>
      <c r="S92" s="51"/>
      <c r="T92" s="51"/>
      <c r="U92" s="51"/>
      <c r="V92" s="51"/>
      <c r="W92" s="51"/>
      <c r="X92" s="51"/>
      <c r="Y92" s="51"/>
      <c r="Z92" s="51"/>
      <c r="AA92" s="51"/>
    </row>
    <row r="93" ht="22" customHeight="1">
      <c r="A93" s="49" t="str">
        <v>Internet of Things Group - other</v>
      </c>
      <c r="B93" s="3"/>
      <c r="C93" s="51"/>
      <c r="D93" s="51" t="n">
        <v>0</v>
      </c>
      <c r="E93" s="51" t="n">
        <v>-43</v>
      </c>
      <c r="F93" s="51" t="n">
        <v>0</v>
      </c>
      <c r="G93" s="51" t="n">
        <v>0</v>
      </c>
      <c r="H93" s="51" t="n">
        <v>0</v>
      </c>
      <c r="I93" s="51"/>
      <c r="J93" s="51"/>
      <c r="K93" s="51"/>
      <c r="L93" s="51"/>
      <c r="M93" s="51"/>
      <c r="N93" s="51"/>
      <c r="O93" s="51"/>
      <c r="P93" s="51"/>
      <c r="Q93" s="51"/>
      <c r="R93" s="51"/>
      <c r="S93" s="51"/>
      <c r="T93" s="51"/>
      <c r="U93" s="51"/>
      <c r="V93" s="51"/>
      <c r="W93" s="51"/>
      <c r="X93" s="51"/>
      <c r="Y93" s="51"/>
      <c r="Z93" s="51"/>
      <c r="AA93" s="51"/>
    </row>
    <row r="94" ht="24" customHeight="1">
      <c r="A94" s="34" t="str">
        <v>Internet of Things Group - end</v>
      </c>
      <c r="B94" s="35"/>
      <c r="C94" s="36"/>
      <c r="D94" s="36" t="n">
        <v>1126</v>
      </c>
      <c r="E94" s="36" t="n">
        <v>1579</v>
      </c>
      <c r="F94" s="36" t="n">
        <v>1579</v>
      </c>
      <c r="G94" s="36" t="n">
        <v>1591</v>
      </c>
      <c r="H94" s="36" t="n">
        <v>1591</v>
      </c>
      <c r="I94" s="36"/>
      <c r="J94" s="36"/>
      <c r="K94" s="36"/>
      <c r="L94" s="36"/>
      <c r="M94" s="36"/>
      <c r="N94" s="36"/>
      <c r="O94" s="36"/>
      <c r="P94" s="36"/>
      <c r="Q94" s="36"/>
      <c r="R94" s="36"/>
      <c r="S94" s="36"/>
      <c r="T94" s="36"/>
      <c r="U94" s="36"/>
      <c r="V94" s="36"/>
      <c r="W94" s="36"/>
      <c r="X94" s="36"/>
      <c r="Y94" s="36"/>
      <c r="Z94" s="36"/>
      <c r="AA94" s="36"/>
    </row>
    <row r="95" ht="22" customHeight="1">
      <c r="A95" s="49" t="str">
        <v>Mobileye - begin</v>
      </c>
      <c r="B95" s="3"/>
      <c r="C95" s="51"/>
      <c r="D95" s="51"/>
      <c r="E95" s="51"/>
      <c r="F95" s="51" t="n">
        <v>10290</v>
      </c>
      <c r="G95" s="51" t="n">
        <v>10290</v>
      </c>
      <c r="H95" s="51" t="n">
        <v>10928</v>
      </c>
      <c r="I95" s="51" t="n">
        <v>10928</v>
      </c>
      <c r="J95" s="51" t="n">
        <v>10919</v>
      </c>
      <c r="K95" s="51" t="n">
        <v>10919</v>
      </c>
      <c r="L95" s="51"/>
      <c r="M95" s="51"/>
      <c r="N95" s="51"/>
      <c r="O95" s="51"/>
      <c r="P95" s="51"/>
      <c r="Q95" s="51"/>
      <c r="R95" s="51"/>
      <c r="S95" s="51"/>
      <c r="T95" s="51"/>
      <c r="U95" s="51"/>
      <c r="V95" s="51"/>
      <c r="W95" s="51"/>
      <c r="X95" s="51"/>
      <c r="Y95" s="51"/>
      <c r="Z95" s="51"/>
      <c r="AA95" s="51"/>
    </row>
    <row r="96" ht="22" customHeight="1">
      <c r="A96" s="49" t="str">
        <v>Mobileye - additions</v>
      </c>
      <c r="B96" s="3"/>
      <c r="C96" s="51"/>
      <c r="D96" s="51"/>
      <c r="E96" s="51"/>
      <c r="F96" s="51" t="n">
        <v>0</v>
      </c>
      <c r="G96" s="51" t="n">
        <v>638</v>
      </c>
      <c r="H96" s="51" t="n">
        <v>0</v>
      </c>
      <c r="I96" s="51" t="n">
        <v>0</v>
      </c>
      <c r="J96" s="51" t="n">
        <v>0</v>
      </c>
      <c r="K96" s="51" t="n">
        <v>0</v>
      </c>
      <c r="L96" s="51"/>
      <c r="M96" s="51"/>
      <c r="N96" s="51"/>
      <c r="O96" s="51"/>
      <c r="P96" s="51"/>
      <c r="Q96" s="51"/>
      <c r="R96" s="51"/>
      <c r="S96" s="51"/>
      <c r="T96" s="51"/>
      <c r="U96" s="51"/>
      <c r="V96" s="51"/>
      <c r="W96" s="51"/>
      <c r="X96" s="51"/>
      <c r="Y96" s="51"/>
      <c r="Z96" s="51"/>
      <c r="AA96" s="51"/>
    </row>
    <row r="97" ht="22" customHeight="1">
      <c r="A97" s="49" t="str">
        <v>Mobileye - transfers</v>
      </c>
      <c r="B97" s="3"/>
      <c r="C97" s="51"/>
      <c r="D97" s="51"/>
      <c r="E97" s="51"/>
      <c r="F97" s="51" t="n">
        <v>0</v>
      </c>
      <c r="G97" s="51"/>
      <c r="H97" s="51"/>
      <c r="I97" s="51"/>
      <c r="J97" s="51" t="n">
        <v>0</v>
      </c>
      <c r="K97" s="51" t="n">
        <v>0</v>
      </c>
      <c r="L97" s="51"/>
      <c r="M97" s="51"/>
      <c r="N97" s="51"/>
      <c r="O97" s="51"/>
      <c r="P97" s="51"/>
      <c r="Q97" s="51"/>
      <c r="R97" s="51"/>
      <c r="S97" s="51"/>
      <c r="T97" s="51"/>
      <c r="U97" s="51"/>
      <c r="V97" s="51"/>
      <c r="W97" s="51"/>
      <c r="X97" s="51"/>
      <c r="Y97" s="51"/>
      <c r="Z97" s="51"/>
      <c r="AA97" s="51"/>
    </row>
    <row r="98" ht="22" customHeight="1">
      <c r="A98" s="49" t="str">
        <v>Mobileye - other</v>
      </c>
      <c r="B98" s="3"/>
      <c r="C98" s="51"/>
      <c r="D98" s="51"/>
      <c r="E98" s="51"/>
      <c r="F98" s="51" t="n">
        <v>0</v>
      </c>
      <c r="G98" s="51" t="n">
        <v>0</v>
      </c>
      <c r="H98" s="51" t="n">
        <v>0</v>
      </c>
      <c r="I98" s="51" t="n">
        <v>-9</v>
      </c>
      <c r="J98" s="51" t="n">
        <v>0</v>
      </c>
      <c r="K98" s="51"/>
      <c r="L98" s="51"/>
      <c r="M98" s="51"/>
      <c r="N98" s="51"/>
      <c r="O98" s="51"/>
      <c r="P98" s="51"/>
      <c r="Q98" s="51"/>
      <c r="R98" s="51"/>
      <c r="S98" s="51"/>
      <c r="T98" s="51"/>
      <c r="U98" s="51"/>
      <c r="V98" s="51"/>
      <c r="W98" s="51"/>
      <c r="X98" s="51"/>
      <c r="Y98" s="51"/>
      <c r="Z98" s="51"/>
      <c r="AA98" s="51"/>
    </row>
    <row r="99" ht="22" customHeight="1">
      <c r="A99" s="49" t="str">
        <v>Mobileye - impairment</v>
      </c>
      <c r="B99" s="3"/>
      <c r="C99" s="51"/>
      <c r="D99" s="51"/>
      <c r="E99" s="51"/>
      <c r="F99" s="51"/>
      <c r="G99" s="51"/>
      <c r="H99" s="51"/>
      <c r="I99" s="51"/>
      <c r="J99" s="51"/>
      <c r="K99" s="51" t="n">
        <v>-2613</v>
      </c>
      <c r="L99" s="51"/>
      <c r="M99" s="51"/>
      <c r="N99" s="51"/>
      <c r="O99" s="51"/>
      <c r="P99" s="51"/>
      <c r="Q99" s="51"/>
      <c r="R99" s="51"/>
      <c r="S99" s="51"/>
      <c r="T99" s="51"/>
      <c r="U99" s="51"/>
      <c r="V99" s="51"/>
      <c r="W99" s="51"/>
      <c r="X99" s="51"/>
      <c r="Y99" s="51"/>
      <c r="Z99" s="51"/>
      <c r="AA99" s="51"/>
    </row>
    <row r="100" ht="24" customHeight="1">
      <c r="A100" s="34" t="str">
        <v>Mobileye - end</v>
      </c>
      <c r="B100" s="35"/>
      <c r="C100" s="36"/>
      <c r="D100" s="36"/>
      <c r="E100" s="36"/>
      <c r="F100" s="36" t="n">
        <v>10290</v>
      </c>
      <c r="G100" s="36" t="n">
        <v>10928</v>
      </c>
      <c r="H100" s="36" t="n">
        <v>10928</v>
      </c>
      <c r="I100" s="36" t="n">
        <v>10919</v>
      </c>
      <c r="J100" s="36" t="n">
        <v>10919</v>
      </c>
      <c r="K100" s="36" t="n">
        <v>8306</v>
      </c>
      <c r="L100" s="36"/>
      <c r="M100" s="36"/>
      <c r="N100" s="36"/>
      <c r="O100" s="36"/>
      <c r="P100" s="36"/>
      <c r="Q100" s="36"/>
      <c r="R100" s="36"/>
      <c r="S100" s="36"/>
      <c r="T100" s="36"/>
      <c r="U100" s="36"/>
      <c r="V100" s="36"/>
      <c r="W100" s="36"/>
      <c r="X100" s="36"/>
      <c r="Y100" s="36"/>
      <c r="Z100" s="36"/>
      <c r="AA100" s="36"/>
    </row>
    <row r="101" ht="22" customHeight="1">
      <c r="A101" s="49" t="str">
        <v>Programmable Solutions Group - begin</v>
      </c>
      <c r="B101" s="3"/>
      <c r="C101" s="51"/>
      <c r="D101" s="51" t="n">
        <v>2490</v>
      </c>
      <c r="E101" s="51" t="n">
        <v>2490</v>
      </c>
      <c r="F101" s="51" t="n">
        <v>2579</v>
      </c>
      <c r="G101" s="51" t="n">
        <v>2654</v>
      </c>
      <c r="H101" s="51" t="n">
        <v>2622</v>
      </c>
      <c r="I101" s="51"/>
      <c r="J101" s="51"/>
      <c r="K101" s="51"/>
      <c r="L101" s="51"/>
      <c r="M101" s="51"/>
      <c r="N101" s="51"/>
      <c r="O101" s="51"/>
      <c r="P101" s="51"/>
      <c r="Q101" s="51"/>
      <c r="R101" s="51"/>
      <c r="S101" s="51"/>
      <c r="T101" s="51"/>
      <c r="U101" s="51"/>
      <c r="V101" s="51"/>
      <c r="W101" s="51"/>
      <c r="X101" s="51"/>
      <c r="Y101" s="51"/>
      <c r="Z101" s="51"/>
      <c r="AA101" s="51"/>
    </row>
    <row r="102" ht="22" customHeight="1">
      <c r="A102" s="49" t="str">
        <v>Programmable Solutions Group - additions</v>
      </c>
      <c r="B102" s="3"/>
      <c r="C102" s="51"/>
      <c r="D102" s="51" t="n">
        <v>0</v>
      </c>
      <c r="E102" s="51" t="n">
        <v>89</v>
      </c>
      <c r="F102" s="51" t="n">
        <v>67</v>
      </c>
      <c r="G102" s="51" t="n">
        <v>2</v>
      </c>
      <c r="H102" s="51" t="n">
        <v>0</v>
      </c>
      <c r="I102" s="51"/>
      <c r="J102" s="51"/>
      <c r="K102" s="51"/>
      <c r="L102" s="51"/>
      <c r="M102" s="51"/>
      <c r="N102" s="51"/>
      <c r="O102" s="51"/>
      <c r="P102" s="51"/>
      <c r="Q102" s="51"/>
      <c r="R102" s="51"/>
      <c r="S102" s="51"/>
      <c r="T102" s="51"/>
      <c r="U102" s="51"/>
      <c r="V102" s="51"/>
      <c r="W102" s="51"/>
      <c r="X102" s="51"/>
      <c r="Y102" s="51"/>
      <c r="Z102" s="51"/>
      <c r="AA102" s="51"/>
    </row>
    <row r="103" ht="22" customHeight="1">
      <c r="A103" s="49" t="str">
        <v>Programmable Solutions Group - transfers</v>
      </c>
      <c r="B103" s="3"/>
      <c r="C103" s="51"/>
      <c r="D103" s="51" t="n">
        <v>0</v>
      </c>
      <c r="E103" s="51" t="n">
        <v>0</v>
      </c>
      <c r="F103" s="51" t="n">
        <v>0</v>
      </c>
      <c r="G103" s="51"/>
      <c r="H103" s="51"/>
      <c r="I103" s="51"/>
      <c r="J103" s="51"/>
      <c r="K103" s="51"/>
      <c r="L103" s="51"/>
      <c r="M103" s="51"/>
      <c r="N103" s="51"/>
      <c r="O103" s="51"/>
      <c r="P103" s="51"/>
      <c r="Q103" s="51"/>
      <c r="R103" s="51"/>
      <c r="S103" s="51"/>
      <c r="T103" s="51"/>
      <c r="U103" s="51"/>
      <c r="V103" s="51"/>
      <c r="W103" s="51"/>
      <c r="X103" s="51"/>
      <c r="Y103" s="51"/>
      <c r="Z103" s="51"/>
      <c r="AA103" s="51"/>
    </row>
    <row r="104" ht="22" customHeight="1">
      <c r="A104" s="49" t="str">
        <v>Programmable Solutions Group - other</v>
      </c>
      <c r="B104" s="3"/>
      <c r="C104" s="51"/>
      <c r="D104" s="51" t="n">
        <v>0</v>
      </c>
      <c r="E104" s="51" t="n">
        <v>0</v>
      </c>
      <c r="F104" s="51" t="n">
        <v>8</v>
      </c>
      <c r="G104" s="51" t="n">
        <v>-34</v>
      </c>
      <c r="H104" s="51" t="n">
        <v>34</v>
      </c>
      <c r="I104" s="51"/>
      <c r="J104" s="51"/>
      <c r="K104" s="51"/>
      <c r="L104" s="51"/>
      <c r="M104" s="51"/>
      <c r="N104" s="51"/>
      <c r="O104" s="51"/>
      <c r="P104" s="51"/>
      <c r="Q104" s="51"/>
      <c r="R104" s="51"/>
      <c r="S104" s="51"/>
      <c r="T104" s="51"/>
      <c r="U104" s="51"/>
      <c r="V104" s="51"/>
      <c r="W104" s="51"/>
      <c r="X104" s="51"/>
      <c r="Y104" s="51"/>
      <c r="Z104" s="51"/>
      <c r="AA104" s="51"/>
    </row>
    <row r="105" ht="24" customHeight="1">
      <c r="A105" s="34" t="str">
        <v>Programmable Solutions Group - end</v>
      </c>
      <c r="B105" s="35"/>
      <c r="C105" s="36"/>
      <c r="D105" s="36" t="n">
        <v>2490</v>
      </c>
      <c r="E105" s="36" t="n">
        <v>2579</v>
      </c>
      <c r="F105" s="36" t="n">
        <v>2681</v>
      </c>
      <c r="G105" s="36" t="n">
        <v>2622</v>
      </c>
      <c r="H105" s="36" t="n">
        <v>2656</v>
      </c>
      <c r="I105" s="36"/>
      <c r="J105" s="36"/>
      <c r="K105" s="36"/>
      <c r="L105" s="36"/>
      <c r="M105" s="36"/>
      <c r="N105" s="36"/>
      <c r="O105" s="36"/>
      <c r="P105" s="36"/>
      <c r="Q105" s="36"/>
      <c r="R105" s="36"/>
      <c r="S105" s="36"/>
      <c r="T105" s="36"/>
      <c r="U105" s="36"/>
      <c r="V105" s="36"/>
      <c r="W105" s="36"/>
      <c r="X105" s="36"/>
      <c r="Y105" s="36"/>
      <c r="Z105" s="36"/>
      <c r="AA105" s="36"/>
    </row>
    <row r="106" ht="22" customHeight="1">
      <c r="A106" s="49" t="str">
        <v>Accelerated Computing Systems and Graphics - begin</v>
      </c>
      <c r="B106" s="3"/>
      <c r="C106" s="51"/>
      <c r="D106" s="51"/>
      <c r="E106" s="51"/>
      <c r="F106" s="51"/>
      <c r="G106" s="51"/>
      <c r="H106" s="51"/>
      <c r="I106" s="51" t="n">
        <v>429</v>
      </c>
      <c r="J106" s="51" t="n">
        <v>596</v>
      </c>
      <c r="K106" s="51"/>
      <c r="L106" s="51"/>
      <c r="M106" s="51"/>
      <c r="N106" s="51"/>
      <c r="O106" s="51"/>
      <c r="P106" s="51"/>
      <c r="Q106" s="51"/>
      <c r="R106" s="51"/>
      <c r="S106" s="51"/>
      <c r="T106" s="51"/>
      <c r="U106" s="51"/>
      <c r="V106" s="51"/>
      <c r="W106" s="51"/>
      <c r="X106" s="51"/>
      <c r="Y106" s="51"/>
      <c r="Z106" s="51"/>
      <c r="AA106" s="51"/>
    </row>
    <row r="107" ht="22" customHeight="1">
      <c r="A107" s="49" t="str">
        <v>Accelerated Computing Systems and Graphics - additions</v>
      </c>
      <c r="B107" s="3"/>
      <c r="C107" s="51"/>
      <c r="D107" s="51"/>
      <c r="E107" s="51"/>
      <c r="F107" s="51"/>
      <c r="G107" s="51"/>
      <c r="H107" s="51"/>
      <c r="I107" s="51" t="n">
        <v>167</v>
      </c>
      <c r="J107" s="51" t="n">
        <v>0</v>
      </c>
      <c r="K107" s="51"/>
      <c r="L107" s="51"/>
      <c r="M107" s="51"/>
      <c r="N107" s="51"/>
      <c r="O107" s="51"/>
      <c r="P107" s="51"/>
      <c r="Q107" s="51"/>
      <c r="R107" s="51"/>
      <c r="S107" s="51"/>
      <c r="T107" s="51"/>
      <c r="U107" s="51"/>
      <c r="V107" s="51"/>
      <c r="W107" s="51"/>
      <c r="X107" s="51"/>
      <c r="Y107" s="51"/>
      <c r="Z107" s="51"/>
      <c r="AA107" s="51"/>
    </row>
    <row r="108" ht="22" customHeight="1">
      <c r="A108" s="49" t="str">
        <v>Accelerated Computing Systems and Graphics - transfers</v>
      </c>
      <c r="B108" s="3"/>
      <c r="C108" s="51"/>
      <c r="D108" s="51"/>
      <c r="E108" s="51"/>
      <c r="F108" s="51"/>
      <c r="G108" s="51"/>
      <c r="H108" s="51"/>
      <c r="I108" s="51"/>
      <c r="J108" s="51" t="n">
        <v>-596</v>
      </c>
      <c r="K108" s="51"/>
      <c r="L108" s="51"/>
      <c r="M108" s="51"/>
      <c r="N108" s="51"/>
      <c r="O108" s="51"/>
      <c r="P108" s="51"/>
      <c r="Q108" s="51"/>
      <c r="R108" s="51"/>
      <c r="S108" s="51"/>
      <c r="T108" s="51"/>
      <c r="U108" s="51"/>
      <c r="V108" s="51"/>
      <c r="W108" s="51"/>
      <c r="X108" s="51"/>
      <c r="Y108" s="51"/>
      <c r="Z108" s="51"/>
      <c r="AA108" s="51"/>
    </row>
    <row r="109" ht="22" customHeight="1">
      <c r="A109" s="49" t="str">
        <v>Accelerated Computing Systems and Graphics - other</v>
      </c>
      <c r="B109" s="3"/>
      <c r="C109" s="51"/>
      <c r="D109" s="51"/>
      <c r="E109" s="51"/>
      <c r="F109" s="51"/>
      <c r="G109" s="51"/>
      <c r="H109" s="51"/>
      <c r="I109" s="51" t="n">
        <v>0</v>
      </c>
      <c r="J109" s="51" t="n">
        <v>0</v>
      </c>
      <c r="K109" s="51"/>
      <c r="L109" s="51"/>
      <c r="M109" s="51"/>
      <c r="N109" s="51"/>
      <c r="O109" s="51"/>
      <c r="P109" s="51"/>
      <c r="Q109" s="51"/>
      <c r="R109" s="51"/>
      <c r="S109" s="51"/>
      <c r="T109" s="51"/>
      <c r="U109" s="51"/>
      <c r="V109" s="51"/>
      <c r="W109" s="51"/>
      <c r="X109" s="51"/>
      <c r="Y109" s="51"/>
      <c r="Z109" s="51"/>
      <c r="AA109" s="51"/>
    </row>
    <row r="110" ht="24" customHeight="1">
      <c r="A110" s="34" t="str">
        <v>Accelerated Computing Systems and Graphics - end</v>
      </c>
      <c r="B110" s="35"/>
      <c r="C110" s="36"/>
      <c r="D110" s="36"/>
      <c r="E110" s="36"/>
      <c r="F110" s="36"/>
      <c r="G110" s="36"/>
      <c r="H110" s="36"/>
      <c r="I110" s="36" t="n">
        <v>596</v>
      </c>
      <c r="J110" s="36" t="n">
        <v>0</v>
      </c>
      <c r="K110" s="36"/>
      <c r="L110" s="36"/>
      <c r="M110" s="36"/>
      <c r="N110" s="36"/>
      <c r="O110" s="36"/>
      <c r="P110" s="36"/>
      <c r="Q110" s="36"/>
      <c r="R110" s="36"/>
      <c r="S110" s="36"/>
      <c r="T110" s="36"/>
      <c r="U110" s="36"/>
      <c r="V110" s="36"/>
      <c r="W110" s="36"/>
      <c r="X110" s="36"/>
      <c r="Y110" s="36"/>
      <c r="Z110" s="36"/>
      <c r="AA110" s="36"/>
    </row>
    <row r="111" ht="22" customHeight="1">
      <c r="A111" s="49" t="str">
        <v>Client Computing Group (CCG) - begin</v>
      </c>
      <c r="B111" s="3"/>
      <c r="C111" s="51" t="n">
        <v>4078</v>
      </c>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ht="22" customHeight="1">
      <c r="A112" s="49" t="str">
        <v>Client Computing Group (CCG) - additions</v>
      </c>
      <c r="B112" s="3"/>
      <c r="C112" s="51" t="n">
        <v>65</v>
      </c>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22" customHeight="1">
      <c r="A113" s="49" t="str">
        <v>Client Computing Group (CCG) - transfers</v>
      </c>
      <c r="B113" s="3"/>
      <c r="C113" s="51" t="n">
        <v>213</v>
      </c>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22" customHeight="1">
      <c r="A114" s="49" t="str">
        <v>Client Computing Group (CCG) - other</v>
      </c>
      <c r="B114" s="3"/>
      <c r="C114" s="51" t="n">
        <v>0</v>
      </c>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24" customHeight="1">
      <c r="A115" s="34" t="str">
        <v>Client Computing Group (CCG) - end</v>
      </c>
      <c r="B115" s="35"/>
      <c r="C115" s="36" t="n">
        <v>4356</v>
      </c>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row>
    <row r="116" ht="22" customHeight="1">
      <c r="A116" s="49" t="str">
        <v>Data Center Group (DCG) - begin</v>
      </c>
      <c r="B116" s="3"/>
      <c r="C116" s="51" t="n">
        <v>2404</v>
      </c>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22" customHeight="1">
      <c r="A117" s="49" t="str">
        <v>Data Center Group (DCG) - additions</v>
      </c>
      <c r="B117" s="3"/>
      <c r="C117" s="51" t="n">
        <v>2831</v>
      </c>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22" customHeight="1">
      <c r="A118" s="49" t="str">
        <v>Data Center Group (DCG) - transfers</v>
      </c>
      <c r="B118" s="3"/>
      <c r="C118" s="51" t="n">
        <v>177</v>
      </c>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22" customHeight="1">
      <c r="A119" s="49" t="str">
        <v>Data Center Group (DCG) - other</v>
      </c>
      <c r="B119" s="3"/>
      <c r="C119" s="51" t="n">
        <v>0</v>
      </c>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24" customHeight="1">
      <c r="A120" s="34" t="str">
        <v>Data Center Group (DCG) - end</v>
      </c>
      <c r="B120" s="35"/>
      <c r="C120" s="36" t="n">
        <v>5412</v>
      </c>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ht="22" customHeight="1">
      <c r="A121" s="49" t="str">
        <v>Internet of Things Group (IOTG) - begin</v>
      </c>
      <c r="B121" s="3"/>
      <c r="C121" s="51" t="n">
        <v>428</v>
      </c>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22" customHeight="1">
      <c r="A122" s="49" t="str">
        <v>Internet of Things Group (IOTG) - additions</v>
      </c>
      <c r="B122" s="3"/>
      <c r="C122" s="51" t="n">
        <v>659</v>
      </c>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22" customHeight="1">
      <c r="A123" s="49" t="str">
        <v>Internet of Things Group (IOTG) - transfers</v>
      </c>
      <c r="B123" s="3"/>
      <c r="C123" s="51" t="n">
        <v>36</v>
      </c>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22" customHeight="1">
      <c r="A124" s="49" t="str">
        <v>Internet of Things Group (IOTG) - other</v>
      </c>
      <c r="B124" s="3"/>
      <c r="C124" s="51" t="n">
        <v>0</v>
      </c>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24" customHeight="1">
      <c r="A125" s="34" t="str">
        <v>Internet of Things Group (IOTG) - end</v>
      </c>
      <c r="B125" s="35"/>
      <c r="C125" s="36" t="n">
        <v>1123</v>
      </c>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row>
    <row r="126" ht="22" customHeight="1">
      <c r="A126" s="49" t="str">
        <v>Intel Security Group (ISecG) - begin</v>
      </c>
      <c r="B126" s="3"/>
      <c r="C126" s="51" t="n">
        <v>3599</v>
      </c>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22" customHeight="1">
      <c r="A127" s="49" t="str">
        <v>Intel Security Group (ISecG) - additions</v>
      </c>
      <c r="B127" s="3"/>
      <c r="C127" s="51" t="n">
        <v>0</v>
      </c>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22" customHeight="1">
      <c r="A128" s="49" t="str">
        <v>Intel Security Group (ISecG) - transfers</v>
      </c>
      <c r="B128" s="3"/>
      <c r="C128" s="51" t="n">
        <v>0</v>
      </c>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22" customHeight="1">
      <c r="A129" s="49" t="str">
        <v>Intel Security Group (ISecG) - other</v>
      </c>
      <c r="B129" s="3"/>
      <c r="C129" s="51" t="n">
        <v>-3599</v>
      </c>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24" customHeight="1">
      <c r="A130" s="34" t="str">
        <v>Intel Security Group (ISecG) - end</v>
      </c>
      <c r="B130" s="35"/>
      <c r="C130" s="36" t="n">
        <v>0</v>
      </c>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row>
    <row r="131" ht="22" customHeight="1">
      <c r="A131" s="49" t="str">
        <v>Software and Services Group (SSG) - begin</v>
      </c>
      <c r="B131" s="3"/>
      <c r="C131" s="51" t="n">
        <v>441</v>
      </c>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22" customHeight="1">
      <c r="A132" s="49" t="str">
        <v>Software and Services Group (SSG) - additions</v>
      </c>
      <c r="B132" s="3"/>
      <c r="C132" s="51" t="n">
        <v>0</v>
      </c>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22" customHeight="1">
      <c r="A133" s="49" t="str">
        <v>Software and Services Group (SSG) - transfers</v>
      </c>
      <c r="B133" s="3"/>
      <c r="C133" s="51" t="n">
        <v>-441</v>
      </c>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22" customHeight="1">
      <c r="A134" s="49" t="str">
        <v>Software and Services Group (SSG) - other</v>
      </c>
      <c r="B134" s="3"/>
      <c r="C134" s="51" t="n">
        <v>0</v>
      </c>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24" customHeight="1">
      <c r="A135" s="34" t="str">
        <v>Software and Services Group (SSG) - end</v>
      </c>
      <c r="B135" s="35"/>
      <c r="C135" s="36" t="n">
        <v>0</v>
      </c>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row>
    <row r="136" ht="22" customHeight="1">
      <c r="A136" s="49" t="str">
        <v>Programmable Solutions Group (PSG) - begin</v>
      </c>
      <c r="B136" s="3"/>
      <c r="C136" s="51" t="n">
        <v>0</v>
      </c>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ht="22" customHeight="1">
      <c r="A137" s="49" t="str">
        <v>Programmable Solutions Group (PSG) - additions</v>
      </c>
      <c r="B137" s="3"/>
      <c r="C137" s="51" t="n">
        <v>2490</v>
      </c>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22" customHeight="1">
      <c r="A138" s="49" t="str">
        <v>Programmable Solutions Group (PSG) - transfers</v>
      </c>
      <c r="B138" s="3"/>
      <c r="C138" s="51" t="n">
        <v>0</v>
      </c>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ht="22" customHeight="1">
      <c r="A139" s="49" t="str">
        <v>Programmable Solutions Group (PSG) - other</v>
      </c>
      <c r="B139" s="3"/>
      <c r="C139" s="51" t="n">
        <v>0</v>
      </c>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ht="24" customHeight="1">
      <c r="A140" s="34" t="str">
        <v>Programmable Solutions Group (PSG) - end</v>
      </c>
      <c r="B140" s="35"/>
      <c r="C140" s="36" t="n">
        <v>2490</v>
      </c>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row>
    <row r="141" ht="22" customHeight="1">
      <c r="A141" s="49" t="str">
        <v>All other - begin</v>
      </c>
      <c r="B141" s="3"/>
      <c r="C141" s="51" t="n">
        <v>382</v>
      </c>
      <c r="D141" s="51" t="n">
        <v>718</v>
      </c>
      <c r="E141" s="51" t="n">
        <v>10996</v>
      </c>
      <c r="F141" s="51" t="n">
        <v>238</v>
      </c>
      <c r="G141" s="51" t="n">
        <v>238</v>
      </c>
      <c r="H141" s="51" t="n">
        <v>238</v>
      </c>
      <c r="I141" s="51" t="n">
        <v>0</v>
      </c>
      <c r="J141" s="51" t="n">
        <v>0</v>
      </c>
      <c r="K141" s="51"/>
      <c r="L141" s="51"/>
      <c r="M141" s="51"/>
      <c r="N141" s="51"/>
      <c r="O141" s="51"/>
      <c r="P141" s="51"/>
      <c r="Q141" s="51"/>
      <c r="R141" s="51"/>
      <c r="S141" s="51"/>
      <c r="T141" s="51"/>
      <c r="U141" s="51"/>
      <c r="V141" s="51"/>
      <c r="W141" s="51"/>
      <c r="X141" s="51"/>
      <c r="Y141" s="51"/>
      <c r="Z141" s="51"/>
      <c r="AA141" s="51"/>
    </row>
    <row r="142" ht="22" customHeight="1">
      <c r="A142" s="49" t="str">
        <v>All other - additions</v>
      </c>
      <c r="B142" s="3"/>
      <c r="C142" s="51" t="n">
        <v>321</v>
      </c>
      <c r="D142" s="51" t="n">
        <v>10278</v>
      </c>
      <c r="E142" s="51" t="n">
        <v>7</v>
      </c>
      <c r="F142" s="51" t="n">
        <v>0</v>
      </c>
      <c r="G142" s="51" t="n">
        <v>0</v>
      </c>
      <c r="H142" s="51" t="n">
        <v>0</v>
      </c>
      <c r="I142" s="51" t="n">
        <v>0</v>
      </c>
      <c r="J142" s="51" t="n">
        <v>0</v>
      </c>
      <c r="K142" s="51"/>
      <c r="L142" s="51"/>
      <c r="M142" s="51"/>
      <c r="N142" s="51"/>
      <c r="O142" s="51"/>
      <c r="P142" s="51"/>
      <c r="Q142" s="51"/>
      <c r="R142" s="51"/>
      <c r="S142" s="51"/>
      <c r="T142" s="51"/>
      <c r="U142" s="51"/>
      <c r="V142" s="51"/>
      <c r="W142" s="51"/>
      <c r="X142" s="51"/>
      <c r="Y142" s="51"/>
      <c r="Z142" s="51"/>
      <c r="AA142" s="51"/>
    </row>
    <row r="143" ht="22" customHeight="1">
      <c r="A143" s="49" t="str">
        <v>All other - transfers</v>
      </c>
      <c r="B143" s="3"/>
      <c r="C143" s="51" t="n">
        <v>15</v>
      </c>
      <c r="D143" s="51" t="n">
        <v>0</v>
      </c>
      <c r="E143" s="51" t="n">
        <v>-480</v>
      </c>
      <c r="F143" s="51" t="n">
        <v>0</v>
      </c>
      <c r="G143" s="51"/>
      <c r="H143" s="51"/>
      <c r="I143" s="51"/>
      <c r="J143" s="51" t="n">
        <v>393</v>
      </c>
      <c r="K143" s="51"/>
      <c r="L143" s="51"/>
      <c r="M143" s="51"/>
      <c r="N143" s="51"/>
      <c r="O143" s="51"/>
      <c r="P143" s="51"/>
      <c r="Q143" s="51"/>
      <c r="R143" s="51"/>
      <c r="S143" s="51"/>
      <c r="T143" s="51"/>
      <c r="U143" s="51"/>
      <c r="V143" s="51"/>
      <c r="W143" s="51"/>
      <c r="X143" s="51"/>
      <c r="Y143" s="51"/>
      <c r="Z143" s="51"/>
      <c r="AA143" s="51"/>
    </row>
    <row r="144" ht="22" customHeight="1">
      <c r="A144" s="49" t="str">
        <v>All other - other</v>
      </c>
      <c r="B144" s="3"/>
      <c r="C144" s="51" t="n">
        <v>0</v>
      </c>
      <c r="D144" s="51" t="n">
        <v>0</v>
      </c>
      <c r="E144" s="51" t="n">
        <v>5</v>
      </c>
      <c r="F144" s="51" t="n">
        <v>0</v>
      </c>
      <c r="G144" s="51" t="n">
        <v>0</v>
      </c>
      <c r="H144" s="51" t="n">
        <v>-238</v>
      </c>
      <c r="I144" s="51" t="n">
        <v>0</v>
      </c>
      <c r="J144" s="51" t="n">
        <v>0</v>
      </c>
      <c r="K144" s="51"/>
      <c r="L144" s="51"/>
      <c r="M144" s="51"/>
      <c r="N144" s="51"/>
      <c r="O144" s="51"/>
      <c r="P144" s="51"/>
      <c r="Q144" s="51"/>
      <c r="R144" s="51"/>
      <c r="S144" s="51"/>
      <c r="T144" s="51"/>
      <c r="U144" s="51"/>
      <c r="V144" s="51"/>
      <c r="W144" s="51"/>
      <c r="X144" s="51"/>
      <c r="Y144" s="51"/>
      <c r="Z144" s="51"/>
      <c r="AA144" s="51"/>
    </row>
    <row r="145" ht="24" customHeight="1">
      <c r="A145" s="34" t="str">
        <v>All other - end</v>
      </c>
      <c r="B145" s="35"/>
      <c r="C145" s="36" t="n">
        <v>718</v>
      </c>
      <c r="D145" s="36" t="n">
        <v>10996</v>
      </c>
      <c r="E145" s="36" t="n">
        <v>10528</v>
      </c>
      <c r="F145" s="36" t="n">
        <v>238</v>
      </c>
      <c r="G145" s="36" t="n">
        <v>238</v>
      </c>
      <c r="H145" s="36" t="n">
        <v>0</v>
      </c>
      <c r="I145" s="36" t="n">
        <v>0</v>
      </c>
      <c r="J145" s="36" t="n">
        <v>393</v>
      </c>
      <c r="K145" s="36"/>
      <c r="L145" s="36"/>
      <c r="M145" s="36"/>
      <c r="N145" s="36"/>
      <c r="O145" s="36"/>
      <c r="P145" s="36"/>
      <c r="Q145" s="36"/>
      <c r="R145" s="36"/>
      <c r="S145" s="36"/>
      <c r="T145" s="36"/>
      <c r="U145" s="36"/>
      <c r="V145" s="36"/>
      <c r="W145" s="36"/>
      <c r="X145" s="36"/>
      <c r="Y145" s="36"/>
      <c r="Z145" s="36"/>
      <c r="AA145" s="36"/>
    </row>
    <row r="146" ht="22" customHeight="1">
      <c r="A146" s="49" t="str">
        <v>Mobileye1 - begin</v>
      </c>
      <c r="B146" s="3"/>
      <c r="C146" s="51"/>
      <c r="D146" s="51"/>
      <c r="E146" s="51"/>
      <c r="F146" s="51"/>
      <c r="G146" s="51"/>
      <c r="H146" s="51"/>
      <c r="I146" s="51"/>
      <c r="J146" s="51"/>
      <c r="K146" s="51"/>
      <c r="L146" s="51" t="n">
        <v>8306</v>
      </c>
      <c r="M146" s="51"/>
      <c r="N146" s="51"/>
      <c r="O146" s="51"/>
      <c r="P146" s="51"/>
      <c r="Q146" s="51"/>
      <c r="R146" s="51"/>
      <c r="S146" s="51"/>
      <c r="T146" s="51"/>
      <c r="U146" s="51"/>
      <c r="V146" s="51"/>
      <c r="W146" s="51"/>
      <c r="X146" s="51"/>
      <c r="Y146" s="51"/>
      <c r="Z146" s="51"/>
      <c r="AA146" s="51"/>
    </row>
    <row r="147" ht="22" customHeight="1">
      <c r="A147" s="49" t="str">
        <v>Mobileye1 - divestitures</v>
      </c>
      <c r="B147" s="3"/>
      <c r="C147" s="51"/>
      <c r="D147" s="51"/>
      <c r="E147" s="51"/>
      <c r="F147" s="51"/>
      <c r="G147" s="51"/>
      <c r="H147" s="51"/>
      <c r="I147" s="51"/>
      <c r="J147" s="51"/>
      <c r="K147" s="51"/>
      <c r="L147" s="51" t="n">
        <v>0</v>
      </c>
      <c r="M147" s="51"/>
      <c r="N147" s="51"/>
      <c r="O147" s="51"/>
      <c r="P147" s="51"/>
      <c r="Q147" s="51"/>
      <c r="R147" s="51"/>
      <c r="S147" s="51"/>
      <c r="T147" s="51"/>
      <c r="U147" s="51"/>
      <c r="V147" s="51"/>
      <c r="W147" s="51"/>
      <c r="X147" s="51"/>
      <c r="Y147" s="51"/>
      <c r="Z147" s="51"/>
      <c r="AA147" s="51"/>
    </row>
    <row r="148" ht="22" customHeight="1">
      <c r="A148" s="49" t="str">
        <v>Mobileye1 - transfers</v>
      </c>
      <c r="B148" s="3"/>
      <c r="C148" s="51"/>
      <c r="D148" s="51"/>
      <c r="E148" s="51"/>
      <c r="F148" s="51"/>
      <c r="G148" s="51"/>
      <c r="H148" s="51"/>
      <c r="I148" s="51"/>
      <c r="J148" s="51"/>
      <c r="K148" s="51"/>
      <c r="L148" s="51" t="n">
        <v>0</v>
      </c>
      <c r="M148" s="51"/>
      <c r="N148" s="51"/>
      <c r="O148" s="51"/>
      <c r="P148" s="51"/>
      <c r="Q148" s="51"/>
      <c r="R148" s="51"/>
      <c r="S148" s="51"/>
      <c r="T148" s="51"/>
      <c r="U148" s="51"/>
      <c r="V148" s="51"/>
      <c r="W148" s="51"/>
      <c r="X148" s="51"/>
      <c r="Y148" s="51"/>
      <c r="Z148" s="51"/>
      <c r="AA148" s="51"/>
    </row>
    <row r="149" ht="22" customHeight="1">
      <c r="A149" s="49" t="str">
        <v>Mobileye1 - impairment</v>
      </c>
      <c r="B149" s="3"/>
      <c r="C149" s="51"/>
      <c r="D149" s="51"/>
      <c r="E149" s="51"/>
      <c r="F149" s="51"/>
      <c r="G149" s="51"/>
      <c r="H149" s="51"/>
      <c r="I149" s="51"/>
      <c r="J149" s="51"/>
      <c r="K149" s="51"/>
      <c r="L149" s="51" t="n">
        <v>0</v>
      </c>
      <c r="M149" s="51"/>
      <c r="N149" s="51"/>
      <c r="O149" s="51"/>
      <c r="P149" s="51"/>
      <c r="Q149" s="51"/>
      <c r="R149" s="51"/>
      <c r="S149" s="51"/>
      <c r="T149" s="51"/>
      <c r="U149" s="51"/>
      <c r="V149" s="51"/>
      <c r="W149" s="51"/>
      <c r="X149" s="51"/>
      <c r="Y149" s="51"/>
      <c r="Z149" s="51"/>
      <c r="AA149" s="51"/>
    </row>
    <row r="150" ht="24" customHeight="1">
      <c r="A150" s="34" t="str">
        <v>Mobileye1 - end</v>
      </c>
      <c r="B150" s="35"/>
      <c r="C150" s="36"/>
      <c r="D150" s="36"/>
      <c r="E150" s="36"/>
      <c r="F150" s="36"/>
      <c r="G150" s="36"/>
      <c r="H150" s="36"/>
      <c r="I150" s="36"/>
      <c r="J150" s="36"/>
      <c r="K150" s="36"/>
      <c r="L150" s="36" t="n">
        <v>8306</v>
      </c>
      <c r="M150" s="36"/>
      <c r="N150" s="36"/>
      <c r="O150" s="36"/>
      <c r="P150" s="36"/>
      <c r="Q150" s="36"/>
      <c r="R150" s="36"/>
      <c r="S150" s="36"/>
      <c r="T150" s="36"/>
      <c r="U150" s="36"/>
      <c r="V150" s="36"/>
      <c r="W150" s="36"/>
      <c r="X150" s="36"/>
      <c r="Y150" s="36"/>
      <c r="Z150" s="36"/>
      <c r="AA150" s="36"/>
    </row>
    <row r="151" ht="22" customHeight="1">
      <c r="A151" s="49" t="str">
        <v>Altera - begin</v>
      </c>
      <c r="B151" s="3"/>
      <c r="C151" s="51"/>
      <c r="D151" s="51"/>
      <c r="E151" s="51"/>
      <c r="F151" s="51"/>
      <c r="G151" s="51"/>
      <c r="H151" s="51"/>
      <c r="I151" s="51"/>
      <c r="J151" s="51"/>
      <c r="K151" s="51" t="n">
        <v>0</v>
      </c>
      <c r="L151" s="51" t="n">
        <v>781</v>
      </c>
      <c r="M151" s="51"/>
      <c r="N151" s="51"/>
      <c r="O151" s="51"/>
      <c r="P151" s="51"/>
      <c r="Q151" s="51"/>
      <c r="R151" s="51"/>
      <c r="S151" s="51"/>
      <c r="T151" s="51"/>
      <c r="U151" s="51"/>
      <c r="V151" s="51"/>
      <c r="W151" s="51"/>
      <c r="X151" s="51"/>
      <c r="Y151" s="51"/>
      <c r="Z151" s="51"/>
      <c r="AA151" s="51"/>
    </row>
    <row r="152" ht="22" customHeight="1">
      <c r="A152" s="49" t="str">
        <v>Altera - additions</v>
      </c>
      <c r="B152" s="3"/>
      <c r="C152" s="51"/>
      <c r="D152" s="51"/>
      <c r="E152" s="51"/>
      <c r="F152" s="51"/>
      <c r="G152" s="51"/>
      <c r="H152" s="51"/>
      <c r="I152" s="51"/>
      <c r="J152" s="51"/>
      <c r="K152" s="51" t="n">
        <v>0</v>
      </c>
      <c r="L152" s="51"/>
      <c r="M152" s="51"/>
      <c r="N152" s="51"/>
      <c r="O152" s="51"/>
      <c r="P152" s="51"/>
      <c r="Q152" s="51"/>
      <c r="R152" s="51"/>
      <c r="S152" s="51"/>
      <c r="T152" s="51"/>
      <c r="U152" s="51"/>
      <c r="V152" s="51"/>
      <c r="W152" s="51"/>
      <c r="X152" s="51"/>
      <c r="Y152" s="51"/>
      <c r="Z152" s="51"/>
      <c r="AA152" s="51"/>
    </row>
    <row r="153" ht="22" customHeight="1">
      <c r="A153" s="49" t="str">
        <v>Altera - divestitures</v>
      </c>
      <c r="B153" s="3"/>
      <c r="C153" s="51"/>
      <c r="D153" s="51"/>
      <c r="E153" s="51"/>
      <c r="F153" s="51"/>
      <c r="G153" s="51"/>
      <c r="H153" s="51"/>
      <c r="I153" s="51"/>
      <c r="J153" s="51"/>
      <c r="K153" s="51"/>
      <c r="L153" s="51" t="n">
        <v>-781</v>
      </c>
      <c r="M153" s="51"/>
      <c r="N153" s="51"/>
      <c r="O153" s="51"/>
      <c r="P153" s="51"/>
      <c r="Q153" s="51"/>
      <c r="R153" s="51"/>
      <c r="S153" s="51"/>
      <c r="T153" s="51"/>
      <c r="U153" s="51"/>
      <c r="V153" s="51"/>
      <c r="W153" s="51"/>
      <c r="X153" s="51"/>
      <c r="Y153" s="51"/>
      <c r="Z153" s="51"/>
      <c r="AA153" s="51"/>
    </row>
    <row r="154" ht="22" customHeight="1">
      <c r="A154" s="49" t="str">
        <v>Altera - transfers</v>
      </c>
      <c r="B154" s="3"/>
      <c r="C154" s="51"/>
      <c r="D154" s="51"/>
      <c r="E154" s="51"/>
      <c r="F154" s="51"/>
      <c r="G154" s="51"/>
      <c r="H154" s="51"/>
      <c r="I154" s="51"/>
      <c r="J154" s="51"/>
      <c r="K154" s="51" t="n">
        <v>781</v>
      </c>
      <c r="L154" s="51" t="n">
        <v>0</v>
      </c>
      <c r="M154" s="51"/>
      <c r="N154" s="51"/>
      <c r="O154" s="51"/>
      <c r="P154" s="51"/>
      <c r="Q154" s="51"/>
      <c r="R154" s="51"/>
      <c r="S154" s="51"/>
      <c r="T154" s="51"/>
      <c r="U154" s="51"/>
      <c r="V154" s="51"/>
      <c r="W154" s="51"/>
      <c r="X154" s="51"/>
      <c r="Y154" s="51"/>
      <c r="Z154" s="51"/>
      <c r="AA154" s="51"/>
    </row>
    <row r="155" ht="22" customHeight="1">
      <c r="A155" s="49" t="str">
        <v>Altera - impairment</v>
      </c>
      <c r="B155" s="3"/>
      <c r="C155" s="51"/>
      <c r="D155" s="51"/>
      <c r="E155" s="51"/>
      <c r="F155" s="51"/>
      <c r="G155" s="51"/>
      <c r="H155" s="51"/>
      <c r="I155" s="51"/>
      <c r="J155" s="51"/>
      <c r="K155" s="51" t="n">
        <v>0</v>
      </c>
      <c r="L155" s="51" t="n">
        <v>0</v>
      </c>
      <c r="M155" s="51"/>
      <c r="N155" s="51"/>
      <c r="O155" s="51"/>
      <c r="P155" s="51"/>
      <c r="Q155" s="51"/>
      <c r="R155" s="51"/>
      <c r="S155" s="51"/>
      <c r="T155" s="51"/>
      <c r="U155" s="51"/>
      <c r="V155" s="51"/>
      <c r="W155" s="51"/>
      <c r="X155" s="51"/>
      <c r="Y155" s="51"/>
      <c r="Z155" s="51"/>
      <c r="AA155" s="51"/>
    </row>
    <row r="156" ht="24" customHeight="1">
      <c r="A156" s="34" t="str">
        <v>Altera - end</v>
      </c>
      <c r="B156" s="35"/>
      <c r="C156" s="36"/>
      <c r="D156" s="36"/>
      <c r="E156" s="36"/>
      <c r="F156" s="36"/>
      <c r="G156" s="36"/>
      <c r="H156" s="36"/>
      <c r="I156" s="36"/>
      <c r="J156" s="36"/>
      <c r="K156" s="36" t="n">
        <v>781</v>
      </c>
      <c r="L156" s="36" t="n">
        <v>0</v>
      </c>
      <c r="M156" s="36"/>
      <c r="N156" s="36"/>
      <c r="O156" s="36"/>
      <c r="P156" s="36"/>
      <c r="Q156" s="36"/>
      <c r="R156" s="36"/>
      <c r="S156" s="36"/>
      <c r="T156" s="36"/>
      <c r="U156" s="36"/>
      <c r="V156" s="36"/>
      <c r="W156" s="36"/>
      <c r="X156" s="36"/>
      <c r="Y156" s="36"/>
      <c r="Z156" s="36"/>
      <c r="AA156" s="36"/>
    </row>
    <row r="157" ht="22" customHeight="1">
      <c r="A157" s="49" t="str">
        <v>All Other - begin</v>
      </c>
      <c r="B157" s="3"/>
      <c r="C157" s="51"/>
      <c r="D157" s="51"/>
      <c r="E157" s="51"/>
      <c r="F157" s="51"/>
      <c r="G157" s="51"/>
      <c r="H157" s="51"/>
      <c r="I157" s="51"/>
      <c r="J157" s="51"/>
      <c r="K157" s="51" t="n">
        <v>393</v>
      </c>
      <c r="L157" s="51" t="n">
        <v>263</v>
      </c>
      <c r="M157" s="51"/>
      <c r="N157" s="51"/>
      <c r="O157" s="51"/>
      <c r="P157" s="51"/>
      <c r="Q157" s="51"/>
      <c r="R157" s="51"/>
      <c r="S157" s="51"/>
      <c r="T157" s="51"/>
      <c r="U157" s="51"/>
      <c r="V157" s="51"/>
      <c r="W157" s="51"/>
      <c r="X157" s="51"/>
      <c r="Y157" s="51"/>
      <c r="Z157" s="51"/>
      <c r="AA157" s="51"/>
    </row>
    <row r="158" ht="22" customHeight="1">
      <c r="A158" s="49" t="str">
        <v>All Other - additions</v>
      </c>
      <c r="B158" s="3"/>
      <c r="C158" s="51"/>
      <c r="D158" s="51"/>
      <c r="E158" s="51"/>
      <c r="F158" s="51"/>
      <c r="G158" s="51"/>
      <c r="H158" s="51"/>
      <c r="I158" s="51"/>
      <c r="J158" s="51"/>
      <c r="K158" s="51" t="n">
        <v>86</v>
      </c>
      <c r="L158" s="51"/>
      <c r="M158" s="51"/>
      <c r="N158" s="51"/>
      <c r="O158" s="51"/>
      <c r="P158" s="51"/>
      <c r="Q158" s="51"/>
      <c r="R158" s="51"/>
      <c r="S158" s="51"/>
      <c r="T158" s="51"/>
      <c r="U158" s="51"/>
      <c r="V158" s="51"/>
      <c r="W158" s="51"/>
      <c r="X158" s="51"/>
      <c r="Y158" s="51"/>
      <c r="Z158" s="51"/>
      <c r="AA158" s="51"/>
    </row>
    <row r="159" ht="22" customHeight="1">
      <c r="A159" s="49" t="str">
        <v>All Other - divestitures</v>
      </c>
      <c r="B159" s="3"/>
      <c r="C159" s="51"/>
      <c r="D159" s="51"/>
      <c r="E159" s="51"/>
      <c r="F159" s="51"/>
      <c r="G159" s="51"/>
      <c r="H159" s="51"/>
      <c r="I159" s="51"/>
      <c r="J159" s="51"/>
      <c r="K159" s="51"/>
      <c r="L159" s="51" t="n">
        <v>0</v>
      </c>
      <c r="M159" s="51"/>
      <c r="N159" s="51"/>
      <c r="O159" s="51"/>
      <c r="P159" s="51"/>
      <c r="Q159" s="51"/>
      <c r="R159" s="51"/>
      <c r="S159" s="51"/>
      <c r="T159" s="51"/>
      <c r="U159" s="51"/>
      <c r="V159" s="51"/>
      <c r="W159" s="51"/>
      <c r="X159" s="51"/>
      <c r="Y159" s="51"/>
      <c r="Z159" s="51"/>
      <c r="AA159" s="51"/>
    </row>
    <row r="160" ht="22" customHeight="1">
      <c r="A160" s="49" t="str">
        <v>All Other - transfers</v>
      </c>
      <c r="B160" s="3"/>
      <c r="C160" s="51"/>
      <c r="D160" s="51"/>
      <c r="E160" s="51"/>
      <c r="F160" s="51"/>
      <c r="G160" s="51"/>
      <c r="H160" s="51"/>
      <c r="I160" s="51"/>
      <c r="J160" s="51"/>
      <c r="K160" s="51" t="n">
        <v>-67</v>
      </c>
      <c r="L160" s="51" t="n">
        <v>-86</v>
      </c>
      <c r="M160" s="51"/>
      <c r="N160" s="51"/>
      <c r="O160" s="51"/>
      <c r="P160" s="51"/>
      <c r="Q160" s="51"/>
      <c r="R160" s="51"/>
      <c r="S160" s="51"/>
      <c r="T160" s="51"/>
      <c r="U160" s="51"/>
      <c r="V160" s="51"/>
      <c r="W160" s="51"/>
      <c r="X160" s="51"/>
      <c r="Y160" s="51"/>
      <c r="Z160" s="51"/>
      <c r="AA160" s="51"/>
    </row>
    <row r="161" ht="22" customHeight="1">
      <c r="A161" s="49" t="str">
        <v>All Other - impairment</v>
      </c>
      <c r="B161" s="3"/>
      <c r="C161" s="51"/>
      <c r="D161" s="51"/>
      <c r="E161" s="51"/>
      <c r="F161" s="51"/>
      <c r="G161" s="51"/>
      <c r="H161" s="51"/>
      <c r="I161" s="51"/>
      <c r="J161" s="51"/>
      <c r="K161" s="51" t="n">
        <v>-149</v>
      </c>
      <c r="L161" s="51" t="n">
        <v>0</v>
      </c>
      <c r="M161" s="51"/>
      <c r="N161" s="51"/>
      <c r="O161" s="51"/>
      <c r="P161" s="51"/>
      <c r="Q161" s="51"/>
      <c r="R161" s="51"/>
      <c r="S161" s="51"/>
      <c r="T161" s="51"/>
      <c r="U161" s="51"/>
      <c r="V161" s="51"/>
      <c r="W161" s="51"/>
      <c r="X161" s="51"/>
      <c r="Y161" s="51"/>
      <c r="Z161" s="51"/>
      <c r="AA161" s="51"/>
    </row>
    <row r="162" ht="24" customHeight="1">
      <c r="A162" s="34" t="str">
        <v>All Other - end</v>
      </c>
      <c r="B162" s="35"/>
      <c r="C162" s="36"/>
      <c r="D162" s="36"/>
      <c r="E162" s="36"/>
      <c r="F162" s="36"/>
      <c r="G162" s="36"/>
      <c r="H162" s="36"/>
      <c r="I162" s="36"/>
      <c r="J162" s="36"/>
      <c r="K162" s="36" t="n">
        <v>263</v>
      </c>
      <c r="L162" s="36" t="n">
        <v>177</v>
      </c>
      <c r="M162" s="36"/>
      <c r="N162" s="36"/>
      <c r="O162" s="36"/>
      <c r="P162" s="36"/>
      <c r="Q162" s="36"/>
      <c r="R162" s="36"/>
      <c r="S162" s="36"/>
      <c r="T162" s="36"/>
      <c r="U162" s="36"/>
      <c r="V162" s="36"/>
      <c r="W162" s="36"/>
      <c r="X162" s="36"/>
      <c r="Y162" s="36"/>
      <c r="Z162" s="36"/>
      <c r="AA162" s="36"/>
    </row>
    <row r="163" ht="24" customHeight="1">
      <c r="A163" s="34" t="str">
        <v>Total - begin</v>
      </c>
      <c r="B163" s="35"/>
      <c r="C163" s="36" t="n">
        <v>11332</v>
      </c>
      <c r="D163" s="36" t="n">
        <v>14099</v>
      </c>
      <c r="E163" s="36" t="n">
        <v>24389</v>
      </c>
      <c r="F163" s="36" t="n">
        <v>24513</v>
      </c>
      <c r="G163" s="36" t="n">
        <v>26276</v>
      </c>
      <c r="H163" s="36" t="n">
        <v>26971</v>
      </c>
      <c r="I163" s="36" t="n">
        <v>26963</v>
      </c>
      <c r="J163" s="36" t="n">
        <v>27591</v>
      </c>
      <c r="K163" s="36" t="n">
        <v>27591</v>
      </c>
      <c r="L163" s="36" t="n">
        <v>24693</v>
      </c>
      <c r="M163" s="36"/>
      <c r="N163" s="36"/>
      <c r="O163" s="36"/>
      <c r="P163" s="36"/>
      <c r="Q163" s="36"/>
      <c r="R163" s="36"/>
      <c r="S163" s="36"/>
      <c r="T163" s="36"/>
      <c r="U163" s="36"/>
      <c r="V163" s="36"/>
      <c r="W163" s="36"/>
      <c r="X163" s="36"/>
      <c r="Y163" s="36"/>
      <c r="Z163" s="36"/>
      <c r="AA163" s="36"/>
    </row>
    <row r="164" ht="24" customHeight="1">
      <c r="A164" s="34" t="str">
        <v>Total - additions</v>
      </c>
      <c r="B164" s="35"/>
      <c r="C164" s="36" t="n">
        <v>6366</v>
      </c>
      <c r="D164" s="36" t="n">
        <v>10290</v>
      </c>
      <c r="E164" s="36" t="n">
        <v>162</v>
      </c>
      <c r="F164" s="36" t="n">
        <v>1825</v>
      </c>
      <c r="G164" s="36" t="n">
        <v>729</v>
      </c>
      <c r="H164" s="36" t="n">
        <v>196</v>
      </c>
      <c r="I164" s="36" t="n">
        <v>637</v>
      </c>
      <c r="J164" s="36" t="n">
        <v>0</v>
      </c>
      <c r="K164" s="36" t="n">
        <v>86</v>
      </c>
      <c r="L164" s="36"/>
      <c r="M164" s="36"/>
      <c r="N164" s="36"/>
      <c r="O164" s="36"/>
      <c r="P164" s="36"/>
      <c r="Q164" s="36"/>
      <c r="R164" s="36"/>
      <c r="S164" s="36"/>
      <c r="T164" s="36"/>
      <c r="U164" s="36"/>
      <c r="V164" s="36"/>
      <c r="W164" s="36"/>
      <c r="X164" s="36"/>
      <c r="Y164" s="36"/>
      <c r="Z164" s="36"/>
      <c r="AA164" s="36"/>
    </row>
    <row r="165" ht="24" customHeight="1">
      <c r="A165" s="34" t="str">
        <v>Total - divestitures</v>
      </c>
      <c r="B165" s="35"/>
      <c r="C165" s="36"/>
      <c r="D165" s="36"/>
      <c r="E165" s="36"/>
      <c r="F165" s="36"/>
      <c r="G165" s="36"/>
      <c r="H165" s="36"/>
      <c r="I165" s="36"/>
      <c r="J165" s="36"/>
      <c r="K165" s="36"/>
      <c r="L165" s="36" t="n">
        <v>-781</v>
      </c>
      <c r="M165" s="36"/>
      <c r="N165" s="36"/>
      <c r="O165" s="36"/>
      <c r="P165" s="36"/>
      <c r="Q165" s="36"/>
      <c r="R165" s="36"/>
      <c r="S165" s="36"/>
      <c r="T165" s="36"/>
      <c r="U165" s="36"/>
      <c r="V165" s="36"/>
      <c r="W165" s="36"/>
      <c r="X165" s="36"/>
      <c r="Y165" s="36"/>
      <c r="Z165" s="36"/>
      <c r="AA165" s="36"/>
    </row>
    <row r="166" ht="24" customHeight="1">
      <c r="A166" s="34" t="str">
        <v>Total - transfers</v>
      </c>
      <c r="B166" s="35"/>
      <c r="C166" s="36" t="n">
        <v>0</v>
      </c>
      <c r="D166" s="36" t="n">
        <v>0</v>
      </c>
      <c r="E166" s="36" t="n">
        <v>0</v>
      </c>
      <c r="F166" s="36" t="n">
        <v>0</v>
      </c>
      <c r="G166" s="36"/>
      <c r="H166" s="36"/>
      <c r="I166" s="36"/>
      <c r="J166" s="36" t="n">
        <v>0</v>
      </c>
      <c r="K166" s="36" t="n">
        <v>0</v>
      </c>
      <c r="L166" s="36" t="n">
        <v>0</v>
      </c>
      <c r="M166" s="36"/>
      <c r="N166" s="36"/>
      <c r="O166" s="36"/>
      <c r="P166" s="36"/>
      <c r="Q166" s="36"/>
      <c r="R166" s="36"/>
      <c r="S166" s="36"/>
      <c r="T166" s="36"/>
      <c r="U166" s="36"/>
      <c r="V166" s="36"/>
      <c r="W166" s="36"/>
      <c r="X166" s="36"/>
      <c r="Y166" s="36"/>
      <c r="Z166" s="36"/>
      <c r="AA166" s="36"/>
    </row>
    <row r="167" ht="24" customHeight="1">
      <c r="A167" s="34" t="str">
        <v>Total - other</v>
      </c>
      <c r="B167" s="35"/>
      <c r="C167" s="36" t="n">
        <v>-3599</v>
      </c>
      <c r="D167" s="36" t="n">
        <v>0</v>
      </c>
      <c r="E167" s="36" t="n">
        <v>-38</v>
      </c>
      <c r="F167" s="36" t="n">
        <v>-62</v>
      </c>
      <c r="G167" s="36" t="n">
        <v>-34</v>
      </c>
      <c r="H167" s="36" t="n">
        <v>-204</v>
      </c>
      <c r="I167" s="36" t="n">
        <v>-9</v>
      </c>
      <c r="J167" s="36" t="n">
        <v>0</v>
      </c>
      <c r="K167" s="36"/>
      <c r="L167" s="36"/>
      <c r="M167" s="36"/>
      <c r="N167" s="36"/>
      <c r="O167" s="36"/>
      <c r="P167" s="36"/>
      <c r="Q167" s="36"/>
      <c r="R167" s="36"/>
      <c r="S167" s="36"/>
      <c r="T167" s="36"/>
      <c r="U167" s="36"/>
      <c r="V167" s="36"/>
      <c r="W167" s="36"/>
      <c r="X167" s="36"/>
      <c r="Y167" s="36"/>
      <c r="Z167" s="36"/>
      <c r="AA167" s="36"/>
    </row>
    <row r="168" ht="24" customHeight="1">
      <c r="A168" s="34" t="str">
        <v>Total - impairment</v>
      </c>
      <c r="B168" s="35"/>
      <c r="C168" s="36"/>
      <c r="D168" s="36"/>
      <c r="E168" s="36"/>
      <c r="F168" s="36"/>
      <c r="G168" s="36"/>
      <c r="H168" s="36"/>
      <c r="I168" s="36"/>
      <c r="J168" s="36"/>
      <c r="K168" s="36" t="n">
        <v>-2984</v>
      </c>
      <c r="L168" s="36" t="n">
        <v>0</v>
      </c>
      <c r="M168" s="36"/>
      <c r="N168" s="36"/>
      <c r="O168" s="36"/>
      <c r="P168" s="36"/>
      <c r="Q168" s="36"/>
      <c r="R168" s="36"/>
      <c r="S168" s="36"/>
      <c r="T168" s="36"/>
      <c r="U168" s="36"/>
      <c r="V168" s="36"/>
      <c r="W168" s="36"/>
      <c r="X168" s="36"/>
      <c r="Y168" s="36"/>
      <c r="Z168" s="36"/>
      <c r="AA168" s="36"/>
    </row>
    <row r="169" ht="24" customHeight="1">
      <c r="A169" s="34" t="str">
        <v>Total - end</v>
      </c>
      <c r="B169" s="35"/>
      <c r="C169" s="36" t="n">
        <v>14099</v>
      </c>
      <c r="D169" s="36" t="n">
        <v>24389</v>
      </c>
      <c r="E169" s="36" t="n">
        <v>24513</v>
      </c>
      <c r="F169" s="36" t="n">
        <v>26276</v>
      </c>
      <c r="G169" s="36" t="n">
        <v>26971</v>
      </c>
      <c r="H169" s="36" t="n">
        <v>26963</v>
      </c>
      <c r="I169" s="36" t="n">
        <v>27591</v>
      </c>
      <c r="J169" s="36" t="n">
        <v>27591</v>
      </c>
      <c r="K169" s="36" t="n">
        <v>24693</v>
      </c>
      <c r="L169" s="36" t="n">
        <v>23912</v>
      </c>
      <c r="M169" s="36"/>
      <c r="N169" s="36"/>
      <c r="O169" s="36"/>
      <c r="P169" s="36"/>
      <c r="Q169" s="36"/>
      <c r="R169" s="36"/>
      <c r="S169" s="36"/>
      <c r="T169" s="36"/>
      <c r="U169" s="36"/>
      <c r="V169" s="36"/>
      <c r="W169" s="36"/>
      <c r="X169" s="36"/>
      <c r="Y169" s="36"/>
      <c r="Z169" s="36"/>
      <c r="AA169" s="36"/>
    </row>
    <row r="170" ht="8"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22" customHeight="1">
      <c r="A171" s="21" t="str">
        <v>Goodwill: reallocation on 2022 segment changes</v>
      </c>
      <c r="B171" s="21" t="str">
        <v>Goodwill: reallocation on 2022 segment changes</v>
      </c>
      <c r="C171" s="21" t="str">
        <v>Goodwill: reallocation on 2022 segment changes</v>
      </c>
      <c r="D171" s="21" t="str">
        <v>Goodwill: reallocation on 2022 segment changes</v>
      </c>
      <c r="E171" s="21" t="str">
        <v>Goodwill: reallocation on 2022 segment changes</v>
      </c>
      <c r="F171" s="21" t="str">
        <v>Goodwill: reallocation on 2022 segment changes</v>
      </c>
      <c r="G171" s="21" t="str">
        <v>Goodwill: reallocation on 2022 segment changes</v>
      </c>
      <c r="H171" s="21" t="str">
        <v>Goodwill: reallocation on 2022 segment changes</v>
      </c>
      <c r="I171" s="21" t="str">
        <v>Goodwill: reallocation on 2022 segment changes</v>
      </c>
      <c r="J171" s="21" t="str">
        <v>Goodwill: reallocation on 2022 segment changes</v>
      </c>
      <c r="K171" s="21" t="str">
        <v>Goodwill: reallocation on 2022 segment changes</v>
      </c>
      <c r="L171" s="21" t="str">
        <v>Goodwill: reallocation on 2022 segment changes</v>
      </c>
      <c r="M171" s="21" t="str">
        <v>Goodwill: reallocation on 2022 segment changes</v>
      </c>
      <c r="N171" s="21" t="str">
        <v>Goodwill: reallocation on 2022 segment changes</v>
      </c>
      <c r="O171" s="21" t="str">
        <v>Goodwill: reallocation on 2022 segment changes</v>
      </c>
      <c r="P171" s="21" t="str">
        <v>Goodwill: reallocation on 2022 segment changes</v>
      </c>
      <c r="Q171" s="21" t="str">
        <v>Goodwill: reallocation on 2022 segment changes</v>
      </c>
      <c r="R171" s="21" t="str">
        <v>Goodwill: reallocation on 2022 segment changes</v>
      </c>
      <c r="S171" s="21" t="str">
        <v>Goodwill: reallocation on 2022 segment changes</v>
      </c>
      <c r="T171" s="21" t="str">
        <v>Goodwill: reallocation on 2022 segment changes</v>
      </c>
      <c r="U171" s="21" t="str">
        <v>Goodwill: reallocation on 2022 segment changes</v>
      </c>
      <c r="V171" s="21" t="str">
        <v>Goodwill: reallocation on 2022 segment changes</v>
      </c>
      <c r="W171" s="21" t="str">
        <v>Goodwill: reallocation on 2022 segment changes</v>
      </c>
      <c r="X171" s="21" t="str">
        <v>Goodwill: reallocation on 2022 segment changes</v>
      </c>
      <c r="Y171" s="21" t="str">
        <v>Goodwill: reallocation on 2022 segment changes</v>
      </c>
      <c r="Z171" s="21" t="str">
        <v>Goodwill: reallocation on 2022 segment changes</v>
      </c>
      <c r="AA171" s="21" t="str">
        <v>Goodwill: reallocation on 2022 segment changes</v>
      </c>
    </row>
    <row r="172" ht="22" customHeight="1">
      <c r="A172" s="49" t="str">
        <v>Client Computing - previously reported</v>
      </c>
      <c r="B172" s="3"/>
      <c r="C172" s="51"/>
      <c r="D172" s="51"/>
      <c r="E172" s="51"/>
      <c r="F172" s="51"/>
      <c r="G172" s="51"/>
      <c r="H172" s="51" t="n">
        <v>4433</v>
      </c>
      <c r="I172" s="51"/>
      <c r="J172" s="51"/>
      <c r="K172" s="51"/>
      <c r="L172" s="51"/>
      <c r="M172" s="51"/>
      <c r="N172" s="51"/>
      <c r="O172" s="51"/>
      <c r="P172" s="51"/>
      <c r="Q172" s="51"/>
      <c r="R172" s="51"/>
      <c r="S172" s="51"/>
      <c r="T172" s="51"/>
      <c r="U172" s="51"/>
      <c r="V172" s="51"/>
      <c r="W172" s="51"/>
      <c r="X172" s="51"/>
      <c r="Y172" s="51"/>
      <c r="Z172" s="51"/>
      <c r="AA172" s="51"/>
    </row>
    <row r="173" ht="22" customHeight="1">
      <c r="A173" s="49" t="str">
        <v>Client Computing - reallocation transfers out</v>
      </c>
      <c r="B173" s="3"/>
      <c r="C173" s="51"/>
      <c r="D173" s="51"/>
      <c r="E173" s="51"/>
      <c r="F173" s="51"/>
      <c r="G173" s="51"/>
      <c r="H173" s="51" t="n">
        <v>-275</v>
      </c>
      <c r="I173" s="51"/>
      <c r="J173" s="51"/>
      <c r="K173" s="51"/>
      <c r="L173" s="51"/>
      <c r="M173" s="51"/>
      <c r="N173" s="51"/>
      <c r="O173" s="51"/>
      <c r="P173" s="51"/>
      <c r="Q173" s="51"/>
      <c r="R173" s="51"/>
      <c r="S173" s="51"/>
      <c r="T173" s="51"/>
      <c r="U173" s="51"/>
      <c r="V173" s="51"/>
      <c r="W173" s="51"/>
      <c r="X173" s="51"/>
      <c r="Y173" s="51"/>
      <c r="Z173" s="51"/>
      <c r="AA173" s="51"/>
    </row>
    <row r="174" ht="22" customHeight="1">
      <c r="A174" s="49" t="str">
        <v>Client Computing - reallocation transfers in</v>
      </c>
      <c r="B174" s="3"/>
      <c r="C174" s="51"/>
      <c r="D174" s="51"/>
      <c r="E174" s="51"/>
      <c r="F174" s="51"/>
      <c r="G174" s="51"/>
      <c r="H174" s="51" t="n">
        <v>79</v>
      </c>
      <c r="I174" s="51"/>
      <c r="J174" s="51"/>
      <c r="K174" s="51"/>
      <c r="L174" s="51"/>
      <c r="M174" s="51"/>
      <c r="N174" s="51"/>
      <c r="O174" s="51"/>
      <c r="P174" s="51"/>
      <c r="Q174" s="51"/>
      <c r="R174" s="51"/>
      <c r="S174" s="51"/>
      <c r="T174" s="51"/>
      <c r="U174" s="51"/>
      <c r="V174" s="51"/>
      <c r="W174" s="51"/>
      <c r="X174" s="51"/>
      <c r="Y174" s="51"/>
      <c r="Z174" s="51"/>
      <c r="AA174" s="51"/>
    </row>
    <row r="175" ht="22" customHeight="1">
      <c r="A175" s="49" t="str">
        <v>Client Computing - recast</v>
      </c>
      <c r="B175" s="3"/>
      <c r="C175" s="51"/>
      <c r="D175" s="51"/>
      <c r="E175" s="51"/>
      <c r="F175" s="51"/>
      <c r="G175" s="51"/>
      <c r="H175" s="51" t="n">
        <v>4237</v>
      </c>
      <c r="I175" s="51"/>
      <c r="J175" s="51"/>
      <c r="K175" s="51"/>
      <c r="L175" s="51"/>
      <c r="M175" s="51"/>
      <c r="N175" s="51"/>
      <c r="O175" s="51"/>
      <c r="P175" s="51"/>
      <c r="Q175" s="51"/>
      <c r="R175" s="51"/>
      <c r="S175" s="51"/>
      <c r="T175" s="51"/>
      <c r="U175" s="51"/>
      <c r="V175" s="51"/>
      <c r="W175" s="51"/>
      <c r="X175" s="51"/>
      <c r="Y175" s="51"/>
      <c r="Z175" s="51"/>
      <c r="AA175" s="51"/>
    </row>
    <row r="176" ht="22" customHeight="1">
      <c r="A176" s="49" t="str">
        <v>Data Center Group - previously reported</v>
      </c>
      <c r="B176" s="3"/>
      <c r="C176" s="51"/>
      <c r="D176" s="51"/>
      <c r="E176" s="51"/>
      <c r="F176" s="51"/>
      <c r="G176" s="51"/>
      <c r="H176" s="51" t="n">
        <v>7355</v>
      </c>
      <c r="I176" s="51"/>
      <c r="J176" s="51"/>
      <c r="K176" s="51"/>
      <c r="L176" s="51"/>
      <c r="M176" s="51"/>
      <c r="N176" s="51"/>
      <c r="O176" s="51"/>
      <c r="P176" s="51"/>
      <c r="Q176" s="51"/>
      <c r="R176" s="51"/>
      <c r="S176" s="51"/>
      <c r="T176" s="51"/>
      <c r="U176" s="51"/>
      <c r="V176" s="51"/>
      <c r="W176" s="51"/>
      <c r="X176" s="51"/>
      <c r="Y176" s="51"/>
      <c r="Z176" s="51"/>
      <c r="AA176" s="51"/>
    </row>
    <row r="177" ht="22" customHeight="1">
      <c r="A177" s="49" t="str">
        <v>Data Center Group - reallocation transfers out</v>
      </c>
      <c r="B177" s="3"/>
      <c r="C177" s="51"/>
      <c r="D177" s="51"/>
      <c r="E177" s="51"/>
      <c r="F177" s="51"/>
      <c r="G177" s="51"/>
      <c r="H177" s="51" t="n">
        <v>-7355</v>
      </c>
      <c r="I177" s="51"/>
      <c r="J177" s="51"/>
      <c r="K177" s="51"/>
      <c r="L177" s="51"/>
      <c r="M177" s="51"/>
      <c r="N177" s="51"/>
      <c r="O177" s="51"/>
      <c r="P177" s="51"/>
      <c r="Q177" s="51"/>
      <c r="R177" s="51"/>
      <c r="S177" s="51"/>
      <c r="T177" s="51"/>
      <c r="U177" s="51"/>
      <c r="V177" s="51"/>
      <c r="W177" s="51"/>
      <c r="X177" s="51"/>
      <c r="Y177" s="51"/>
      <c r="Z177" s="51"/>
      <c r="AA177" s="51"/>
    </row>
    <row r="178" ht="22" customHeight="1">
      <c r="A178" s="49" t="str">
        <v>Data Center Group - reallocation transfers in</v>
      </c>
      <c r="B178" s="3"/>
      <c r="C178" s="51"/>
      <c r="D178" s="51"/>
      <c r="E178" s="51"/>
      <c r="F178" s="51"/>
      <c r="G178" s="51"/>
      <c r="H178" s="51" t="n">
        <v>0</v>
      </c>
      <c r="I178" s="51"/>
      <c r="J178" s="51"/>
      <c r="K178" s="51"/>
      <c r="L178" s="51"/>
      <c r="M178" s="51"/>
      <c r="N178" s="51"/>
      <c r="O178" s="51"/>
      <c r="P178" s="51"/>
      <c r="Q178" s="51"/>
      <c r="R178" s="51"/>
      <c r="S178" s="51"/>
      <c r="T178" s="51"/>
      <c r="U178" s="51"/>
      <c r="V178" s="51"/>
      <c r="W178" s="51"/>
      <c r="X178" s="51"/>
      <c r="Y178" s="51"/>
      <c r="Z178" s="51"/>
      <c r="AA178" s="51"/>
    </row>
    <row r="179" ht="22" customHeight="1">
      <c r="A179" s="49" t="str">
        <v>Data Center Group - recast</v>
      </c>
      <c r="B179" s="3"/>
      <c r="C179" s="51"/>
      <c r="D179" s="51"/>
      <c r="E179" s="51"/>
      <c r="F179" s="51"/>
      <c r="G179" s="51"/>
      <c r="H179" s="51" t="n">
        <v>0</v>
      </c>
      <c r="I179" s="51"/>
      <c r="J179" s="51"/>
      <c r="K179" s="51"/>
      <c r="L179" s="51"/>
      <c r="M179" s="51"/>
      <c r="N179" s="51"/>
      <c r="O179" s="51"/>
      <c r="P179" s="51"/>
      <c r="Q179" s="51"/>
      <c r="R179" s="51"/>
      <c r="S179" s="51"/>
      <c r="T179" s="51"/>
      <c r="U179" s="51"/>
      <c r="V179" s="51"/>
      <c r="W179" s="51"/>
      <c r="X179" s="51"/>
      <c r="Y179" s="51"/>
      <c r="Z179" s="51"/>
      <c r="AA179" s="51"/>
    </row>
    <row r="180" ht="22" customHeight="1">
      <c r="A180" s="49" t="str">
        <v>Data Center and AI - previously reported</v>
      </c>
      <c r="B180" s="3"/>
      <c r="C180" s="51"/>
      <c r="D180" s="51"/>
      <c r="E180" s="51"/>
      <c r="F180" s="51"/>
      <c r="G180" s="51"/>
      <c r="H180" s="51" t="n">
        <v>0</v>
      </c>
      <c r="I180" s="51"/>
      <c r="J180" s="51"/>
      <c r="K180" s="51"/>
      <c r="L180" s="51"/>
      <c r="M180" s="51"/>
      <c r="N180" s="51"/>
      <c r="O180" s="51"/>
      <c r="P180" s="51"/>
      <c r="Q180" s="51"/>
      <c r="R180" s="51"/>
      <c r="S180" s="51"/>
      <c r="T180" s="51"/>
      <c r="U180" s="51"/>
      <c r="V180" s="51"/>
      <c r="W180" s="51"/>
      <c r="X180" s="51"/>
      <c r="Y180" s="51"/>
      <c r="Z180" s="51"/>
      <c r="AA180" s="51"/>
    </row>
    <row r="181" ht="22" customHeight="1">
      <c r="A181" s="49" t="str">
        <v>Data Center and AI - reallocation transfers out</v>
      </c>
      <c r="B181" s="3"/>
      <c r="C181" s="51"/>
      <c r="D181" s="51"/>
      <c r="E181" s="51"/>
      <c r="F181" s="51"/>
      <c r="G181" s="51"/>
      <c r="H181" s="51" t="n">
        <v>0</v>
      </c>
      <c r="I181" s="51"/>
      <c r="J181" s="51"/>
      <c r="K181" s="51"/>
      <c r="L181" s="51"/>
      <c r="M181" s="51"/>
      <c r="N181" s="51"/>
      <c r="O181" s="51"/>
      <c r="P181" s="51"/>
      <c r="Q181" s="51"/>
      <c r="R181" s="51"/>
      <c r="S181" s="51"/>
      <c r="T181" s="51"/>
      <c r="U181" s="51"/>
      <c r="V181" s="51"/>
      <c r="W181" s="51"/>
      <c r="X181" s="51"/>
      <c r="Y181" s="51"/>
      <c r="Z181" s="51"/>
      <c r="AA181" s="51"/>
    </row>
    <row r="182" ht="22" customHeight="1">
      <c r="A182" s="49" t="str">
        <v>Data Center and AI - reallocation transfers in</v>
      </c>
      <c r="B182" s="3"/>
      <c r="C182" s="51"/>
      <c r="D182" s="51"/>
      <c r="E182" s="51"/>
      <c r="F182" s="51"/>
      <c r="G182" s="51"/>
      <c r="H182" s="51" t="n">
        <v>8595</v>
      </c>
      <c r="I182" s="51"/>
      <c r="J182" s="51"/>
      <c r="K182" s="51"/>
      <c r="L182" s="51"/>
      <c r="M182" s="51"/>
      <c r="N182" s="51"/>
      <c r="O182" s="51"/>
      <c r="P182" s="51"/>
      <c r="Q182" s="51"/>
      <c r="R182" s="51"/>
      <c r="S182" s="51"/>
      <c r="T182" s="51"/>
      <c r="U182" s="51"/>
      <c r="V182" s="51"/>
      <c r="W182" s="51"/>
      <c r="X182" s="51"/>
      <c r="Y182" s="51"/>
      <c r="Z182" s="51"/>
      <c r="AA182" s="51"/>
    </row>
    <row r="183" ht="22" customHeight="1">
      <c r="A183" s="49" t="str">
        <v>Data Center and AI - recast</v>
      </c>
      <c r="B183" s="3"/>
      <c r="C183" s="51"/>
      <c r="D183" s="51"/>
      <c r="E183" s="51"/>
      <c r="F183" s="51"/>
      <c r="G183" s="51"/>
      <c r="H183" s="51" t="n">
        <v>8595</v>
      </c>
      <c r="I183" s="51"/>
      <c r="J183" s="51"/>
      <c r="K183" s="51"/>
      <c r="L183" s="51"/>
      <c r="M183" s="51"/>
      <c r="N183" s="51"/>
      <c r="O183" s="51"/>
      <c r="P183" s="51"/>
      <c r="Q183" s="51"/>
      <c r="R183" s="51"/>
      <c r="S183" s="51"/>
      <c r="T183" s="51"/>
      <c r="U183" s="51"/>
      <c r="V183" s="51"/>
      <c r="W183" s="51"/>
      <c r="X183" s="51"/>
      <c r="Y183" s="51"/>
      <c r="Z183" s="51"/>
      <c r="AA183" s="51"/>
    </row>
    <row r="184" ht="22" customHeight="1">
      <c r="A184" s="49" t="str">
        <v>Internet of Things Group - previously reported</v>
      </c>
      <c r="B184" s="3"/>
      <c r="C184" s="51"/>
      <c r="D184" s="51"/>
      <c r="E184" s="51"/>
      <c r="F184" s="51"/>
      <c r="G184" s="51"/>
      <c r="H184" s="51" t="n">
        <v>1591</v>
      </c>
      <c r="I184" s="51"/>
      <c r="J184" s="51"/>
      <c r="K184" s="51"/>
      <c r="L184" s="51"/>
      <c r="M184" s="51"/>
      <c r="N184" s="51"/>
      <c r="O184" s="51"/>
      <c r="P184" s="51"/>
      <c r="Q184" s="51"/>
      <c r="R184" s="51"/>
      <c r="S184" s="51"/>
      <c r="T184" s="51"/>
      <c r="U184" s="51"/>
      <c r="V184" s="51"/>
      <c r="W184" s="51"/>
      <c r="X184" s="51"/>
      <c r="Y184" s="51"/>
      <c r="Z184" s="51"/>
      <c r="AA184" s="51"/>
    </row>
    <row r="185" ht="22" customHeight="1">
      <c r="A185" s="49" t="str">
        <v>Internet of Things Group - reallocation transfers out</v>
      </c>
      <c r="B185" s="3"/>
      <c r="C185" s="51"/>
      <c r="D185" s="51"/>
      <c r="E185" s="51"/>
      <c r="F185" s="51"/>
      <c r="G185" s="51"/>
      <c r="H185" s="51" t="n">
        <v>-1591</v>
      </c>
      <c r="I185" s="51"/>
      <c r="J185" s="51"/>
      <c r="K185" s="51"/>
      <c r="L185" s="51"/>
      <c r="M185" s="51"/>
      <c r="N185" s="51"/>
      <c r="O185" s="51"/>
      <c r="P185" s="51"/>
      <c r="Q185" s="51"/>
      <c r="R185" s="51"/>
      <c r="S185" s="51"/>
      <c r="T185" s="51"/>
      <c r="U185" s="51"/>
      <c r="V185" s="51"/>
      <c r="W185" s="51"/>
      <c r="X185" s="51"/>
      <c r="Y185" s="51"/>
      <c r="Z185" s="51"/>
      <c r="AA185" s="51"/>
    </row>
    <row r="186" ht="22" customHeight="1">
      <c r="A186" s="49" t="str">
        <v>Internet of Things Group - reallocation transfers in</v>
      </c>
      <c r="B186" s="3"/>
      <c r="C186" s="51"/>
      <c r="D186" s="51"/>
      <c r="E186" s="51"/>
      <c r="F186" s="51"/>
      <c r="G186" s="51"/>
      <c r="H186" s="51" t="n">
        <v>0</v>
      </c>
      <c r="I186" s="51"/>
      <c r="J186" s="51"/>
      <c r="K186" s="51"/>
      <c r="L186" s="51"/>
      <c r="M186" s="51"/>
      <c r="N186" s="51"/>
      <c r="O186" s="51"/>
      <c r="P186" s="51"/>
      <c r="Q186" s="51"/>
      <c r="R186" s="51"/>
      <c r="S186" s="51"/>
      <c r="T186" s="51"/>
      <c r="U186" s="51"/>
      <c r="V186" s="51"/>
      <c r="W186" s="51"/>
      <c r="X186" s="51"/>
      <c r="Y186" s="51"/>
      <c r="Z186" s="51"/>
      <c r="AA186" s="51"/>
    </row>
    <row r="187" ht="22" customHeight="1">
      <c r="A187" s="49" t="str">
        <v>Internet of Things Group - recast</v>
      </c>
      <c r="B187" s="3"/>
      <c r="C187" s="51"/>
      <c r="D187" s="51"/>
      <c r="E187" s="51"/>
      <c r="F187" s="51"/>
      <c r="G187" s="51"/>
      <c r="H187" s="51" t="n">
        <v>0</v>
      </c>
      <c r="I187" s="51"/>
      <c r="J187" s="51"/>
      <c r="K187" s="51"/>
      <c r="L187" s="51"/>
      <c r="M187" s="51"/>
      <c r="N187" s="51"/>
      <c r="O187" s="51"/>
      <c r="P187" s="51"/>
      <c r="Q187" s="51"/>
      <c r="R187" s="51"/>
      <c r="S187" s="51"/>
      <c r="T187" s="51"/>
      <c r="U187" s="51"/>
      <c r="V187" s="51"/>
      <c r="W187" s="51"/>
      <c r="X187" s="51"/>
      <c r="Y187" s="51"/>
      <c r="Z187" s="51"/>
      <c r="AA187" s="51"/>
    </row>
    <row r="188" ht="22" customHeight="1">
      <c r="A188" s="49" t="str">
        <v>Network and Edge - previously reported</v>
      </c>
      <c r="B188" s="3"/>
      <c r="C188" s="51"/>
      <c r="D188" s="51"/>
      <c r="E188" s="51"/>
      <c r="F188" s="51"/>
      <c r="G188" s="51"/>
      <c r="H188" s="51" t="n">
        <v>0</v>
      </c>
      <c r="I188" s="51"/>
      <c r="J188" s="51"/>
      <c r="K188" s="51"/>
      <c r="L188" s="51"/>
      <c r="M188" s="51"/>
      <c r="N188" s="51"/>
      <c r="O188" s="51"/>
      <c r="P188" s="51"/>
      <c r="Q188" s="51"/>
      <c r="R188" s="51"/>
      <c r="S188" s="51"/>
      <c r="T188" s="51"/>
      <c r="U188" s="51"/>
      <c r="V188" s="51"/>
      <c r="W188" s="51"/>
      <c r="X188" s="51"/>
      <c r="Y188" s="51"/>
      <c r="Z188" s="51"/>
      <c r="AA188" s="51"/>
    </row>
    <row r="189" ht="22" customHeight="1">
      <c r="A189" s="49" t="str">
        <v>Network and Edge - reallocation transfers out</v>
      </c>
      <c r="B189" s="3"/>
      <c r="C189" s="51"/>
      <c r="D189" s="51"/>
      <c r="E189" s="51"/>
      <c r="F189" s="51"/>
      <c r="G189" s="51"/>
      <c r="H189" s="51" t="n">
        <v>0</v>
      </c>
      <c r="I189" s="51"/>
      <c r="J189" s="51"/>
      <c r="K189" s="51"/>
      <c r="L189" s="51"/>
      <c r="M189" s="51"/>
      <c r="N189" s="51"/>
      <c r="O189" s="51"/>
      <c r="P189" s="51"/>
      <c r="Q189" s="51"/>
      <c r="R189" s="51"/>
      <c r="S189" s="51"/>
      <c r="T189" s="51"/>
      <c r="U189" s="51"/>
      <c r="V189" s="51"/>
      <c r="W189" s="51"/>
      <c r="X189" s="51"/>
      <c r="Y189" s="51"/>
      <c r="Z189" s="51"/>
      <c r="AA189" s="51"/>
    </row>
    <row r="190" ht="22" customHeight="1">
      <c r="A190" s="49" t="str">
        <v>Network and Edge - reallocation transfers in</v>
      </c>
      <c r="B190" s="3"/>
      <c r="C190" s="51"/>
      <c r="D190" s="51"/>
      <c r="E190" s="51"/>
      <c r="F190" s="51"/>
      <c r="G190" s="51"/>
      <c r="H190" s="51" t="n">
        <v>2774</v>
      </c>
      <c r="I190" s="51"/>
      <c r="J190" s="51"/>
      <c r="K190" s="51"/>
      <c r="L190" s="51"/>
      <c r="M190" s="51"/>
      <c r="N190" s="51"/>
      <c r="O190" s="51"/>
      <c r="P190" s="51"/>
      <c r="Q190" s="51"/>
      <c r="R190" s="51"/>
      <c r="S190" s="51"/>
      <c r="T190" s="51"/>
      <c r="U190" s="51"/>
      <c r="V190" s="51"/>
      <c r="W190" s="51"/>
      <c r="X190" s="51"/>
      <c r="Y190" s="51"/>
      <c r="Z190" s="51"/>
      <c r="AA190" s="51"/>
    </row>
    <row r="191" ht="22" customHeight="1">
      <c r="A191" s="49" t="str">
        <v>Network and Edge - recast</v>
      </c>
      <c r="B191" s="3"/>
      <c r="C191" s="51"/>
      <c r="D191" s="51"/>
      <c r="E191" s="51"/>
      <c r="F191" s="51"/>
      <c r="G191" s="51"/>
      <c r="H191" s="51" t="n">
        <v>2774</v>
      </c>
      <c r="I191" s="51"/>
      <c r="J191" s="51"/>
      <c r="K191" s="51"/>
      <c r="L191" s="51"/>
      <c r="M191" s="51"/>
      <c r="N191" s="51"/>
      <c r="O191" s="51"/>
      <c r="P191" s="51"/>
      <c r="Q191" s="51"/>
      <c r="R191" s="51"/>
      <c r="S191" s="51"/>
      <c r="T191" s="51"/>
      <c r="U191" s="51"/>
      <c r="V191" s="51"/>
      <c r="W191" s="51"/>
      <c r="X191" s="51"/>
      <c r="Y191" s="51"/>
      <c r="Z191" s="51"/>
      <c r="AA191" s="51"/>
    </row>
    <row r="192" ht="22" customHeight="1">
      <c r="A192" s="49" t="str">
        <v>Mobileye - previously reported</v>
      </c>
      <c r="B192" s="3"/>
      <c r="C192" s="51"/>
      <c r="D192" s="51"/>
      <c r="E192" s="51"/>
      <c r="F192" s="51"/>
      <c r="G192" s="51"/>
      <c r="H192" s="51" t="n">
        <v>10928</v>
      </c>
      <c r="I192" s="51"/>
      <c r="J192" s="51"/>
      <c r="K192" s="51"/>
      <c r="L192" s="51"/>
      <c r="M192" s="51"/>
      <c r="N192" s="51"/>
      <c r="O192" s="51"/>
      <c r="P192" s="51"/>
      <c r="Q192" s="51"/>
      <c r="R192" s="51"/>
      <c r="S192" s="51"/>
      <c r="T192" s="51"/>
      <c r="U192" s="51"/>
      <c r="V192" s="51"/>
      <c r="W192" s="51"/>
      <c r="X192" s="51"/>
      <c r="Y192" s="51"/>
      <c r="Z192" s="51"/>
      <c r="AA192" s="51"/>
    </row>
    <row r="193" ht="22" customHeight="1">
      <c r="A193" s="49" t="str">
        <v>Mobileye - reallocation transfers out</v>
      </c>
      <c r="B193" s="3"/>
      <c r="C193" s="51"/>
      <c r="D193" s="51"/>
      <c r="E193" s="51"/>
      <c r="F193" s="51"/>
      <c r="G193" s="51"/>
      <c r="H193" s="51" t="n">
        <v>0</v>
      </c>
      <c r="I193" s="51"/>
      <c r="J193" s="51"/>
      <c r="K193" s="51"/>
      <c r="L193" s="51"/>
      <c r="M193" s="51"/>
      <c r="N193" s="51"/>
      <c r="O193" s="51"/>
      <c r="P193" s="51"/>
      <c r="Q193" s="51"/>
      <c r="R193" s="51"/>
      <c r="S193" s="51"/>
      <c r="T193" s="51"/>
      <c r="U193" s="51"/>
      <c r="V193" s="51"/>
      <c r="W193" s="51"/>
      <c r="X193" s="51"/>
      <c r="Y193" s="51"/>
      <c r="Z193" s="51"/>
      <c r="AA193" s="51"/>
    </row>
    <row r="194" ht="22" customHeight="1">
      <c r="A194" s="49" t="str">
        <v>Mobileye - reallocation transfers in</v>
      </c>
      <c r="B194" s="3"/>
      <c r="C194" s="51"/>
      <c r="D194" s="51"/>
      <c r="E194" s="51"/>
      <c r="F194" s="51"/>
      <c r="G194" s="51"/>
      <c r="H194" s="51" t="n">
        <v>0</v>
      </c>
      <c r="I194" s="51"/>
      <c r="J194" s="51"/>
      <c r="K194" s="51"/>
      <c r="L194" s="51"/>
      <c r="M194" s="51"/>
      <c r="N194" s="51"/>
      <c r="O194" s="51"/>
      <c r="P194" s="51"/>
      <c r="Q194" s="51"/>
      <c r="R194" s="51"/>
      <c r="S194" s="51"/>
      <c r="T194" s="51"/>
      <c r="U194" s="51"/>
      <c r="V194" s="51"/>
      <c r="W194" s="51"/>
      <c r="X194" s="51"/>
      <c r="Y194" s="51"/>
      <c r="Z194" s="51"/>
      <c r="AA194" s="51"/>
    </row>
    <row r="195" ht="22" customHeight="1">
      <c r="A195" s="49" t="str">
        <v>Mobileye - recast</v>
      </c>
      <c r="B195" s="3"/>
      <c r="C195" s="51"/>
      <c r="D195" s="51"/>
      <c r="E195" s="51"/>
      <c r="F195" s="51"/>
      <c r="G195" s="51"/>
      <c r="H195" s="51" t="n">
        <v>10928</v>
      </c>
      <c r="I195" s="51"/>
      <c r="J195" s="51"/>
      <c r="K195" s="51"/>
      <c r="L195" s="51"/>
      <c r="M195" s="51"/>
      <c r="N195" s="51"/>
      <c r="O195" s="51"/>
      <c r="P195" s="51"/>
      <c r="Q195" s="51"/>
      <c r="R195" s="51"/>
      <c r="S195" s="51"/>
      <c r="T195" s="51"/>
      <c r="U195" s="51"/>
      <c r="V195" s="51"/>
      <c r="W195" s="51"/>
      <c r="X195" s="51"/>
      <c r="Y195" s="51"/>
      <c r="Z195" s="51"/>
      <c r="AA195" s="51"/>
    </row>
    <row r="196" ht="36" customHeight="1">
      <c r="A196" s="49" t="str">
        <v>Accelerated Computing Systems and Graphics - previously reported</v>
      </c>
      <c r="B196" s="3"/>
      <c r="C196" s="51"/>
      <c r="D196" s="51"/>
      <c r="E196" s="51"/>
      <c r="F196" s="51"/>
      <c r="G196" s="51"/>
      <c r="H196" s="51" t="n">
        <v>0</v>
      </c>
      <c r="I196" s="51"/>
      <c r="J196" s="51"/>
      <c r="K196" s="51"/>
      <c r="L196" s="51"/>
      <c r="M196" s="51"/>
      <c r="N196" s="51"/>
      <c r="O196" s="51"/>
      <c r="P196" s="51"/>
      <c r="Q196" s="51"/>
      <c r="R196" s="51"/>
      <c r="S196" s="51"/>
      <c r="T196" s="51"/>
      <c r="U196" s="51"/>
      <c r="V196" s="51"/>
      <c r="W196" s="51"/>
      <c r="X196" s="51"/>
      <c r="Y196" s="51"/>
      <c r="Z196" s="51"/>
      <c r="AA196" s="51"/>
    </row>
    <row r="197" ht="36" customHeight="1">
      <c r="A197" s="49" t="str">
        <v>Accelerated Computing Systems and Graphics - reallocation transfers out</v>
      </c>
      <c r="B197" s="3"/>
      <c r="C197" s="51"/>
      <c r="D197" s="51"/>
      <c r="E197" s="51"/>
      <c r="F197" s="51"/>
      <c r="G197" s="51"/>
      <c r="H197" s="51" t="n">
        <v>0</v>
      </c>
      <c r="I197" s="51"/>
      <c r="J197" s="51"/>
      <c r="K197" s="51"/>
      <c r="L197" s="51"/>
      <c r="M197" s="51"/>
      <c r="N197" s="51"/>
      <c r="O197" s="51"/>
      <c r="P197" s="51"/>
      <c r="Q197" s="51"/>
      <c r="R197" s="51"/>
      <c r="S197" s="51"/>
      <c r="T197" s="51"/>
      <c r="U197" s="51"/>
      <c r="V197" s="51"/>
      <c r="W197" s="51"/>
      <c r="X197" s="51"/>
      <c r="Y197" s="51"/>
      <c r="Z197" s="51"/>
      <c r="AA197" s="51"/>
    </row>
    <row r="198" ht="36" customHeight="1">
      <c r="A198" s="49" t="str">
        <v>Accelerated Computing Systems and Graphics - reallocation transfers in</v>
      </c>
      <c r="B198" s="3"/>
      <c r="C198" s="51"/>
      <c r="D198" s="51"/>
      <c r="E198" s="51"/>
      <c r="F198" s="51"/>
      <c r="G198" s="51"/>
      <c r="H198" s="51" t="n">
        <v>429</v>
      </c>
      <c r="I198" s="51"/>
      <c r="J198" s="51"/>
      <c r="K198" s="51"/>
      <c r="L198" s="51"/>
      <c r="M198" s="51"/>
      <c r="N198" s="51"/>
      <c r="O198" s="51"/>
      <c r="P198" s="51"/>
      <c r="Q198" s="51"/>
      <c r="R198" s="51"/>
      <c r="S198" s="51"/>
      <c r="T198" s="51"/>
      <c r="U198" s="51"/>
      <c r="V198" s="51"/>
      <c r="W198" s="51"/>
      <c r="X198" s="51"/>
      <c r="Y198" s="51"/>
      <c r="Z198" s="51"/>
      <c r="AA198" s="51"/>
    </row>
    <row r="199" ht="22" customHeight="1">
      <c r="A199" s="49" t="str">
        <v>Accelerated Computing Systems and Graphics - recast</v>
      </c>
      <c r="B199" s="3"/>
      <c r="C199" s="51"/>
      <c r="D199" s="51"/>
      <c r="E199" s="51"/>
      <c r="F199" s="51"/>
      <c r="G199" s="51"/>
      <c r="H199" s="51" t="n">
        <v>429</v>
      </c>
      <c r="I199" s="51"/>
      <c r="J199" s="51"/>
      <c r="K199" s="51"/>
      <c r="L199" s="51"/>
      <c r="M199" s="51"/>
      <c r="N199" s="51"/>
      <c r="O199" s="51"/>
      <c r="P199" s="51"/>
      <c r="Q199" s="51"/>
      <c r="R199" s="51"/>
      <c r="S199" s="51"/>
      <c r="T199" s="51"/>
      <c r="U199" s="51"/>
      <c r="V199" s="51"/>
      <c r="W199" s="51"/>
      <c r="X199" s="51"/>
      <c r="Y199" s="51"/>
      <c r="Z199" s="51"/>
      <c r="AA199" s="51"/>
    </row>
    <row r="200" ht="22" customHeight="1">
      <c r="A200" s="49" t="str">
        <v>Programmable Solutions Group - previously reported</v>
      </c>
      <c r="B200" s="3"/>
      <c r="C200" s="51"/>
      <c r="D200" s="51"/>
      <c r="E200" s="51"/>
      <c r="F200" s="51"/>
      <c r="G200" s="51"/>
      <c r="H200" s="51" t="n">
        <v>2656</v>
      </c>
      <c r="I200" s="51"/>
      <c r="J200" s="51"/>
      <c r="K200" s="51"/>
      <c r="L200" s="51"/>
      <c r="M200" s="51"/>
      <c r="N200" s="51"/>
      <c r="O200" s="51"/>
      <c r="P200" s="51"/>
      <c r="Q200" s="51"/>
      <c r="R200" s="51"/>
      <c r="S200" s="51"/>
      <c r="T200" s="51"/>
      <c r="U200" s="51"/>
      <c r="V200" s="51"/>
      <c r="W200" s="51"/>
      <c r="X200" s="51"/>
      <c r="Y200" s="51"/>
      <c r="Z200" s="51"/>
      <c r="AA200" s="51"/>
    </row>
    <row r="201" ht="22" customHeight="1">
      <c r="A201" s="49" t="str">
        <v>Programmable Solutions Group - reallocation transfers out</v>
      </c>
      <c r="B201" s="3"/>
      <c r="C201" s="51"/>
      <c r="D201" s="51"/>
      <c r="E201" s="51"/>
      <c r="F201" s="51"/>
      <c r="G201" s="51"/>
      <c r="H201" s="51" t="n">
        <v>-2656</v>
      </c>
      <c r="I201" s="51"/>
      <c r="J201" s="51"/>
      <c r="K201" s="51"/>
      <c r="L201" s="51"/>
      <c r="M201" s="51"/>
      <c r="N201" s="51"/>
      <c r="O201" s="51"/>
      <c r="P201" s="51"/>
      <c r="Q201" s="51"/>
      <c r="R201" s="51"/>
      <c r="S201" s="51"/>
      <c r="T201" s="51"/>
      <c r="U201" s="51"/>
      <c r="V201" s="51"/>
      <c r="W201" s="51"/>
      <c r="X201" s="51"/>
      <c r="Y201" s="51"/>
      <c r="Z201" s="51"/>
      <c r="AA201" s="51"/>
    </row>
    <row r="202" ht="22" customHeight="1">
      <c r="A202" s="49" t="str">
        <v>Programmable Solutions Group - reallocation transfers in</v>
      </c>
      <c r="B202" s="3"/>
      <c r="C202" s="51"/>
      <c r="D202" s="51"/>
      <c r="E202" s="51"/>
      <c r="F202" s="51"/>
      <c r="G202" s="51"/>
      <c r="H202" s="51" t="n">
        <v>0</v>
      </c>
      <c r="I202" s="51"/>
      <c r="J202" s="51"/>
      <c r="K202" s="51"/>
      <c r="L202" s="51"/>
      <c r="M202" s="51"/>
      <c r="N202" s="51"/>
      <c r="O202" s="51"/>
      <c r="P202" s="51"/>
      <c r="Q202" s="51"/>
      <c r="R202" s="51"/>
      <c r="S202" s="51"/>
      <c r="T202" s="51"/>
      <c r="U202" s="51"/>
      <c r="V202" s="51"/>
      <c r="W202" s="51"/>
      <c r="X202" s="51"/>
      <c r="Y202" s="51"/>
      <c r="Z202" s="51"/>
      <c r="AA202" s="51"/>
    </row>
    <row r="203" ht="22" customHeight="1">
      <c r="A203" s="49" t="str">
        <v>Programmable Solutions Group - recast</v>
      </c>
      <c r="B203" s="3"/>
      <c r="C203" s="51"/>
      <c r="D203" s="51"/>
      <c r="E203" s="51"/>
      <c r="F203" s="51"/>
      <c r="G203" s="51"/>
      <c r="H203" s="51" t="n">
        <v>0</v>
      </c>
      <c r="I203" s="51"/>
      <c r="J203" s="51"/>
      <c r="K203" s="51"/>
      <c r="L203" s="51"/>
      <c r="M203" s="51"/>
      <c r="N203" s="51"/>
      <c r="O203" s="51"/>
      <c r="P203" s="51"/>
      <c r="Q203" s="51"/>
      <c r="R203" s="51"/>
      <c r="S203" s="51"/>
      <c r="T203" s="51"/>
      <c r="U203" s="51"/>
      <c r="V203" s="51"/>
      <c r="W203" s="51"/>
      <c r="X203" s="51"/>
      <c r="Y203" s="51"/>
      <c r="Z203" s="51"/>
      <c r="AA203" s="51"/>
    </row>
    <row r="204" ht="24" customHeight="1">
      <c r="A204" s="34" t="str">
        <v>Total - previously reported</v>
      </c>
      <c r="B204" s="35"/>
      <c r="C204" s="36"/>
      <c r="D204" s="36"/>
      <c r="E204" s="36"/>
      <c r="F204" s="36"/>
      <c r="G204" s="36"/>
      <c r="H204" s="36" t="n">
        <v>26963</v>
      </c>
      <c r="I204" s="36"/>
      <c r="J204" s="36"/>
      <c r="K204" s="36"/>
      <c r="L204" s="36"/>
      <c r="M204" s="36"/>
      <c r="N204" s="36"/>
      <c r="O204" s="36"/>
      <c r="P204" s="36"/>
      <c r="Q204" s="36"/>
      <c r="R204" s="36"/>
      <c r="S204" s="36"/>
      <c r="T204" s="36"/>
      <c r="U204" s="36"/>
      <c r="V204" s="36"/>
      <c r="W204" s="36"/>
      <c r="X204" s="36"/>
      <c r="Y204" s="36"/>
      <c r="Z204" s="36"/>
      <c r="AA204" s="36"/>
    </row>
    <row r="205" ht="24" customHeight="1">
      <c r="A205" s="34" t="str">
        <v>Total - reallocation transfers out</v>
      </c>
      <c r="B205" s="35"/>
      <c r="C205" s="36"/>
      <c r="D205" s="36"/>
      <c r="E205" s="36"/>
      <c r="F205" s="36"/>
      <c r="G205" s="36"/>
      <c r="H205" s="36" t="n">
        <v>-11877</v>
      </c>
      <c r="I205" s="36"/>
      <c r="J205" s="36"/>
      <c r="K205" s="36"/>
      <c r="L205" s="36"/>
      <c r="M205" s="36"/>
      <c r="N205" s="36"/>
      <c r="O205" s="36"/>
      <c r="P205" s="36"/>
      <c r="Q205" s="36"/>
      <c r="R205" s="36"/>
      <c r="S205" s="36"/>
      <c r="T205" s="36"/>
      <c r="U205" s="36"/>
      <c r="V205" s="36"/>
      <c r="W205" s="36"/>
      <c r="X205" s="36"/>
      <c r="Y205" s="36"/>
      <c r="Z205" s="36"/>
      <c r="AA205" s="36"/>
    </row>
    <row r="206" ht="24" customHeight="1">
      <c r="A206" s="34" t="str">
        <v>Total - reallocation transfers in</v>
      </c>
      <c r="B206" s="35"/>
      <c r="C206" s="36"/>
      <c r="D206" s="36"/>
      <c r="E206" s="36"/>
      <c r="F206" s="36"/>
      <c r="G206" s="36"/>
      <c r="H206" s="36" t="n">
        <v>11877</v>
      </c>
      <c r="I206" s="36"/>
      <c r="J206" s="36"/>
      <c r="K206" s="36"/>
      <c r="L206" s="36"/>
      <c r="M206" s="36"/>
      <c r="N206" s="36"/>
      <c r="O206" s="36"/>
      <c r="P206" s="36"/>
      <c r="Q206" s="36"/>
      <c r="R206" s="36"/>
      <c r="S206" s="36"/>
      <c r="T206" s="36"/>
      <c r="U206" s="36"/>
      <c r="V206" s="36"/>
      <c r="W206" s="36"/>
      <c r="X206" s="36"/>
      <c r="Y206" s="36"/>
      <c r="Z206" s="36"/>
      <c r="AA206" s="36"/>
    </row>
    <row r="207" ht="24" customHeight="1">
      <c r="A207" s="34" t="str">
        <v>Total - recast</v>
      </c>
      <c r="B207" s="35"/>
      <c r="C207" s="36"/>
      <c r="D207" s="36"/>
      <c r="E207" s="36"/>
      <c r="F207" s="36"/>
      <c r="G207" s="36"/>
      <c r="H207" s="36" t="n">
        <v>26963</v>
      </c>
      <c r="I207" s="36"/>
      <c r="J207" s="36"/>
      <c r="K207" s="36"/>
      <c r="L207" s="36"/>
      <c r="M207" s="36"/>
      <c r="N207" s="36"/>
      <c r="O207" s="36"/>
      <c r="P207" s="36"/>
      <c r="Q207" s="36"/>
      <c r="R207" s="36"/>
      <c r="S207" s="36"/>
      <c r="T207" s="36"/>
      <c r="U207" s="36"/>
      <c r="V207" s="36"/>
      <c r="W207" s="36"/>
      <c r="X207" s="36"/>
      <c r="Y207" s="36"/>
      <c r="Z207" s="36"/>
      <c r="AA207" s="36"/>
    </row>
    <row r="208" ht="8"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22" customHeight="1">
      <c r="A209" s="21" t="str">
        <v>Identified intangibles: gross carrying amount</v>
      </c>
      <c r="B209" s="21" t="str">
        <v>Identified intangibles: gross carrying amount</v>
      </c>
      <c r="C209" s="21" t="str">
        <v>Identified intangibles: gross carrying amount</v>
      </c>
      <c r="D209" s="21" t="str">
        <v>Identified intangibles: gross carrying amount</v>
      </c>
      <c r="E209" s="21" t="str">
        <v>Identified intangibles: gross carrying amount</v>
      </c>
      <c r="F209" s="21" t="str">
        <v>Identified intangibles: gross carrying amount</v>
      </c>
      <c r="G209" s="21" t="str">
        <v>Identified intangibles: gross carrying amount</v>
      </c>
      <c r="H209" s="21" t="str">
        <v>Identified intangibles: gross carrying amount</v>
      </c>
      <c r="I209" s="21" t="str">
        <v>Identified intangibles: gross carrying amount</v>
      </c>
      <c r="J209" s="21" t="str">
        <v>Identified intangibles: gross carrying amount</v>
      </c>
      <c r="K209" s="21" t="str">
        <v>Identified intangibles: gross carrying amount</v>
      </c>
      <c r="L209" s="21" t="str">
        <v>Identified intangibles: gross carrying amount</v>
      </c>
      <c r="M209" s="21" t="str">
        <v>Identified intangibles: gross carrying amount</v>
      </c>
      <c r="N209" s="21" t="str">
        <v>Identified intangibles: gross carrying amount</v>
      </c>
      <c r="O209" s="21" t="str">
        <v>Identified intangibles: gross carrying amount</v>
      </c>
      <c r="P209" s="21" t="str">
        <v>Identified intangibles: gross carrying amount</v>
      </c>
      <c r="Q209" s="21" t="str">
        <v>Identified intangibles: gross carrying amount</v>
      </c>
      <c r="R209" s="21" t="str">
        <v>Identified intangibles: gross carrying amount</v>
      </c>
      <c r="S209" s="21" t="str">
        <v>Identified intangibles: gross carrying amount</v>
      </c>
      <c r="T209" s="21" t="str">
        <v>Identified intangibles: gross carrying amount</v>
      </c>
      <c r="U209" s="21" t="str">
        <v>Identified intangibles: gross carrying amount</v>
      </c>
      <c r="V209" s="21" t="str">
        <v>Identified intangibles: gross carrying amount</v>
      </c>
      <c r="W209" s="21" t="str">
        <v>Identified intangibles: gross carrying amount</v>
      </c>
      <c r="X209" s="21" t="str">
        <v>Identified intangibles: gross carrying amount</v>
      </c>
      <c r="Y209" s="21" t="str">
        <v>Identified intangibles: gross carrying amount</v>
      </c>
      <c r="Z209" s="21" t="str">
        <v>Identified intangibles: gross carrying amount</v>
      </c>
      <c r="AA209" s="21" t="str">
        <v>Identified intangibles: gross carrying amount</v>
      </c>
    </row>
    <row r="210" ht="22" customHeight="1">
      <c r="A210" s="49" t="str">
        <v>Developed technology</v>
      </c>
      <c r="B210" s="3"/>
      <c r="C210" s="51"/>
      <c r="D210" s="51"/>
      <c r="E210" s="51" t="n">
        <v>9611</v>
      </c>
      <c r="F210" s="51" t="n">
        <v>9407</v>
      </c>
      <c r="G210" s="51" t="n">
        <v>10188</v>
      </c>
      <c r="H210" s="51" t="n">
        <v>11102</v>
      </c>
      <c r="I210" s="51" t="n">
        <v>10964</v>
      </c>
      <c r="J210" s="51" t="n">
        <v>10520</v>
      </c>
      <c r="K210" s="51" t="n">
        <v>8007</v>
      </c>
      <c r="L210" s="51" t="n">
        <v>3853</v>
      </c>
      <c r="M210" s="51"/>
      <c r="N210" s="51"/>
      <c r="O210" s="51"/>
      <c r="P210" s="51"/>
      <c r="Q210" s="51"/>
      <c r="R210" s="51"/>
      <c r="S210" s="51"/>
      <c r="T210" s="51"/>
      <c r="U210" s="51"/>
      <c r="V210" s="51"/>
      <c r="W210" s="51"/>
      <c r="X210" s="51"/>
      <c r="Y210" s="51"/>
      <c r="Z210" s="51"/>
      <c r="AA210" s="51"/>
    </row>
    <row r="211" ht="22" customHeight="1">
      <c r="A211" s="49" t="str">
        <v>Customer relationships and brands</v>
      </c>
      <c r="B211" s="3"/>
      <c r="C211" s="51"/>
      <c r="D211" s="51"/>
      <c r="E211" s="51" t="n">
        <v>2179</v>
      </c>
      <c r="F211" s="51" t="n">
        <v>2160</v>
      </c>
      <c r="G211" s="51" t="n">
        <v>2110</v>
      </c>
      <c r="H211" s="51" t="n">
        <v>2110</v>
      </c>
      <c r="I211" s="51" t="n">
        <v>1986</v>
      </c>
      <c r="J211" s="51" t="n">
        <v>1986</v>
      </c>
      <c r="K211" s="51" t="n">
        <v>1907</v>
      </c>
      <c r="L211" s="51" t="n">
        <v>808</v>
      </c>
      <c r="M211" s="51"/>
      <c r="N211" s="51"/>
      <c r="O211" s="51"/>
      <c r="P211" s="51"/>
      <c r="Q211" s="51"/>
      <c r="R211" s="51"/>
      <c r="S211" s="51"/>
      <c r="T211" s="51"/>
      <c r="U211" s="51"/>
      <c r="V211" s="51"/>
      <c r="W211" s="51"/>
      <c r="X211" s="51"/>
      <c r="Y211" s="51"/>
      <c r="Z211" s="51"/>
      <c r="AA211" s="51"/>
    </row>
    <row r="212" ht="22" customHeight="1">
      <c r="A212" s="49" t="str">
        <v>Acquisition-related developed technology</v>
      </c>
      <c r="B212" s="3"/>
      <c r="C212" s="51" t="n">
        <v>7405</v>
      </c>
      <c r="D212" s="51" t="n">
        <v>8912</v>
      </c>
      <c r="E212" s="51" t="n">
        <v>9611</v>
      </c>
      <c r="F212" s="51"/>
      <c r="G212" s="51"/>
      <c r="H212" s="51"/>
      <c r="I212" s="51"/>
      <c r="J212" s="51"/>
      <c r="K212" s="51"/>
      <c r="L212" s="51"/>
      <c r="M212" s="51"/>
      <c r="N212" s="51"/>
      <c r="O212" s="51"/>
      <c r="P212" s="51"/>
      <c r="Q212" s="51"/>
      <c r="R212" s="51"/>
      <c r="S212" s="51"/>
      <c r="T212" s="51"/>
      <c r="U212" s="51"/>
      <c r="V212" s="51"/>
      <c r="W212" s="51"/>
      <c r="X212" s="51"/>
      <c r="Y212" s="51"/>
      <c r="Z212" s="51"/>
      <c r="AA212" s="51"/>
    </row>
    <row r="213" ht="22" customHeight="1">
      <c r="A213" s="49" t="str">
        <v>Acquisition-related customer relationships</v>
      </c>
      <c r="B213" s="3"/>
      <c r="C213" s="51" t="n">
        <v>1449</v>
      </c>
      <c r="D213" s="51" t="n">
        <v>2052</v>
      </c>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ht="22" customHeight="1">
      <c r="A214" s="49" t="str">
        <v>Acquisition-related brands</v>
      </c>
      <c r="B214" s="3"/>
      <c r="C214" s="51" t="n">
        <v>87</v>
      </c>
      <c r="D214" s="51" t="n">
        <v>143</v>
      </c>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ht="22" customHeight="1">
      <c r="A215" s="49" t="str">
        <v>Acquisition-related customer relationships and brands</v>
      </c>
      <c r="B215" s="3"/>
      <c r="C215" s="51"/>
      <c r="D215" s="51" t="n">
        <v>2195</v>
      </c>
      <c r="E215" s="51" t="n">
        <v>2179</v>
      </c>
      <c r="F215" s="51"/>
      <c r="G215" s="51"/>
      <c r="H215" s="51"/>
      <c r="I215" s="51"/>
      <c r="J215" s="51"/>
      <c r="K215" s="51"/>
      <c r="L215" s="51"/>
      <c r="M215" s="51"/>
      <c r="N215" s="51"/>
      <c r="O215" s="51"/>
      <c r="P215" s="51"/>
      <c r="Q215" s="51"/>
      <c r="R215" s="51"/>
      <c r="S215" s="51"/>
      <c r="T215" s="51"/>
      <c r="U215" s="51"/>
      <c r="V215" s="51"/>
      <c r="W215" s="51"/>
      <c r="X215" s="51"/>
      <c r="Y215" s="51"/>
      <c r="Z215" s="51"/>
      <c r="AA215" s="51"/>
    </row>
    <row r="216" ht="22" customHeight="1">
      <c r="A216" s="49" t="str">
        <v>Licensed technology and patents</v>
      </c>
      <c r="B216" s="3"/>
      <c r="C216" s="51" t="n">
        <v>3285</v>
      </c>
      <c r="D216" s="51" t="n">
        <v>3104</v>
      </c>
      <c r="E216" s="51" t="n">
        <v>2932</v>
      </c>
      <c r="F216" s="51" t="n">
        <v>2975</v>
      </c>
      <c r="G216" s="51" t="n">
        <v>2836</v>
      </c>
      <c r="H216" s="51" t="n">
        <v>2893</v>
      </c>
      <c r="I216" s="51" t="n">
        <v>3219</v>
      </c>
      <c r="J216" s="51" t="n">
        <v>3088</v>
      </c>
      <c r="K216" s="51" t="n">
        <v>3387</v>
      </c>
      <c r="L216" s="51"/>
      <c r="M216" s="51"/>
      <c r="N216" s="51"/>
      <c r="O216" s="51"/>
      <c r="P216" s="51"/>
      <c r="Q216" s="51"/>
      <c r="R216" s="51"/>
      <c r="S216" s="51"/>
      <c r="T216" s="51"/>
      <c r="U216" s="51"/>
      <c r="V216" s="51"/>
      <c r="W216" s="51"/>
      <c r="X216" s="51"/>
      <c r="Y216" s="51"/>
      <c r="Z216" s="51"/>
      <c r="AA216" s="51"/>
    </row>
    <row r="217" ht="22" customHeight="1">
      <c r="A217" s="49" t="str">
        <v>Identified intangible assets subject to amortization</v>
      </c>
      <c r="B217" s="3"/>
      <c r="C217" s="51" t="n">
        <v>12226</v>
      </c>
      <c r="D217" s="51" t="n">
        <v>14211</v>
      </c>
      <c r="E217" s="51" t="n">
        <v>14722</v>
      </c>
      <c r="F217" s="51"/>
      <c r="G217" s="51"/>
      <c r="H217" s="51"/>
      <c r="I217" s="51"/>
      <c r="J217" s="51"/>
      <c r="K217" s="51"/>
      <c r="L217" s="51"/>
      <c r="M217" s="51"/>
      <c r="N217" s="51"/>
      <c r="O217" s="51"/>
      <c r="P217" s="51"/>
      <c r="Q217" s="51"/>
      <c r="R217" s="51"/>
      <c r="S217" s="51"/>
      <c r="T217" s="51"/>
      <c r="U217" s="51"/>
      <c r="V217" s="51"/>
      <c r="W217" s="51"/>
      <c r="X217" s="51"/>
      <c r="Y217" s="51"/>
      <c r="Z217" s="51"/>
      <c r="AA217" s="51"/>
    </row>
    <row r="218" ht="22" customHeight="1">
      <c r="A218" s="49" t="str">
        <v>In-process research and development</v>
      </c>
      <c r="B218" s="3"/>
      <c r="C218" s="51" t="n">
        <v>808</v>
      </c>
      <c r="D218" s="51" t="n">
        <v>2168</v>
      </c>
      <c r="E218" s="51" t="n">
        <v>1497</v>
      </c>
      <c r="F218" s="51"/>
      <c r="G218" s="51"/>
      <c r="H218" s="51"/>
      <c r="I218" s="51"/>
      <c r="J218" s="51"/>
      <c r="K218" s="51"/>
      <c r="L218" s="51"/>
      <c r="M218" s="51"/>
      <c r="N218" s="51"/>
      <c r="O218" s="51"/>
      <c r="P218" s="51"/>
      <c r="Q218" s="51"/>
      <c r="R218" s="51"/>
      <c r="S218" s="51"/>
      <c r="T218" s="51"/>
      <c r="U218" s="51"/>
      <c r="V218" s="51"/>
      <c r="W218" s="51"/>
      <c r="X218" s="51"/>
      <c r="Y218" s="51"/>
      <c r="Z218" s="51"/>
      <c r="AA218" s="51"/>
    </row>
    <row r="219" ht="22" customHeight="1">
      <c r="A219" s="49" t="str">
        <v>Other intangible assets</v>
      </c>
      <c r="B219" s="3"/>
      <c r="C219" s="51"/>
      <c r="D219" s="51"/>
      <c r="E219" s="51" t="n">
        <v>571</v>
      </c>
      <c r="F219" s="51"/>
      <c r="G219" s="51"/>
      <c r="H219" s="51"/>
      <c r="I219" s="51"/>
      <c r="J219" s="51"/>
      <c r="K219" s="51"/>
      <c r="L219" s="51"/>
      <c r="M219" s="51"/>
      <c r="N219" s="51"/>
      <c r="O219" s="51"/>
      <c r="P219" s="51"/>
      <c r="Q219" s="51"/>
      <c r="R219" s="51"/>
      <c r="S219" s="51"/>
      <c r="T219" s="51"/>
      <c r="U219" s="51"/>
      <c r="V219" s="51"/>
      <c r="W219" s="51"/>
      <c r="X219" s="51"/>
      <c r="Y219" s="51"/>
      <c r="Z219" s="51"/>
      <c r="AA219" s="51"/>
    </row>
    <row r="220" ht="22" customHeight="1">
      <c r="A220" s="49" t="str">
        <v>Identified intangible assets not subject to amortization</v>
      </c>
      <c r="B220" s="3"/>
      <c r="C220" s="51" t="n">
        <v>808</v>
      </c>
      <c r="D220" s="51" t="n">
        <v>2168</v>
      </c>
      <c r="E220" s="51" t="n">
        <v>2068</v>
      </c>
      <c r="F220" s="51"/>
      <c r="G220" s="51"/>
      <c r="H220" s="51"/>
      <c r="I220" s="51"/>
      <c r="J220" s="51"/>
      <c r="K220" s="51"/>
      <c r="L220" s="51"/>
      <c r="M220" s="51"/>
      <c r="N220" s="51"/>
      <c r="O220" s="51"/>
      <c r="P220" s="51"/>
      <c r="Q220" s="51"/>
      <c r="R220" s="51"/>
      <c r="S220" s="51"/>
      <c r="T220" s="51"/>
      <c r="U220" s="51"/>
      <c r="V220" s="51"/>
      <c r="W220" s="51"/>
      <c r="X220" s="51"/>
      <c r="Y220" s="51"/>
      <c r="Z220" s="51"/>
      <c r="AA220" s="51"/>
    </row>
    <row r="221" ht="22" customHeight="1">
      <c r="A221" s="49" t="str">
        <v>In-process R&amp;D</v>
      </c>
      <c r="B221" s="3"/>
      <c r="C221" s="51"/>
      <c r="D221" s="51"/>
      <c r="E221" s="51" t="n">
        <v>1497</v>
      </c>
      <c r="F221" s="51" t="n">
        <v>1664</v>
      </c>
      <c r="G221" s="51" t="n">
        <v>954</v>
      </c>
      <c r="H221" s="51" t="n">
        <v>0</v>
      </c>
      <c r="I221" s="51"/>
      <c r="J221" s="51"/>
      <c r="K221" s="51"/>
      <c r="L221" s="51"/>
      <c r="M221" s="51"/>
      <c r="N221" s="51"/>
      <c r="O221" s="51"/>
      <c r="P221" s="51"/>
      <c r="Q221" s="51"/>
      <c r="R221" s="51"/>
      <c r="S221" s="51"/>
      <c r="T221" s="51"/>
      <c r="U221" s="51"/>
      <c r="V221" s="51"/>
      <c r="W221" s="51"/>
      <c r="X221" s="51"/>
      <c r="Y221" s="51"/>
      <c r="Z221" s="51"/>
      <c r="AA221" s="51"/>
    </row>
    <row r="222" ht="22" customHeight="1">
      <c r="A222" s="49" t="str">
        <v>Internal-use software</v>
      </c>
      <c r="B222" s="3"/>
      <c r="C222" s="51"/>
      <c r="D222" s="51"/>
      <c r="E222" s="51"/>
      <c r="F222" s="51"/>
      <c r="G222" s="51"/>
      <c r="H222" s="51"/>
      <c r="I222" s="51"/>
      <c r="J222" s="51" t="n">
        <v>0</v>
      </c>
      <c r="K222" s="51" t="n">
        <v>128</v>
      </c>
      <c r="L222" s="51"/>
      <c r="M222" s="51"/>
      <c r="N222" s="51"/>
      <c r="O222" s="51"/>
      <c r="P222" s="51"/>
      <c r="Q222" s="51"/>
      <c r="R222" s="51"/>
      <c r="S222" s="51"/>
      <c r="T222" s="51"/>
      <c r="U222" s="51"/>
      <c r="V222" s="51"/>
      <c r="W222" s="51"/>
      <c r="X222" s="51"/>
      <c r="Y222" s="51"/>
      <c r="Z222" s="51"/>
      <c r="AA222" s="51"/>
    </row>
    <row r="223" ht="22" customHeight="1">
      <c r="A223" s="49" t="str">
        <v>Other non-amortizing intangibles</v>
      </c>
      <c r="B223" s="3"/>
      <c r="C223" s="51"/>
      <c r="D223" s="51"/>
      <c r="E223" s="51" t="n">
        <v>571</v>
      </c>
      <c r="F223" s="51" t="n">
        <v>585</v>
      </c>
      <c r="G223" s="51" t="n">
        <v>301</v>
      </c>
      <c r="H223" s="51" t="n">
        <v>0</v>
      </c>
      <c r="I223" s="51" t="n">
        <v>0</v>
      </c>
      <c r="J223" s="51" t="n">
        <v>5</v>
      </c>
      <c r="K223" s="51" t="n">
        <v>4</v>
      </c>
      <c r="L223" s="51"/>
      <c r="M223" s="51"/>
      <c r="N223" s="51"/>
      <c r="O223" s="51"/>
      <c r="P223" s="51"/>
      <c r="Q223" s="51"/>
      <c r="R223" s="51"/>
      <c r="S223" s="51"/>
      <c r="T223" s="51"/>
      <c r="U223" s="51"/>
      <c r="V223" s="51"/>
      <c r="W223" s="51"/>
      <c r="X223" s="51"/>
      <c r="Y223" s="51"/>
      <c r="Z223" s="51"/>
      <c r="AA223" s="51"/>
    </row>
    <row r="224" ht="22" customHeight="1">
      <c r="A224" s="49" t="str">
        <v>Licensed technology, patents and other</v>
      </c>
      <c r="B224" s="3"/>
      <c r="C224" s="51"/>
      <c r="D224" s="51"/>
      <c r="E224" s="51"/>
      <c r="F224" s="51"/>
      <c r="G224" s="51"/>
      <c r="H224" s="51"/>
      <c r="I224" s="51"/>
      <c r="J224" s="51"/>
      <c r="K224" s="51" t="n">
        <v>3519</v>
      </c>
      <c r="L224" s="51" t="n">
        <v>3857</v>
      </c>
      <c r="M224" s="51"/>
      <c r="N224" s="51"/>
      <c r="O224" s="51"/>
      <c r="P224" s="51"/>
      <c r="Q224" s="51"/>
      <c r="R224" s="51"/>
      <c r="S224" s="51"/>
      <c r="T224" s="51"/>
      <c r="U224" s="51"/>
      <c r="V224" s="51"/>
      <c r="W224" s="51"/>
      <c r="X224" s="51"/>
      <c r="Y224" s="51"/>
      <c r="Z224" s="51"/>
      <c r="AA224" s="51"/>
    </row>
    <row r="225" ht="24" customHeight="1">
      <c r="A225" s="34" t="str">
        <v>Total identified intangible assets</v>
      </c>
      <c r="B225" s="35"/>
      <c r="C225" s="36" t="n">
        <v>13034</v>
      </c>
      <c r="D225" s="36" t="n">
        <v>16379</v>
      </c>
      <c r="E225" s="36" t="n">
        <v>16790</v>
      </c>
      <c r="F225" s="36" t="n">
        <v>16791</v>
      </c>
      <c r="G225" s="36" t="n">
        <v>16389</v>
      </c>
      <c r="H225" s="36" t="n">
        <v>16105</v>
      </c>
      <c r="I225" s="36" t="n">
        <v>16169</v>
      </c>
      <c r="J225" s="36" t="n">
        <v>15599</v>
      </c>
      <c r="K225" s="36" t="n">
        <v>13433</v>
      </c>
      <c r="L225" s="36" t="n">
        <v>8518</v>
      </c>
      <c r="M225" s="36"/>
      <c r="N225" s="36"/>
      <c r="O225" s="36"/>
      <c r="P225" s="36"/>
      <c r="Q225" s="36"/>
      <c r="R225" s="36"/>
      <c r="S225" s="36"/>
      <c r="T225" s="36"/>
      <c r="U225" s="36"/>
      <c r="V225" s="36"/>
      <c r="W225" s="36"/>
      <c r="X225" s="36"/>
      <c r="Y225" s="36"/>
      <c r="Z225" s="36"/>
      <c r="AA225" s="36"/>
    </row>
    <row r="226" ht="8"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22" customHeight="1">
      <c r="A227" s="21" t="str">
        <v>Identified intangibles: accumulated amortization</v>
      </c>
      <c r="B227" s="21" t="str">
        <v>Identified intangibles: accumulated amortization</v>
      </c>
      <c r="C227" s="21" t="str">
        <v>Identified intangibles: accumulated amortization</v>
      </c>
      <c r="D227" s="21" t="str">
        <v>Identified intangibles: accumulated amortization</v>
      </c>
      <c r="E227" s="21" t="str">
        <v>Identified intangibles: accumulated amortization</v>
      </c>
      <c r="F227" s="21" t="str">
        <v>Identified intangibles: accumulated amortization</v>
      </c>
      <c r="G227" s="21" t="str">
        <v>Identified intangibles: accumulated amortization</v>
      </c>
      <c r="H227" s="21" t="str">
        <v>Identified intangibles: accumulated amortization</v>
      </c>
      <c r="I227" s="21" t="str">
        <v>Identified intangibles: accumulated amortization</v>
      </c>
      <c r="J227" s="21" t="str">
        <v>Identified intangibles: accumulated amortization</v>
      </c>
      <c r="K227" s="21" t="str">
        <v>Identified intangibles: accumulated amortization</v>
      </c>
      <c r="L227" s="21" t="str">
        <v>Identified intangibles: accumulated amortization</v>
      </c>
      <c r="M227" s="21" t="str">
        <v>Identified intangibles: accumulated amortization</v>
      </c>
      <c r="N227" s="21" t="str">
        <v>Identified intangibles: accumulated amortization</v>
      </c>
      <c r="O227" s="21" t="str">
        <v>Identified intangibles: accumulated amortization</v>
      </c>
      <c r="P227" s="21" t="str">
        <v>Identified intangibles: accumulated amortization</v>
      </c>
      <c r="Q227" s="21" t="str">
        <v>Identified intangibles: accumulated amortization</v>
      </c>
      <c r="R227" s="21" t="str">
        <v>Identified intangibles: accumulated amortization</v>
      </c>
      <c r="S227" s="21" t="str">
        <v>Identified intangibles: accumulated amortization</v>
      </c>
      <c r="T227" s="21" t="str">
        <v>Identified intangibles: accumulated amortization</v>
      </c>
      <c r="U227" s="21" t="str">
        <v>Identified intangibles: accumulated amortization</v>
      </c>
      <c r="V227" s="21" t="str">
        <v>Identified intangibles: accumulated amortization</v>
      </c>
      <c r="W227" s="21" t="str">
        <v>Identified intangibles: accumulated amortization</v>
      </c>
      <c r="X227" s="21" t="str">
        <v>Identified intangibles: accumulated amortization</v>
      </c>
      <c r="Y227" s="21" t="str">
        <v>Identified intangibles: accumulated amortization</v>
      </c>
      <c r="Z227" s="21" t="str">
        <v>Identified intangibles: accumulated amortization</v>
      </c>
      <c r="AA227" s="21" t="str">
        <v>Identified intangibles: accumulated amortization</v>
      </c>
    </row>
    <row r="228" ht="22" customHeight="1">
      <c r="A228" s="49" t="str">
        <v>Developed technology</v>
      </c>
      <c r="B228" s="3"/>
      <c r="C228" s="51"/>
      <c r="D228" s="51"/>
      <c r="E228" s="51" t="n">
        <v>-3021</v>
      </c>
      <c r="F228" s="51" t="n">
        <v>-3801</v>
      </c>
      <c r="G228" s="51" t="n">
        <v>-4880</v>
      </c>
      <c r="H228" s="51" t="n">
        <v>-6026</v>
      </c>
      <c r="I228" s="51" t="n">
        <v>-7216</v>
      </c>
      <c r="J228" s="51" t="n">
        <v>-7996</v>
      </c>
      <c r="K228" s="51" t="n">
        <v>-6445</v>
      </c>
      <c r="L228" s="51" t="n">
        <v>-2886</v>
      </c>
      <c r="M228" s="51"/>
      <c r="N228" s="51"/>
      <c r="O228" s="51"/>
      <c r="P228" s="51"/>
      <c r="Q228" s="51"/>
      <c r="R228" s="51"/>
      <c r="S228" s="51"/>
      <c r="T228" s="51"/>
      <c r="U228" s="51"/>
      <c r="V228" s="51"/>
      <c r="W228" s="51"/>
      <c r="X228" s="51"/>
      <c r="Y228" s="51"/>
      <c r="Z228" s="51"/>
      <c r="AA228" s="51"/>
    </row>
    <row r="229" ht="22" customHeight="1">
      <c r="A229" s="49" t="str">
        <v>Customer relationships and brands</v>
      </c>
      <c r="B229" s="3"/>
      <c r="C229" s="51"/>
      <c r="D229" s="51"/>
      <c r="E229" s="51" t="n">
        <v>-527</v>
      </c>
      <c r="F229" s="51" t="n">
        <v>-708</v>
      </c>
      <c r="G229" s="51" t="n">
        <v>-854</v>
      </c>
      <c r="H229" s="51" t="n">
        <v>-1063</v>
      </c>
      <c r="I229" s="51" t="n">
        <v>-1114</v>
      </c>
      <c r="J229" s="51" t="n">
        <v>-1286</v>
      </c>
      <c r="K229" s="51" t="n">
        <v>-1372</v>
      </c>
      <c r="L229" s="51" t="n">
        <v>-580</v>
      </c>
      <c r="M229" s="51"/>
      <c r="N229" s="51"/>
      <c r="O229" s="51"/>
      <c r="P229" s="51"/>
      <c r="Q229" s="51"/>
      <c r="R229" s="51"/>
      <c r="S229" s="51"/>
      <c r="T229" s="51"/>
      <c r="U229" s="51"/>
      <c r="V229" s="51"/>
      <c r="W229" s="51"/>
      <c r="X229" s="51"/>
      <c r="Y229" s="51"/>
      <c r="Z229" s="51"/>
      <c r="AA229" s="51"/>
    </row>
    <row r="230" ht="22" customHeight="1">
      <c r="A230" s="49" t="str">
        <v>Acquisition-related developed technology</v>
      </c>
      <c r="B230" s="3"/>
      <c r="C230" s="51" t="n">
        <v>-1836</v>
      </c>
      <c r="D230" s="51" t="n">
        <v>-1922</v>
      </c>
      <c r="E230" s="51" t="n">
        <v>-3021</v>
      </c>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22" customHeight="1">
      <c r="A231" s="49" t="str">
        <v>Acquisition-related customer relationships</v>
      </c>
      <c r="B231" s="3"/>
      <c r="C231" s="51" t="n">
        <v>-260</v>
      </c>
      <c r="D231" s="51" t="n">
        <v>-313</v>
      </c>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22" customHeight="1">
      <c r="A232" s="49" t="str">
        <v>Acquisition-related brands</v>
      </c>
      <c r="B232" s="3"/>
      <c r="C232" s="51" t="n">
        <v>-21</v>
      </c>
      <c r="D232" s="51" t="n">
        <v>-29</v>
      </c>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22" customHeight="1">
      <c r="A233" s="49" t="str">
        <v>Acquisition-related customer relationships and brands</v>
      </c>
      <c r="B233" s="3"/>
      <c r="C233" s="51"/>
      <c r="D233" s="51" t="n">
        <v>-342</v>
      </c>
      <c r="E233" s="51" t="n">
        <v>-527</v>
      </c>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22" customHeight="1">
      <c r="A234" s="49" t="str">
        <v>Licensed technology and patents</v>
      </c>
      <c r="B234" s="3"/>
      <c r="C234" s="51" t="n">
        <v>-1423</v>
      </c>
      <c r="D234" s="51" t="n">
        <v>-1370</v>
      </c>
      <c r="E234" s="51" t="n">
        <v>-1406</v>
      </c>
      <c r="F234" s="51" t="n">
        <v>-1455</v>
      </c>
      <c r="G234" s="51" t="n">
        <v>-1629</v>
      </c>
      <c r="H234" s="51" t="n">
        <v>-1746</v>
      </c>
      <c r="I234" s="51" t="n">
        <v>-1821</v>
      </c>
      <c r="J234" s="51" t="n">
        <v>-1728</v>
      </c>
      <c r="K234" s="51" t="n">
        <v>-1852</v>
      </c>
      <c r="L234" s="51"/>
      <c r="M234" s="51"/>
      <c r="N234" s="51"/>
      <c r="O234" s="51"/>
      <c r="P234" s="51"/>
      <c r="Q234" s="51"/>
      <c r="R234" s="51"/>
      <c r="S234" s="51"/>
      <c r="T234" s="51"/>
      <c r="U234" s="51"/>
      <c r="V234" s="51"/>
      <c r="W234" s="51"/>
      <c r="X234" s="51"/>
      <c r="Y234" s="51"/>
      <c r="Z234" s="51"/>
      <c r="AA234" s="51"/>
    </row>
    <row r="235" ht="22" customHeight="1">
      <c r="A235" s="49" t="str">
        <v>Identified intangible assets subject to amortization</v>
      </c>
      <c r="B235" s="3"/>
      <c r="C235" s="51" t="n">
        <v>-3540</v>
      </c>
      <c r="D235" s="51" t="n">
        <v>-3634</v>
      </c>
      <c r="E235" s="51" t="n">
        <v>-4954</v>
      </c>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22" customHeight="1">
      <c r="A236" s="49" t="str">
        <v>In-process research and development</v>
      </c>
      <c r="B236" s="3"/>
      <c r="C236" s="51" t="n">
        <v>0</v>
      </c>
      <c r="D236" s="51" t="n">
        <v>0</v>
      </c>
      <c r="E236" s="51" t="n">
        <v>0</v>
      </c>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22" customHeight="1">
      <c r="A237" s="49" t="str">
        <v>Other intangible assets</v>
      </c>
      <c r="B237" s="3"/>
      <c r="C237" s="51"/>
      <c r="D237" s="51"/>
      <c r="E237" s="51" t="n">
        <v>0</v>
      </c>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22" customHeight="1">
      <c r="A238" s="49" t="str">
        <v>Identified intangible assets not subject to amortization</v>
      </c>
      <c r="B238" s="3"/>
      <c r="C238" s="51" t="n">
        <v>0</v>
      </c>
      <c r="D238" s="51" t="n">
        <v>0</v>
      </c>
      <c r="E238" s="51" t="n">
        <v>0</v>
      </c>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22" customHeight="1">
      <c r="A239" s="49" t="str">
        <v>In-process R&amp;D</v>
      </c>
      <c r="B239" s="3"/>
      <c r="C239" s="51"/>
      <c r="D239" s="51"/>
      <c r="E239" s="51" t="n">
        <v>0</v>
      </c>
      <c r="F239" s="51" t="n">
        <v>0</v>
      </c>
      <c r="G239" s="51" t="n">
        <v>0</v>
      </c>
      <c r="H239" s="51" t="n">
        <v>0</v>
      </c>
      <c r="I239" s="51"/>
      <c r="J239" s="51"/>
      <c r="K239" s="51"/>
      <c r="L239" s="51"/>
      <c r="M239" s="51"/>
      <c r="N239" s="51"/>
      <c r="O239" s="51"/>
      <c r="P239" s="51"/>
      <c r="Q239" s="51"/>
      <c r="R239" s="51"/>
      <c r="S239" s="51"/>
      <c r="T239" s="51"/>
      <c r="U239" s="51"/>
      <c r="V239" s="51"/>
      <c r="W239" s="51"/>
      <c r="X239" s="51"/>
      <c r="Y239" s="51"/>
      <c r="Z239" s="51"/>
      <c r="AA239" s="51"/>
    </row>
    <row r="240" ht="22" customHeight="1">
      <c r="A240" s="49" t="str">
        <v>Internal-use software</v>
      </c>
      <c r="B240" s="3"/>
      <c r="C240" s="51"/>
      <c r="D240" s="51"/>
      <c r="E240" s="51"/>
      <c r="F240" s="51"/>
      <c r="G240" s="51"/>
      <c r="H240" s="51"/>
      <c r="I240" s="51"/>
      <c r="J240" s="51" t="n">
        <v>0</v>
      </c>
      <c r="K240" s="51" t="n">
        <v>-73</v>
      </c>
      <c r="L240" s="51"/>
      <c r="M240" s="51"/>
      <c r="N240" s="51"/>
      <c r="O240" s="51"/>
      <c r="P240" s="51"/>
      <c r="Q240" s="51"/>
      <c r="R240" s="51"/>
      <c r="S240" s="51"/>
      <c r="T240" s="51"/>
      <c r="U240" s="51"/>
      <c r="V240" s="51"/>
      <c r="W240" s="51"/>
      <c r="X240" s="51"/>
      <c r="Y240" s="51"/>
      <c r="Z240" s="51"/>
      <c r="AA240" s="51"/>
    </row>
    <row r="241" ht="22" customHeight="1">
      <c r="A241" s="49" t="str">
        <v>Other non-amortizing intangibles</v>
      </c>
      <c r="B241" s="3"/>
      <c r="C241" s="51"/>
      <c r="D241" s="51"/>
      <c r="E241" s="51" t="n">
        <v>0</v>
      </c>
      <c r="F241" s="51" t="n">
        <v>0</v>
      </c>
      <c r="G241" s="51" t="n">
        <v>0</v>
      </c>
      <c r="H241" s="51" t="n">
        <v>0</v>
      </c>
      <c r="I241" s="51" t="n">
        <v>0</v>
      </c>
      <c r="J241" s="51" t="n">
        <v>0</v>
      </c>
      <c r="K241" s="51" t="n">
        <v>0</v>
      </c>
      <c r="L241" s="51"/>
      <c r="M241" s="51"/>
      <c r="N241" s="51"/>
      <c r="O241" s="51"/>
      <c r="P241" s="51"/>
      <c r="Q241" s="51"/>
      <c r="R241" s="51"/>
      <c r="S241" s="51"/>
      <c r="T241" s="51"/>
      <c r="U241" s="51"/>
      <c r="V241" s="51"/>
      <c r="W241" s="51"/>
      <c r="X241" s="51"/>
      <c r="Y241" s="51"/>
      <c r="Z241" s="51"/>
      <c r="AA241" s="51"/>
    </row>
    <row r="242" ht="22" customHeight="1">
      <c r="A242" s="49" t="str">
        <v>Licensed technology, patents and other</v>
      </c>
      <c r="B242" s="3"/>
      <c r="C242" s="51"/>
      <c r="D242" s="51"/>
      <c r="E242" s="51"/>
      <c r="F242" s="51"/>
      <c r="G242" s="51"/>
      <c r="H242" s="51"/>
      <c r="I242" s="51"/>
      <c r="J242" s="51"/>
      <c r="K242" s="51" t="n">
        <v>-1925</v>
      </c>
      <c r="L242" s="51" t="n">
        <v>-2280</v>
      </c>
      <c r="M242" s="51"/>
      <c r="N242" s="51"/>
      <c r="O242" s="51"/>
      <c r="P242" s="51"/>
      <c r="Q242" s="51"/>
      <c r="R242" s="51"/>
      <c r="S242" s="51"/>
      <c r="T242" s="51"/>
      <c r="U242" s="51"/>
      <c r="V242" s="51"/>
      <c r="W242" s="51"/>
      <c r="X242" s="51"/>
      <c r="Y242" s="51"/>
      <c r="Z242" s="51"/>
      <c r="AA242" s="51"/>
    </row>
    <row r="243" ht="24" customHeight="1">
      <c r="A243" s="34" t="str">
        <v>Total identified intangible assets</v>
      </c>
      <c r="B243" s="35"/>
      <c r="C243" s="36" t="n">
        <v>-3540</v>
      </c>
      <c r="D243" s="36" t="n">
        <v>-3634</v>
      </c>
      <c r="E243" s="36" t="n">
        <v>-4954</v>
      </c>
      <c r="F243" s="36" t="n">
        <v>-5964</v>
      </c>
      <c r="G243" s="36" t="n">
        <v>-7363</v>
      </c>
      <c r="H243" s="36" t="n">
        <v>-8835</v>
      </c>
      <c r="I243" s="36" t="n">
        <v>-10151</v>
      </c>
      <c r="J243" s="36" t="n">
        <v>-11010</v>
      </c>
      <c r="K243" s="36" t="n">
        <v>-9742</v>
      </c>
      <c r="L243" s="36" t="n">
        <v>-5746</v>
      </c>
      <c r="M243" s="36"/>
      <c r="N243" s="36"/>
      <c r="O243" s="36"/>
      <c r="P243" s="36"/>
      <c r="Q243" s="36"/>
      <c r="R243" s="36"/>
      <c r="S243" s="36"/>
      <c r="T243" s="36"/>
      <c r="U243" s="36"/>
      <c r="V243" s="36"/>
      <c r="W243" s="36"/>
      <c r="X243" s="36"/>
      <c r="Y243" s="36"/>
      <c r="Z243" s="36"/>
      <c r="AA243" s="36"/>
    </row>
    <row r="244" ht="8"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22" customHeight="1">
      <c r="A245" s="21" t="str">
        <v>Identified intangibles: net carrying amount</v>
      </c>
      <c r="B245" s="21" t="str">
        <v>Identified intangibles: net carrying amount</v>
      </c>
      <c r="C245" s="21" t="str">
        <v>Identified intangibles: net carrying amount</v>
      </c>
      <c r="D245" s="21" t="str">
        <v>Identified intangibles: net carrying amount</v>
      </c>
      <c r="E245" s="21" t="str">
        <v>Identified intangibles: net carrying amount</v>
      </c>
      <c r="F245" s="21" t="str">
        <v>Identified intangibles: net carrying amount</v>
      </c>
      <c r="G245" s="21" t="str">
        <v>Identified intangibles: net carrying amount</v>
      </c>
      <c r="H245" s="21" t="str">
        <v>Identified intangibles: net carrying amount</v>
      </c>
      <c r="I245" s="21" t="str">
        <v>Identified intangibles: net carrying amount</v>
      </c>
      <c r="J245" s="21" t="str">
        <v>Identified intangibles: net carrying amount</v>
      </c>
      <c r="K245" s="21" t="str">
        <v>Identified intangibles: net carrying amount</v>
      </c>
      <c r="L245" s="21" t="str">
        <v>Identified intangibles: net carrying amount</v>
      </c>
      <c r="M245" s="21" t="str">
        <v>Identified intangibles: net carrying amount</v>
      </c>
      <c r="N245" s="21" t="str">
        <v>Identified intangibles: net carrying amount</v>
      </c>
      <c r="O245" s="21" t="str">
        <v>Identified intangibles: net carrying amount</v>
      </c>
      <c r="P245" s="21" t="str">
        <v>Identified intangibles: net carrying amount</v>
      </c>
      <c r="Q245" s="21" t="str">
        <v>Identified intangibles: net carrying amount</v>
      </c>
      <c r="R245" s="21" t="str">
        <v>Identified intangibles: net carrying amount</v>
      </c>
      <c r="S245" s="21" t="str">
        <v>Identified intangibles: net carrying amount</v>
      </c>
      <c r="T245" s="21" t="str">
        <v>Identified intangibles: net carrying amount</v>
      </c>
      <c r="U245" s="21" t="str">
        <v>Identified intangibles: net carrying amount</v>
      </c>
      <c r="V245" s="21" t="str">
        <v>Identified intangibles: net carrying amount</v>
      </c>
      <c r="W245" s="21" t="str">
        <v>Identified intangibles: net carrying amount</v>
      </c>
      <c r="X245" s="21" t="str">
        <v>Identified intangibles: net carrying amount</v>
      </c>
      <c r="Y245" s="21" t="str">
        <v>Identified intangibles: net carrying amount</v>
      </c>
      <c r="Z245" s="21" t="str">
        <v>Identified intangibles: net carrying amount</v>
      </c>
      <c r="AA245" s="21" t="str">
        <v>Identified intangibles: net carrying amount</v>
      </c>
    </row>
    <row r="246" ht="22" customHeight="1">
      <c r="A246" s="49" t="str">
        <v>Developed technology</v>
      </c>
      <c r="B246" s="3"/>
      <c r="C246" s="51"/>
      <c r="D246" s="51"/>
      <c r="E246" s="51" t="n">
        <v>6590</v>
      </c>
      <c r="F246" s="51" t="n">
        <v>5606</v>
      </c>
      <c r="G246" s="51" t="n">
        <v>5308</v>
      </c>
      <c r="H246" s="51" t="n">
        <v>5076</v>
      </c>
      <c r="I246" s="51" t="n">
        <v>3748</v>
      </c>
      <c r="J246" s="51" t="n">
        <v>2524</v>
      </c>
      <c r="K246" s="51" t="n">
        <v>1562</v>
      </c>
      <c r="L246" s="51" t="n">
        <v>967</v>
      </c>
      <c r="M246" s="51"/>
      <c r="N246" s="51"/>
      <c r="O246" s="51"/>
      <c r="P246" s="51"/>
      <c r="Q246" s="51"/>
      <c r="R246" s="51"/>
      <c r="S246" s="51"/>
      <c r="T246" s="51"/>
      <c r="U246" s="51"/>
      <c r="V246" s="51"/>
      <c r="W246" s="51"/>
      <c r="X246" s="51"/>
      <c r="Y246" s="51"/>
      <c r="Z246" s="51"/>
      <c r="AA246" s="51"/>
    </row>
    <row r="247" ht="22" customHeight="1">
      <c r="A247" s="49" t="str">
        <v>Customer relationships and brands</v>
      </c>
      <c r="B247" s="3"/>
      <c r="C247" s="51"/>
      <c r="D247" s="51"/>
      <c r="E247" s="51" t="n">
        <v>1652</v>
      </c>
      <c r="F247" s="51" t="n">
        <v>1452</v>
      </c>
      <c r="G247" s="51" t="n">
        <v>1256</v>
      </c>
      <c r="H247" s="51" t="n">
        <v>1047</v>
      </c>
      <c r="I247" s="51" t="n">
        <v>872</v>
      </c>
      <c r="J247" s="51" t="n">
        <v>700</v>
      </c>
      <c r="K247" s="51" t="n">
        <v>535</v>
      </c>
      <c r="L247" s="51" t="n">
        <v>228</v>
      </c>
      <c r="M247" s="51"/>
      <c r="N247" s="51"/>
      <c r="O247" s="51"/>
      <c r="P247" s="51"/>
      <c r="Q247" s="51"/>
      <c r="R247" s="51"/>
      <c r="S247" s="51"/>
      <c r="T247" s="51"/>
      <c r="U247" s="51"/>
      <c r="V247" s="51"/>
      <c r="W247" s="51"/>
      <c r="X247" s="51"/>
      <c r="Y247" s="51"/>
      <c r="Z247" s="51"/>
      <c r="AA247" s="51"/>
    </row>
    <row r="248" ht="22" customHeight="1">
      <c r="A248" s="49" t="str">
        <v>Acquisition-related developed technology</v>
      </c>
      <c r="B248" s="3"/>
      <c r="C248" s="51" t="n">
        <v>5569</v>
      </c>
      <c r="D248" s="51" t="n">
        <v>6990</v>
      </c>
      <c r="E248" s="51" t="n">
        <v>6590</v>
      </c>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22" customHeight="1">
      <c r="A249" s="49" t="str">
        <v>Acquisition-related customer relationships</v>
      </c>
      <c r="B249" s="3"/>
      <c r="C249" s="51" t="n">
        <v>1189</v>
      </c>
      <c r="D249" s="51" t="n">
        <v>1739</v>
      </c>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22" customHeight="1">
      <c r="A250" s="49" t="str">
        <v>Acquisition-related brands</v>
      </c>
      <c r="B250" s="3"/>
      <c r="C250" s="51" t="n">
        <v>66</v>
      </c>
      <c r="D250" s="51" t="n">
        <v>114</v>
      </c>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22" customHeight="1">
      <c r="A251" s="49" t="str">
        <v>Acquisition-related customer relationships and brands</v>
      </c>
      <c r="B251" s="3"/>
      <c r="C251" s="51"/>
      <c r="D251" s="51" t="n">
        <v>1853</v>
      </c>
      <c r="E251" s="51" t="n">
        <v>1652</v>
      </c>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22" customHeight="1">
      <c r="A252" s="49" t="str">
        <v>Licensed technology and patents</v>
      </c>
      <c r="B252" s="3"/>
      <c r="C252" s="51" t="n">
        <v>1862</v>
      </c>
      <c r="D252" s="51" t="n">
        <v>1734</v>
      </c>
      <c r="E252" s="51" t="n">
        <v>1526</v>
      </c>
      <c r="F252" s="51" t="n">
        <v>1520</v>
      </c>
      <c r="G252" s="51" t="n">
        <v>1207</v>
      </c>
      <c r="H252" s="51" t="n">
        <v>1147</v>
      </c>
      <c r="I252" s="51" t="n">
        <v>1398</v>
      </c>
      <c r="J252" s="51" t="n">
        <v>1360</v>
      </c>
      <c r="K252" s="51" t="n">
        <v>1535</v>
      </c>
      <c r="L252" s="51"/>
      <c r="M252" s="51"/>
      <c r="N252" s="51"/>
      <c r="O252" s="51"/>
      <c r="P252" s="51"/>
      <c r="Q252" s="51"/>
      <c r="R252" s="51"/>
      <c r="S252" s="51"/>
      <c r="T252" s="51"/>
      <c r="U252" s="51"/>
      <c r="V252" s="51"/>
      <c r="W252" s="51"/>
      <c r="X252" s="51"/>
      <c r="Y252" s="51"/>
      <c r="Z252" s="51"/>
      <c r="AA252" s="51"/>
    </row>
    <row r="253" ht="22" customHeight="1">
      <c r="A253" s="49" t="str">
        <v>Identified intangible assets subject to amortization</v>
      </c>
      <c r="B253" s="3"/>
      <c r="C253" s="51" t="n">
        <v>8686</v>
      </c>
      <c r="D253" s="51" t="n">
        <v>10577</v>
      </c>
      <c r="E253" s="51" t="n">
        <v>9768</v>
      </c>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22" customHeight="1">
      <c r="A254" s="49" t="str">
        <v>In-process research and development</v>
      </c>
      <c r="B254" s="3"/>
      <c r="C254" s="51" t="n">
        <v>808</v>
      </c>
      <c r="D254" s="51" t="n">
        <v>2168</v>
      </c>
      <c r="E254" s="51" t="n">
        <v>1497</v>
      </c>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22" customHeight="1">
      <c r="A255" s="49" t="str">
        <v>Other intangible assets</v>
      </c>
      <c r="B255" s="3"/>
      <c r="C255" s="51"/>
      <c r="D255" s="51"/>
      <c r="E255" s="51" t="n">
        <v>571</v>
      </c>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22" customHeight="1">
      <c r="A256" s="49" t="str">
        <v>Identified intangible assets not subject to amortization</v>
      </c>
      <c r="B256" s="3"/>
      <c r="C256" s="51" t="n">
        <v>808</v>
      </c>
      <c r="D256" s="51" t="n">
        <v>2168</v>
      </c>
      <c r="E256" s="51" t="n">
        <v>2068</v>
      </c>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22" customHeight="1">
      <c r="A257" s="49" t="str">
        <v>In-process R&amp;D</v>
      </c>
      <c r="B257" s="3"/>
      <c r="C257" s="51"/>
      <c r="D257" s="51"/>
      <c r="E257" s="51" t="n">
        <v>1497</v>
      </c>
      <c r="F257" s="51" t="n">
        <v>1664</v>
      </c>
      <c r="G257" s="51" t="n">
        <v>954</v>
      </c>
      <c r="H257" s="51" t="n">
        <v>0</v>
      </c>
      <c r="I257" s="51"/>
      <c r="J257" s="51"/>
      <c r="K257" s="51"/>
      <c r="L257" s="51"/>
      <c r="M257" s="51"/>
      <c r="N257" s="51"/>
      <c r="O257" s="51"/>
      <c r="P257" s="51"/>
      <c r="Q257" s="51"/>
      <c r="R257" s="51"/>
      <c r="S257" s="51"/>
      <c r="T257" s="51"/>
      <c r="U257" s="51"/>
      <c r="V257" s="51"/>
      <c r="W257" s="51"/>
      <c r="X257" s="51"/>
      <c r="Y257" s="51"/>
      <c r="Z257" s="51"/>
      <c r="AA257" s="51"/>
    </row>
    <row r="258" ht="22" customHeight="1">
      <c r="A258" s="49" t="str">
        <v>Internal-use software</v>
      </c>
      <c r="B258" s="3"/>
      <c r="C258" s="51"/>
      <c r="D258" s="51"/>
      <c r="E258" s="51"/>
      <c r="F258" s="51"/>
      <c r="G258" s="51"/>
      <c r="H258" s="51"/>
      <c r="I258" s="51"/>
      <c r="J258" s="51" t="n">
        <v>0</v>
      </c>
      <c r="K258" s="51" t="n">
        <v>55</v>
      </c>
      <c r="L258" s="51"/>
      <c r="M258" s="51"/>
      <c r="N258" s="51"/>
      <c r="O258" s="51"/>
      <c r="P258" s="51"/>
      <c r="Q258" s="51"/>
      <c r="R258" s="51"/>
      <c r="S258" s="51"/>
      <c r="T258" s="51"/>
      <c r="U258" s="51"/>
      <c r="V258" s="51"/>
      <c r="W258" s="51"/>
      <c r="X258" s="51"/>
      <c r="Y258" s="51"/>
      <c r="Z258" s="51"/>
      <c r="AA258" s="51"/>
    </row>
    <row r="259" ht="22" customHeight="1">
      <c r="A259" s="49" t="str">
        <v>Other non-amortizing intangibles</v>
      </c>
      <c r="B259" s="3"/>
      <c r="C259" s="51"/>
      <c r="D259" s="51"/>
      <c r="E259" s="51" t="n">
        <v>571</v>
      </c>
      <c r="F259" s="51" t="n">
        <v>585</v>
      </c>
      <c r="G259" s="51" t="n">
        <v>301</v>
      </c>
      <c r="H259" s="51" t="n">
        <v>0</v>
      </c>
      <c r="I259" s="51" t="n">
        <v>0</v>
      </c>
      <c r="J259" s="51" t="n">
        <v>5</v>
      </c>
      <c r="K259" s="51" t="n">
        <v>4</v>
      </c>
      <c r="L259" s="51"/>
      <c r="M259" s="51"/>
      <c r="N259" s="51"/>
      <c r="O259" s="51"/>
      <c r="P259" s="51"/>
      <c r="Q259" s="51"/>
      <c r="R259" s="51"/>
      <c r="S259" s="51"/>
      <c r="T259" s="51"/>
      <c r="U259" s="51"/>
      <c r="V259" s="51"/>
      <c r="W259" s="51"/>
      <c r="X259" s="51"/>
      <c r="Y259" s="51"/>
      <c r="Z259" s="51"/>
      <c r="AA259" s="51"/>
    </row>
    <row r="260" ht="22" customHeight="1">
      <c r="A260" s="49" t="str">
        <v>Licensed technology, patents and other</v>
      </c>
      <c r="B260" s="3"/>
      <c r="C260" s="51"/>
      <c r="D260" s="51"/>
      <c r="E260" s="51"/>
      <c r="F260" s="51"/>
      <c r="G260" s="51"/>
      <c r="H260" s="51"/>
      <c r="I260" s="51"/>
      <c r="J260" s="51"/>
      <c r="K260" s="51" t="n">
        <v>1594</v>
      </c>
      <c r="L260" s="51" t="n">
        <v>1577</v>
      </c>
      <c r="M260" s="51"/>
      <c r="N260" s="51"/>
      <c r="O260" s="51"/>
      <c r="P260" s="51"/>
      <c r="Q260" s="51"/>
      <c r="R260" s="51"/>
      <c r="S260" s="51"/>
      <c r="T260" s="51"/>
      <c r="U260" s="51"/>
      <c r="V260" s="51"/>
      <c r="W260" s="51"/>
      <c r="X260" s="51"/>
      <c r="Y260" s="51"/>
      <c r="Z260" s="51"/>
      <c r="AA260" s="51"/>
    </row>
    <row r="261" ht="24" customHeight="1">
      <c r="A261" s="34" t="str">
        <v>Total identified intangible assets</v>
      </c>
      <c r="B261" s="35"/>
      <c r="C261" s="36" t="n">
        <v>9494</v>
      </c>
      <c r="D261" s="36" t="n">
        <v>12745</v>
      </c>
      <c r="E261" s="36" t="n">
        <v>11836</v>
      </c>
      <c r="F261" s="36" t="n">
        <v>10827</v>
      </c>
      <c r="G261" s="36" t="n">
        <v>9026</v>
      </c>
      <c r="H261" s="36" t="n">
        <v>7270</v>
      </c>
      <c r="I261" s="36" t="n">
        <v>6018</v>
      </c>
      <c r="J261" s="36" t="n">
        <v>4589</v>
      </c>
      <c r="K261" s="36" t="n">
        <v>3691</v>
      </c>
      <c r="L261" s="36" t="n">
        <v>2772</v>
      </c>
      <c r="M261" s="36"/>
      <c r="N261" s="36"/>
      <c r="O261" s="36"/>
      <c r="P261" s="36"/>
      <c r="Q261" s="36"/>
      <c r="R261" s="36"/>
      <c r="S261" s="36"/>
      <c r="T261" s="36"/>
      <c r="U261" s="36"/>
      <c r="V261" s="36"/>
      <c r="W261" s="36"/>
      <c r="X261" s="36"/>
      <c r="Y261" s="36"/>
      <c r="Z261" s="36"/>
      <c r="AA261" s="36"/>
    </row>
    <row r="262" ht="8"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22" customHeight="1">
      <c r="A263" s="21" t="str">
        <v>Amortization expense of identified intangible assets by class</v>
      </c>
      <c r="B263" s="21" t="str">
        <v>Amortization expense of identified intangible assets by class</v>
      </c>
      <c r="C263" s="21" t="str">
        <v>Amortization expense of identified intangible assets by class</v>
      </c>
      <c r="D263" s="21" t="str">
        <v>Amortization expense of identified intangible assets by class</v>
      </c>
      <c r="E263" s="21" t="str">
        <v>Amortization expense of identified intangible assets by class</v>
      </c>
      <c r="F263" s="21" t="str">
        <v>Amortization expense of identified intangible assets by class</v>
      </c>
      <c r="G263" s="21" t="str">
        <v>Amortization expense of identified intangible assets by class</v>
      </c>
      <c r="H263" s="21" t="str">
        <v>Amortization expense of identified intangible assets by class</v>
      </c>
      <c r="I263" s="21" t="str">
        <v>Amortization expense of identified intangible assets by class</v>
      </c>
      <c r="J263" s="21" t="str">
        <v>Amortization expense of identified intangible assets by class</v>
      </c>
      <c r="K263" s="21" t="str">
        <v>Amortization expense of identified intangible assets by class</v>
      </c>
      <c r="L263" s="21" t="str">
        <v>Amortization expense of identified intangible assets by class</v>
      </c>
      <c r="M263" s="21" t="str">
        <v>Amortization expense of identified intangible assets by class</v>
      </c>
      <c r="N263" s="21" t="str">
        <v>Amortization expense of identified intangible assets by class</v>
      </c>
      <c r="O263" s="21" t="str">
        <v>Amortization expense of identified intangible assets by class</v>
      </c>
      <c r="P263" s="21" t="str">
        <v>Amortization expense of identified intangible assets by class</v>
      </c>
      <c r="Q263" s="21" t="str">
        <v>Amortization expense of identified intangible assets by class</v>
      </c>
      <c r="R263" s="21" t="str">
        <v>Amortization expense of identified intangible assets by class</v>
      </c>
      <c r="S263" s="21" t="str">
        <v>Amortization expense of identified intangible assets by class</v>
      </c>
      <c r="T263" s="21" t="str">
        <v>Amortization expense of identified intangible assets by class</v>
      </c>
      <c r="U263" s="21" t="str">
        <v>Amortization expense of identified intangible assets by class</v>
      </c>
      <c r="V263" s="21" t="str">
        <v>Amortization expense of identified intangible assets by class</v>
      </c>
      <c r="W263" s="21" t="str">
        <v>Amortization expense of identified intangible assets by class</v>
      </c>
      <c r="X263" s="21" t="str">
        <v>Amortization expense of identified intangible assets by class</v>
      </c>
      <c r="Y263" s="21" t="str">
        <v>Amortization expense of identified intangible assets by class</v>
      </c>
      <c r="Z263" s="21" t="str">
        <v>Amortization expense of identified intangible assets by class</v>
      </c>
      <c r="AA263" s="21" t="str">
        <v>Amortization expense of identified intangible assets by class</v>
      </c>
    </row>
    <row r="264" ht="22" customHeight="1">
      <c r="A264" s="49" t="str">
        <v>Developed technology</v>
      </c>
      <c r="B264" s="3"/>
      <c r="C264" s="51"/>
      <c r="D264" s="51" t="n">
        <v>912</v>
      </c>
      <c r="E264" s="51" t="n">
        <v>1105</v>
      </c>
      <c r="F264" s="51" t="n">
        <v>1124</v>
      </c>
      <c r="G264" s="51" t="n">
        <v>1211</v>
      </c>
      <c r="H264" s="51" t="n">
        <v>1283</v>
      </c>
      <c r="I264" s="51" t="n">
        <v>1341</v>
      </c>
      <c r="J264" s="51" t="n">
        <v>1235</v>
      </c>
      <c r="K264" s="51" t="n">
        <v>879</v>
      </c>
      <c r="L264" s="51" t="n">
        <v>417</v>
      </c>
      <c r="M264" s="51"/>
      <c r="N264" s="51"/>
      <c r="O264" s="51"/>
      <c r="P264" s="51"/>
      <c r="Q264" s="51"/>
      <c r="R264" s="51"/>
      <c r="S264" s="51"/>
      <c r="T264" s="51"/>
      <c r="U264" s="51"/>
      <c r="V264" s="51"/>
      <c r="W264" s="51"/>
      <c r="X264" s="51"/>
      <c r="Y264" s="51"/>
      <c r="Z264" s="51"/>
      <c r="AA264" s="51"/>
    </row>
    <row r="265" ht="22" customHeight="1">
      <c r="A265" s="49" t="str">
        <v>Customer relationships and brands</v>
      </c>
      <c r="B265" s="3"/>
      <c r="C265" s="51"/>
      <c r="D265" s="51" t="n">
        <v>177</v>
      </c>
      <c r="E265" s="51" t="n">
        <v>200</v>
      </c>
      <c r="F265" s="51" t="n">
        <v>200</v>
      </c>
      <c r="G265" s="51" t="n">
        <v>205</v>
      </c>
      <c r="H265" s="51" t="n">
        <v>209</v>
      </c>
      <c r="I265" s="51" t="n">
        <v>185</v>
      </c>
      <c r="J265" s="51" t="n">
        <v>172</v>
      </c>
      <c r="K265" s="51" t="n">
        <v>165</v>
      </c>
      <c r="L265" s="51" t="n">
        <v>89</v>
      </c>
      <c r="M265" s="51"/>
      <c r="N265" s="51"/>
      <c r="O265" s="51"/>
      <c r="P265" s="51"/>
      <c r="Q265" s="51"/>
      <c r="R265" s="51"/>
      <c r="S265" s="51"/>
      <c r="T265" s="51"/>
      <c r="U265" s="51"/>
      <c r="V265" s="51"/>
      <c r="W265" s="51"/>
      <c r="X265" s="51"/>
      <c r="Y265" s="51"/>
      <c r="Z265" s="51"/>
      <c r="AA265" s="51"/>
    </row>
    <row r="266" ht="22" customHeight="1">
      <c r="A266" s="49" t="str">
        <v>Acquisition-related developed technology</v>
      </c>
      <c r="B266" s="3"/>
      <c r="C266" s="51" t="n">
        <v>937</v>
      </c>
      <c r="D266" s="51" t="n">
        <v>912</v>
      </c>
      <c r="E266" s="51" t="n">
        <v>1105</v>
      </c>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22" customHeight="1">
      <c r="A267" s="49" t="str">
        <v>Acquisition-related customer relationships</v>
      </c>
      <c r="B267" s="3"/>
      <c r="C267" s="51" t="n">
        <v>270</v>
      </c>
      <c r="D267" s="51" t="n">
        <v>161</v>
      </c>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22" customHeight="1">
      <c r="A268" s="49" t="str">
        <v>Acquisition-related brands</v>
      </c>
      <c r="B268" s="3"/>
      <c r="C268" s="51" t="n">
        <v>24</v>
      </c>
      <c r="D268" s="51" t="n">
        <v>16</v>
      </c>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22" customHeight="1">
      <c r="A269" s="49" t="str">
        <v>Acquisition-related customer relationships and brands</v>
      </c>
      <c r="B269" s="3"/>
      <c r="C269" s="51" t="n">
        <v>294</v>
      </c>
      <c r="D269" s="51" t="n">
        <v>177</v>
      </c>
      <c r="E269" s="51" t="n">
        <v>200</v>
      </c>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22" customHeight="1">
      <c r="A270" s="49" t="str">
        <v>Licensed technology and patents</v>
      </c>
      <c r="B270" s="3"/>
      <c r="C270" s="51" t="n">
        <v>293</v>
      </c>
      <c r="D270" s="51" t="n">
        <v>288</v>
      </c>
      <c r="E270" s="51" t="n">
        <v>260</v>
      </c>
      <c r="F270" s="51" t="n">
        <v>298</v>
      </c>
      <c r="G270" s="51" t="n">
        <v>341</v>
      </c>
      <c r="H270" s="51" t="n">
        <v>347</v>
      </c>
      <c r="I270" s="51" t="n">
        <v>381</v>
      </c>
      <c r="J270" s="51" t="n">
        <v>348</v>
      </c>
      <c r="K270" s="51" t="n">
        <v>360</v>
      </c>
      <c r="L270" s="51"/>
      <c r="M270" s="51"/>
      <c r="N270" s="51"/>
      <c r="O270" s="51"/>
      <c r="P270" s="51"/>
      <c r="Q270" s="51"/>
      <c r="R270" s="51"/>
      <c r="S270" s="51"/>
      <c r="T270" s="51"/>
      <c r="U270" s="51"/>
      <c r="V270" s="51"/>
      <c r="W270" s="51"/>
      <c r="X270" s="51"/>
      <c r="Y270" s="51"/>
      <c r="Z270" s="51"/>
      <c r="AA270" s="51"/>
    </row>
    <row r="271" ht="22" customHeight="1">
      <c r="A271" s="49" t="str">
        <v>Internal-use software</v>
      </c>
      <c r="B271" s="3"/>
      <c r="C271" s="51"/>
      <c r="D271" s="51"/>
      <c r="E271" s="51"/>
      <c r="F271" s="51"/>
      <c r="G271" s="51"/>
      <c r="H271" s="51"/>
      <c r="I271" s="51" t="n">
        <v>0</v>
      </c>
      <c r="J271" s="51" t="n">
        <v>0</v>
      </c>
      <c r="K271" s="51" t="n">
        <v>24</v>
      </c>
      <c r="L271" s="51"/>
      <c r="M271" s="51"/>
      <c r="N271" s="51"/>
      <c r="O271" s="51"/>
      <c r="P271" s="51"/>
      <c r="Q271" s="51"/>
      <c r="R271" s="51"/>
      <c r="S271" s="51"/>
      <c r="T271" s="51"/>
      <c r="U271" s="51"/>
      <c r="V271" s="51"/>
      <c r="W271" s="51"/>
      <c r="X271" s="51"/>
      <c r="Y271" s="51"/>
      <c r="Z271" s="51"/>
      <c r="AA271" s="51"/>
    </row>
    <row r="272" ht="22" customHeight="1">
      <c r="A272" s="49" t="str">
        <v>Licensed technology, patents and other</v>
      </c>
      <c r="B272" s="3"/>
      <c r="C272" s="51"/>
      <c r="D272" s="51"/>
      <c r="E272" s="51"/>
      <c r="F272" s="51"/>
      <c r="G272" s="51"/>
      <c r="H272" s="51"/>
      <c r="I272" s="51"/>
      <c r="J272" s="51" t="n">
        <v>348</v>
      </c>
      <c r="K272" s="51" t="n">
        <v>384</v>
      </c>
      <c r="L272" s="51" t="n">
        <v>443</v>
      </c>
      <c r="M272" s="51"/>
      <c r="N272" s="51"/>
      <c r="O272" s="51"/>
      <c r="P272" s="51"/>
      <c r="Q272" s="51"/>
      <c r="R272" s="51"/>
      <c r="S272" s="51"/>
      <c r="T272" s="51"/>
      <c r="U272" s="51"/>
      <c r="V272" s="51"/>
      <c r="W272" s="51"/>
      <c r="X272" s="51"/>
      <c r="Y272" s="51"/>
      <c r="Z272" s="51"/>
      <c r="AA272" s="51"/>
    </row>
    <row r="273" ht="24" customHeight="1">
      <c r="A273" s="34" t="str">
        <v>Total amortization expenses</v>
      </c>
      <c r="B273" s="35"/>
      <c r="C273" s="36" t="n">
        <v>1524</v>
      </c>
      <c r="D273" s="36" t="n">
        <v>1377</v>
      </c>
      <c r="E273" s="36" t="n">
        <v>1565</v>
      </c>
      <c r="F273" s="36" t="n">
        <v>1622</v>
      </c>
      <c r="G273" s="36" t="n">
        <v>1757</v>
      </c>
      <c r="H273" s="36" t="n">
        <v>1839</v>
      </c>
      <c r="I273" s="36" t="n">
        <v>1907</v>
      </c>
      <c r="J273" s="36" t="n">
        <v>1755</v>
      </c>
      <c r="K273" s="36" t="n">
        <v>1428</v>
      </c>
      <c r="L273" s="36" t="n">
        <v>949</v>
      </c>
      <c r="M273" s="36"/>
      <c r="N273" s="36"/>
      <c r="O273" s="36"/>
      <c r="P273" s="36"/>
      <c r="Q273" s="36"/>
      <c r="R273" s="36"/>
      <c r="S273" s="36"/>
      <c r="T273" s="36"/>
      <c r="U273" s="36"/>
      <c r="V273" s="36"/>
      <c r="W273" s="36"/>
      <c r="X273" s="36"/>
      <c r="Y273" s="36"/>
      <c r="Z273" s="36"/>
      <c r="AA273" s="36"/>
    </row>
    <row r="274" ht="8"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22" customHeight="1">
      <c r="A275" s="21" t="str">
        <v>Disposal groups / assets held for sale — carrying amounts</v>
      </c>
      <c r="B275" s="21" t="str">
        <v>Disposal groups / assets held for sale — carrying amounts</v>
      </c>
      <c r="C275" s="21" t="str">
        <v>Disposal groups / assets held for sale — carrying amounts</v>
      </c>
      <c r="D275" s="21" t="str">
        <v>Disposal groups / assets held for sale — carrying amounts</v>
      </c>
      <c r="E275" s="21" t="str">
        <v>Disposal groups / assets held for sale — carrying amounts</v>
      </c>
      <c r="F275" s="21" t="str">
        <v>Disposal groups / assets held for sale — carrying amounts</v>
      </c>
      <c r="G275" s="21" t="str">
        <v>Disposal groups / assets held for sale — carrying amounts</v>
      </c>
      <c r="H275" s="21" t="str">
        <v>Disposal groups / assets held for sale — carrying amounts</v>
      </c>
      <c r="I275" s="21" t="str">
        <v>Disposal groups / assets held for sale — carrying amounts</v>
      </c>
      <c r="J275" s="21" t="str">
        <v>Disposal groups / assets held for sale — carrying amounts</v>
      </c>
      <c r="K275" s="21" t="str">
        <v>Disposal groups / assets held for sale — carrying amounts</v>
      </c>
      <c r="L275" s="21" t="str">
        <v>Disposal groups / assets held for sale — carrying amounts</v>
      </c>
      <c r="M275" s="21" t="str">
        <v>Disposal groups / assets held for sale — carrying amounts</v>
      </c>
      <c r="N275" s="21" t="str">
        <v>Disposal groups / assets held for sale — carrying amounts</v>
      </c>
      <c r="O275" s="21" t="str">
        <v>Disposal groups / assets held for sale — carrying amounts</v>
      </c>
      <c r="P275" s="21" t="str">
        <v>Disposal groups / assets held for sale — carrying amounts</v>
      </c>
      <c r="Q275" s="21" t="str">
        <v>Disposal groups / assets held for sale — carrying amounts</v>
      </c>
      <c r="R275" s="21" t="str">
        <v>Disposal groups / assets held for sale — carrying amounts</v>
      </c>
      <c r="S275" s="21" t="str">
        <v>Disposal groups / assets held for sale — carrying amounts</v>
      </c>
      <c r="T275" s="21" t="str">
        <v>Disposal groups / assets held for sale — carrying amounts</v>
      </c>
      <c r="U275" s="21" t="str">
        <v>Disposal groups / assets held for sale — carrying amounts</v>
      </c>
      <c r="V275" s="21" t="str">
        <v>Disposal groups / assets held for sale — carrying amounts</v>
      </c>
      <c r="W275" s="21" t="str">
        <v>Disposal groups / assets held for sale — carrying amounts</v>
      </c>
      <c r="X275" s="21" t="str">
        <v>Disposal groups / assets held for sale — carrying amounts</v>
      </c>
      <c r="Y275" s="21" t="str">
        <v>Disposal groups / assets held for sale — carrying amounts</v>
      </c>
      <c r="Z275" s="21" t="str">
        <v>Disposal groups / assets held for sale — carrying amounts</v>
      </c>
      <c r="AA275" s="21" t="str">
        <v>Disposal groups / assets held for sale — carrying amounts</v>
      </c>
    </row>
    <row r="276" ht="22" customHeight="1">
      <c r="A276" s="49" t="str">
        <v>Inventories [Disposal group / assets held for sale ca]</v>
      </c>
      <c r="B276" s="3"/>
      <c r="C276" s="51"/>
      <c r="D276" s="51"/>
      <c r="E276" s="51"/>
      <c r="F276" s="51"/>
      <c r="G276" s="51" t="n">
        <v>962</v>
      </c>
      <c r="H276" s="51" t="n">
        <v>953</v>
      </c>
      <c r="I276" s="51"/>
      <c r="J276" s="51"/>
      <c r="K276" s="51"/>
      <c r="L276" s="51"/>
      <c r="M276" s="51"/>
      <c r="N276" s="51"/>
      <c r="O276" s="51"/>
      <c r="P276" s="51"/>
      <c r="Q276" s="51"/>
      <c r="R276" s="51"/>
      <c r="S276" s="51"/>
      <c r="T276" s="51"/>
      <c r="U276" s="51"/>
      <c r="V276" s="51"/>
      <c r="W276" s="51" t="n">
        <v>711</v>
      </c>
      <c r="X276" s="51"/>
      <c r="Y276" s="51"/>
      <c r="Z276" s="51"/>
      <c r="AA276" s="51"/>
    </row>
    <row r="277" ht="36" customHeight="1">
      <c r="A277" s="49" t="str">
        <v>Property, plant and equipment, net [Disposal group / assets held for sale ca]</v>
      </c>
      <c r="B277" s="3"/>
      <c r="C277" s="51"/>
      <c r="D277" s="51"/>
      <c r="E277" s="51"/>
      <c r="F277" s="51"/>
      <c r="G277" s="51" t="n">
        <v>4363</v>
      </c>
      <c r="H277" s="51" t="n">
        <v>5989</v>
      </c>
      <c r="I277" s="51"/>
      <c r="J277" s="51"/>
      <c r="K277" s="51"/>
      <c r="L277" s="51"/>
      <c r="M277" s="51"/>
      <c r="N277" s="51"/>
      <c r="O277" s="51"/>
      <c r="P277" s="51"/>
      <c r="Q277" s="51"/>
      <c r="R277" s="51"/>
      <c r="S277" s="51"/>
      <c r="T277" s="51"/>
      <c r="U277" s="51"/>
      <c r="V277" s="51"/>
      <c r="W277" s="51" t="n">
        <v>197</v>
      </c>
      <c r="X277" s="51"/>
      <c r="Y277" s="51"/>
      <c r="Z277" s="51"/>
      <c r="AA277" s="51"/>
    </row>
    <row r="278" ht="24" customHeight="1">
      <c r="A278" s="34" t="str">
        <v>Total assets [Disposal group / assets held for sale ca]</v>
      </c>
      <c r="B278" s="35"/>
      <c r="C278" s="36"/>
      <c r="D278" s="36"/>
      <c r="E278" s="36"/>
      <c r="F278" s="36"/>
      <c r="G278" s="36" t="n">
        <v>5325</v>
      </c>
      <c r="H278" s="36" t="n">
        <v>6942</v>
      </c>
      <c r="I278" s="36"/>
      <c r="J278" s="36"/>
      <c r="K278" s="36"/>
      <c r="L278" s="36"/>
      <c r="M278" s="36"/>
      <c r="N278" s="36"/>
      <c r="O278" s="36"/>
      <c r="P278" s="36"/>
      <c r="Q278" s="36"/>
      <c r="R278" s="36"/>
      <c r="S278" s="36"/>
      <c r="T278" s="36"/>
      <c r="U278" s="36"/>
      <c r="V278" s="36"/>
      <c r="W278" s="36"/>
      <c r="X278" s="36"/>
      <c r="Y278" s="36"/>
      <c r="Z278" s="36"/>
      <c r="AA278" s="36"/>
    </row>
    <row r="279" ht="36" customHeight="1">
      <c r="A279" s="49" t="str">
        <v>Identified intangible assets, net [Disposal group / assets held for sale ca]</v>
      </c>
      <c r="B279" s="3"/>
      <c r="C279" s="51"/>
      <c r="D279" s="51"/>
      <c r="E279" s="51"/>
      <c r="F279" s="51"/>
      <c r="G279" s="51"/>
      <c r="H279" s="51"/>
      <c r="I279" s="51"/>
      <c r="J279" s="51"/>
      <c r="K279" s="51"/>
      <c r="L279" s="51"/>
      <c r="M279" s="51"/>
      <c r="N279" s="51"/>
      <c r="O279" s="51"/>
      <c r="P279" s="51"/>
      <c r="Q279" s="51"/>
      <c r="R279" s="51"/>
      <c r="S279" s="51"/>
      <c r="T279" s="51"/>
      <c r="U279" s="51"/>
      <c r="V279" s="51"/>
      <c r="W279" s="51" t="n">
        <v>394</v>
      </c>
      <c r="X279" s="51"/>
      <c r="Y279" s="51"/>
      <c r="Z279" s="51"/>
      <c r="AA279" s="51"/>
    </row>
    <row r="280" ht="22" customHeight="1">
      <c r="A280" s="49" t="str">
        <v>Goodwill [Disposal group / assets held for sale ca]</v>
      </c>
      <c r="B280" s="3"/>
      <c r="C280" s="51" t="n">
        <v>3600</v>
      </c>
      <c r="D280" s="51"/>
      <c r="E280" s="51"/>
      <c r="F280" s="51"/>
      <c r="G280" s="51"/>
      <c r="H280" s="51"/>
      <c r="I280" s="51"/>
      <c r="J280" s="51"/>
      <c r="K280" s="51"/>
      <c r="L280" s="51"/>
      <c r="M280" s="51"/>
      <c r="N280" s="51"/>
      <c r="O280" s="51"/>
      <c r="P280" s="51"/>
      <c r="Q280" s="51"/>
      <c r="R280" s="51"/>
      <c r="S280" s="51"/>
      <c r="T280" s="51"/>
      <c r="U280" s="51"/>
      <c r="V280" s="51"/>
      <c r="W280" s="51" t="n">
        <v>781</v>
      </c>
      <c r="X280" s="51"/>
      <c r="Y280" s="51"/>
      <c r="Z280" s="51"/>
      <c r="AA280" s="51"/>
    </row>
    <row r="281" ht="36" customHeight="1">
      <c r="A281" s="49" t="str">
        <v>Identified intangible assets [Disposal group / assets held for sale ca]</v>
      </c>
      <c r="B281" s="3"/>
      <c r="C281" s="51" t="n">
        <v>966</v>
      </c>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36" customHeight="1">
      <c r="A282" s="34" t="str">
        <v>Total assets held for sale [Disposal group / assets held for sale ca]</v>
      </c>
      <c r="B282" s="35"/>
      <c r="C282" s="36" t="n">
        <v>5187</v>
      </c>
      <c r="D282" s="36"/>
      <c r="E282" s="36"/>
      <c r="F282" s="36"/>
      <c r="G282" s="36" t="n">
        <v>5325</v>
      </c>
      <c r="H282" s="36"/>
      <c r="I282" s="36"/>
      <c r="J282" s="36"/>
      <c r="K282" s="36"/>
      <c r="L282" s="36"/>
      <c r="M282" s="36"/>
      <c r="N282" s="36"/>
      <c r="O282" s="36"/>
      <c r="P282" s="36"/>
      <c r="Q282" s="36"/>
      <c r="R282" s="36"/>
      <c r="S282" s="36"/>
      <c r="T282" s="36"/>
      <c r="U282" s="36"/>
      <c r="V282" s="36"/>
      <c r="W282" s="36" t="n">
        <v>2310</v>
      </c>
      <c r="X282" s="36"/>
      <c r="Y282" s="36"/>
      <c r="Z282" s="36"/>
      <c r="AA282" s="36"/>
    </row>
    <row r="283" ht="8"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22"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sheetData>
  <mergeCells>
    <mergeCell ref="A1:AA1"/>
    <mergeCell ref="A2:AA2"/>
    <mergeCell ref="A7:AA7"/>
    <mergeCell ref="A16:AA16"/>
    <mergeCell ref="A31:AA31"/>
    <mergeCell ref="A36:AA36"/>
    <mergeCell ref="A44:AA44"/>
    <mergeCell ref="A53:AA53"/>
    <mergeCell ref="A171:AA171"/>
    <mergeCell ref="A209:AA209"/>
    <mergeCell ref="A227:AA227"/>
    <mergeCell ref="A245:AA245"/>
    <mergeCell ref="A263:AA263"/>
    <mergeCell ref="A275:AA275"/>
  </mergeCells>
  <conditionalFormatting sqref="C41:AA41">
    <cfRule type="cellIs" dxfId="41" priority="1" operator="notBetween">
      <formula>-0.01</formula>
      <formula>0.01</formula>
    </cfRule>
  </conditionalFormatting>
  <conditionalFormatting sqref="C42:AA42">
    <cfRule type="cellIs" dxfId="42" priority="2" operator="notBetween">
      <formula>-0.01</formula>
      <formula>0.01</formula>
    </cfRule>
  </conditionalFormatting>
  <conditionalFormatting sqref="C51:AA51">
    <cfRule type="cellIs" dxfId="43" priority="3" operator="notBetween">
      <formula>-0.01</formula>
      <formula>0.01</formula>
    </cfRule>
  </conditionalFormatting>
  <pageMargins left="0.7" right="0.7" top="0.75" bottom="0.75" header="0.3" footer="0.3"/>
</worksheet>
</file>

<file path=xl/worksheets/sheet9.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Debt &amp; Leases</v>
      </c>
      <c r="B1" s="6" t="str">
        <v>Intel Corporation — Debt &amp; Leases</v>
      </c>
      <c r="C1" s="6" t="str">
        <v>Intel Corporation — Debt &amp; Leases</v>
      </c>
      <c r="D1" s="6" t="str">
        <v>Intel Corporation — Debt &amp; Leases</v>
      </c>
      <c r="E1" s="6" t="str">
        <v>Intel Corporation — Debt &amp; Leases</v>
      </c>
      <c r="F1" s="6" t="str">
        <v>Intel Corporation — Debt &amp; Leases</v>
      </c>
      <c r="G1" s="6" t="str">
        <v>Intel Corporation — Debt &amp; Leases</v>
      </c>
      <c r="H1" s="6" t="str">
        <v>Intel Corporation — Debt &amp; Leases</v>
      </c>
      <c r="I1" s="6" t="str">
        <v>Intel Corporation — Debt &amp; Leases</v>
      </c>
      <c r="J1" s="6" t="str">
        <v>Intel Corporation — Debt &amp; Leases</v>
      </c>
      <c r="K1" s="6" t="str">
        <v>Intel Corporation — Debt &amp; Leases</v>
      </c>
      <c r="L1" s="6" t="str">
        <v>Intel Corporation — Debt &amp; Leases</v>
      </c>
      <c r="M1" s="6" t="str">
        <v>Intel Corporation — Debt &amp; Leases</v>
      </c>
      <c r="N1" s="6" t="str">
        <v>Intel Corporation — Debt &amp; Leases</v>
      </c>
      <c r="O1" s="6" t="str">
        <v>Intel Corporation — Debt &amp; Leases</v>
      </c>
      <c r="P1" s="6" t="str">
        <v>Intel Corporation — Debt &amp; Leases</v>
      </c>
      <c r="Q1" s="6" t="str">
        <v>Intel Corporation — Debt &amp; Leases</v>
      </c>
      <c r="R1" s="6" t="str">
        <v>Intel Corporation — Debt &amp; Leases</v>
      </c>
      <c r="S1" s="6" t="str">
        <v>Intel Corporation — Debt &amp; Leases</v>
      </c>
      <c r="T1" s="6" t="str">
        <v>Intel Corporation — Debt &amp; Leases</v>
      </c>
      <c r="U1" s="6" t="str">
        <v>Intel Corporation — Debt &amp; Leases</v>
      </c>
      <c r="V1" s="6" t="str">
        <v>Intel Corporation — Debt &amp; Leases</v>
      </c>
      <c r="W1" s="6" t="str">
        <v>Intel Corporation — Debt &amp; Leases</v>
      </c>
      <c r="X1" s="6" t="str">
        <v>Intel Corporation — Debt &amp; Leases</v>
      </c>
      <c r="Y1" s="6" t="str">
        <v>Intel Corporation — Debt &amp; Leases</v>
      </c>
      <c r="Z1" s="6" t="str">
        <v>Intel Corporation — Debt &amp; Leases</v>
      </c>
      <c r="AA1" s="6" t="str">
        <v>Intel Corporation — Debt &amp; Leases</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Identified financial and capital-related balances</v>
      </c>
      <c r="B7" s="21" t="str">
        <v>Identified financial and capital-related balances</v>
      </c>
      <c r="C7" s="21" t="str">
        <v>Identified financial and capital-related balances</v>
      </c>
      <c r="D7" s="21" t="str">
        <v>Identified financial and capital-related balances</v>
      </c>
      <c r="E7" s="21" t="str">
        <v>Identified financial and capital-related balances</v>
      </c>
      <c r="F7" s="21" t="str">
        <v>Identified financial and capital-related balances</v>
      </c>
      <c r="G7" s="21" t="str">
        <v>Identified financial and capital-related balances</v>
      </c>
      <c r="H7" s="21" t="str">
        <v>Identified financial and capital-related balances</v>
      </c>
      <c r="I7" s="21" t="str">
        <v>Identified financial and capital-related balances</v>
      </c>
      <c r="J7" s="21" t="str">
        <v>Identified financial and capital-related balances</v>
      </c>
      <c r="K7" s="21" t="str">
        <v>Identified financial and capital-related balances</v>
      </c>
      <c r="L7" s="21" t="str">
        <v>Identified financial and capital-related balances</v>
      </c>
      <c r="M7" s="21" t="str">
        <v>Identified financial and capital-related balances</v>
      </c>
      <c r="N7" s="21" t="str">
        <v>Identified financial and capital-related balances</v>
      </c>
      <c r="O7" s="21" t="str">
        <v>Identified financial and capital-related balances</v>
      </c>
      <c r="P7" s="21" t="str">
        <v>Identified financial and capital-related balances</v>
      </c>
      <c r="Q7" s="21" t="str">
        <v>Identified financial and capital-related balances</v>
      </c>
      <c r="R7" s="21" t="str">
        <v>Identified financial and capital-related balances</v>
      </c>
      <c r="S7" s="21" t="str">
        <v>Identified financial and capital-related balances</v>
      </c>
      <c r="T7" s="21" t="str">
        <v>Identified financial and capital-related balances</v>
      </c>
      <c r="U7" s="21" t="str">
        <v>Identified financial and capital-related balances</v>
      </c>
      <c r="V7" s="21" t="str">
        <v>Identified financial and capital-related balances</v>
      </c>
      <c r="W7" s="21" t="str">
        <v>Identified financial and capital-related balances</v>
      </c>
      <c r="X7" s="21" t="str">
        <v>Identified financial and capital-related balances</v>
      </c>
      <c r="Y7" s="21" t="str">
        <v>Identified financial and capital-related balances</v>
      </c>
      <c r="Z7" s="21" t="str">
        <v>Identified financial and capital-related balances</v>
      </c>
      <c r="AA7" s="21" t="str">
        <v>Identified financial and capital-related balances</v>
      </c>
    </row>
    <row r="8" ht="22" customHeight="1">
      <c r="A8" s="49" t="str">
        <v>Derivative liabilities: current</v>
      </c>
      <c r="B8" s="3"/>
      <c r="C8" s="51" t="n">
        <v>371</v>
      </c>
      <c r="D8" s="51" t="n">
        <v>454</v>
      </c>
      <c r="E8" s="51" t="n">
        <v>412</v>
      </c>
      <c r="F8" s="51" t="n">
        <v>290</v>
      </c>
      <c r="G8" s="51" t="n">
        <v>810</v>
      </c>
      <c r="H8" s="51" t="n">
        <v>520</v>
      </c>
      <c r="I8" s="51" t="n">
        <v>685</v>
      </c>
      <c r="J8" s="51" t="n">
        <v>640</v>
      </c>
      <c r="K8" s="51" t="n">
        <v>696</v>
      </c>
      <c r="L8" s="51" t="n">
        <v>1834</v>
      </c>
      <c r="M8" s="51"/>
      <c r="N8" s="51"/>
      <c r="O8" s="51"/>
      <c r="P8" s="51" t="n">
        <v>891</v>
      </c>
      <c r="Q8" s="51"/>
      <c r="R8" s="51" t="n">
        <v>493</v>
      </c>
      <c r="S8" s="51" t="n">
        <v>604</v>
      </c>
      <c r="T8" s="51" t="n">
        <v>553</v>
      </c>
      <c r="U8" s="51"/>
      <c r="V8" s="51" t="n">
        <v>515</v>
      </c>
      <c r="W8" s="51" t="n">
        <v>514</v>
      </c>
      <c r="X8" s="51" t="n">
        <v>2599</v>
      </c>
      <c r="Y8" s="51"/>
      <c r="Z8" s="51" t="n">
        <v>2810</v>
      </c>
      <c r="AA8" s="51" t="n">
        <v>9288</v>
      </c>
    </row>
    <row r="9" ht="22" customHeight="1">
      <c r="A9" s="49" t="str">
        <v>Capital-vendor financing: within AP and other accruals</v>
      </c>
      <c r="B9" s="3"/>
      <c r="C9" s="51"/>
      <c r="D9" s="51"/>
      <c r="E9" s="51"/>
      <c r="F9" s="51"/>
      <c r="G9" s="51"/>
      <c r="H9" s="51"/>
      <c r="I9" s="51"/>
      <c r="J9" s="51"/>
      <c r="K9" s="51" t="n">
        <v>3200</v>
      </c>
      <c r="L9" s="51" t="n">
        <v>1500</v>
      </c>
      <c r="M9" s="51"/>
      <c r="N9" s="51"/>
      <c r="O9" s="51"/>
      <c r="P9" s="51"/>
      <c r="Q9" s="51"/>
      <c r="R9" s="51"/>
      <c r="S9" s="51"/>
      <c r="T9" s="51"/>
      <c r="U9" s="51"/>
      <c r="V9" s="51"/>
      <c r="W9" s="51"/>
      <c r="X9" s="51"/>
      <c r="Y9" s="51"/>
      <c r="Z9" s="51"/>
      <c r="AA9" s="51"/>
    </row>
    <row r="10" ht="22" customHeight="1">
      <c r="A10" s="49" t="str">
        <v>Escrowed-share obligation: current (source rounded)</v>
      </c>
      <c r="B10" s="3"/>
      <c r="C10" s="51"/>
      <c r="D10" s="51"/>
      <c r="E10" s="51"/>
      <c r="F10" s="51"/>
      <c r="G10" s="51"/>
      <c r="H10" s="51"/>
      <c r="I10" s="51"/>
      <c r="J10" s="51"/>
      <c r="K10" s="51"/>
      <c r="L10" s="51" t="n">
        <v>1100</v>
      </c>
      <c r="M10" s="51"/>
      <c r="N10" s="51"/>
      <c r="O10" s="51"/>
      <c r="P10" s="51"/>
      <c r="Q10" s="51"/>
      <c r="R10" s="51"/>
      <c r="S10" s="51"/>
      <c r="T10" s="51"/>
      <c r="U10" s="51"/>
      <c r="V10" s="51"/>
      <c r="W10" s="51"/>
      <c r="X10" s="51"/>
      <c r="Y10" s="51"/>
      <c r="Z10" s="51"/>
      <c r="AA10" s="51" t="n">
        <v>8800</v>
      </c>
    </row>
    <row r="11" ht="8"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ht="22" customHeight="1">
      <c r="A12" s="21" t="str">
        <v>Debt: balance sheet lines vs MD&amp;A total debt</v>
      </c>
      <c r="B12" s="21" t="str">
        <v>Debt: balance sheet lines vs MD&amp;A total debt</v>
      </c>
      <c r="C12" s="21" t="str">
        <v>Debt: balance sheet lines vs MD&amp;A total debt</v>
      </c>
      <c r="D12" s="21" t="str">
        <v>Debt: balance sheet lines vs MD&amp;A total debt</v>
      </c>
      <c r="E12" s="21" t="str">
        <v>Debt: balance sheet lines vs MD&amp;A total debt</v>
      </c>
      <c r="F12" s="21" t="str">
        <v>Debt: balance sheet lines vs MD&amp;A total debt</v>
      </c>
      <c r="G12" s="21" t="str">
        <v>Debt: balance sheet lines vs MD&amp;A total debt</v>
      </c>
      <c r="H12" s="21" t="str">
        <v>Debt: balance sheet lines vs MD&amp;A total debt</v>
      </c>
      <c r="I12" s="21" t="str">
        <v>Debt: balance sheet lines vs MD&amp;A total debt</v>
      </c>
      <c r="J12" s="21" t="str">
        <v>Debt: balance sheet lines vs MD&amp;A total debt</v>
      </c>
      <c r="K12" s="21" t="str">
        <v>Debt: balance sheet lines vs MD&amp;A total debt</v>
      </c>
      <c r="L12" s="21" t="str">
        <v>Debt: balance sheet lines vs MD&amp;A total debt</v>
      </c>
      <c r="M12" s="21" t="str">
        <v>Debt: balance sheet lines vs MD&amp;A total debt</v>
      </c>
      <c r="N12" s="21" t="str">
        <v>Debt: balance sheet lines vs MD&amp;A total debt</v>
      </c>
      <c r="O12" s="21" t="str">
        <v>Debt: balance sheet lines vs MD&amp;A total debt</v>
      </c>
      <c r="P12" s="21" t="str">
        <v>Debt: balance sheet lines vs MD&amp;A total debt</v>
      </c>
      <c r="Q12" s="21" t="str">
        <v>Debt: balance sheet lines vs MD&amp;A total debt</v>
      </c>
      <c r="R12" s="21" t="str">
        <v>Debt: balance sheet lines vs MD&amp;A total debt</v>
      </c>
      <c r="S12" s="21" t="str">
        <v>Debt: balance sheet lines vs MD&amp;A total debt</v>
      </c>
      <c r="T12" s="21" t="str">
        <v>Debt: balance sheet lines vs MD&amp;A total debt</v>
      </c>
      <c r="U12" s="21" t="str">
        <v>Debt: balance sheet lines vs MD&amp;A total debt</v>
      </c>
      <c r="V12" s="21" t="str">
        <v>Debt: balance sheet lines vs MD&amp;A total debt</v>
      </c>
      <c r="W12" s="21" t="str">
        <v>Debt: balance sheet lines vs MD&amp;A total debt</v>
      </c>
      <c r="X12" s="21" t="str">
        <v>Debt: balance sheet lines vs MD&amp;A total debt</v>
      </c>
      <c r="Y12" s="21" t="str">
        <v>Debt: balance sheet lines vs MD&amp;A total debt</v>
      </c>
      <c r="Z12" s="21" t="str">
        <v>Debt: balance sheet lines vs MD&amp;A total debt</v>
      </c>
      <c r="AA12" s="21" t="str">
        <v>Debt: balance sheet lines vs MD&amp;A total debt</v>
      </c>
    </row>
    <row r="13" ht="24" customHeight="1">
      <c r="A13" s="34" t="str">
        <v>Total debt (MD&amp;A: short-term and long-term debt)</v>
      </c>
      <c r="B13" s="35"/>
      <c r="C13" s="36" t="n">
        <v>25283</v>
      </c>
      <c r="D13" s="36" t="n">
        <v>26813</v>
      </c>
      <c r="E13" s="36" t="n">
        <v>26359</v>
      </c>
      <c r="F13" s="36" t="n">
        <v>29001</v>
      </c>
      <c r="G13" s="36" t="n">
        <v>36401</v>
      </c>
      <c r="H13" s="36" t="n">
        <v>38101</v>
      </c>
      <c r="I13" s="36" t="n">
        <v>42051</v>
      </c>
      <c r="J13" s="36" t="n">
        <v>49266</v>
      </c>
      <c r="K13" s="36" t="n">
        <v>50011</v>
      </c>
      <c r="L13" s="36" t="n">
        <v>46585</v>
      </c>
      <c r="M13" s="36"/>
      <c r="N13" s="36"/>
      <c r="O13" s="36"/>
      <c r="P13" s="36" t="n">
        <v>48879</v>
      </c>
      <c r="Q13" s="37" t="n">
        <f>IF(COUNT(J13)=1,J13,"")</f>
        <v>49266</v>
      </c>
      <c r="R13" s="36" t="n">
        <v>52450</v>
      </c>
      <c r="S13" s="36" t="n">
        <v>53029</v>
      </c>
      <c r="T13" s="36" t="n">
        <v>50236</v>
      </c>
      <c r="U13" s="37" t="n">
        <f>IF(COUNT(K13)=1,K13,"")</f>
        <v>50011</v>
      </c>
      <c r="V13" s="36" t="n">
        <v>50151</v>
      </c>
      <c r="W13" s="36" t="n">
        <v>50757</v>
      </c>
      <c r="X13" s="36" t="n">
        <v>46553</v>
      </c>
      <c r="Y13" s="37" t="n">
        <f>IF(COUNT(L13)=1,L13,"")</f>
        <v>46585</v>
      </c>
      <c r="Z13" s="36" t="n">
        <v>45031</v>
      </c>
      <c r="AA13" s="36" t="n">
        <v>50537</v>
      </c>
    </row>
    <row r="14" ht="22" customHeight="1">
      <c r="A14" s="49" t="str">
        <v>Short-term debt (balance sheet)</v>
      </c>
      <c r="B14" s="3"/>
      <c r="C14" s="51" t="n">
        <v>4634</v>
      </c>
      <c r="D14" s="51" t="n">
        <v>1776</v>
      </c>
      <c r="E14" s="51" t="n">
        <v>1261</v>
      </c>
      <c r="F14" s="51" t="n">
        <v>3693</v>
      </c>
      <c r="G14" s="51" t="n">
        <v>2504</v>
      </c>
      <c r="H14" s="51" t="n">
        <v>4591</v>
      </c>
      <c r="I14" s="51" t="n">
        <v>4367</v>
      </c>
      <c r="J14" s="51" t="n">
        <v>2288</v>
      </c>
      <c r="K14" s="51" t="n">
        <v>3729</v>
      </c>
      <c r="L14" s="51" t="n">
        <v>2499</v>
      </c>
      <c r="M14" s="51"/>
      <c r="N14" s="51"/>
      <c r="O14" s="51"/>
      <c r="P14" s="51" t="n">
        <v>2288</v>
      </c>
      <c r="Q14" s="52" t="n">
        <f>IF(COUNT(J14)=1,J14,"")</f>
        <v>2288</v>
      </c>
      <c r="R14" s="51" t="n">
        <v>4581</v>
      </c>
      <c r="S14" s="51" t="n">
        <v>4695</v>
      </c>
      <c r="T14" s="51" t="n">
        <v>3765</v>
      </c>
      <c r="U14" s="52" t="n">
        <f>IF(COUNT(K14)=1,K14,"")</f>
        <v>3729</v>
      </c>
      <c r="V14" s="51" t="n">
        <v>5240</v>
      </c>
      <c r="W14" s="51" t="n">
        <v>6731</v>
      </c>
      <c r="X14" s="51" t="n">
        <v>2496</v>
      </c>
      <c r="Y14" s="52" t="n">
        <f>IF(COUNT(L14)=1,L14,"")</f>
        <v>2499</v>
      </c>
      <c r="Z14" s="51" t="n">
        <v>2004</v>
      </c>
      <c r="AA14" s="51" t="n">
        <v>1988</v>
      </c>
    </row>
    <row r="15" ht="22" customHeight="1">
      <c r="A15" s="49" t="str">
        <v>Long-term debt (balance sheet)</v>
      </c>
      <c r="B15" s="3"/>
      <c r="C15" s="51" t="n">
        <v>20649</v>
      </c>
      <c r="D15" s="51" t="n">
        <v>25037</v>
      </c>
      <c r="E15" s="51" t="n">
        <v>25098</v>
      </c>
      <c r="F15" s="51" t="n">
        <v>25308</v>
      </c>
      <c r="G15" s="51" t="n">
        <v>33897</v>
      </c>
      <c r="H15" s="51" t="n">
        <v>33510</v>
      </c>
      <c r="I15" s="51" t="n">
        <v>37684</v>
      </c>
      <c r="J15" s="51" t="n">
        <v>46978</v>
      </c>
      <c r="K15" s="51" t="n">
        <v>46282</v>
      </c>
      <c r="L15" s="51" t="n">
        <v>44086</v>
      </c>
      <c r="M15" s="51"/>
      <c r="N15" s="51"/>
      <c r="O15" s="51"/>
      <c r="P15" s="51" t="n">
        <v>46591</v>
      </c>
      <c r="Q15" s="52" t="n">
        <f>IF(COUNT(J15)=1,J15,"")</f>
        <v>46978</v>
      </c>
      <c r="R15" s="51" t="n">
        <v>47869</v>
      </c>
      <c r="S15" s="51" t="n">
        <v>48334</v>
      </c>
      <c r="T15" s="51" t="n">
        <v>46471</v>
      </c>
      <c r="U15" s="52" t="n">
        <f>IF(COUNT(K15)=1,K15,"")</f>
        <v>46282</v>
      </c>
      <c r="V15" s="51" t="n">
        <v>44911</v>
      </c>
      <c r="W15" s="51" t="n">
        <v>44026</v>
      </c>
      <c r="X15" s="51" t="n">
        <v>44057</v>
      </c>
      <c r="Y15" s="52" t="n">
        <f>IF(COUNT(L15)=1,L15,"")</f>
        <v>44086</v>
      </c>
      <c r="Z15" s="51" t="n">
        <v>43027</v>
      </c>
      <c r="AA15" s="51" t="n">
        <v>48549</v>
      </c>
    </row>
    <row r="16" ht="36" customHeight="1">
      <c r="A16" s="49" t="str">
        <v>Check: BS short-term + long-term debt - MD&amp;A total debt (should be 0)</v>
      </c>
      <c r="B16" s="3"/>
      <c r="C16" s="59" t="n">
        <f>IF(COUNT(C14,C15,C13)=3,C14+C15-C13,"")</f>
        <v>0</v>
      </c>
      <c r="D16" s="59" t="n">
        <f>IF(COUNT(D14,D15,D13)=3,D14+D15-D13,"")</f>
        <v>0</v>
      </c>
      <c r="E16" s="59" t="n">
        <f>IF(COUNT(E14,E15,E13)=3,E14+E15-E13,"")</f>
        <v>0</v>
      </c>
      <c r="F16" s="59" t="n">
        <f>IF(COUNT(F14,F15,F13)=3,F14+F15-F13,"")</f>
        <v>0</v>
      </c>
      <c r="G16" s="59" t="n">
        <f>IF(COUNT(G14,G15,G13)=3,G14+G15-G13,"")</f>
        <v>0</v>
      </c>
      <c r="H16" s="59" t="n">
        <f>IF(COUNT(H14,H15,H13)=3,H14+H15-H13,"")</f>
        <v>0</v>
      </c>
      <c r="I16" s="59" t="n">
        <f>IF(COUNT(I14,I15,I13)=3,I14+I15-I13,"")</f>
        <v>0</v>
      </c>
      <c r="J16" s="59" t="n">
        <f>IF(COUNT(J14,J15,J13)=3,J14+J15-J13,"")</f>
        <v>0</v>
      </c>
      <c r="K16" s="59" t="n">
        <f>IF(COUNT(K14,K15,K13)=3,K14+K15-K13,"")</f>
        <v>0</v>
      </c>
      <c r="L16" s="59" t="n">
        <f>IF(COUNT(L14,L15,L13)=3,L14+L15-L13,"")</f>
        <v>0</v>
      </c>
      <c r="M16" s="59"/>
      <c r="N16" s="59"/>
      <c r="O16" s="59"/>
      <c r="P16" s="59" t="n">
        <f>IF(COUNT(P14,P15,P13)=3,P14+P15-P13,"")</f>
        <v>0</v>
      </c>
      <c r="Q16" s="59" t="n">
        <f>IF(COUNT(Q14,Q15,Q13)=3,Q14+Q15-Q13,"")</f>
        <v>0</v>
      </c>
      <c r="R16" s="59" t="n">
        <f>IF(COUNT(R14,R15,R13)=3,R14+R15-R13,"")</f>
        <v>0</v>
      </c>
      <c r="S16" s="59" t="n">
        <f>IF(COUNT(S14,S15,S13)=3,S14+S15-S13,"")</f>
        <v>0</v>
      </c>
      <c r="T16" s="59" t="n">
        <f>IF(COUNT(T14,T15,T13)=3,T14+T15-T13,"")</f>
        <v>0</v>
      </c>
      <c r="U16" s="59" t="n">
        <f>IF(COUNT(U14,U15,U13)=3,U14+U15-U13,"")</f>
        <v>0</v>
      </c>
      <c r="V16" s="59" t="n">
        <f>IF(COUNT(V14,V15,V13)=3,V14+V15-V13,"")</f>
        <v>0</v>
      </c>
      <c r="W16" s="59" t="n">
        <f>IF(COUNT(W14,W15,W13)=3,W14+W15-W13,"")</f>
        <v>0</v>
      </c>
      <c r="X16" s="59" t="n">
        <f>IF(COUNT(X14,X15,X13)=3,X14+X15-X13,"")</f>
        <v>0</v>
      </c>
      <c r="Y16" s="59" t="n">
        <f>IF(COUNT(Y14,Y15,Y13)=3,Y14+Y15-Y13,"")</f>
        <v>0</v>
      </c>
      <c r="Z16" s="59" t="n">
        <f>IF(COUNT(Z14,Z15,Z13)=3,Z14+Z15-Z13,"")</f>
        <v>0</v>
      </c>
      <c r="AA16" s="59" t="n">
        <f>IF(COUNT(AA14,AA15,AA13)=3,AA14+AA15-AA13,"")</f>
        <v>0</v>
      </c>
    </row>
    <row r="17" ht="36" customHeight="1">
      <c r="A17" s="49" t="str">
        <v>Check: debt note short-term debt - balance sheet (should be 0)</v>
      </c>
      <c r="B17" s="3"/>
      <c r="C17" s="59"/>
      <c r="D17" s="59"/>
      <c r="E17" s="59"/>
      <c r="F17" s="59"/>
      <c r="G17" s="59"/>
      <c r="H17" s="59"/>
      <c r="I17" s="59"/>
      <c r="J17" s="59"/>
      <c r="K17" s="59"/>
      <c r="L17" s="59"/>
      <c r="M17" s="59"/>
      <c r="N17" s="59"/>
      <c r="O17" s="59"/>
      <c r="P17" s="59"/>
      <c r="Q17" s="59"/>
      <c r="R17" s="59"/>
      <c r="S17" s="59"/>
      <c r="T17" s="59"/>
      <c r="U17" s="59"/>
      <c r="V17" s="59"/>
      <c r="W17" s="59"/>
      <c r="X17" s="59"/>
      <c r="Y17" s="59"/>
      <c r="Z17" s="59"/>
      <c r="AA17" s="59"/>
    </row>
    <row r="18" ht="36" customHeight="1">
      <c r="A18" s="49" t="str">
        <v>Check: debt note long-term debt - balance sheet (should be 0)</v>
      </c>
      <c r="B18" s="3"/>
      <c r="C18" s="59"/>
      <c r="D18" s="59"/>
      <c r="E18" s="59"/>
      <c r="F18" s="59"/>
      <c r="G18" s="59"/>
      <c r="H18" s="59"/>
      <c r="I18" s="59"/>
      <c r="J18" s="59"/>
      <c r="K18" s="59"/>
      <c r="L18" s="59"/>
      <c r="M18" s="59"/>
      <c r="N18" s="59"/>
      <c r="O18" s="59"/>
      <c r="P18" s="59"/>
      <c r="Q18" s="59"/>
      <c r="R18" s="59"/>
      <c r="S18" s="59"/>
      <c r="T18" s="59"/>
      <c r="U18" s="59"/>
      <c r="V18" s="59"/>
      <c r="W18" s="59"/>
      <c r="X18" s="59"/>
      <c r="Y18" s="59"/>
      <c r="Z18" s="59"/>
      <c r="AA18" s="59"/>
    </row>
    <row r="19" ht="8"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22" customHeight="1">
      <c r="A20" s="21" t="str">
        <v>Short-term debt components and current maturities</v>
      </c>
      <c r="B20" s="21" t="str">
        <v>Short-term debt components and current maturities</v>
      </c>
      <c r="C20" s="21" t="str">
        <v>Short-term debt components and current maturities</v>
      </c>
      <c r="D20" s="21" t="str">
        <v>Short-term debt components and current maturities</v>
      </c>
      <c r="E20" s="21" t="str">
        <v>Short-term debt components and current maturities</v>
      </c>
      <c r="F20" s="21" t="str">
        <v>Short-term debt components and current maturities</v>
      </c>
      <c r="G20" s="21" t="str">
        <v>Short-term debt components and current maturities</v>
      </c>
      <c r="H20" s="21" t="str">
        <v>Short-term debt components and current maturities</v>
      </c>
      <c r="I20" s="21" t="str">
        <v>Short-term debt components and current maturities</v>
      </c>
      <c r="J20" s="21" t="str">
        <v>Short-term debt components and current maturities</v>
      </c>
      <c r="K20" s="21" t="str">
        <v>Short-term debt components and current maturities</v>
      </c>
      <c r="L20" s="21" t="str">
        <v>Short-term debt components and current maturities</v>
      </c>
      <c r="M20" s="21" t="str">
        <v>Short-term debt components and current maturities</v>
      </c>
      <c r="N20" s="21" t="str">
        <v>Short-term debt components and current maturities</v>
      </c>
      <c r="O20" s="21" t="str">
        <v>Short-term debt components and current maturities</v>
      </c>
      <c r="P20" s="21" t="str">
        <v>Short-term debt components and current maturities</v>
      </c>
      <c r="Q20" s="21" t="str">
        <v>Short-term debt components and current maturities</v>
      </c>
      <c r="R20" s="21" t="str">
        <v>Short-term debt components and current maturities</v>
      </c>
      <c r="S20" s="21" t="str">
        <v>Short-term debt components and current maturities</v>
      </c>
      <c r="T20" s="21" t="str">
        <v>Short-term debt components and current maturities</v>
      </c>
      <c r="U20" s="21" t="str">
        <v>Short-term debt components and current maturities</v>
      </c>
      <c r="V20" s="21" t="str">
        <v>Short-term debt components and current maturities</v>
      </c>
      <c r="W20" s="21" t="str">
        <v>Short-term debt components and current maturities</v>
      </c>
      <c r="X20" s="21" t="str">
        <v>Short-term debt components and current maturities</v>
      </c>
      <c r="Y20" s="21" t="str">
        <v>Short-term debt components and current maturities</v>
      </c>
      <c r="Z20" s="21" t="str">
        <v>Short-term debt components and current maturities</v>
      </c>
      <c r="AA20" s="21" t="str">
        <v>Short-term debt components and current maturities</v>
      </c>
    </row>
    <row r="21" ht="22" customHeight="1">
      <c r="A21" s="49" t="str">
        <v>Current portion of long-term debt2</v>
      </c>
      <c r="B21" s="3"/>
      <c r="C21" s="51"/>
      <c r="D21" s="51"/>
      <c r="E21" s="51"/>
      <c r="F21" s="51"/>
      <c r="G21" s="51"/>
      <c r="H21" s="51"/>
      <c r="I21" s="51"/>
      <c r="J21" s="51" t="n">
        <v>-2288</v>
      </c>
      <c r="K21" s="51" t="n">
        <v>-3729</v>
      </c>
      <c r="L21" s="51" t="n">
        <v>-2499</v>
      </c>
      <c r="M21" s="51"/>
      <c r="N21" s="51"/>
      <c r="O21" s="51"/>
      <c r="P21" s="51"/>
      <c r="Q21" s="51"/>
      <c r="R21" s="51"/>
      <c r="S21" s="51"/>
      <c r="T21" s="51"/>
      <c r="U21" s="51"/>
      <c r="V21" s="51"/>
      <c r="W21" s="51"/>
      <c r="X21" s="51"/>
      <c r="Y21" s="51"/>
      <c r="Z21" s="51"/>
      <c r="AA21" s="51"/>
    </row>
    <row r="22" ht="22" customHeight="1">
      <c r="A22" s="49" t="str">
        <v>Drafts payable</v>
      </c>
      <c r="B22" s="3"/>
      <c r="C22" s="51" t="n">
        <v>25</v>
      </c>
      <c r="D22" s="51" t="n">
        <v>37</v>
      </c>
      <c r="E22" s="51"/>
      <c r="F22" s="51"/>
      <c r="G22" s="51"/>
      <c r="H22" s="51"/>
      <c r="I22" s="51"/>
      <c r="J22" s="51"/>
      <c r="K22" s="51"/>
      <c r="L22" s="51"/>
      <c r="M22" s="51"/>
      <c r="N22" s="51"/>
      <c r="O22" s="51"/>
      <c r="P22" s="51"/>
      <c r="Q22" s="51"/>
      <c r="R22" s="51"/>
      <c r="S22" s="51"/>
      <c r="T22" s="51"/>
      <c r="U22" s="51"/>
      <c r="V22" s="51"/>
      <c r="W22" s="51"/>
      <c r="X22" s="51"/>
      <c r="Y22" s="51"/>
      <c r="Z22" s="51"/>
      <c r="AA22" s="51"/>
    </row>
    <row r="23" ht="22" customHeight="1">
      <c r="A23" s="49" t="str">
        <v>Current portion of long-term debt</v>
      </c>
      <c r="B23" s="3"/>
      <c r="C23" s="51" t="n">
        <v>4618</v>
      </c>
      <c r="D23" s="51" t="n">
        <v>1739</v>
      </c>
      <c r="E23" s="51" t="n">
        <v>761</v>
      </c>
      <c r="F23" s="51" t="n">
        <v>-3695</v>
      </c>
      <c r="G23" s="51" t="n">
        <v>-2504</v>
      </c>
      <c r="H23" s="51" t="n">
        <v>-4591</v>
      </c>
      <c r="I23" s="51" t="n">
        <v>-423</v>
      </c>
      <c r="J23" s="51" t="n">
        <v>-2288</v>
      </c>
      <c r="K23" s="51"/>
      <c r="L23" s="51"/>
      <c r="M23" s="51"/>
      <c r="N23" s="51"/>
      <c r="O23" s="51"/>
      <c r="P23" s="51"/>
      <c r="Q23" s="51"/>
      <c r="R23" s="51"/>
      <c r="S23" s="51"/>
      <c r="T23" s="51"/>
      <c r="U23" s="51"/>
      <c r="V23" s="51"/>
      <c r="W23" s="51"/>
      <c r="X23" s="51"/>
      <c r="Y23" s="51"/>
      <c r="Z23" s="51"/>
      <c r="AA23" s="51"/>
    </row>
    <row r="24" ht="22" customHeight="1">
      <c r="A24" s="49" t="str">
        <v>Current portion of long-term debt [December 31, 2016]</v>
      </c>
      <c r="B24" s="3"/>
      <c r="C24" s="51" t="n">
        <v>-4609</v>
      </c>
      <c r="D24" s="51"/>
      <c r="E24" s="51"/>
      <c r="F24" s="51"/>
      <c r="G24" s="51"/>
      <c r="H24" s="51"/>
      <c r="I24" s="51"/>
      <c r="J24" s="51"/>
      <c r="K24" s="51"/>
      <c r="L24" s="51"/>
      <c r="M24" s="51"/>
      <c r="N24" s="51"/>
      <c r="O24" s="51"/>
      <c r="P24" s="51"/>
      <c r="Q24" s="51"/>
      <c r="R24" s="51"/>
      <c r="S24" s="51"/>
      <c r="T24" s="51"/>
      <c r="U24" s="51"/>
      <c r="V24" s="51"/>
      <c r="W24" s="51"/>
      <c r="X24" s="51"/>
      <c r="Y24" s="51"/>
      <c r="Z24" s="51"/>
      <c r="AA24" s="51"/>
    </row>
    <row r="25" ht="22" customHeight="1">
      <c r="A25" s="49" t="str">
        <v>Current portion of long-term debt [December 30, 2017]</v>
      </c>
      <c r="B25" s="3"/>
      <c r="C25" s="51"/>
      <c r="D25" s="51" t="n">
        <v>-1739</v>
      </c>
      <c r="E25" s="51"/>
      <c r="F25" s="51"/>
      <c r="G25" s="51"/>
      <c r="H25" s="51"/>
      <c r="I25" s="51"/>
      <c r="J25" s="51"/>
      <c r="K25" s="51"/>
      <c r="L25" s="51"/>
      <c r="M25" s="51"/>
      <c r="N25" s="51"/>
      <c r="O25" s="51"/>
      <c r="P25" s="51"/>
      <c r="Q25" s="51"/>
      <c r="R25" s="51"/>
      <c r="S25" s="51"/>
      <c r="T25" s="51"/>
      <c r="U25" s="51"/>
      <c r="V25" s="51"/>
      <c r="W25" s="51"/>
      <c r="X25" s="51"/>
      <c r="Y25" s="51"/>
      <c r="Z25" s="51"/>
      <c r="AA25" s="51"/>
    </row>
    <row r="26" ht="22" customHeight="1">
      <c r="A26" s="49" t="str">
        <v>Current portion of long-term debt [December 29, 2018]</v>
      </c>
      <c r="B26" s="3"/>
      <c r="C26" s="51"/>
      <c r="D26" s="51"/>
      <c r="E26" s="51" t="n">
        <v>-761</v>
      </c>
      <c r="F26" s="51"/>
      <c r="G26" s="51"/>
      <c r="H26" s="51"/>
      <c r="I26" s="51"/>
      <c r="J26" s="51"/>
      <c r="K26" s="51"/>
      <c r="L26" s="51"/>
      <c r="M26" s="51"/>
      <c r="N26" s="51"/>
      <c r="O26" s="51"/>
      <c r="P26" s="51"/>
      <c r="Q26" s="51"/>
      <c r="R26" s="51"/>
      <c r="S26" s="51"/>
      <c r="T26" s="51"/>
      <c r="U26" s="51"/>
      <c r="V26" s="51"/>
      <c r="W26" s="51"/>
      <c r="X26" s="51"/>
      <c r="Y26" s="51"/>
      <c r="Z26" s="51"/>
      <c r="AA26" s="51"/>
    </row>
    <row r="27" ht="24" customHeight="1">
      <c r="A27" s="34" t="str">
        <v>Total short-term debt</v>
      </c>
      <c r="B27" s="35"/>
      <c r="C27" s="36" t="n">
        <v>4634</v>
      </c>
      <c r="D27" s="36" t="n">
        <v>1776</v>
      </c>
      <c r="E27" s="36" t="n">
        <v>1261</v>
      </c>
      <c r="F27" s="36"/>
      <c r="G27" s="36"/>
      <c r="H27" s="36"/>
      <c r="I27" s="36"/>
      <c r="J27" s="36"/>
      <c r="K27" s="36"/>
      <c r="L27" s="36"/>
      <c r="M27" s="36"/>
      <c r="N27" s="36"/>
      <c r="O27" s="36"/>
      <c r="P27" s="36"/>
      <c r="Q27" s="36"/>
      <c r="R27" s="36"/>
      <c r="S27" s="36"/>
      <c r="T27" s="36"/>
      <c r="U27" s="36"/>
      <c r="V27" s="36"/>
      <c r="W27" s="36"/>
      <c r="X27" s="36"/>
      <c r="Y27" s="36"/>
      <c r="Z27" s="36"/>
      <c r="AA27" s="36"/>
    </row>
    <row r="28" ht="22" customHeight="1">
      <c r="A28" s="49" t="str">
        <v>Commercial paper and drafts payable</v>
      </c>
      <c r="B28" s="3"/>
      <c r="C28" s="51"/>
      <c r="D28" s="51" t="n">
        <v>37</v>
      </c>
      <c r="E28" s="51" t="n">
        <v>500</v>
      </c>
      <c r="F28" s="51"/>
      <c r="G28" s="51"/>
      <c r="H28" s="51"/>
      <c r="I28" s="51"/>
      <c r="J28" s="51"/>
      <c r="K28" s="51"/>
      <c r="L28" s="51"/>
      <c r="M28" s="51"/>
      <c r="N28" s="51"/>
      <c r="O28" s="51"/>
      <c r="P28" s="51"/>
      <c r="Q28" s="51"/>
      <c r="R28" s="51"/>
      <c r="S28" s="51"/>
      <c r="T28" s="51"/>
      <c r="U28" s="51"/>
      <c r="V28" s="51"/>
      <c r="W28" s="51"/>
      <c r="X28" s="51"/>
      <c r="Y28" s="51"/>
      <c r="Z28" s="51"/>
      <c r="AA28" s="51"/>
    </row>
    <row r="29" ht="8"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22" customHeight="1">
      <c r="A30" s="21" t="str">
        <v>Long-term debt note — totals and adjustments</v>
      </c>
      <c r="B30" s="21" t="str">
        <v>Long-term debt note — totals and adjustments</v>
      </c>
      <c r="C30" s="21" t="str">
        <v>Long-term debt note — totals and adjustments</v>
      </c>
      <c r="D30" s="21" t="str">
        <v>Long-term debt note — totals and adjustments</v>
      </c>
      <c r="E30" s="21" t="str">
        <v>Long-term debt note — totals and adjustments</v>
      </c>
      <c r="F30" s="21" t="str">
        <v>Long-term debt note — totals and adjustments</v>
      </c>
      <c r="G30" s="21" t="str">
        <v>Long-term debt note — totals and adjustments</v>
      </c>
      <c r="H30" s="21" t="str">
        <v>Long-term debt note — totals and adjustments</v>
      </c>
      <c r="I30" s="21" t="str">
        <v>Long-term debt note — totals and adjustments</v>
      </c>
      <c r="J30" s="21" t="str">
        <v>Long-term debt note — totals and adjustments</v>
      </c>
      <c r="K30" s="21" t="str">
        <v>Long-term debt note — totals and adjustments</v>
      </c>
      <c r="L30" s="21" t="str">
        <v>Long-term debt note — totals and adjustments</v>
      </c>
      <c r="M30" s="21" t="str">
        <v>Long-term debt note — totals and adjustments</v>
      </c>
      <c r="N30" s="21" t="str">
        <v>Long-term debt note — totals and adjustments</v>
      </c>
      <c r="O30" s="21" t="str">
        <v>Long-term debt note — totals and adjustments</v>
      </c>
      <c r="P30" s="21" t="str">
        <v>Long-term debt note — totals and adjustments</v>
      </c>
      <c r="Q30" s="21" t="str">
        <v>Long-term debt note — totals and adjustments</v>
      </c>
      <c r="R30" s="21" t="str">
        <v>Long-term debt note — totals and adjustments</v>
      </c>
      <c r="S30" s="21" t="str">
        <v>Long-term debt note — totals and adjustments</v>
      </c>
      <c r="T30" s="21" t="str">
        <v>Long-term debt note — totals and adjustments</v>
      </c>
      <c r="U30" s="21" t="str">
        <v>Long-term debt note — totals and adjustments</v>
      </c>
      <c r="V30" s="21" t="str">
        <v>Long-term debt note — totals and adjustments</v>
      </c>
      <c r="W30" s="21" t="str">
        <v>Long-term debt note — totals and adjustments</v>
      </c>
      <c r="X30" s="21" t="str">
        <v>Long-term debt note — totals and adjustments</v>
      </c>
      <c r="Y30" s="21" t="str">
        <v>Long-term debt note — totals and adjustments</v>
      </c>
      <c r="Z30" s="21" t="str">
        <v>Long-term debt note — totals and adjustments</v>
      </c>
      <c r="AA30" s="21" t="str">
        <v>Long-term debt note — totals and adjustments</v>
      </c>
    </row>
    <row r="31" ht="24" customHeight="1">
      <c r="A31" s="34" t="str">
        <v>Total senior notes and other borrowings</v>
      </c>
      <c r="B31" s="35"/>
      <c r="C31" s="36" t="n">
        <v>27023</v>
      </c>
      <c r="D31" s="36" t="n">
        <v>28385</v>
      </c>
      <c r="E31" s="36" t="n">
        <v>27140</v>
      </c>
      <c r="F31" s="36" t="n">
        <v>28751</v>
      </c>
      <c r="G31" s="36" t="n">
        <v>35214</v>
      </c>
      <c r="H31" s="36" t="n">
        <v>37695</v>
      </c>
      <c r="I31" s="36" t="n">
        <v>39285</v>
      </c>
      <c r="J31" s="36" t="n">
        <v>50285</v>
      </c>
      <c r="K31" s="36" t="n">
        <v>50985</v>
      </c>
      <c r="L31" s="36" t="n">
        <v>47235</v>
      </c>
      <c r="M31" s="36"/>
      <c r="N31" s="36"/>
      <c r="O31" s="36"/>
      <c r="P31" s="36"/>
      <c r="Q31" s="36"/>
      <c r="R31" s="36"/>
      <c r="S31" s="36"/>
      <c r="T31" s="36"/>
      <c r="U31" s="36"/>
      <c r="V31" s="36"/>
      <c r="W31" s="36"/>
      <c r="X31" s="36"/>
      <c r="Y31" s="36"/>
      <c r="Z31" s="36"/>
      <c r="AA31" s="36"/>
    </row>
    <row r="32" ht="22" customHeight="1">
      <c r="A32" s="49" t="str">
        <v>Unamortized premium/discount and issuance costs</v>
      </c>
      <c r="B32" s="3"/>
      <c r="C32" s="51" t="n">
        <v>-1581</v>
      </c>
      <c r="D32" s="51" t="n">
        <v>-1357</v>
      </c>
      <c r="E32" s="51" t="n">
        <v>-891</v>
      </c>
      <c r="F32" s="51" t="n">
        <v>-529</v>
      </c>
      <c r="G32" s="51" t="n">
        <v>-378</v>
      </c>
      <c r="H32" s="51" t="n">
        <v>-405</v>
      </c>
      <c r="I32" s="51" t="n">
        <v>-417</v>
      </c>
      <c r="J32" s="51" t="n">
        <v>-445</v>
      </c>
      <c r="K32" s="51"/>
      <c r="L32" s="51"/>
      <c r="M32" s="51"/>
      <c r="N32" s="51"/>
      <c r="O32" s="51"/>
      <c r="P32" s="51"/>
      <c r="Q32" s="51"/>
      <c r="R32" s="51"/>
      <c r="S32" s="51"/>
      <c r="T32" s="51"/>
      <c r="U32" s="51"/>
      <c r="V32" s="51"/>
      <c r="W32" s="51"/>
      <c r="X32" s="51"/>
      <c r="Y32" s="51"/>
      <c r="Z32" s="51"/>
      <c r="AA32" s="51"/>
    </row>
    <row r="33" ht="22" customHeight="1">
      <c r="A33" s="49" t="str">
        <v>Unamortized premium/discount, issuance costs and other</v>
      </c>
      <c r="B33" s="3"/>
      <c r="C33" s="51"/>
      <c r="D33" s="51"/>
      <c r="E33" s="51"/>
      <c r="F33" s="51"/>
      <c r="G33" s="51"/>
      <c r="H33" s="51"/>
      <c r="I33" s="51"/>
      <c r="J33" s="51" t="n">
        <v>-445</v>
      </c>
      <c r="K33" s="51" t="n">
        <v>-392</v>
      </c>
      <c r="L33" s="51" t="n">
        <v>-384</v>
      </c>
      <c r="M33" s="51"/>
      <c r="N33" s="51"/>
      <c r="O33" s="51"/>
      <c r="P33" s="51"/>
      <c r="Q33" s="51"/>
      <c r="R33" s="51"/>
      <c r="S33" s="51"/>
      <c r="T33" s="51"/>
      <c r="U33" s="51"/>
      <c r="V33" s="51"/>
      <c r="W33" s="51"/>
      <c r="X33" s="51"/>
      <c r="Y33" s="51"/>
      <c r="Z33" s="51"/>
      <c r="AA33" s="51"/>
    </row>
    <row r="34" ht="22" customHeight="1">
      <c r="A34" s="49" t="str">
        <v>Hedge accounting fair value adjustments</v>
      </c>
      <c r="B34" s="3"/>
      <c r="C34" s="51" t="n">
        <v>-184</v>
      </c>
      <c r="D34" s="51" t="n">
        <v>-252</v>
      </c>
      <c r="E34" s="51" t="n">
        <v>-390</v>
      </c>
      <c r="F34" s="51" t="n">
        <v>781</v>
      </c>
      <c r="G34" s="51" t="n">
        <v>1565</v>
      </c>
      <c r="H34" s="51" t="n">
        <v>811</v>
      </c>
      <c r="I34" s="51" t="n">
        <v>-761</v>
      </c>
      <c r="J34" s="51" t="n">
        <v>-574</v>
      </c>
      <c r="K34" s="51" t="n">
        <v>-582</v>
      </c>
      <c r="L34" s="51" t="n">
        <v>-266</v>
      </c>
      <c r="M34" s="51"/>
      <c r="N34" s="51"/>
      <c r="O34" s="51"/>
      <c r="P34" s="51"/>
      <c r="Q34" s="51"/>
      <c r="R34" s="51"/>
      <c r="S34" s="51"/>
      <c r="T34" s="51"/>
      <c r="U34" s="51"/>
      <c r="V34" s="51"/>
      <c r="W34" s="51"/>
      <c r="X34" s="51"/>
      <c r="Y34" s="51"/>
      <c r="Z34" s="51"/>
      <c r="AA34" s="51"/>
    </row>
    <row r="35" ht="22" customHeight="1">
      <c r="A35" s="49" t="str">
        <v>Long-term debt</v>
      </c>
      <c r="B35" s="3"/>
      <c r="C35" s="51" t="n">
        <v>25337</v>
      </c>
      <c r="D35" s="51" t="n">
        <v>26776</v>
      </c>
      <c r="E35" s="51" t="n">
        <v>25859</v>
      </c>
      <c r="F35" s="51" t="n">
        <v>29003</v>
      </c>
      <c r="G35" s="51" t="n">
        <v>36401</v>
      </c>
      <c r="H35" s="51" t="n">
        <v>38101</v>
      </c>
      <c r="I35" s="51" t="n">
        <v>38107</v>
      </c>
      <c r="J35" s="51" t="n">
        <v>49266</v>
      </c>
      <c r="K35" s="51" t="n">
        <v>50011</v>
      </c>
      <c r="L35" s="51" t="n">
        <v>46585</v>
      </c>
      <c r="M35" s="51"/>
      <c r="N35" s="51"/>
      <c r="O35" s="51"/>
      <c r="P35" s="51"/>
      <c r="Q35" s="51"/>
      <c r="R35" s="51"/>
      <c r="S35" s="51"/>
      <c r="T35" s="51"/>
      <c r="U35" s="51"/>
      <c r="V35" s="51"/>
      <c r="W35" s="51"/>
      <c r="X35" s="51"/>
      <c r="Y35" s="51"/>
      <c r="Z35" s="51"/>
      <c r="AA35" s="51"/>
    </row>
    <row r="36" ht="22" customHeight="1">
      <c r="A36" s="49" t="str">
        <v>Less: current portion of long-term debt</v>
      </c>
      <c r="B36" s="3"/>
      <c r="C36" s="51" t="n">
        <v>-4618</v>
      </c>
      <c r="D36" s="51"/>
      <c r="E36" s="51"/>
      <c r="F36" s="51"/>
      <c r="G36" s="51"/>
      <c r="H36" s="51"/>
      <c r="I36" s="51"/>
      <c r="J36" s="51"/>
      <c r="K36" s="51"/>
      <c r="L36" s="51"/>
      <c r="M36" s="51"/>
      <c r="N36" s="51"/>
      <c r="O36" s="51"/>
      <c r="P36" s="51"/>
      <c r="Q36" s="51"/>
      <c r="R36" s="51"/>
      <c r="S36" s="51"/>
      <c r="T36" s="51"/>
      <c r="U36" s="51"/>
      <c r="V36" s="51"/>
      <c r="W36" s="51"/>
      <c r="X36" s="51"/>
      <c r="Y36" s="51"/>
      <c r="Z36" s="51"/>
      <c r="AA36" s="51"/>
    </row>
    <row r="37" ht="22" customHeight="1">
      <c r="A37" s="49" t="str">
        <v>Less: debt issuance costs</v>
      </c>
      <c r="B37" s="3"/>
      <c r="C37" s="51" t="n">
        <v>-70</v>
      </c>
      <c r="D37" s="51"/>
      <c r="E37" s="51"/>
      <c r="F37" s="51"/>
      <c r="G37" s="51"/>
      <c r="H37" s="51"/>
      <c r="I37" s="51"/>
      <c r="J37" s="51"/>
      <c r="K37" s="51"/>
      <c r="L37" s="51"/>
      <c r="M37" s="51"/>
      <c r="N37" s="51"/>
      <c r="O37" s="51"/>
      <c r="P37" s="51"/>
      <c r="Q37" s="51"/>
      <c r="R37" s="51"/>
      <c r="S37" s="51"/>
      <c r="T37" s="51"/>
      <c r="U37" s="51"/>
      <c r="V37" s="51"/>
      <c r="W37" s="51"/>
      <c r="X37" s="51"/>
      <c r="Y37" s="51"/>
      <c r="Z37" s="51"/>
      <c r="AA37" s="51"/>
    </row>
    <row r="38" ht="24" customHeight="1">
      <c r="A38" s="34" t="str">
        <v>Total long-term debt</v>
      </c>
      <c r="B38" s="35"/>
      <c r="C38" s="36" t="n">
        <v>20649</v>
      </c>
      <c r="D38" s="36" t="n">
        <v>25037</v>
      </c>
      <c r="E38" s="36" t="n">
        <v>25098</v>
      </c>
      <c r="F38" s="36" t="n">
        <v>25308</v>
      </c>
      <c r="G38" s="36" t="n">
        <v>33897</v>
      </c>
      <c r="H38" s="36" t="n">
        <v>33510</v>
      </c>
      <c r="I38" s="36" t="n">
        <v>37684</v>
      </c>
      <c r="J38" s="36" t="n">
        <v>46978</v>
      </c>
      <c r="K38" s="36" t="n">
        <v>46282</v>
      </c>
      <c r="L38" s="36" t="n">
        <v>44086</v>
      </c>
      <c r="M38" s="36"/>
      <c r="N38" s="36"/>
      <c r="O38" s="36"/>
      <c r="P38" s="36"/>
      <c r="Q38" s="36"/>
      <c r="R38" s="36"/>
      <c r="S38" s="36"/>
      <c r="T38" s="36"/>
      <c r="U38" s="36"/>
      <c r="V38" s="36"/>
      <c r="W38" s="36"/>
      <c r="X38" s="36"/>
      <c r="Y38" s="36"/>
      <c r="Z38" s="36"/>
      <c r="AA38" s="36"/>
    </row>
    <row r="39" ht="8"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22" customHeight="1">
      <c r="A40" s="21" t="str">
        <v>Borrowing principal by instrument</v>
      </c>
      <c r="B40" s="21" t="str">
        <v>Borrowing principal by instrument</v>
      </c>
      <c r="C40" s="21" t="str">
        <v>Borrowing principal by instrument</v>
      </c>
      <c r="D40" s="21" t="str">
        <v>Borrowing principal by instrument</v>
      </c>
      <c r="E40" s="21" t="str">
        <v>Borrowing principal by instrument</v>
      </c>
      <c r="F40" s="21" t="str">
        <v>Borrowing principal by instrument</v>
      </c>
      <c r="G40" s="21" t="str">
        <v>Borrowing principal by instrument</v>
      </c>
      <c r="H40" s="21" t="str">
        <v>Borrowing principal by instrument</v>
      </c>
      <c r="I40" s="21" t="str">
        <v>Borrowing principal by instrument</v>
      </c>
      <c r="J40" s="21" t="str">
        <v>Borrowing principal by instrument</v>
      </c>
      <c r="K40" s="21" t="str">
        <v>Borrowing principal by instrument</v>
      </c>
      <c r="L40" s="21" t="str">
        <v>Borrowing principal by instrument</v>
      </c>
      <c r="M40" s="21" t="str">
        <v>Borrowing principal by instrument</v>
      </c>
      <c r="N40" s="21" t="str">
        <v>Borrowing principal by instrument</v>
      </c>
      <c r="O40" s="21" t="str">
        <v>Borrowing principal by instrument</v>
      </c>
      <c r="P40" s="21" t="str">
        <v>Borrowing principal by instrument</v>
      </c>
      <c r="Q40" s="21" t="str">
        <v>Borrowing principal by instrument</v>
      </c>
      <c r="R40" s="21" t="str">
        <v>Borrowing principal by instrument</v>
      </c>
      <c r="S40" s="21" t="str">
        <v>Borrowing principal by instrument</v>
      </c>
      <c r="T40" s="21" t="str">
        <v>Borrowing principal by instrument</v>
      </c>
      <c r="U40" s="21" t="str">
        <v>Borrowing principal by instrument</v>
      </c>
      <c r="V40" s="21" t="str">
        <v>Borrowing principal by instrument</v>
      </c>
      <c r="W40" s="21" t="str">
        <v>Borrowing principal by instrument</v>
      </c>
      <c r="X40" s="21" t="str">
        <v>Borrowing principal by instrument</v>
      </c>
      <c r="Y40" s="21" t="str">
        <v>Borrowing principal by instrument</v>
      </c>
      <c r="Z40" s="21" t="str">
        <v>Borrowing principal by instrument</v>
      </c>
      <c r="AA40" s="21" t="str">
        <v>Borrowing principal by instrument</v>
      </c>
    </row>
    <row r="41" ht="22" customHeight="1">
      <c r="A41" s="49" t="str">
        <v>Three-month LIBOR plus 0.08%, due May 2020</v>
      </c>
      <c r="B41" s="3"/>
      <c r="C41" s="51" t="n">
        <v>0</v>
      </c>
      <c r="D41" s="51" t="n">
        <v>700</v>
      </c>
      <c r="E41" s="51" t="n">
        <v>700</v>
      </c>
      <c r="F41" s="51" t="n">
        <v>700</v>
      </c>
      <c r="G41" s="51" t="n">
        <v>0</v>
      </c>
      <c r="H41" s="51"/>
      <c r="I41" s="51"/>
      <c r="J41" s="51"/>
      <c r="K41" s="51"/>
      <c r="L41" s="51"/>
      <c r="M41" s="51"/>
      <c r="N41" s="51"/>
      <c r="O41" s="51"/>
      <c r="P41" s="51"/>
      <c r="Q41" s="51"/>
      <c r="R41" s="51"/>
      <c r="S41" s="51"/>
      <c r="T41" s="51"/>
      <c r="U41" s="51"/>
      <c r="V41" s="51"/>
      <c r="W41" s="51"/>
      <c r="X41" s="51"/>
      <c r="Y41" s="51"/>
      <c r="Z41" s="51"/>
      <c r="AA41" s="51"/>
    </row>
    <row r="42" ht="22" customHeight="1">
      <c r="A42" s="49" t="str">
        <v>Three-month LIBOR plus 0.35%, due May 2022</v>
      </c>
      <c r="B42" s="3"/>
      <c r="C42" s="51" t="n">
        <v>0</v>
      </c>
      <c r="D42" s="51" t="n">
        <v>800</v>
      </c>
      <c r="E42" s="51" t="n">
        <v>800</v>
      </c>
      <c r="F42" s="51" t="n">
        <v>800</v>
      </c>
      <c r="G42" s="51" t="n">
        <v>800</v>
      </c>
      <c r="H42" s="51" t="n">
        <v>800</v>
      </c>
      <c r="I42" s="51" t="n">
        <v>0</v>
      </c>
      <c r="J42" s="51"/>
      <c r="K42" s="51"/>
      <c r="L42" s="51"/>
      <c r="M42" s="51"/>
      <c r="N42" s="51"/>
      <c r="O42" s="51"/>
      <c r="P42" s="51"/>
      <c r="Q42" s="51"/>
      <c r="R42" s="51"/>
      <c r="S42" s="51"/>
      <c r="T42" s="51"/>
      <c r="U42" s="51"/>
      <c r="V42" s="51"/>
      <c r="W42" s="51"/>
      <c r="X42" s="51"/>
      <c r="Y42" s="51"/>
      <c r="Z42" s="51"/>
      <c r="AA42" s="51"/>
    </row>
    <row r="43" ht="22" customHeight="1">
      <c r="A43" s="49" t="str">
        <v>1.75%, due May 2017</v>
      </c>
      <c r="B43" s="3"/>
      <c r="C43" s="51" t="n">
        <v>500</v>
      </c>
      <c r="D43" s="51" t="n">
        <v>0</v>
      </c>
      <c r="E43" s="51"/>
      <c r="F43" s="51"/>
      <c r="G43" s="51"/>
      <c r="H43" s="51"/>
      <c r="I43" s="51"/>
      <c r="J43" s="51"/>
      <c r="K43" s="51"/>
      <c r="L43" s="51"/>
      <c r="M43" s="51"/>
      <c r="N43" s="51"/>
      <c r="O43" s="51"/>
      <c r="P43" s="51"/>
      <c r="Q43" s="51"/>
      <c r="R43" s="51"/>
      <c r="S43" s="51"/>
      <c r="T43" s="51"/>
      <c r="U43" s="51"/>
      <c r="V43" s="51"/>
      <c r="W43" s="51"/>
      <c r="X43" s="51"/>
      <c r="Y43" s="51"/>
      <c r="Z43" s="51"/>
      <c r="AA43" s="51"/>
    </row>
    <row r="44" ht="22" customHeight="1">
      <c r="A44" s="49" t="str">
        <v>1.35%, due December 2017</v>
      </c>
      <c r="B44" s="3"/>
      <c r="C44" s="51" t="n">
        <v>3000</v>
      </c>
      <c r="D44" s="51" t="n">
        <v>0</v>
      </c>
      <c r="E44" s="51"/>
      <c r="F44" s="51"/>
      <c r="G44" s="51"/>
      <c r="H44" s="51"/>
      <c r="I44" s="51"/>
      <c r="J44" s="51"/>
      <c r="K44" s="51"/>
      <c r="L44" s="51"/>
      <c r="M44" s="51"/>
      <c r="N44" s="51"/>
      <c r="O44" s="51"/>
      <c r="P44" s="51"/>
      <c r="Q44" s="51"/>
      <c r="R44" s="51"/>
      <c r="S44" s="51"/>
      <c r="T44" s="51"/>
      <c r="U44" s="51"/>
      <c r="V44" s="51"/>
      <c r="W44" s="51"/>
      <c r="X44" s="51"/>
      <c r="Y44" s="51"/>
      <c r="Z44" s="51"/>
      <c r="AA44" s="51"/>
    </row>
    <row r="45" ht="22" customHeight="1">
      <c r="A45" s="49" t="str">
        <v>2.50%, due November 2018</v>
      </c>
      <c r="B45" s="3"/>
      <c r="C45" s="51" t="n">
        <v>600</v>
      </c>
      <c r="D45" s="51" t="n">
        <v>600</v>
      </c>
      <c r="E45" s="51" t="n">
        <v>0</v>
      </c>
      <c r="F45" s="51"/>
      <c r="G45" s="51"/>
      <c r="H45" s="51"/>
      <c r="I45" s="51"/>
      <c r="J45" s="51"/>
      <c r="K45" s="51"/>
      <c r="L45" s="51"/>
      <c r="M45" s="51"/>
      <c r="N45" s="51"/>
      <c r="O45" s="51"/>
      <c r="P45" s="51"/>
      <c r="Q45" s="51"/>
      <c r="R45" s="51"/>
      <c r="S45" s="51"/>
      <c r="T45" s="51"/>
      <c r="U45" s="51"/>
      <c r="V45" s="51"/>
      <c r="W45" s="51"/>
      <c r="X45" s="51"/>
      <c r="Y45" s="51"/>
      <c r="Z45" s="51"/>
      <c r="AA45" s="51"/>
    </row>
    <row r="46" ht="22" customHeight="1">
      <c r="A46" s="49" t="str">
        <v>3.25%, due December 2019</v>
      </c>
      <c r="B46" s="3"/>
      <c r="C46" s="51" t="n">
        <v>180</v>
      </c>
      <c r="D46" s="51" t="n">
        <v>194</v>
      </c>
      <c r="E46" s="51" t="n">
        <v>177</v>
      </c>
      <c r="F46" s="51" t="n">
        <v>0</v>
      </c>
      <c r="G46" s="51"/>
      <c r="H46" s="51"/>
      <c r="I46" s="51"/>
      <c r="J46" s="51"/>
      <c r="K46" s="51"/>
      <c r="L46" s="51"/>
      <c r="M46" s="51"/>
      <c r="N46" s="51"/>
      <c r="O46" s="51"/>
      <c r="P46" s="51"/>
      <c r="Q46" s="51"/>
      <c r="R46" s="51"/>
      <c r="S46" s="51"/>
      <c r="T46" s="51"/>
      <c r="U46" s="51"/>
      <c r="V46" s="51"/>
      <c r="W46" s="51"/>
      <c r="X46" s="51"/>
      <c r="Y46" s="51"/>
      <c r="Z46" s="51"/>
      <c r="AA46" s="51"/>
    </row>
    <row r="47" ht="22" customHeight="1">
      <c r="A47" s="49" t="str">
        <v>1.85%, due May 2020</v>
      </c>
      <c r="B47" s="3"/>
      <c r="C47" s="51" t="n">
        <v>0</v>
      </c>
      <c r="D47" s="51" t="n">
        <v>1000</v>
      </c>
      <c r="E47" s="51" t="n">
        <v>1000</v>
      </c>
      <c r="F47" s="51" t="n">
        <v>1000</v>
      </c>
      <c r="G47" s="51" t="n">
        <v>0</v>
      </c>
      <c r="H47" s="51"/>
      <c r="I47" s="51"/>
      <c r="J47" s="51"/>
      <c r="K47" s="51"/>
      <c r="L47" s="51"/>
      <c r="M47" s="51"/>
      <c r="N47" s="51"/>
      <c r="O47" s="51"/>
      <c r="P47" s="51"/>
      <c r="Q47" s="51"/>
      <c r="R47" s="51"/>
      <c r="S47" s="51"/>
      <c r="T47" s="51"/>
      <c r="U47" s="51"/>
      <c r="V47" s="51"/>
      <c r="W47" s="51"/>
      <c r="X47" s="51"/>
      <c r="Y47" s="51"/>
      <c r="Z47" s="51"/>
      <c r="AA47" s="51"/>
    </row>
    <row r="48" ht="22" customHeight="1">
      <c r="A48" s="49" t="str">
        <v>2.45%, due July 2020</v>
      </c>
      <c r="B48" s="3"/>
      <c r="C48" s="51" t="n">
        <v>1750</v>
      </c>
      <c r="D48" s="51" t="n">
        <v>1750</v>
      </c>
      <c r="E48" s="51" t="n">
        <v>1750</v>
      </c>
      <c r="F48" s="51" t="n">
        <v>1750</v>
      </c>
      <c r="G48" s="51" t="n">
        <v>0</v>
      </c>
      <c r="H48" s="51"/>
      <c r="I48" s="51"/>
      <c r="J48" s="51"/>
      <c r="K48" s="51"/>
      <c r="L48" s="51"/>
      <c r="M48" s="51"/>
      <c r="N48" s="51"/>
      <c r="O48" s="51"/>
      <c r="P48" s="51"/>
      <c r="Q48" s="51"/>
      <c r="R48" s="51"/>
      <c r="S48" s="51"/>
      <c r="T48" s="51"/>
      <c r="U48" s="51"/>
      <c r="V48" s="51"/>
      <c r="W48" s="51"/>
      <c r="X48" s="51"/>
      <c r="Y48" s="51"/>
      <c r="Z48" s="51"/>
      <c r="AA48" s="51"/>
    </row>
    <row r="49" ht="22" customHeight="1">
      <c r="A49" s="49" t="str">
        <v>1.70%, due May 2021</v>
      </c>
      <c r="B49" s="3"/>
      <c r="C49" s="51" t="n">
        <v>500</v>
      </c>
      <c r="D49" s="51" t="n">
        <v>500</v>
      </c>
      <c r="E49" s="51" t="n">
        <v>500</v>
      </c>
      <c r="F49" s="51" t="n">
        <v>500</v>
      </c>
      <c r="G49" s="51" t="n">
        <v>500</v>
      </c>
      <c r="H49" s="51" t="n">
        <v>0</v>
      </c>
      <c r="I49" s="51"/>
      <c r="J49" s="51"/>
      <c r="K49" s="51"/>
      <c r="L49" s="51"/>
      <c r="M49" s="51"/>
      <c r="N49" s="51"/>
      <c r="O49" s="51"/>
      <c r="P49" s="51"/>
      <c r="Q49" s="51"/>
      <c r="R49" s="51"/>
      <c r="S49" s="51"/>
      <c r="T49" s="51"/>
      <c r="U49" s="51"/>
      <c r="V49" s="51"/>
      <c r="W49" s="51"/>
      <c r="X49" s="51"/>
      <c r="Y49" s="51"/>
      <c r="Z49" s="51"/>
      <c r="AA49" s="51"/>
    </row>
    <row r="50" ht="22" customHeight="1">
      <c r="A50" s="49" t="str">
        <v>3.30%, due October 2021</v>
      </c>
      <c r="B50" s="3"/>
      <c r="C50" s="51" t="n">
        <v>2000</v>
      </c>
      <c r="D50" s="51" t="n">
        <v>2000</v>
      </c>
      <c r="E50" s="51" t="n">
        <v>2000</v>
      </c>
      <c r="F50" s="51" t="n">
        <v>2000</v>
      </c>
      <c r="G50" s="51" t="n">
        <v>2000</v>
      </c>
      <c r="H50" s="51" t="n">
        <v>0</v>
      </c>
      <c r="I50" s="51"/>
      <c r="J50" s="51"/>
      <c r="K50" s="51"/>
      <c r="L50" s="51"/>
      <c r="M50" s="51"/>
      <c r="N50" s="51"/>
      <c r="O50" s="51"/>
      <c r="P50" s="51"/>
      <c r="Q50" s="51"/>
      <c r="R50" s="51"/>
      <c r="S50" s="51"/>
      <c r="T50" s="51"/>
      <c r="U50" s="51"/>
      <c r="V50" s="51"/>
      <c r="W50" s="51"/>
      <c r="X50" s="51"/>
      <c r="Y50" s="51"/>
      <c r="Z50" s="51"/>
      <c r="AA50" s="51"/>
    </row>
    <row r="51" ht="22" customHeight="1">
      <c r="A51" s="49" t="str">
        <v>2.35%, due May 2022</v>
      </c>
      <c r="B51" s="3"/>
      <c r="C51" s="51" t="n">
        <v>0</v>
      </c>
      <c r="D51" s="51" t="n">
        <v>750</v>
      </c>
      <c r="E51" s="51" t="n">
        <v>750</v>
      </c>
      <c r="F51" s="51" t="n">
        <v>750</v>
      </c>
      <c r="G51" s="51" t="n">
        <v>750</v>
      </c>
      <c r="H51" s="51" t="n">
        <v>750</v>
      </c>
      <c r="I51" s="51" t="n">
        <v>0</v>
      </c>
      <c r="J51" s="51"/>
      <c r="K51" s="51"/>
      <c r="L51" s="51"/>
      <c r="M51" s="51"/>
      <c r="N51" s="51"/>
      <c r="O51" s="51"/>
      <c r="P51" s="51"/>
      <c r="Q51" s="51"/>
      <c r="R51" s="51"/>
      <c r="S51" s="51"/>
      <c r="T51" s="51"/>
      <c r="U51" s="51"/>
      <c r="V51" s="51"/>
      <c r="W51" s="51"/>
      <c r="X51" s="51"/>
      <c r="Y51" s="51"/>
      <c r="Z51" s="51"/>
      <c r="AA51" s="51"/>
    </row>
    <row r="52" ht="22" customHeight="1">
      <c r="A52" s="49" t="str">
        <v>3.10%, due July 2022</v>
      </c>
      <c r="B52" s="3"/>
      <c r="C52" s="51" t="n">
        <v>1000</v>
      </c>
      <c r="D52" s="51" t="n">
        <v>1000</v>
      </c>
      <c r="E52" s="51" t="n">
        <v>1000</v>
      </c>
      <c r="F52" s="51" t="n">
        <v>1000</v>
      </c>
      <c r="G52" s="51" t="n">
        <v>1000</v>
      </c>
      <c r="H52" s="51" t="n">
        <v>1000</v>
      </c>
      <c r="I52" s="51" t="n">
        <v>0</v>
      </c>
      <c r="J52" s="51"/>
      <c r="K52" s="51"/>
      <c r="L52" s="51"/>
      <c r="M52" s="51"/>
      <c r="N52" s="51"/>
      <c r="O52" s="51"/>
      <c r="P52" s="51"/>
      <c r="Q52" s="51"/>
      <c r="R52" s="51"/>
      <c r="S52" s="51"/>
      <c r="T52" s="51"/>
      <c r="U52" s="51"/>
      <c r="V52" s="51"/>
      <c r="W52" s="51"/>
      <c r="X52" s="51"/>
      <c r="Y52" s="51"/>
      <c r="Z52" s="51"/>
      <c r="AA52" s="51"/>
    </row>
    <row r="53" ht="22" customHeight="1">
      <c r="A53" s="49" t="str">
        <v>4.00%, due December 20221</v>
      </c>
      <c r="B53" s="3"/>
      <c r="C53" s="51"/>
      <c r="D53" s="51"/>
      <c r="E53" s="51"/>
      <c r="F53" s="51" t="n">
        <v>382</v>
      </c>
      <c r="G53" s="51" t="n">
        <v>417</v>
      </c>
      <c r="H53" s="51" t="n">
        <v>398</v>
      </c>
      <c r="I53" s="51"/>
      <c r="J53" s="51"/>
      <c r="K53" s="51"/>
      <c r="L53" s="51"/>
      <c r="M53" s="51"/>
      <c r="N53" s="51"/>
      <c r="O53" s="51"/>
      <c r="P53" s="51"/>
      <c r="Q53" s="51"/>
      <c r="R53" s="51"/>
      <c r="S53" s="51"/>
      <c r="T53" s="51"/>
      <c r="U53" s="51"/>
      <c r="V53" s="51"/>
      <c r="W53" s="51"/>
      <c r="X53" s="51"/>
      <c r="Y53" s="51"/>
      <c r="Z53" s="51"/>
      <c r="AA53" s="51"/>
    </row>
    <row r="54" ht="22" customHeight="1">
      <c r="A54" s="49" t="str">
        <v>4.00%, due December 2022</v>
      </c>
      <c r="B54" s="3"/>
      <c r="C54" s="51" t="n">
        <v>396</v>
      </c>
      <c r="D54" s="51" t="n">
        <v>428</v>
      </c>
      <c r="E54" s="51" t="n">
        <v>389</v>
      </c>
      <c r="F54" s="51" t="n">
        <v>382</v>
      </c>
      <c r="G54" s="51"/>
      <c r="H54" s="51" t="n">
        <v>398</v>
      </c>
      <c r="I54" s="51" t="n">
        <v>0</v>
      </c>
      <c r="J54" s="51"/>
      <c r="K54" s="51"/>
      <c r="L54" s="51"/>
      <c r="M54" s="51"/>
      <c r="N54" s="51"/>
      <c r="O54" s="51"/>
      <c r="P54" s="51"/>
      <c r="Q54" s="51"/>
      <c r="R54" s="51"/>
      <c r="S54" s="51"/>
      <c r="T54" s="51"/>
      <c r="U54" s="51"/>
      <c r="V54" s="51"/>
      <c r="W54" s="51"/>
      <c r="X54" s="51"/>
      <c r="Y54" s="51"/>
      <c r="Z54" s="51"/>
      <c r="AA54" s="51"/>
    </row>
    <row r="55" ht="22" customHeight="1">
      <c r="A55" s="49" t="str">
        <v>2.70%, due December 2022</v>
      </c>
      <c r="B55" s="3"/>
      <c r="C55" s="51" t="n">
        <v>1500</v>
      </c>
      <c r="D55" s="51" t="n">
        <v>1500</v>
      </c>
      <c r="E55" s="51" t="n">
        <v>1500</v>
      </c>
      <c r="F55" s="51" t="n">
        <v>1500</v>
      </c>
      <c r="G55" s="51" t="n">
        <v>1500</v>
      </c>
      <c r="H55" s="51" t="n">
        <v>1500</v>
      </c>
      <c r="I55" s="51" t="n">
        <v>0</v>
      </c>
      <c r="J55" s="51"/>
      <c r="K55" s="51"/>
      <c r="L55" s="51"/>
      <c r="M55" s="51"/>
      <c r="N55" s="51"/>
      <c r="O55" s="51"/>
      <c r="P55" s="51"/>
      <c r="Q55" s="51"/>
      <c r="R55" s="51"/>
      <c r="S55" s="51"/>
      <c r="T55" s="51"/>
      <c r="U55" s="51"/>
      <c r="V55" s="51"/>
      <c r="W55" s="51"/>
      <c r="X55" s="51"/>
      <c r="Y55" s="51"/>
      <c r="Z55" s="51"/>
      <c r="AA55" s="51"/>
    </row>
    <row r="56" ht="22" customHeight="1">
      <c r="A56" s="49" t="str">
        <v>4.10%, due November 2023</v>
      </c>
      <c r="B56" s="3"/>
      <c r="C56" s="51" t="n">
        <v>400</v>
      </c>
      <c r="D56" s="51" t="n">
        <v>400</v>
      </c>
      <c r="E56" s="51" t="n">
        <v>400</v>
      </c>
      <c r="F56" s="51" t="n">
        <v>400</v>
      </c>
      <c r="G56" s="51" t="n">
        <v>400</v>
      </c>
      <c r="H56" s="51" t="n">
        <v>400</v>
      </c>
      <c r="I56" s="51" t="n">
        <v>0</v>
      </c>
      <c r="J56" s="51"/>
      <c r="K56" s="51"/>
      <c r="L56" s="51"/>
      <c r="M56" s="51"/>
      <c r="N56" s="51"/>
      <c r="O56" s="51"/>
      <c r="P56" s="51"/>
      <c r="Q56" s="51"/>
      <c r="R56" s="51"/>
      <c r="S56" s="51"/>
      <c r="T56" s="51"/>
      <c r="U56" s="51"/>
      <c r="V56" s="51"/>
      <c r="W56" s="51"/>
      <c r="X56" s="51"/>
      <c r="Y56" s="51"/>
      <c r="Z56" s="51"/>
      <c r="AA56" s="51"/>
    </row>
    <row r="57" ht="22" customHeight="1">
      <c r="A57" s="49" t="str">
        <v>2.88%, due May 2024</v>
      </c>
      <c r="B57" s="3"/>
      <c r="C57" s="51" t="n">
        <v>0</v>
      </c>
      <c r="D57" s="51" t="n">
        <v>1250</v>
      </c>
      <c r="E57" s="51" t="n">
        <v>1250</v>
      </c>
      <c r="F57" s="51" t="n">
        <v>1250</v>
      </c>
      <c r="G57" s="51" t="n">
        <v>1250</v>
      </c>
      <c r="H57" s="51" t="n">
        <v>1250</v>
      </c>
      <c r="I57" s="51" t="n">
        <v>1250</v>
      </c>
      <c r="J57" s="51" t="n">
        <v>1250</v>
      </c>
      <c r="K57" s="51" t="n">
        <v>0</v>
      </c>
      <c r="L57" s="51"/>
      <c r="M57" s="51"/>
      <c r="N57" s="51"/>
      <c r="O57" s="51"/>
      <c r="P57" s="51"/>
      <c r="Q57" s="51"/>
      <c r="R57" s="51"/>
      <c r="S57" s="51"/>
      <c r="T57" s="51"/>
      <c r="U57" s="51"/>
      <c r="V57" s="51"/>
      <c r="W57" s="51"/>
      <c r="X57" s="51"/>
      <c r="Y57" s="51"/>
      <c r="Z57" s="51"/>
      <c r="AA57" s="51"/>
    </row>
    <row r="58" ht="22" customHeight="1">
      <c r="A58" s="49" t="str">
        <v>2.70%, due June 2024</v>
      </c>
      <c r="B58" s="3"/>
      <c r="C58" s="51" t="n">
        <v>0</v>
      </c>
      <c r="D58" s="51" t="n">
        <v>600</v>
      </c>
      <c r="E58" s="51" t="n">
        <v>600</v>
      </c>
      <c r="F58" s="51" t="n">
        <v>600</v>
      </c>
      <c r="G58" s="51" t="n">
        <v>600</v>
      </c>
      <c r="H58" s="51" t="n">
        <v>600</v>
      </c>
      <c r="I58" s="51" t="n">
        <v>600</v>
      </c>
      <c r="J58" s="51" t="n">
        <v>600</v>
      </c>
      <c r="K58" s="51" t="n">
        <v>0</v>
      </c>
      <c r="L58" s="51"/>
      <c r="M58" s="51"/>
      <c r="N58" s="51"/>
      <c r="O58" s="51"/>
      <c r="P58" s="51"/>
      <c r="Q58" s="51"/>
      <c r="R58" s="51"/>
      <c r="S58" s="51"/>
      <c r="T58" s="51"/>
      <c r="U58" s="51"/>
      <c r="V58" s="51"/>
      <c r="W58" s="51"/>
      <c r="X58" s="51"/>
      <c r="Y58" s="51"/>
      <c r="Z58" s="51"/>
      <c r="AA58" s="51"/>
    </row>
    <row r="59" ht="22" customHeight="1">
      <c r="A59" s="49" t="str">
        <v>3.40%, due March 2025</v>
      </c>
      <c r="B59" s="3"/>
      <c r="C59" s="51"/>
      <c r="D59" s="51"/>
      <c r="E59" s="51"/>
      <c r="F59" s="51" t="n">
        <v>0</v>
      </c>
      <c r="G59" s="51" t="n">
        <v>1500</v>
      </c>
      <c r="H59" s="51" t="n">
        <v>1500</v>
      </c>
      <c r="I59" s="51" t="n">
        <v>1500</v>
      </c>
      <c r="J59" s="51" t="n">
        <v>1500</v>
      </c>
      <c r="K59" s="51" t="n">
        <v>1500</v>
      </c>
      <c r="L59" s="51" t="n">
        <v>0</v>
      </c>
      <c r="M59" s="51"/>
      <c r="N59" s="51"/>
      <c r="O59" s="51"/>
      <c r="P59" s="51"/>
      <c r="Q59" s="51"/>
      <c r="R59" s="51"/>
      <c r="S59" s="51"/>
      <c r="T59" s="51"/>
      <c r="U59" s="51"/>
      <c r="V59" s="51"/>
      <c r="W59" s="51"/>
      <c r="X59" s="51"/>
      <c r="Y59" s="51"/>
      <c r="Z59" s="51"/>
      <c r="AA59" s="51"/>
    </row>
    <row r="60" ht="22" customHeight="1">
      <c r="A60" s="49" t="str">
        <v>3.70%, due July 2025</v>
      </c>
      <c r="B60" s="3"/>
      <c r="C60" s="51" t="n">
        <v>2250</v>
      </c>
      <c r="D60" s="51" t="n">
        <v>2250</v>
      </c>
      <c r="E60" s="51" t="n">
        <v>2250</v>
      </c>
      <c r="F60" s="51" t="n">
        <v>2250</v>
      </c>
      <c r="G60" s="51" t="n">
        <v>2250</v>
      </c>
      <c r="H60" s="51" t="n">
        <v>2250</v>
      </c>
      <c r="I60" s="51" t="n">
        <v>2250</v>
      </c>
      <c r="J60" s="51" t="n">
        <v>2250</v>
      </c>
      <c r="K60" s="51" t="n">
        <v>2250</v>
      </c>
      <c r="L60" s="51" t="n">
        <v>0</v>
      </c>
      <c r="M60" s="51"/>
      <c r="N60" s="51"/>
      <c r="O60" s="51"/>
      <c r="P60" s="51"/>
      <c r="Q60" s="51"/>
      <c r="R60" s="51"/>
      <c r="S60" s="51"/>
      <c r="T60" s="51"/>
      <c r="U60" s="51"/>
      <c r="V60" s="51"/>
      <c r="W60" s="51"/>
      <c r="X60" s="51"/>
      <c r="Y60" s="51"/>
      <c r="Z60" s="51"/>
      <c r="AA60" s="51"/>
    </row>
    <row r="61" ht="22" customHeight="1">
      <c r="A61" s="49" t="str">
        <v>4.88%, due February 2026</v>
      </c>
      <c r="B61" s="3"/>
      <c r="C61" s="51"/>
      <c r="D61" s="51"/>
      <c r="E61" s="51"/>
      <c r="F61" s="51"/>
      <c r="G61" s="51"/>
      <c r="H61" s="51"/>
      <c r="I61" s="51" t="n">
        <v>0</v>
      </c>
      <c r="J61" s="51" t="n">
        <v>1500</v>
      </c>
      <c r="K61" s="51" t="n">
        <v>1500</v>
      </c>
      <c r="L61" s="51" t="n">
        <v>1500</v>
      </c>
      <c r="M61" s="51"/>
      <c r="N61" s="51"/>
      <c r="O61" s="51"/>
      <c r="P61" s="51"/>
      <c r="Q61" s="51"/>
      <c r="R61" s="51"/>
      <c r="S61" s="51"/>
      <c r="T61" s="51"/>
      <c r="U61" s="51"/>
      <c r="V61" s="51"/>
      <c r="W61" s="51"/>
      <c r="X61" s="51"/>
      <c r="Y61" s="51"/>
      <c r="Z61" s="51"/>
      <c r="AA61" s="51"/>
    </row>
    <row r="62" ht="22" customHeight="1">
      <c r="A62" s="49" t="str">
        <v>2.60%, due May 2026</v>
      </c>
      <c r="B62" s="3"/>
      <c r="C62" s="51" t="n">
        <v>1000</v>
      </c>
      <c r="D62" s="51" t="n">
        <v>1000</v>
      </c>
      <c r="E62" s="51" t="n">
        <v>1000</v>
      </c>
      <c r="F62" s="51" t="n">
        <v>1000</v>
      </c>
      <c r="G62" s="51" t="n">
        <v>1000</v>
      </c>
      <c r="H62" s="51" t="n">
        <v>1000</v>
      </c>
      <c r="I62" s="51" t="n">
        <v>1000</v>
      </c>
      <c r="J62" s="51" t="n">
        <v>1000</v>
      </c>
      <c r="K62" s="51" t="n">
        <v>1000</v>
      </c>
      <c r="L62" s="51" t="n">
        <v>1000</v>
      </c>
      <c r="M62" s="51"/>
      <c r="N62" s="51"/>
      <c r="O62" s="51"/>
      <c r="P62" s="51"/>
      <c r="Q62" s="51"/>
      <c r="R62" s="51"/>
      <c r="S62" s="51"/>
      <c r="T62" s="51"/>
      <c r="U62" s="51"/>
      <c r="V62" s="51"/>
      <c r="W62" s="51"/>
      <c r="X62" s="51"/>
      <c r="Y62" s="51"/>
      <c r="Z62" s="51"/>
      <c r="AA62" s="51"/>
    </row>
    <row r="63" ht="22" customHeight="1">
      <c r="A63" s="49" t="str">
        <v>3.75%, due March 2027</v>
      </c>
      <c r="B63" s="3"/>
      <c r="C63" s="51"/>
      <c r="D63" s="51"/>
      <c r="E63" s="51"/>
      <c r="F63" s="51" t="n">
        <v>0</v>
      </c>
      <c r="G63" s="51" t="n">
        <v>1000</v>
      </c>
      <c r="H63" s="51" t="n">
        <v>1000</v>
      </c>
      <c r="I63" s="51" t="n">
        <v>1000</v>
      </c>
      <c r="J63" s="51" t="n">
        <v>1000</v>
      </c>
      <c r="K63" s="51" t="n">
        <v>1000</v>
      </c>
      <c r="L63" s="51" t="n">
        <v>1000</v>
      </c>
      <c r="M63" s="51"/>
      <c r="N63" s="51"/>
      <c r="O63" s="51"/>
      <c r="P63" s="51"/>
      <c r="Q63" s="51"/>
      <c r="R63" s="51"/>
      <c r="S63" s="51"/>
      <c r="T63" s="51"/>
      <c r="U63" s="51"/>
      <c r="V63" s="51"/>
      <c r="W63" s="51"/>
      <c r="X63" s="51"/>
      <c r="Y63" s="51"/>
      <c r="Z63" s="51"/>
      <c r="AA63" s="51"/>
    </row>
    <row r="64" ht="22" customHeight="1">
      <c r="A64" s="49" t="str">
        <v>3.15%, due May 2027</v>
      </c>
      <c r="B64" s="3"/>
      <c r="C64" s="51" t="n">
        <v>0</v>
      </c>
      <c r="D64" s="51" t="n">
        <v>1000</v>
      </c>
      <c r="E64" s="51" t="n">
        <v>1000</v>
      </c>
      <c r="F64" s="51" t="n">
        <v>1000</v>
      </c>
      <c r="G64" s="51" t="n">
        <v>1000</v>
      </c>
      <c r="H64" s="51" t="n">
        <v>1000</v>
      </c>
      <c r="I64" s="51" t="n">
        <v>1000</v>
      </c>
      <c r="J64" s="51" t="n">
        <v>1000</v>
      </c>
      <c r="K64" s="51" t="n">
        <v>1000</v>
      </c>
      <c r="L64" s="51" t="n">
        <v>1000</v>
      </c>
      <c r="M64" s="51"/>
      <c r="N64" s="51"/>
      <c r="O64" s="51"/>
      <c r="P64" s="51"/>
      <c r="Q64" s="51"/>
      <c r="R64" s="51"/>
      <c r="S64" s="51"/>
      <c r="T64" s="51"/>
      <c r="U64" s="51"/>
      <c r="V64" s="51"/>
      <c r="W64" s="51"/>
      <c r="X64" s="51"/>
      <c r="Y64" s="51"/>
      <c r="Z64" s="51"/>
      <c r="AA64" s="51"/>
    </row>
    <row r="65" ht="22" customHeight="1">
      <c r="A65" s="49" t="str">
        <v>3.75%, due August 2027</v>
      </c>
      <c r="B65" s="3"/>
      <c r="C65" s="51"/>
      <c r="D65" s="51"/>
      <c r="E65" s="51"/>
      <c r="F65" s="51"/>
      <c r="G65" s="51"/>
      <c r="H65" s="51" t="n">
        <v>0</v>
      </c>
      <c r="I65" s="51" t="n">
        <v>1250</v>
      </c>
      <c r="J65" s="51" t="n">
        <v>1250</v>
      </c>
      <c r="K65" s="51" t="n">
        <v>1250</v>
      </c>
      <c r="L65" s="51" t="n">
        <v>1250</v>
      </c>
      <c r="M65" s="51"/>
      <c r="N65" s="51"/>
      <c r="O65" s="51"/>
      <c r="P65" s="51"/>
      <c r="Q65" s="51"/>
      <c r="R65" s="51"/>
      <c r="S65" s="51"/>
      <c r="T65" s="51"/>
      <c r="U65" s="51"/>
      <c r="V65" s="51"/>
      <c r="W65" s="51"/>
      <c r="X65" s="51"/>
      <c r="Y65" s="51"/>
      <c r="Z65" s="51"/>
      <c r="AA65" s="51"/>
    </row>
    <row r="66" ht="22" customHeight="1">
      <c r="A66" s="49" t="str">
        <v>4.88%, due February 2028</v>
      </c>
      <c r="B66" s="3"/>
      <c r="C66" s="51"/>
      <c r="D66" s="51"/>
      <c r="E66" s="51"/>
      <c r="F66" s="51"/>
      <c r="G66" s="51"/>
      <c r="H66" s="51"/>
      <c r="I66" s="51" t="n">
        <v>0</v>
      </c>
      <c r="J66" s="51" t="n">
        <v>1750</v>
      </c>
      <c r="K66" s="51" t="n">
        <v>1750</v>
      </c>
      <c r="L66" s="51" t="n">
        <v>1750</v>
      </c>
      <c r="M66" s="51"/>
      <c r="N66" s="51"/>
      <c r="O66" s="51"/>
      <c r="P66" s="51"/>
      <c r="Q66" s="51"/>
      <c r="R66" s="51"/>
      <c r="S66" s="51"/>
      <c r="T66" s="51"/>
      <c r="U66" s="51"/>
      <c r="V66" s="51"/>
      <c r="W66" s="51"/>
      <c r="X66" s="51"/>
      <c r="Y66" s="51"/>
      <c r="Z66" s="51"/>
      <c r="AA66" s="51"/>
    </row>
    <row r="67" ht="22" customHeight="1">
      <c r="A67" s="49" t="str">
        <v>1.60%, due August 2028</v>
      </c>
      <c r="B67" s="3"/>
      <c r="C67" s="51"/>
      <c r="D67" s="51"/>
      <c r="E67" s="51"/>
      <c r="F67" s="51"/>
      <c r="G67" s="51" t="n">
        <v>0</v>
      </c>
      <c r="H67" s="51" t="n">
        <v>1000</v>
      </c>
      <c r="I67" s="51" t="n">
        <v>1000</v>
      </c>
      <c r="J67" s="51" t="n">
        <v>1000</v>
      </c>
      <c r="K67" s="51" t="n">
        <v>1000</v>
      </c>
      <c r="L67" s="51" t="n">
        <v>1000</v>
      </c>
      <c r="M67" s="51"/>
      <c r="N67" s="51"/>
      <c r="O67" s="51"/>
      <c r="P67" s="51"/>
      <c r="Q67" s="51"/>
      <c r="R67" s="51"/>
      <c r="S67" s="51"/>
      <c r="T67" s="51"/>
      <c r="U67" s="51"/>
      <c r="V67" s="51"/>
      <c r="W67" s="51"/>
      <c r="X67" s="51"/>
      <c r="Y67" s="51"/>
      <c r="Z67" s="51"/>
      <c r="AA67" s="51"/>
    </row>
    <row r="68" ht="22" customHeight="1">
      <c r="A68" s="49" t="str">
        <v>4.00%, due August 2029</v>
      </c>
      <c r="B68" s="3"/>
      <c r="C68" s="51"/>
      <c r="D68" s="51"/>
      <c r="E68" s="51"/>
      <c r="F68" s="51"/>
      <c r="G68" s="51"/>
      <c r="H68" s="51" t="n">
        <v>0</v>
      </c>
      <c r="I68" s="51" t="n">
        <v>850</v>
      </c>
      <c r="J68" s="51" t="n">
        <v>850</v>
      </c>
      <c r="K68" s="51" t="n">
        <v>850</v>
      </c>
      <c r="L68" s="51" t="n">
        <v>850</v>
      </c>
      <c r="M68" s="51"/>
      <c r="N68" s="51"/>
      <c r="O68" s="51"/>
      <c r="P68" s="51"/>
      <c r="Q68" s="51"/>
      <c r="R68" s="51"/>
      <c r="S68" s="51"/>
      <c r="T68" s="51"/>
      <c r="U68" s="51"/>
      <c r="V68" s="51"/>
      <c r="W68" s="51"/>
      <c r="X68" s="51"/>
      <c r="Y68" s="51"/>
      <c r="Z68" s="51"/>
      <c r="AA68" s="51"/>
    </row>
    <row r="69" ht="22" customHeight="1">
      <c r="A69" s="49" t="str">
        <v>2.45%, due November 2029</v>
      </c>
      <c r="B69" s="3"/>
      <c r="C69" s="51"/>
      <c r="D69" s="51"/>
      <c r="E69" s="51" t="n">
        <v>0</v>
      </c>
      <c r="F69" s="51" t="n">
        <v>1250</v>
      </c>
      <c r="G69" s="51" t="n">
        <v>2000</v>
      </c>
      <c r="H69" s="51" t="n">
        <v>2000</v>
      </c>
      <c r="I69" s="51" t="n">
        <v>2000</v>
      </c>
      <c r="J69" s="51" t="n">
        <v>2000</v>
      </c>
      <c r="K69" s="51" t="n">
        <v>2000</v>
      </c>
      <c r="L69" s="51" t="n">
        <v>2000</v>
      </c>
      <c r="M69" s="51"/>
      <c r="N69" s="51"/>
      <c r="O69" s="51"/>
      <c r="P69" s="51"/>
      <c r="Q69" s="51"/>
      <c r="R69" s="51"/>
      <c r="S69" s="51"/>
      <c r="T69" s="51"/>
      <c r="U69" s="51"/>
      <c r="V69" s="51"/>
      <c r="W69" s="51"/>
      <c r="X69" s="51"/>
      <c r="Y69" s="51"/>
      <c r="Z69" s="51"/>
      <c r="AA69" s="51"/>
    </row>
    <row r="70" ht="22" customHeight="1">
      <c r="A70" s="49" t="str">
        <v>5.13%, due February 2030</v>
      </c>
      <c r="B70" s="3"/>
      <c r="C70" s="51"/>
      <c r="D70" s="51"/>
      <c r="E70" s="51"/>
      <c r="F70" s="51"/>
      <c r="G70" s="51"/>
      <c r="H70" s="51"/>
      <c r="I70" s="51" t="n">
        <v>0</v>
      </c>
      <c r="J70" s="51" t="n">
        <v>1250</v>
      </c>
      <c r="K70" s="51" t="n">
        <v>1250</v>
      </c>
      <c r="L70" s="51" t="n">
        <v>1250</v>
      </c>
      <c r="M70" s="51"/>
      <c r="N70" s="51"/>
      <c r="O70" s="51"/>
      <c r="P70" s="51"/>
      <c r="Q70" s="51"/>
      <c r="R70" s="51"/>
      <c r="S70" s="51"/>
      <c r="T70" s="51"/>
      <c r="U70" s="51"/>
      <c r="V70" s="51"/>
      <c r="W70" s="51"/>
      <c r="X70" s="51"/>
      <c r="Y70" s="51"/>
      <c r="Z70" s="51"/>
      <c r="AA70" s="51"/>
    </row>
    <row r="71" ht="22" customHeight="1">
      <c r="A71" s="49" t="str">
        <v>3.90%, due March 2030</v>
      </c>
      <c r="B71" s="3"/>
      <c r="C71" s="51"/>
      <c r="D71" s="51"/>
      <c r="E71" s="51"/>
      <c r="F71" s="51" t="n">
        <v>0</v>
      </c>
      <c r="G71" s="51" t="n">
        <v>1500</v>
      </c>
      <c r="H71" s="51" t="n">
        <v>1500</v>
      </c>
      <c r="I71" s="51" t="n">
        <v>1500</v>
      </c>
      <c r="J71" s="51" t="n">
        <v>1500</v>
      </c>
      <c r="K71" s="51" t="n">
        <v>1500</v>
      </c>
      <c r="L71" s="51" t="n">
        <v>1500</v>
      </c>
      <c r="M71" s="51"/>
      <c r="N71" s="51"/>
      <c r="O71" s="51"/>
      <c r="P71" s="51"/>
      <c r="Q71" s="51"/>
      <c r="R71" s="51"/>
      <c r="S71" s="51"/>
      <c r="T71" s="51"/>
      <c r="U71" s="51"/>
      <c r="V71" s="51"/>
      <c r="W71" s="51"/>
      <c r="X71" s="51"/>
      <c r="Y71" s="51"/>
      <c r="Z71" s="51"/>
      <c r="AA71" s="51"/>
    </row>
    <row r="72" ht="22" customHeight="1">
      <c r="A72" s="49" t="str">
        <v>5.00%, due February 2031</v>
      </c>
      <c r="B72" s="3"/>
      <c r="C72" s="51"/>
      <c r="D72" s="51"/>
      <c r="E72" s="51"/>
      <c r="F72" s="51"/>
      <c r="G72" s="51"/>
      <c r="H72" s="51"/>
      <c r="I72" s="51"/>
      <c r="J72" s="51" t="n">
        <v>0</v>
      </c>
      <c r="K72" s="51" t="n">
        <v>500</v>
      </c>
      <c r="L72" s="51" t="n">
        <v>500</v>
      </c>
      <c r="M72" s="51"/>
      <c r="N72" s="51"/>
      <c r="O72" s="51"/>
      <c r="P72" s="51"/>
      <c r="Q72" s="51"/>
      <c r="R72" s="51"/>
      <c r="S72" s="51"/>
      <c r="T72" s="51"/>
      <c r="U72" s="51"/>
      <c r="V72" s="51"/>
      <c r="W72" s="51"/>
      <c r="X72" s="51"/>
      <c r="Y72" s="51"/>
      <c r="Z72" s="51"/>
      <c r="AA72" s="51"/>
    </row>
    <row r="73" ht="22" customHeight="1">
      <c r="A73" s="49" t="str">
        <v>2.00%, due August 2031</v>
      </c>
      <c r="B73" s="3"/>
      <c r="C73" s="51"/>
      <c r="D73" s="51"/>
      <c r="E73" s="51"/>
      <c r="F73" s="51"/>
      <c r="G73" s="51" t="n">
        <v>0</v>
      </c>
      <c r="H73" s="51" t="n">
        <v>1250</v>
      </c>
      <c r="I73" s="51" t="n">
        <v>1250</v>
      </c>
      <c r="J73" s="51" t="n">
        <v>1250</v>
      </c>
      <c r="K73" s="51" t="n">
        <v>1250</v>
      </c>
      <c r="L73" s="51" t="n">
        <v>1250</v>
      </c>
      <c r="M73" s="51"/>
      <c r="N73" s="51"/>
      <c r="O73" s="51"/>
      <c r="P73" s="51"/>
      <c r="Q73" s="51"/>
      <c r="R73" s="51"/>
      <c r="S73" s="51"/>
      <c r="T73" s="51"/>
      <c r="U73" s="51"/>
      <c r="V73" s="51"/>
      <c r="W73" s="51"/>
      <c r="X73" s="51"/>
      <c r="Y73" s="51"/>
      <c r="Z73" s="51"/>
      <c r="AA73" s="51"/>
    </row>
    <row r="74" ht="22" customHeight="1">
      <c r="A74" s="49" t="str">
        <v>4.15%, due August 2032</v>
      </c>
      <c r="B74" s="3"/>
      <c r="C74" s="51"/>
      <c r="D74" s="51"/>
      <c r="E74" s="51"/>
      <c r="F74" s="51"/>
      <c r="G74" s="51"/>
      <c r="H74" s="51" t="n">
        <v>0</v>
      </c>
      <c r="I74" s="51" t="n">
        <v>1250</v>
      </c>
      <c r="J74" s="51" t="n">
        <v>1250</v>
      </c>
      <c r="K74" s="51" t="n">
        <v>1250</v>
      </c>
      <c r="L74" s="51" t="n">
        <v>1250</v>
      </c>
      <c r="M74" s="51"/>
      <c r="N74" s="51"/>
      <c r="O74" s="51"/>
      <c r="P74" s="51"/>
      <c r="Q74" s="51"/>
      <c r="R74" s="51"/>
      <c r="S74" s="51"/>
      <c r="T74" s="51"/>
      <c r="U74" s="51"/>
      <c r="V74" s="51"/>
      <c r="W74" s="51"/>
      <c r="X74" s="51"/>
      <c r="Y74" s="51"/>
      <c r="Z74" s="51"/>
      <c r="AA74" s="51"/>
    </row>
    <row r="75" ht="22" customHeight="1">
      <c r="A75" s="49" t="str">
        <v>4.00%, due December 2032</v>
      </c>
      <c r="B75" s="3"/>
      <c r="C75" s="51" t="n">
        <v>750</v>
      </c>
      <c r="D75" s="51" t="n">
        <v>750</v>
      </c>
      <c r="E75" s="51" t="n">
        <v>750</v>
      </c>
      <c r="F75" s="51" t="n">
        <v>750</v>
      </c>
      <c r="G75" s="51" t="n">
        <v>750</v>
      </c>
      <c r="H75" s="51" t="n">
        <v>750</v>
      </c>
      <c r="I75" s="51" t="n">
        <v>750</v>
      </c>
      <c r="J75" s="51" t="n">
        <v>750</v>
      </c>
      <c r="K75" s="51" t="n">
        <v>750</v>
      </c>
      <c r="L75" s="51" t="n">
        <v>750</v>
      </c>
      <c r="M75" s="51"/>
      <c r="N75" s="51"/>
      <c r="O75" s="51"/>
      <c r="P75" s="51"/>
      <c r="Q75" s="51"/>
      <c r="R75" s="51"/>
      <c r="S75" s="51"/>
      <c r="T75" s="51"/>
      <c r="U75" s="51"/>
      <c r="V75" s="51"/>
      <c r="W75" s="51"/>
      <c r="X75" s="51"/>
      <c r="Y75" s="51"/>
      <c r="Z75" s="51"/>
      <c r="AA75" s="51"/>
    </row>
    <row r="76" ht="22" customHeight="1">
      <c r="A76" s="49" t="str">
        <v>5.20%, due February 2033</v>
      </c>
      <c r="B76" s="3"/>
      <c r="C76" s="51"/>
      <c r="D76" s="51"/>
      <c r="E76" s="51"/>
      <c r="F76" s="51"/>
      <c r="G76" s="51"/>
      <c r="H76" s="51"/>
      <c r="I76" s="51" t="n">
        <v>0</v>
      </c>
      <c r="J76" s="51" t="n">
        <v>2250</v>
      </c>
      <c r="K76" s="51" t="n">
        <v>2250</v>
      </c>
      <c r="L76" s="51" t="n">
        <v>2250</v>
      </c>
      <c r="M76" s="51"/>
      <c r="N76" s="51"/>
      <c r="O76" s="51"/>
      <c r="P76" s="51"/>
      <c r="Q76" s="51"/>
      <c r="R76" s="51"/>
      <c r="S76" s="51"/>
      <c r="T76" s="51"/>
      <c r="U76" s="51"/>
      <c r="V76" s="51"/>
      <c r="W76" s="51"/>
      <c r="X76" s="51"/>
      <c r="Y76" s="51"/>
      <c r="Z76" s="51"/>
      <c r="AA76" s="51"/>
    </row>
    <row r="77" ht="22" customHeight="1">
      <c r="A77" s="49" t="str">
        <v>5.15%, due February 2034</v>
      </c>
      <c r="B77" s="3"/>
      <c r="C77" s="51"/>
      <c r="D77" s="51"/>
      <c r="E77" s="51"/>
      <c r="F77" s="51"/>
      <c r="G77" s="51"/>
      <c r="H77" s="51"/>
      <c r="I77" s="51"/>
      <c r="J77" s="51" t="n">
        <v>0</v>
      </c>
      <c r="K77" s="51" t="n">
        <v>900</v>
      </c>
      <c r="L77" s="51" t="n">
        <v>900</v>
      </c>
      <c r="M77" s="51"/>
      <c r="N77" s="51"/>
      <c r="O77" s="51"/>
      <c r="P77" s="51"/>
      <c r="Q77" s="51"/>
      <c r="R77" s="51"/>
      <c r="S77" s="51"/>
      <c r="T77" s="51"/>
      <c r="U77" s="51"/>
      <c r="V77" s="51"/>
      <c r="W77" s="51"/>
      <c r="X77" s="51"/>
      <c r="Y77" s="51"/>
      <c r="Z77" s="51"/>
      <c r="AA77" s="51"/>
    </row>
    <row r="78" ht="22" customHeight="1">
      <c r="A78" s="49" t="str">
        <v>4.60%, due March 2040</v>
      </c>
      <c r="B78" s="3"/>
      <c r="C78" s="51"/>
      <c r="D78" s="51"/>
      <c r="E78" s="51"/>
      <c r="F78" s="51" t="n">
        <v>0</v>
      </c>
      <c r="G78" s="51" t="n">
        <v>750</v>
      </c>
      <c r="H78" s="51" t="n">
        <v>750</v>
      </c>
      <c r="I78" s="51" t="n">
        <v>750</v>
      </c>
      <c r="J78" s="51" t="n">
        <v>750</v>
      </c>
      <c r="K78" s="51" t="n">
        <v>750</v>
      </c>
      <c r="L78" s="51" t="n">
        <v>750</v>
      </c>
      <c r="M78" s="51"/>
      <c r="N78" s="51"/>
      <c r="O78" s="51"/>
      <c r="P78" s="51"/>
      <c r="Q78" s="51"/>
      <c r="R78" s="51"/>
      <c r="S78" s="51"/>
      <c r="T78" s="51"/>
      <c r="U78" s="51"/>
      <c r="V78" s="51"/>
      <c r="W78" s="51"/>
      <c r="X78" s="51"/>
      <c r="Y78" s="51"/>
      <c r="Z78" s="51"/>
      <c r="AA78" s="51"/>
    </row>
    <row r="79" ht="22" customHeight="1">
      <c r="A79" s="49" t="str">
        <v>2.80%, due August 2041</v>
      </c>
      <c r="B79" s="3"/>
      <c r="C79" s="51"/>
      <c r="D79" s="51"/>
      <c r="E79" s="51"/>
      <c r="F79" s="51"/>
      <c r="G79" s="51" t="n">
        <v>0</v>
      </c>
      <c r="H79" s="51" t="n">
        <v>750</v>
      </c>
      <c r="I79" s="51" t="n">
        <v>750</v>
      </c>
      <c r="J79" s="51" t="n">
        <v>750</v>
      </c>
      <c r="K79" s="51" t="n">
        <v>750</v>
      </c>
      <c r="L79" s="51" t="n">
        <v>750</v>
      </c>
      <c r="M79" s="51"/>
      <c r="N79" s="51"/>
      <c r="O79" s="51"/>
      <c r="P79" s="51"/>
      <c r="Q79" s="51"/>
      <c r="R79" s="51"/>
      <c r="S79" s="51"/>
      <c r="T79" s="51"/>
      <c r="U79" s="51"/>
      <c r="V79" s="51"/>
      <c r="W79" s="51"/>
      <c r="X79" s="51"/>
      <c r="Y79" s="51"/>
      <c r="Z79" s="51"/>
      <c r="AA79" s="51"/>
    </row>
    <row r="80" ht="22" customHeight="1">
      <c r="A80" s="49" t="str">
        <v>4.80%, due October 2041</v>
      </c>
      <c r="B80" s="3"/>
      <c r="C80" s="51" t="n">
        <v>1500</v>
      </c>
      <c r="D80" s="51" t="n">
        <v>802</v>
      </c>
      <c r="E80" s="51" t="n">
        <v>802</v>
      </c>
      <c r="F80" s="51" t="n">
        <v>802</v>
      </c>
      <c r="G80" s="51" t="n">
        <v>802</v>
      </c>
      <c r="H80" s="51" t="n">
        <v>802</v>
      </c>
      <c r="I80" s="51" t="n">
        <v>802</v>
      </c>
      <c r="J80" s="51" t="n">
        <v>802</v>
      </c>
      <c r="K80" s="51" t="n">
        <v>802</v>
      </c>
      <c r="L80" s="51" t="n">
        <v>802</v>
      </c>
      <c r="M80" s="51"/>
      <c r="N80" s="51"/>
      <c r="O80" s="51"/>
      <c r="P80" s="51"/>
      <c r="Q80" s="51"/>
      <c r="R80" s="51"/>
      <c r="S80" s="51"/>
      <c r="T80" s="51"/>
      <c r="U80" s="51"/>
      <c r="V80" s="51"/>
      <c r="W80" s="51"/>
      <c r="X80" s="51"/>
      <c r="Y80" s="51"/>
      <c r="Z80" s="51"/>
      <c r="AA80" s="51"/>
    </row>
    <row r="81" ht="22" customHeight="1">
      <c r="A81" s="49" t="str">
        <v>4.25%, due December 2042</v>
      </c>
      <c r="B81" s="3"/>
      <c r="C81" s="51" t="n">
        <v>925</v>
      </c>
      <c r="D81" s="51" t="n">
        <v>567</v>
      </c>
      <c r="E81" s="51" t="n">
        <v>567</v>
      </c>
      <c r="F81" s="51" t="n">
        <v>567</v>
      </c>
      <c r="G81" s="51" t="n">
        <v>567</v>
      </c>
      <c r="H81" s="51" t="n">
        <v>567</v>
      </c>
      <c r="I81" s="51" t="n">
        <v>567</v>
      </c>
      <c r="J81" s="51" t="n">
        <v>567</v>
      </c>
      <c r="K81" s="51" t="n">
        <v>567</v>
      </c>
      <c r="L81" s="51" t="n">
        <v>567</v>
      </c>
      <c r="M81" s="51"/>
      <c r="N81" s="51"/>
      <c r="O81" s="51"/>
      <c r="P81" s="51"/>
      <c r="Q81" s="51"/>
      <c r="R81" s="51"/>
      <c r="S81" s="51"/>
      <c r="T81" s="51"/>
      <c r="U81" s="51"/>
      <c r="V81" s="51"/>
      <c r="W81" s="51"/>
      <c r="X81" s="51"/>
      <c r="Y81" s="51"/>
      <c r="Z81" s="51"/>
      <c r="AA81" s="51"/>
    </row>
    <row r="82" ht="22" customHeight="1">
      <c r="A82" s="49" t="str">
        <v>5.63%, due February 2043</v>
      </c>
      <c r="B82" s="3"/>
      <c r="C82" s="51"/>
      <c r="D82" s="51"/>
      <c r="E82" s="51"/>
      <c r="F82" s="51"/>
      <c r="G82" s="51"/>
      <c r="H82" s="51"/>
      <c r="I82" s="51" t="n">
        <v>0</v>
      </c>
      <c r="J82" s="51" t="n">
        <v>1000</v>
      </c>
      <c r="K82" s="51" t="n">
        <v>1000</v>
      </c>
      <c r="L82" s="51" t="n">
        <v>1000</v>
      </c>
      <c r="M82" s="51"/>
      <c r="N82" s="51"/>
      <c r="O82" s="51"/>
      <c r="P82" s="51"/>
      <c r="Q82" s="51"/>
      <c r="R82" s="51"/>
      <c r="S82" s="51"/>
      <c r="T82" s="51"/>
      <c r="U82" s="51"/>
      <c r="V82" s="51"/>
      <c r="W82" s="51"/>
      <c r="X82" s="51"/>
      <c r="Y82" s="51"/>
      <c r="Z82" s="51"/>
      <c r="AA82" s="51"/>
    </row>
    <row r="83" ht="22" customHeight="1">
      <c r="A83" s="49" t="str">
        <v>4.90%, due July 2045</v>
      </c>
      <c r="B83" s="3"/>
      <c r="C83" s="51" t="n">
        <v>2000</v>
      </c>
      <c r="D83" s="51" t="n">
        <v>772</v>
      </c>
      <c r="E83" s="51" t="n">
        <v>772</v>
      </c>
      <c r="F83" s="51" t="n">
        <v>772</v>
      </c>
      <c r="G83" s="51" t="n">
        <v>772</v>
      </c>
      <c r="H83" s="51" t="n">
        <v>772</v>
      </c>
      <c r="I83" s="51" t="n">
        <v>772</v>
      </c>
      <c r="J83" s="51" t="n">
        <v>772</v>
      </c>
      <c r="K83" s="51" t="n">
        <v>772</v>
      </c>
      <c r="L83" s="51" t="n">
        <v>772</v>
      </c>
      <c r="M83" s="51"/>
      <c r="N83" s="51"/>
      <c r="O83" s="51"/>
      <c r="P83" s="51"/>
      <c r="Q83" s="51"/>
      <c r="R83" s="51"/>
      <c r="S83" s="51"/>
      <c r="T83" s="51"/>
      <c r="U83" s="51"/>
      <c r="V83" s="51"/>
      <c r="W83" s="51"/>
      <c r="X83" s="51"/>
      <c r="Y83" s="51"/>
      <c r="Z83" s="51"/>
      <c r="AA83" s="51"/>
    </row>
    <row r="84" ht="22" customHeight="1">
      <c r="A84" s="49" t="str">
        <v>4.90%, due August 2045</v>
      </c>
      <c r="B84" s="3"/>
      <c r="C84" s="51" t="n">
        <v>1007</v>
      </c>
      <c r="D84" s="51" t="n">
        <v>0</v>
      </c>
      <c r="E84" s="51"/>
      <c r="F84" s="51"/>
      <c r="G84" s="51"/>
      <c r="H84" s="51"/>
      <c r="I84" s="51"/>
      <c r="J84" s="51"/>
      <c r="K84" s="51"/>
      <c r="L84" s="51"/>
      <c r="M84" s="51"/>
      <c r="N84" s="51"/>
      <c r="O84" s="51"/>
      <c r="P84" s="51"/>
      <c r="Q84" s="51"/>
      <c r="R84" s="51"/>
      <c r="S84" s="51"/>
      <c r="T84" s="51"/>
      <c r="U84" s="51"/>
      <c r="V84" s="51"/>
      <c r="W84" s="51"/>
      <c r="X84" s="51"/>
      <c r="Y84" s="51"/>
      <c r="Z84" s="51"/>
      <c r="AA84" s="51"/>
    </row>
    <row r="85" ht="22" customHeight="1">
      <c r="A85" s="49" t="str">
        <v>4.70%, due December 2045</v>
      </c>
      <c r="B85" s="3"/>
      <c r="C85" s="51" t="n">
        <v>915</v>
      </c>
      <c r="D85" s="51" t="n">
        <v>915</v>
      </c>
      <c r="E85" s="51" t="n">
        <v>915</v>
      </c>
      <c r="F85" s="51" t="n">
        <v>0</v>
      </c>
      <c r="G85" s="51"/>
      <c r="H85" s="51"/>
      <c r="I85" s="51"/>
      <c r="J85" s="51"/>
      <c r="K85" s="51"/>
      <c r="L85" s="51"/>
      <c r="M85" s="51"/>
      <c r="N85" s="51"/>
      <c r="O85" s="51"/>
      <c r="P85" s="51"/>
      <c r="Q85" s="51"/>
      <c r="R85" s="51"/>
      <c r="S85" s="51"/>
      <c r="T85" s="51"/>
      <c r="U85" s="51"/>
      <c r="V85" s="51"/>
      <c r="W85" s="51"/>
      <c r="X85" s="51"/>
      <c r="Y85" s="51"/>
      <c r="Z85" s="51"/>
      <c r="AA85" s="51"/>
    </row>
    <row r="86" ht="22" customHeight="1">
      <c r="A86" s="49" t="str">
        <v>4.10%, due May 2046</v>
      </c>
      <c r="B86" s="3"/>
      <c r="C86" s="51" t="n">
        <v>1250</v>
      </c>
      <c r="D86" s="51" t="n">
        <v>1250</v>
      </c>
      <c r="E86" s="51" t="n">
        <v>1250</v>
      </c>
      <c r="F86" s="51" t="n">
        <v>1250</v>
      </c>
      <c r="G86" s="51" t="n">
        <v>1250</v>
      </c>
      <c r="H86" s="51" t="n">
        <v>1250</v>
      </c>
      <c r="I86" s="51" t="n">
        <v>1250</v>
      </c>
      <c r="J86" s="51" t="n">
        <v>1250</v>
      </c>
      <c r="K86" s="51" t="n">
        <v>1250</v>
      </c>
      <c r="L86" s="51" t="n">
        <v>1250</v>
      </c>
      <c r="M86" s="51"/>
      <c r="N86" s="51"/>
      <c r="O86" s="51"/>
      <c r="P86" s="51"/>
      <c r="Q86" s="51"/>
      <c r="R86" s="51"/>
      <c r="S86" s="51"/>
      <c r="T86" s="51"/>
      <c r="U86" s="51"/>
      <c r="V86" s="51"/>
      <c r="W86" s="51"/>
      <c r="X86" s="51"/>
      <c r="Y86" s="51"/>
      <c r="Z86" s="51"/>
      <c r="AA86" s="51"/>
    </row>
    <row r="87" ht="22" customHeight="1">
      <c r="A87" s="49" t="str">
        <v>4.10%, due May 2047</v>
      </c>
      <c r="B87" s="3"/>
      <c r="C87" s="51" t="n">
        <v>0</v>
      </c>
      <c r="D87" s="51" t="n">
        <v>1000</v>
      </c>
      <c r="E87" s="51" t="n">
        <v>1000</v>
      </c>
      <c r="F87" s="51" t="n">
        <v>1000</v>
      </c>
      <c r="G87" s="51" t="n">
        <v>1000</v>
      </c>
      <c r="H87" s="51" t="n">
        <v>1000</v>
      </c>
      <c r="I87" s="51" t="n">
        <v>1000</v>
      </c>
      <c r="J87" s="51" t="n">
        <v>1000</v>
      </c>
      <c r="K87" s="51" t="n">
        <v>1000</v>
      </c>
      <c r="L87" s="51" t="n">
        <v>1000</v>
      </c>
      <c r="M87" s="51"/>
      <c r="N87" s="51"/>
      <c r="O87" s="51"/>
      <c r="P87" s="51"/>
      <c r="Q87" s="51"/>
      <c r="R87" s="51"/>
      <c r="S87" s="51"/>
      <c r="T87" s="51"/>
      <c r="U87" s="51"/>
      <c r="V87" s="51"/>
      <c r="W87" s="51"/>
      <c r="X87" s="51"/>
      <c r="Y87" s="51"/>
      <c r="Z87" s="51"/>
      <c r="AA87" s="51"/>
    </row>
    <row r="88" ht="22" customHeight="1">
      <c r="A88" s="49" t="str">
        <v>4.10%, due August 2047</v>
      </c>
      <c r="B88" s="3"/>
      <c r="C88" s="51" t="n">
        <v>0</v>
      </c>
      <c r="D88" s="51" t="n">
        <v>640</v>
      </c>
      <c r="E88" s="51" t="n">
        <v>640</v>
      </c>
      <c r="F88" s="51" t="n">
        <v>640</v>
      </c>
      <c r="G88" s="51" t="n">
        <v>640</v>
      </c>
      <c r="H88" s="51" t="n">
        <v>640</v>
      </c>
      <c r="I88" s="51" t="n">
        <v>640</v>
      </c>
      <c r="J88" s="51" t="n">
        <v>640</v>
      </c>
      <c r="K88" s="51" t="n">
        <v>640</v>
      </c>
      <c r="L88" s="51" t="n">
        <v>640</v>
      </c>
      <c r="M88" s="51"/>
      <c r="N88" s="51"/>
      <c r="O88" s="51"/>
      <c r="P88" s="51"/>
      <c r="Q88" s="51"/>
      <c r="R88" s="51"/>
      <c r="S88" s="51"/>
      <c r="T88" s="51"/>
      <c r="U88" s="51"/>
      <c r="V88" s="51"/>
      <c r="W88" s="51"/>
      <c r="X88" s="51"/>
      <c r="Y88" s="51"/>
      <c r="Z88" s="51"/>
      <c r="AA88" s="51"/>
    </row>
    <row r="89" ht="22" customHeight="1">
      <c r="A89" s="49" t="str">
        <v>3.73%, due December 2047</v>
      </c>
      <c r="B89" s="3"/>
      <c r="C89" s="51" t="n">
        <v>0</v>
      </c>
      <c r="D89" s="51" t="n">
        <v>1967</v>
      </c>
      <c r="E89" s="51" t="n">
        <v>1967</v>
      </c>
      <c r="F89" s="51" t="n">
        <v>1967</v>
      </c>
      <c r="G89" s="51" t="n">
        <v>1967</v>
      </c>
      <c r="H89" s="51" t="n">
        <v>1967</v>
      </c>
      <c r="I89" s="51" t="n">
        <v>1967</v>
      </c>
      <c r="J89" s="51" t="n">
        <v>1967</v>
      </c>
      <c r="K89" s="51" t="n">
        <v>1967</v>
      </c>
      <c r="L89" s="51" t="n">
        <v>1967</v>
      </c>
      <c r="M89" s="51"/>
      <c r="N89" s="51"/>
      <c r="O89" s="51"/>
      <c r="P89" s="51"/>
      <c r="Q89" s="51"/>
      <c r="R89" s="51"/>
      <c r="S89" s="51"/>
      <c r="T89" s="51"/>
      <c r="U89" s="51"/>
      <c r="V89" s="51"/>
      <c r="W89" s="51"/>
      <c r="X89" s="51"/>
      <c r="Y89" s="51"/>
      <c r="Z89" s="51"/>
      <c r="AA89" s="51"/>
    </row>
    <row r="90" ht="22" customHeight="1">
      <c r="A90" s="49" t="str">
        <v>2.95%, due December 2035</v>
      </c>
      <c r="B90" s="3"/>
      <c r="C90" s="51" t="n">
        <v>1600</v>
      </c>
      <c r="D90" s="51" t="n">
        <v>0</v>
      </c>
      <c r="E90" s="51"/>
      <c r="F90" s="51"/>
      <c r="G90" s="51"/>
      <c r="H90" s="51"/>
      <c r="I90" s="51"/>
      <c r="J90" s="51"/>
      <c r="K90" s="51"/>
      <c r="L90" s="51"/>
      <c r="M90" s="51"/>
      <c r="N90" s="51"/>
      <c r="O90" s="51"/>
      <c r="P90" s="51"/>
      <c r="Q90" s="51"/>
      <c r="R90" s="51"/>
      <c r="S90" s="51"/>
      <c r="T90" s="51"/>
      <c r="U90" s="51"/>
      <c r="V90" s="51"/>
      <c r="W90" s="51"/>
      <c r="X90" s="51"/>
      <c r="Y90" s="51"/>
      <c r="Z90" s="51"/>
      <c r="AA90" s="51"/>
    </row>
    <row r="91" ht="22" customHeight="1">
      <c r="A91" s="49" t="str">
        <v>3.25%, due November 2049</v>
      </c>
      <c r="B91" s="3"/>
      <c r="C91" s="51"/>
      <c r="D91" s="51"/>
      <c r="E91" s="51" t="n">
        <v>0</v>
      </c>
      <c r="F91" s="51" t="n">
        <v>1500</v>
      </c>
      <c r="G91" s="51" t="n">
        <v>2000</v>
      </c>
      <c r="H91" s="51" t="n">
        <v>2000</v>
      </c>
      <c r="I91" s="51" t="n">
        <v>2000</v>
      </c>
      <c r="J91" s="51" t="n">
        <v>2000</v>
      </c>
      <c r="K91" s="51" t="n">
        <v>2000</v>
      </c>
      <c r="L91" s="51" t="n">
        <v>2000</v>
      </c>
      <c r="M91" s="51"/>
      <c r="N91" s="51"/>
      <c r="O91" s="51"/>
      <c r="P91" s="51"/>
      <c r="Q91" s="51"/>
      <c r="R91" s="51"/>
      <c r="S91" s="51"/>
      <c r="T91" s="51"/>
      <c r="U91" s="51"/>
      <c r="V91" s="51"/>
      <c r="W91" s="51"/>
      <c r="X91" s="51"/>
      <c r="Y91" s="51"/>
      <c r="Z91" s="51"/>
      <c r="AA91" s="51"/>
    </row>
    <row r="92" ht="22" customHeight="1">
      <c r="A92" s="49" t="str">
        <v>4.75%, due March 2050</v>
      </c>
      <c r="B92" s="3"/>
      <c r="C92" s="51"/>
      <c r="D92" s="51"/>
      <c r="E92" s="51"/>
      <c r="F92" s="51" t="n">
        <v>0</v>
      </c>
      <c r="G92" s="51" t="n">
        <v>2250</v>
      </c>
      <c r="H92" s="51" t="n">
        <v>2250</v>
      </c>
      <c r="I92" s="51" t="n">
        <v>2250</v>
      </c>
      <c r="J92" s="51" t="n">
        <v>2250</v>
      </c>
      <c r="K92" s="51" t="n">
        <v>2250</v>
      </c>
      <c r="L92" s="51" t="n">
        <v>2250</v>
      </c>
      <c r="M92" s="51"/>
      <c r="N92" s="51"/>
      <c r="O92" s="51"/>
      <c r="P92" s="51"/>
      <c r="Q92" s="51"/>
      <c r="R92" s="51"/>
      <c r="S92" s="51"/>
      <c r="T92" s="51"/>
      <c r="U92" s="51"/>
      <c r="V92" s="51"/>
      <c r="W92" s="51"/>
      <c r="X92" s="51"/>
      <c r="Y92" s="51"/>
      <c r="Z92" s="51"/>
      <c r="AA92" s="51"/>
    </row>
    <row r="93" ht="22" customHeight="1">
      <c r="A93" s="49" t="str">
        <v>3.05%, due August 2051</v>
      </c>
      <c r="B93" s="3"/>
      <c r="C93" s="51"/>
      <c r="D93" s="51"/>
      <c r="E93" s="51"/>
      <c r="F93" s="51"/>
      <c r="G93" s="51" t="n">
        <v>0</v>
      </c>
      <c r="H93" s="51" t="n">
        <v>1250</v>
      </c>
      <c r="I93" s="51" t="n">
        <v>1250</v>
      </c>
      <c r="J93" s="51" t="n">
        <v>1250</v>
      </c>
      <c r="K93" s="51" t="n">
        <v>1250</v>
      </c>
      <c r="L93" s="51" t="n">
        <v>1250</v>
      </c>
      <c r="M93" s="51"/>
      <c r="N93" s="51"/>
      <c r="O93" s="51"/>
      <c r="P93" s="51"/>
      <c r="Q93" s="51"/>
      <c r="R93" s="51"/>
      <c r="S93" s="51"/>
      <c r="T93" s="51"/>
      <c r="U93" s="51"/>
      <c r="V93" s="51"/>
      <c r="W93" s="51"/>
      <c r="X93" s="51"/>
      <c r="Y93" s="51"/>
      <c r="Z93" s="51"/>
      <c r="AA93" s="51"/>
    </row>
    <row r="94" ht="22" customHeight="1">
      <c r="A94" s="49" t="str">
        <v>4.90%, due August 2052</v>
      </c>
      <c r="B94" s="3"/>
      <c r="C94" s="51"/>
      <c r="D94" s="51"/>
      <c r="E94" s="51"/>
      <c r="F94" s="51"/>
      <c r="G94" s="51"/>
      <c r="H94" s="51" t="n">
        <v>0</v>
      </c>
      <c r="I94" s="51" t="n">
        <v>1750</v>
      </c>
      <c r="J94" s="51" t="n">
        <v>1750</v>
      </c>
      <c r="K94" s="51" t="n">
        <v>1750</v>
      </c>
      <c r="L94" s="51" t="n">
        <v>1750</v>
      </c>
      <c r="M94" s="51"/>
      <c r="N94" s="51"/>
      <c r="O94" s="51"/>
      <c r="P94" s="51"/>
      <c r="Q94" s="51"/>
      <c r="R94" s="51"/>
      <c r="S94" s="51"/>
      <c r="T94" s="51"/>
      <c r="U94" s="51"/>
      <c r="V94" s="51"/>
      <c r="W94" s="51"/>
      <c r="X94" s="51"/>
      <c r="Y94" s="51"/>
      <c r="Z94" s="51"/>
      <c r="AA94" s="51"/>
    </row>
    <row r="95" ht="22" customHeight="1">
      <c r="A95" s="49" t="str">
        <v>5.70%, due February 2053</v>
      </c>
      <c r="B95" s="3"/>
      <c r="C95" s="51"/>
      <c r="D95" s="51"/>
      <c r="E95" s="51"/>
      <c r="F95" s="51"/>
      <c r="G95" s="51"/>
      <c r="H95" s="51"/>
      <c r="I95" s="51" t="n">
        <v>0</v>
      </c>
      <c r="J95" s="51" t="n">
        <v>2000</v>
      </c>
      <c r="K95" s="51" t="n">
        <v>2000</v>
      </c>
      <c r="L95" s="51" t="n">
        <v>2000</v>
      </c>
      <c r="M95" s="51"/>
      <c r="N95" s="51"/>
      <c r="O95" s="51"/>
      <c r="P95" s="51"/>
      <c r="Q95" s="51"/>
      <c r="R95" s="51"/>
      <c r="S95" s="51"/>
      <c r="T95" s="51"/>
      <c r="U95" s="51"/>
      <c r="V95" s="51"/>
      <c r="W95" s="51"/>
      <c r="X95" s="51"/>
      <c r="Y95" s="51"/>
      <c r="Z95" s="51"/>
      <c r="AA95" s="51"/>
    </row>
    <row r="96" ht="22" customHeight="1">
      <c r="A96" s="49" t="str">
        <v>5.60%, due February 2054</v>
      </c>
      <c r="B96" s="3"/>
      <c r="C96" s="51"/>
      <c r="D96" s="51"/>
      <c r="E96" s="51"/>
      <c r="F96" s="51"/>
      <c r="G96" s="51"/>
      <c r="H96" s="51"/>
      <c r="I96" s="51"/>
      <c r="J96" s="51" t="n">
        <v>0</v>
      </c>
      <c r="K96" s="51" t="n">
        <v>1150</v>
      </c>
      <c r="L96" s="51" t="n">
        <v>1150</v>
      </c>
      <c r="M96" s="51"/>
      <c r="N96" s="51"/>
      <c r="O96" s="51"/>
      <c r="P96" s="51"/>
      <c r="Q96" s="51"/>
      <c r="R96" s="51"/>
      <c r="S96" s="51"/>
      <c r="T96" s="51"/>
      <c r="U96" s="51"/>
      <c r="V96" s="51"/>
      <c r="W96" s="51"/>
      <c r="X96" s="51"/>
      <c r="Y96" s="51"/>
      <c r="Z96" s="51"/>
      <c r="AA96" s="51"/>
    </row>
    <row r="97" ht="22" customHeight="1">
      <c r="A97" s="49" t="str">
        <v>3.10%, due February 2060</v>
      </c>
      <c r="B97" s="3"/>
      <c r="C97" s="51"/>
      <c r="D97" s="51"/>
      <c r="E97" s="51"/>
      <c r="F97" s="51" t="n">
        <v>0</v>
      </c>
      <c r="G97" s="51" t="n">
        <v>1000</v>
      </c>
      <c r="H97" s="51" t="n">
        <v>1000</v>
      </c>
      <c r="I97" s="51" t="n">
        <v>1000</v>
      </c>
      <c r="J97" s="51" t="n">
        <v>1000</v>
      </c>
      <c r="K97" s="51" t="n">
        <v>1000</v>
      </c>
      <c r="L97" s="51" t="n">
        <v>1000</v>
      </c>
      <c r="M97" s="51"/>
      <c r="N97" s="51"/>
      <c r="O97" s="51"/>
      <c r="P97" s="51"/>
      <c r="Q97" s="51"/>
      <c r="R97" s="51"/>
      <c r="S97" s="51"/>
      <c r="T97" s="51"/>
      <c r="U97" s="51"/>
      <c r="V97" s="51"/>
      <c r="W97" s="51"/>
      <c r="X97" s="51"/>
      <c r="Y97" s="51"/>
      <c r="Z97" s="51"/>
      <c r="AA97" s="51"/>
    </row>
    <row r="98" ht="22" customHeight="1">
      <c r="A98" s="49" t="str">
        <v>4.95%, due March 2060</v>
      </c>
      <c r="B98" s="3"/>
      <c r="C98" s="51"/>
      <c r="D98" s="51"/>
      <c r="E98" s="51"/>
      <c r="F98" s="51" t="n">
        <v>0</v>
      </c>
      <c r="G98" s="51" t="n">
        <v>1000</v>
      </c>
      <c r="H98" s="51" t="n">
        <v>1000</v>
      </c>
      <c r="I98" s="51" t="n">
        <v>1000</v>
      </c>
      <c r="J98" s="51" t="n">
        <v>1000</v>
      </c>
      <c r="K98" s="51" t="n">
        <v>1000</v>
      </c>
      <c r="L98" s="51" t="n">
        <v>1000</v>
      </c>
      <c r="M98" s="51"/>
      <c r="N98" s="51"/>
      <c r="O98" s="51"/>
      <c r="P98" s="51"/>
      <c r="Q98" s="51"/>
      <c r="R98" s="51"/>
      <c r="S98" s="51"/>
      <c r="T98" s="51"/>
      <c r="U98" s="51"/>
      <c r="V98" s="51"/>
      <c r="W98" s="51"/>
      <c r="X98" s="51"/>
      <c r="Y98" s="51"/>
      <c r="Z98" s="51"/>
      <c r="AA98" s="51"/>
    </row>
    <row r="99" ht="22" customHeight="1">
      <c r="A99" s="49" t="str">
        <v>3.20%, due August 2061</v>
      </c>
      <c r="B99" s="3"/>
      <c r="C99" s="51"/>
      <c r="D99" s="51"/>
      <c r="E99" s="51"/>
      <c r="F99" s="51"/>
      <c r="G99" s="51" t="n">
        <v>0</v>
      </c>
      <c r="H99" s="51" t="n">
        <v>750</v>
      </c>
      <c r="I99" s="51" t="n">
        <v>750</v>
      </c>
      <c r="J99" s="51" t="n">
        <v>750</v>
      </c>
      <c r="K99" s="51" t="n">
        <v>750</v>
      </c>
      <c r="L99" s="51" t="n">
        <v>750</v>
      </c>
      <c r="M99" s="51"/>
      <c r="N99" s="51"/>
      <c r="O99" s="51"/>
      <c r="P99" s="51"/>
      <c r="Q99" s="51"/>
      <c r="R99" s="51"/>
      <c r="S99" s="51"/>
      <c r="T99" s="51"/>
      <c r="U99" s="51"/>
      <c r="V99" s="51"/>
      <c r="W99" s="51"/>
      <c r="X99" s="51"/>
      <c r="Y99" s="51"/>
      <c r="Z99" s="51"/>
      <c r="AA99" s="51"/>
    </row>
    <row r="100" ht="22" customHeight="1">
      <c r="A100" s="49" t="str">
        <v>5.05%, due August 2062</v>
      </c>
      <c r="B100" s="3"/>
      <c r="C100" s="51"/>
      <c r="D100" s="51"/>
      <c r="E100" s="51"/>
      <c r="F100" s="51"/>
      <c r="G100" s="51"/>
      <c r="H100" s="51" t="n">
        <v>0</v>
      </c>
      <c r="I100" s="51" t="n">
        <v>900</v>
      </c>
      <c r="J100" s="51" t="n">
        <v>900</v>
      </c>
      <c r="K100" s="51" t="n">
        <v>900</v>
      </c>
      <c r="L100" s="51" t="n">
        <v>900</v>
      </c>
      <c r="M100" s="51"/>
      <c r="N100" s="51"/>
      <c r="O100" s="51"/>
      <c r="P100" s="51"/>
      <c r="Q100" s="51"/>
      <c r="R100" s="51"/>
      <c r="S100" s="51"/>
      <c r="T100" s="51"/>
      <c r="U100" s="51"/>
      <c r="V100" s="51"/>
      <c r="W100" s="51"/>
      <c r="X100" s="51"/>
      <c r="Y100" s="51"/>
      <c r="Z100" s="51"/>
      <c r="AA100" s="51"/>
    </row>
    <row r="101" ht="22" customHeight="1">
      <c r="A101" s="49" t="str">
        <v>5.90%, due February 2063</v>
      </c>
      <c r="B101" s="3"/>
      <c r="C101" s="51"/>
      <c r="D101" s="51"/>
      <c r="E101" s="51"/>
      <c r="F101" s="51"/>
      <c r="G101" s="51"/>
      <c r="H101" s="51"/>
      <c r="I101" s="51" t="n">
        <v>0</v>
      </c>
      <c r="J101" s="51" t="n">
        <v>1250</v>
      </c>
      <c r="K101" s="51" t="n">
        <v>1250</v>
      </c>
      <c r="L101" s="51" t="n">
        <v>1250</v>
      </c>
      <c r="M101" s="51"/>
      <c r="N101" s="51"/>
      <c r="O101" s="51"/>
      <c r="P101" s="51"/>
      <c r="Q101" s="51"/>
      <c r="R101" s="51"/>
      <c r="S101" s="51"/>
      <c r="T101" s="51"/>
      <c r="U101" s="51"/>
      <c r="V101" s="51"/>
      <c r="W101" s="51"/>
      <c r="X101" s="51"/>
      <c r="Y101" s="51"/>
      <c r="Z101" s="51"/>
      <c r="AA101" s="51"/>
    </row>
    <row r="102" ht="22" customHeight="1">
      <c r="A102" s="49" t="str">
        <v>2.40% - 2.70%, due December 2035 - 2040</v>
      </c>
      <c r="B102" s="3"/>
      <c r="C102" s="51"/>
      <c r="D102" s="51" t="n">
        <v>0</v>
      </c>
      <c r="E102" s="51" t="n">
        <v>423</v>
      </c>
      <c r="F102" s="51" t="n">
        <v>423</v>
      </c>
      <c r="G102" s="51" t="n">
        <v>423</v>
      </c>
      <c r="H102" s="51" t="n">
        <v>423</v>
      </c>
      <c r="I102" s="51" t="n">
        <v>423</v>
      </c>
      <c r="J102" s="51" t="n">
        <v>0</v>
      </c>
      <c r="K102" s="51"/>
      <c r="L102" s="51"/>
      <c r="M102" s="51"/>
      <c r="N102" s="51"/>
      <c r="O102" s="51"/>
      <c r="P102" s="51"/>
      <c r="Q102" s="51"/>
      <c r="R102" s="51"/>
      <c r="S102" s="51"/>
      <c r="T102" s="51"/>
      <c r="U102" s="51"/>
      <c r="V102" s="51"/>
      <c r="W102" s="51"/>
      <c r="X102" s="51"/>
      <c r="Y102" s="51"/>
      <c r="Z102" s="51"/>
      <c r="AA102" s="51"/>
    </row>
    <row r="103" ht="22" customHeight="1">
      <c r="A103" s="49" t="str">
        <v>3.80% - 4.10%, due December 2035 - 2040</v>
      </c>
      <c r="B103" s="3"/>
      <c r="C103" s="51"/>
      <c r="D103" s="51"/>
      <c r="E103" s="51"/>
      <c r="F103" s="51"/>
      <c r="G103" s="51"/>
      <c r="H103" s="51"/>
      <c r="I103" s="51" t="n">
        <v>0</v>
      </c>
      <c r="J103" s="51" t="n">
        <v>423</v>
      </c>
      <c r="K103" s="51" t="n">
        <v>423</v>
      </c>
      <c r="L103" s="51" t="n">
        <v>423</v>
      </c>
      <c r="M103" s="51"/>
      <c r="N103" s="51"/>
      <c r="O103" s="51"/>
      <c r="P103" s="51"/>
      <c r="Q103" s="51"/>
      <c r="R103" s="51"/>
      <c r="S103" s="51"/>
      <c r="T103" s="51"/>
      <c r="U103" s="51"/>
      <c r="V103" s="51"/>
      <c r="W103" s="51"/>
      <c r="X103" s="51"/>
      <c r="Y103" s="51"/>
      <c r="Z103" s="51"/>
      <c r="AA103" s="51"/>
    </row>
    <row r="104" ht="22" customHeight="1">
      <c r="A104" s="49" t="str">
        <v>5.00%, due September 2042</v>
      </c>
      <c r="B104" s="3"/>
      <c r="C104" s="51"/>
      <c r="D104" s="51"/>
      <c r="E104" s="51"/>
      <c r="F104" s="51"/>
      <c r="G104" s="51"/>
      <c r="H104" s="51" t="n">
        <v>0</v>
      </c>
      <c r="I104" s="51" t="n">
        <v>131</v>
      </c>
      <c r="J104" s="51" t="n">
        <v>131</v>
      </c>
      <c r="K104" s="51" t="n">
        <v>131</v>
      </c>
      <c r="L104" s="51" t="n">
        <v>131</v>
      </c>
      <c r="M104" s="51"/>
      <c r="N104" s="51"/>
      <c r="O104" s="51"/>
      <c r="P104" s="51"/>
      <c r="Q104" s="51"/>
      <c r="R104" s="51"/>
      <c r="S104" s="51"/>
      <c r="T104" s="51"/>
      <c r="U104" s="51"/>
      <c r="V104" s="51"/>
      <c r="W104" s="51"/>
      <c r="X104" s="51"/>
      <c r="Y104" s="51"/>
      <c r="Z104" s="51"/>
      <c r="AA104" s="51"/>
    </row>
    <row r="105" ht="22" customHeight="1">
      <c r="A105" s="49" t="str">
        <v>5.00%, due March 2049</v>
      </c>
      <c r="B105" s="3"/>
      <c r="C105" s="51"/>
      <c r="D105" s="51"/>
      <c r="E105" s="51" t="n">
        <v>0</v>
      </c>
      <c r="F105" s="51" t="n">
        <v>138</v>
      </c>
      <c r="G105" s="51" t="n">
        <v>138</v>
      </c>
      <c r="H105" s="51" t="n">
        <v>138</v>
      </c>
      <c r="I105" s="51" t="n">
        <v>0</v>
      </c>
      <c r="J105" s="51"/>
      <c r="K105" s="51"/>
      <c r="L105" s="51"/>
      <c r="M105" s="51"/>
      <c r="N105" s="51"/>
      <c r="O105" s="51"/>
      <c r="P105" s="51"/>
      <c r="Q105" s="51"/>
      <c r="R105" s="51"/>
      <c r="S105" s="51"/>
      <c r="T105" s="51"/>
      <c r="U105" s="51"/>
      <c r="V105" s="51"/>
      <c r="W105" s="51"/>
      <c r="X105" s="51"/>
      <c r="Y105" s="51"/>
      <c r="Z105" s="51"/>
      <c r="AA105" s="51"/>
    </row>
    <row r="106" ht="22" customHeight="1">
      <c r="A106" s="49" t="str">
        <v>5.00%, due June 2049</v>
      </c>
      <c r="B106" s="3"/>
      <c r="C106" s="51"/>
      <c r="D106" s="51"/>
      <c r="E106" s="51" t="n">
        <v>0</v>
      </c>
      <c r="F106" s="51" t="n">
        <v>438</v>
      </c>
      <c r="G106" s="51" t="n">
        <v>438</v>
      </c>
      <c r="H106" s="51" t="n">
        <v>438</v>
      </c>
      <c r="I106" s="51" t="n">
        <v>438</v>
      </c>
      <c r="J106" s="51" t="n">
        <v>438</v>
      </c>
      <c r="K106" s="51" t="n">
        <v>0</v>
      </c>
      <c r="L106" s="51"/>
      <c r="M106" s="51"/>
      <c r="N106" s="51"/>
      <c r="O106" s="51"/>
      <c r="P106" s="51"/>
      <c r="Q106" s="51"/>
      <c r="R106" s="51"/>
      <c r="S106" s="51"/>
      <c r="T106" s="51"/>
      <c r="U106" s="51"/>
      <c r="V106" s="51"/>
      <c r="W106" s="51"/>
      <c r="X106" s="51"/>
      <c r="Y106" s="51"/>
      <c r="Z106" s="51"/>
      <c r="AA106" s="51"/>
    </row>
    <row r="107" ht="22" customHeight="1">
      <c r="A107" s="49" t="str">
        <v>3.25%, due August 2039</v>
      </c>
      <c r="B107" s="3"/>
      <c r="C107" s="51" t="n">
        <v>2000</v>
      </c>
      <c r="D107" s="51" t="n">
        <v>2000</v>
      </c>
      <c r="E107" s="51" t="n">
        <v>988</v>
      </c>
      <c r="F107" s="51" t="n">
        <v>372</v>
      </c>
      <c r="G107" s="51" t="n">
        <v>0</v>
      </c>
      <c r="H107" s="51"/>
      <c r="I107" s="51"/>
      <c r="J107" s="51"/>
      <c r="K107" s="51"/>
      <c r="L107" s="51"/>
      <c r="M107" s="51"/>
      <c r="N107" s="51"/>
      <c r="O107" s="51"/>
      <c r="P107" s="51"/>
      <c r="Q107" s="51"/>
      <c r="R107" s="51"/>
      <c r="S107" s="51"/>
      <c r="T107" s="51"/>
      <c r="U107" s="51"/>
      <c r="V107" s="51"/>
      <c r="W107" s="51"/>
      <c r="X107" s="51"/>
      <c r="Y107" s="51"/>
      <c r="Z107" s="51"/>
      <c r="AA107" s="51"/>
    </row>
    <row r="108" ht="22" customHeight="1">
      <c r="A108" s="49" t="str">
        <v>4.00%, due June 2049</v>
      </c>
      <c r="B108" s="3"/>
      <c r="C108" s="51"/>
      <c r="D108" s="51"/>
      <c r="E108" s="51"/>
      <c r="F108" s="51"/>
      <c r="G108" s="51"/>
      <c r="H108" s="51"/>
      <c r="I108" s="51"/>
      <c r="J108" s="51" t="n">
        <v>0</v>
      </c>
      <c r="K108" s="51" t="n">
        <v>438</v>
      </c>
      <c r="L108" s="51" t="n">
        <v>438</v>
      </c>
      <c r="M108" s="51"/>
      <c r="N108" s="51"/>
      <c r="O108" s="51"/>
      <c r="P108" s="51"/>
      <c r="Q108" s="51"/>
      <c r="R108" s="51"/>
      <c r="S108" s="51"/>
      <c r="T108" s="51"/>
      <c r="U108" s="51"/>
      <c r="V108" s="51"/>
      <c r="W108" s="51"/>
      <c r="X108" s="51"/>
      <c r="Y108" s="51"/>
      <c r="Z108" s="51"/>
      <c r="AA108" s="51"/>
    </row>
    <row r="109" ht="22" customHeight="1">
      <c r="A109" s="49" t="str">
        <v>5.00%, due September 2052</v>
      </c>
      <c r="B109" s="3"/>
      <c r="C109" s="51"/>
      <c r="D109" s="51"/>
      <c r="E109" s="51"/>
      <c r="F109" s="51"/>
      <c r="G109" s="51"/>
      <c r="H109" s="51" t="n">
        <v>0</v>
      </c>
      <c r="I109" s="51" t="n">
        <v>445</v>
      </c>
      <c r="J109" s="51" t="n">
        <v>445</v>
      </c>
      <c r="K109" s="51" t="n">
        <v>445</v>
      </c>
      <c r="L109" s="51" t="n">
        <v>445</v>
      </c>
      <c r="M109" s="51"/>
      <c r="N109" s="51"/>
      <c r="O109" s="51"/>
      <c r="P109" s="51"/>
      <c r="Q109" s="51"/>
      <c r="R109" s="51"/>
      <c r="S109" s="51"/>
      <c r="T109" s="51"/>
      <c r="U109" s="51"/>
      <c r="V109" s="51"/>
      <c r="W109" s="51"/>
      <c r="X109" s="51"/>
      <c r="Y109" s="51"/>
      <c r="Z109" s="51"/>
      <c r="AA109" s="51"/>
    </row>
    <row r="110" ht="8"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22" customHeight="1">
      <c r="A111" s="21" t="str">
        <v>2016 senior notes: carrying amounts</v>
      </c>
      <c r="B111" s="21" t="str">
        <v>2016 senior notes: carrying amounts</v>
      </c>
      <c r="C111" s="21" t="str">
        <v>2016 senior notes: carrying amounts</v>
      </c>
      <c r="D111" s="21" t="str">
        <v>2016 senior notes: carrying amounts</v>
      </c>
      <c r="E111" s="21" t="str">
        <v>2016 senior notes: carrying amounts</v>
      </c>
      <c r="F111" s="21" t="str">
        <v>2016 senior notes: carrying amounts</v>
      </c>
      <c r="G111" s="21" t="str">
        <v>2016 senior notes: carrying amounts</v>
      </c>
      <c r="H111" s="21" t="str">
        <v>2016 senior notes: carrying amounts</v>
      </c>
      <c r="I111" s="21" t="str">
        <v>2016 senior notes: carrying amounts</v>
      </c>
      <c r="J111" s="21" t="str">
        <v>2016 senior notes: carrying amounts</v>
      </c>
      <c r="K111" s="21" t="str">
        <v>2016 senior notes: carrying amounts</v>
      </c>
      <c r="L111" s="21" t="str">
        <v>2016 senior notes: carrying amounts</v>
      </c>
      <c r="M111" s="21" t="str">
        <v>2016 senior notes: carrying amounts</v>
      </c>
      <c r="N111" s="21" t="str">
        <v>2016 senior notes: carrying amounts</v>
      </c>
      <c r="O111" s="21" t="str">
        <v>2016 senior notes: carrying amounts</v>
      </c>
      <c r="P111" s="21" t="str">
        <v>2016 senior notes: carrying amounts</v>
      </c>
      <c r="Q111" s="21" t="str">
        <v>2016 senior notes: carrying amounts</v>
      </c>
      <c r="R111" s="21" t="str">
        <v>2016 senior notes: carrying amounts</v>
      </c>
      <c r="S111" s="21" t="str">
        <v>2016 senior notes: carrying amounts</v>
      </c>
      <c r="T111" s="21" t="str">
        <v>2016 senior notes: carrying amounts</v>
      </c>
      <c r="U111" s="21" t="str">
        <v>2016 senior notes: carrying amounts</v>
      </c>
      <c r="V111" s="21" t="str">
        <v>2016 senior notes: carrying amounts</v>
      </c>
      <c r="W111" s="21" t="str">
        <v>2016 senior notes: carrying amounts</v>
      </c>
      <c r="X111" s="21" t="str">
        <v>2016 senior notes: carrying amounts</v>
      </c>
      <c r="Y111" s="21" t="str">
        <v>2016 senior notes: carrying amounts</v>
      </c>
      <c r="Z111" s="21" t="str">
        <v>2016 senior notes: carrying amounts</v>
      </c>
      <c r="AA111" s="21" t="str">
        <v>2016 senior notes: carrying amounts</v>
      </c>
    </row>
    <row r="112" ht="36" customHeight="1">
      <c r="A112" s="49" t="str">
        <v>Senior notes due May 2021 [Second quarter 2016 debt issuance of $2.8 billion]</v>
      </c>
      <c r="B112" s="3"/>
      <c r="C112" s="51" t="n">
        <v>499</v>
      </c>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36" customHeight="1">
      <c r="A113" s="49" t="str">
        <v>Senior notes due May 2026 [Second quarter 2016 debt issuance of $2.8 billion]</v>
      </c>
      <c r="B113" s="3"/>
      <c r="C113" s="51" t="n">
        <v>983</v>
      </c>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36" customHeight="1">
      <c r="A114" s="49" t="str">
        <v>Senior notes due May 2046 [Second quarter 2016 debt issuance of $2.8 billion]</v>
      </c>
      <c r="B114" s="3"/>
      <c r="C114" s="51" t="n">
        <v>1243</v>
      </c>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ht="36" customHeight="1">
      <c r="A115" s="49" t="str">
        <v>Senior notes due May 2017 [First quarter 2016 acquired Altera debt of $1.5 billion]</v>
      </c>
      <c r="B115" s="3"/>
      <c r="C115" s="51" t="n">
        <v>501</v>
      </c>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ht="36" customHeight="1">
      <c r="A116" s="49" t="str">
        <v>Senior notes due November 2018 [First quarter 2016 acquired Altera debt of $1.5 billion]</v>
      </c>
      <c r="B116" s="3"/>
      <c r="C116" s="51" t="n">
        <v>604</v>
      </c>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ht="36" customHeight="1">
      <c r="A117" s="49" t="str">
        <v>Senior notes due November 2023 [First quarter 2016 acquired Altera debt of $1.5 billion]</v>
      </c>
      <c r="B117" s="3"/>
      <c r="C117" s="51" t="n">
        <v>424</v>
      </c>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ht="36" customHeight="1">
      <c r="A118" s="49" t="str">
        <v>Senior notes due December 2045 [Fourth quarter 2015 debt issuance of $915 million]</v>
      </c>
      <c r="B118" s="3"/>
      <c r="C118" s="51" t="n">
        <v>894</v>
      </c>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ht="36" customHeight="1">
      <c r="A119" s="49" t="str">
        <v>Senior notes due December 2019 [Fourth quarter 2015 Australian-dollar-denominated debt issua]</v>
      </c>
      <c r="B119" s="3"/>
      <c r="C119" s="51" t="n">
        <v>180</v>
      </c>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36" customHeight="1">
      <c r="A120" s="49" t="str">
        <v>Senior notes due December 2022 [Fourth quarter 2015 Australian-dollar-denominated debt issua]</v>
      </c>
      <c r="B120" s="3"/>
      <c r="C120" s="51" t="n">
        <v>394</v>
      </c>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ht="36" customHeight="1">
      <c r="A121" s="49" t="str">
        <v>Senior notes due August 2045 [Third quarter 2015 debt issuance of $1.0 billion]</v>
      </c>
      <c r="B121" s="3"/>
      <c r="C121" s="51" t="n">
        <v>995</v>
      </c>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ht="36" customHeight="1">
      <c r="A122" s="49" t="str">
        <v>Senior notes due July 2020 [Third quarter 2015 debt issuance of $7.0 billion]</v>
      </c>
      <c r="B122" s="3"/>
      <c r="C122" s="51" t="n">
        <v>1749</v>
      </c>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ht="36" customHeight="1">
      <c r="A123" s="49" t="str">
        <v>Senior notes due July 2022 [Third quarter 2015 debt issuance of $7.0 billion]</v>
      </c>
      <c r="B123" s="3"/>
      <c r="C123" s="51" t="n">
        <v>987</v>
      </c>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ht="36" customHeight="1">
      <c r="A124" s="49" t="str">
        <v>Senior notes due July 2025 [Third quarter 2015 debt issuance of $7.0 billion]</v>
      </c>
      <c r="B124" s="3"/>
      <c r="C124" s="51" t="n">
        <v>2148</v>
      </c>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ht="36" customHeight="1">
      <c r="A125" s="49" t="str">
        <v>Senior notes due July 2045 [Third quarter 2015 debt issuance of $7.0 billion]</v>
      </c>
      <c r="B125" s="3"/>
      <c r="C125" s="51" t="n">
        <v>1999</v>
      </c>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ht="36" customHeight="1">
      <c r="A126" s="49" t="str">
        <v>Senior notes due December 2017 [2012 debt issuance of $6.2 billion]</v>
      </c>
      <c r="B126" s="3"/>
      <c r="C126" s="51" t="n">
        <v>2999</v>
      </c>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ht="36" customHeight="1">
      <c r="A127" s="49" t="str">
        <v>Senior notes due December 2022 [2012 debt issuance of $6.2 billion]</v>
      </c>
      <c r="B127" s="3"/>
      <c r="C127" s="51" t="n">
        <v>1480</v>
      </c>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ht="36" customHeight="1">
      <c r="A128" s="49" t="str">
        <v>Senior notes due December 2032 [2012 debt issuance of $6.2 billion]</v>
      </c>
      <c r="B128" s="3"/>
      <c r="C128" s="51" t="n">
        <v>745</v>
      </c>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36" customHeight="1">
      <c r="A129" s="49" t="str">
        <v>Senior notes due December 2042 [2012 debt issuance of $6.2 billion]</v>
      </c>
      <c r="B129" s="3"/>
      <c r="C129" s="51" t="n">
        <v>924</v>
      </c>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ht="36" customHeight="1">
      <c r="A130" s="49" t="str">
        <v>Senior notes due October 2016 [2011 debt issuance of $5.0 billion]</v>
      </c>
      <c r="B130" s="3"/>
      <c r="C130" s="51" t="n">
        <v>0</v>
      </c>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ht="36" customHeight="1">
      <c r="A131" s="49" t="str">
        <v>Senior notes due October 2021 [2011 debt issuance of $5.0 billion]</v>
      </c>
      <c r="B131" s="3"/>
      <c r="C131" s="51" t="n">
        <v>1988</v>
      </c>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ht="36" customHeight="1">
      <c r="A132" s="49" t="str">
        <v>Senior notes due October 2041 [2011 debt issuance of $5.0 billion]</v>
      </c>
      <c r="B132" s="3"/>
      <c r="C132" s="51" t="n">
        <v>1491</v>
      </c>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ht="36" customHeight="1">
      <c r="A133" s="49" t="str">
        <v>Junior subordinated convertible debentures due August 2039 [2009 debt issuance of $2.0 billion]</v>
      </c>
      <c r="B133" s="3"/>
      <c r="C133" s="51" t="n">
        <v>1118</v>
      </c>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ht="36" customHeight="1">
      <c r="A134" s="49" t="str">
        <v>Junior subordinated convertible debentures due December 2035 [2005 debt issuance of $1.6 billion]</v>
      </c>
      <c r="B134" s="3"/>
      <c r="C134" s="51" t="n">
        <v>992</v>
      </c>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ht="8"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22" customHeight="1">
      <c r="A136" s="21" t="str">
        <v>Senior notes — stated interest rate</v>
      </c>
      <c r="B136" s="21" t="str">
        <v>Senior notes — stated interest rate</v>
      </c>
      <c r="C136" s="21" t="str">
        <v>Senior notes — stated interest rate</v>
      </c>
      <c r="D136" s="21" t="str">
        <v>Senior notes — stated interest rate</v>
      </c>
      <c r="E136" s="21" t="str">
        <v>Senior notes — stated interest rate</v>
      </c>
      <c r="F136" s="21" t="str">
        <v>Senior notes — stated interest rate</v>
      </c>
      <c r="G136" s="21" t="str">
        <v>Senior notes — stated interest rate</v>
      </c>
      <c r="H136" s="21" t="str">
        <v>Senior notes — stated interest rate</v>
      </c>
      <c r="I136" s="21" t="str">
        <v>Senior notes — stated interest rate</v>
      </c>
      <c r="J136" s="21" t="str">
        <v>Senior notes — stated interest rate</v>
      </c>
      <c r="K136" s="21" t="str">
        <v>Senior notes — stated interest rate</v>
      </c>
      <c r="L136" s="21" t="str">
        <v>Senior notes — stated interest rate</v>
      </c>
      <c r="M136" s="21" t="str">
        <v>Senior notes — stated interest rate</v>
      </c>
      <c r="N136" s="21" t="str">
        <v>Senior notes — stated interest rate</v>
      </c>
      <c r="O136" s="21" t="str">
        <v>Senior notes — stated interest rate</v>
      </c>
      <c r="P136" s="21" t="str">
        <v>Senior notes — stated interest rate</v>
      </c>
      <c r="Q136" s="21" t="str">
        <v>Senior notes — stated interest rate</v>
      </c>
      <c r="R136" s="21" t="str">
        <v>Senior notes — stated interest rate</v>
      </c>
      <c r="S136" s="21" t="str">
        <v>Senior notes — stated interest rate</v>
      </c>
      <c r="T136" s="21" t="str">
        <v>Senior notes — stated interest rate</v>
      </c>
      <c r="U136" s="21" t="str">
        <v>Senior notes — stated interest rate</v>
      </c>
      <c r="V136" s="21" t="str">
        <v>Senior notes — stated interest rate</v>
      </c>
      <c r="W136" s="21" t="str">
        <v>Senior notes — stated interest rate</v>
      </c>
      <c r="X136" s="21" t="str">
        <v>Senior notes — stated interest rate</v>
      </c>
      <c r="Y136" s="21" t="str">
        <v>Senior notes — stated interest rate</v>
      </c>
      <c r="Z136" s="21" t="str">
        <v>Senior notes — stated interest rate</v>
      </c>
      <c r="AA136" s="21" t="str">
        <v>Senior notes — stated interest rate</v>
      </c>
    </row>
    <row r="137" ht="36" customHeight="1">
      <c r="A137" s="40" t="str">
        <v>Senior notes due May 2021 [Second quarter 2016 debt issuance of $2.8 billion]</v>
      </c>
      <c r="B137" s="3"/>
      <c r="C137" s="44" t="n">
        <v>0.017</v>
      </c>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ht="36" customHeight="1">
      <c r="A138" s="40" t="str">
        <v>Senior notes due May 2026 [Second quarter 2016 debt issuance of $2.8 billion]</v>
      </c>
      <c r="B138" s="3"/>
      <c r="C138" s="44" t="n">
        <v>0.026000000000000002</v>
      </c>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row>
    <row r="139" ht="36" customHeight="1">
      <c r="A139" s="40" t="str">
        <v>Senior notes due May 2046 [Second quarter 2016 debt issuance of $2.8 billion]</v>
      </c>
      <c r="B139" s="3"/>
      <c r="C139" s="44" t="n">
        <v>0.040999999999999995</v>
      </c>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row>
    <row r="140" ht="36" customHeight="1">
      <c r="A140" s="40" t="str">
        <v>Senior notes due May 2017 [First quarter 2016 acquired Altera debt of $1.5 billion]</v>
      </c>
      <c r="B140" s="3"/>
      <c r="C140" s="44" t="n">
        <v>0.0175</v>
      </c>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row>
    <row r="141" ht="36" customHeight="1">
      <c r="A141" s="40" t="str">
        <v>Senior notes due November 2018 [First quarter 2016 acquired Altera debt of $1.5 billion]</v>
      </c>
      <c r="B141" s="3"/>
      <c r="C141" s="44" t="n">
        <v>0.025</v>
      </c>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row>
    <row r="142" ht="36" customHeight="1">
      <c r="A142" s="40" t="str">
        <v>Senior notes due November 2023 [First quarter 2016 acquired Altera debt of $1.5 billion]</v>
      </c>
      <c r="B142" s="3"/>
      <c r="C142" s="44" t="n">
        <v>0.040999999999999995</v>
      </c>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row>
    <row r="143" ht="36" customHeight="1">
      <c r="A143" s="40" t="str">
        <v>Senior notes due December 2045 [Fourth quarter 2015 debt issuance of $915 million]</v>
      </c>
      <c r="B143" s="3"/>
      <c r="C143" s="44" t="n">
        <v>0.047</v>
      </c>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row>
    <row r="144" ht="36" customHeight="1">
      <c r="A144" s="40" t="str">
        <v>Senior notes due December 2019 [Fourth quarter 2015 Australian-dollar-denominated debt issua]</v>
      </c>
      <c r="B144" s="3"/>
      <c r="C144" s="44" t="n">
        <v>0.0325</v>
      </c>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row>
    <row r="145" ht="36" customHeight="1">
      <c r="A145" s="40" t="str">
        <v>Senior notes due December 2022 [Fourth quarter 2015 Australian-dollar-denominated debt issua]</v>
      </c>
      <c r="B145" s="3"/>
      <c r="C145" s="44" t="n">
        <v>0.04</v>
      </c>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row>
    <row r="146" ht="36" customHeight="1">
      <c r="A146" s="40" t="str">
        <v>Senior notes due August 2045 [Third quarter 2015 debt issuance of $1.0 billion]</v>
      </c>
      <c r="B146" s="3"/>
      <c r="C146" s="44" t="n">
        <v>0.049</v>
      </c>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row>
    <row r="147" ht="36" customHeight="1">
      <c r="A147" s="40" t="str">
        <v>Senior notes due July 2020 [Third quarter 2015 debt issuance of $7.0 billion]</v>
      </c>
      <c r="B147" s="3"/>
      <c r="C147" s="44" t="n">
        <v>0.0245</v>
      </c>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row>
    <row r="148" ht="36" customHeight="1">
      <c r="A148" s="40" t="str">
        <v>Senior notes due July 2022 [Third quarter 2015 debt issuance of $7.0 billion]</v>
      </c>
      <c r="B148" s="3"/>
      <c r="C148" s="44" t="n">
        <v>0.031</v>
      </c>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row>
    <row r="149" ht="36" customHeight="1">
      <c r="A149" s="40" t="str">
        <v>Senior notes due July 2025 [Third quarter 2015 debt issuance of $7.0 billion]</v>
      </c>
      <c r="B149" s="3"/>
      <c r="C149" s="44" t="n">
        <v>0.037000000000000005</v>
      </c>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row>
    <row r="150" ht="36" customHeight="1">
      <c r="A150" s="40" t="str">
        <v>Senior notes due July 2045 [Third quarter 2015 debt issuance of $7.0 billion]</v>
      </c>
      <c r="B150" s="3"/>
      <c r="C150" s="44" t="n">
        <v>0.049</v>
      </c>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row>
    <row r="151" ht="36" customHeight="1">
      <c r="A151" s="40" t="str">
        <v>Senior notes due December 2017 [2012 debt issuance of $6.2 billion]</v>
      </c>
      <c r="B151" s="3"/>
      <c r="C151" s="44" t="n">
        <v>0.013500000000000002</v>
      </c>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row>
    <row r="152" ht="36" customHeight="1">
      <c r="A152" s="40" t="str">
        <v>Senior notes due December 2022 [2012 debt issuance of $6.2 billion]</v>
      </c>
      <c r="B152" s="3"/>
      <c r="C152" s="44" t="n">
        <v>0.027000000000000003</v>
      </c>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row>
    <row r="153" ht="36" customHeight="1">
      <c r="A153" s="40" t="str">
        <v>Senior notes due December 2032 [2012 debt issuance of $6.2 billion]</v>
      </c>
      <c r="B153" s="3"/>
      <c r="C153" s="44" t="n">
        <v>0.04</v>
      </c>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row>
    <row r="154" ht="36" customHeight="1">
      <c r="A154" s="40" t="str">
        <v>Senior notes due December 2042 [2012 debt issuance of $6.2 billion]</v>
      </c>
      <c r="B154" s="3"/>
      <c r="C154" s="44" t="n">
        <v>0.0425</v>
      </c>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row>
    <row r="155" ht="36" customHeight="1">
      <c r="A155" s="40" t="str">
        <v>Senior notes due October 2016 [2011 debt issuance of $5.0 billion]</v>
      </c>
      <c r="B155" s="3"/>
      <c r="C155" s="44" t="n">
        <v>0.0195</v>
      </c>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row>
    <row r="156" ht="36" customHeight="1">
      <c r="A156" s="40" t="str">
        <v>Senior notes due October 2021 [2011 debt issuance of $5.0 billion]</v>
      </c>
      <c r="B156" s="3"/>
      <c r="C156" s="44" t="n">
        <v>0.033</v>
      </c>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row>
    <row r="157" ht="36" customHeight="1">
      <c r="A157" s="40" t="str">
        <v>Senior notes due October 2041 [2011 debt issuance of $5.0 billion]</v>
      </c>
      <c r="B157" s="3"/>
      <c r="C157" s="44" t="n">
        <v>0.048</v>
      </c>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row>
    <row r="158" ht="36" customHeight="1">
      <c r="A158" s="40" t="str">
        <v>Junior subordinated convertible debentures due August 2039 [2009 debt issuance of $2.0 billion]</v>
      </c>
      <c r="B158" s="3"/>
      <c r="C158" s="44" t="n">
        <v>0.0325</v>
      </c>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row>
    <row r="159" ht="36" customHeight="1">
      <c r="A159" s="40" t="str">
        <v>Junior subordinated convertible debentures due December 2035 [2005 debt issuance of $1.6 billion]</v>
      </c>
      <c r="B159" s="3"/>
      <c r="C159" s="44" t="n">
        <v>0.029500000000000002</v>
      </c>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row>
    <row r="160" ht="8"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22" customHeight="1">
      <c r="A161" s="21" t="str">
        <v>Effective interest rates by instrument</v>
      </c>
      <c r="B161" s="21" t="str">
        <v>Effective interest rates by instrument</v>
      </c>
      <c r="C161" s="21" t="str">
        <v>Effective interest rates by instrument</v>
      </c>
      <c r="D161" s="21" t="str">
        <v>Effective interest rates by instrument</v>
      </c>
      <c r="E161" s="21" t="str">
        <v>Effective interest rates by instrument</v>
      </c>
      <c r="F161" s="21" t="str">
        <v>Effective interest rates by instrument</v>
      </c>
      <c r="G161" s="21" t="str">
        <v>Effective interest rates by instrument</v>
      </c>
      <c r="H161" s="21" t="str">
        <v>Effective interest rates by instrument</v>
      </c>
      <c r="I161" s="21" t="str">
        <v>Effective interest rates by instrument</v>
      </c>
      <c r="J161" s="21" t="str">
        <v>Effective interest rates by instrument</v>
      </c>
      <c r="K161" s="21" t="str">
        <v>Effective interest rates by instrument</v>
      </c>
      <c r="L161" s="21" t="str">
        <v>Effective interest rates by instrument</v>
      </c>
      <c r="M161" s="21" t="str">
        <v>Effective interest rates by instrument</v>
      </c>
      <c r="N161" s="21" t="str">
        <v>Effective interest rates by instrument</v>
      </c>
      <c r="O161" s="21" t="str">
        <v>Effective interest rates by instrument</v>
      </c>
      <c r="P161" s="21" t="str">
        <v>Effective interest rates by instrument</v>
      </c>
      <c r="Q161" s="21" t="str">
        <v>Effective interest rates by instrument</v>
      </c>
      <c r="R161" s="21" t="str">
        <v>Effective interest rates by instrument</v>
      </c>
      <c r="S161" s="21" t="str">
        <v>Effective interest rates by instrument</v>
      </c>
      <c r="T161" s="21" t="str">
        <v>Effective interest rates by instrument</v>
      </c>
      <c r="U161" s="21" t="str">
        <v>Effective interest rates by instrument</v>
      </c>
      <c r="V161" s="21" t="str">
        <v>Effective interest rates by instrument</v>
      </c>
      <c r="W161" s="21" t="str">
        <v>Effective interest rates by instrument</v>
      </c>
      <c r="X161" s="21" t="str">
        <v>Effective interest rates by instrument</v>
      </c>
      <c r="Y161" s="21" t="str">
        <v>Effective interest rates by instrument</v>
      </c>
      <c r="Z161" s="21" t="str">
        <v>Effective interest rates by instrument</v>
      </c>
      <c r="AA161" s="21" t="str">
        <v>Effective interest rates by instrument</v>
      </c>
    </row>
    <row r="162" ht="20" customHeight="1">
      <c r="A162" s="40" t="str">
        <v>Three-month LIBOR plus 0.08%, due May 2020</v>
      </c>
      <c r="B162" s="3"/>
      <c r="C162" s="44"/>
      <c r="D162" s="44" t="n">
        <v>0.013999999999999999</v>
      </c>
      <c r="E162" s="44" t="n">
        <v>0.0229</v>
      </c>
      <c r="F162" s="44" t="n">
        <v>0.0256</v>
      </c>
      <c r="G162" s="44"/>
      <c r="H162" s="44"/>
      <c r="I162" s="44"/>
      <c r="J162" s="44"/>
      <c r="K162" s="44"/>
      <c r="L162" s="44"/>
      <c r="M162" s="44"/>
      <c r="N162" s="44"/>
      <c r="O162" s="44"/>
      <c r="P162" s="44"/>
      <c r="Q162" s="44"/>
      <c r="R162" s="44"/>
      <c r="S162" s="44"/>
      <c r="T162" s="44"/>
      <c r="U162" s="44"/>
      <c r="V162" s="44"/>
      <c r="W162" s="44"/>
      <c r="X162" s="44"/>
      <c r="Y162" s="44"/>
      <c r="Z162" s="44"/>
      <c r="AA162" s="44"/>
    </row>
    <row r="163" ht="20" customHeight="1">
      <c r="A163" s="40" t="str">
        <v>Three-month LIBOR plus 0.35%, due May 2022</v>
      </c>
      <c r="B163" s="3"/>
      <c r="C163" s="44"/>
      <c r="D163" s="44" t="n">
        <v>0.0166</v>
      </c>
      <c r="E163" s="44" t="n">
        <v>0.0256</v>
      </c>
      <c r="F163" s="44" t="n">
        <v>0.0282</v>
      </c>
      <c r="G163" s="44" t="n">
        <v>0.0125</v>
      </c>
      <c r="H163" s="44" t="n">
        <v>0.0055000000000000005</v>
      </c>
      <c r="I163" s="44"/>
      <c r="J163" s="44"/>
      <c r="K163" s="44"/>
      <c r="L163" s="44"/>
      <c r="M163" s="44"/>
      <c r="N163" s="44"/>
      <c r="O163" s="44"/>
      <c r="P163" s="44"/>
      <c r="Q163" s="44"/>
      <c r="R163" s="44"/>
      <c r="S163" s="44"/>
      <c r="T163" s="44"/>
      <c r="U163" s="44"/>
      <c r="V163" s="44"/>
      <c r="W163" s="44"/>
      <c r="X163" s="44"/>
      <c r="Y163" s="44"/>
      <c r="Z163" s="44"/>
      <c r="AA163" s="44"/>
    </row>
    <row r="164" ht="20" customHeight="1">
      <c r="A164" s="40" t="str">
        <v>2.50%, due November 2018</v>
      </c>
      <c r="B164" s="3"/>
      <c r="C164" s="44"/>
      <c r="D164" s="44" t="n">
        <v>0.021400000000000002</v>
      </c>
      <c r="E164" s="44"/>
      <c r="F164" s="44"/>
      <c r="G164" s="44"/>
      <c r="H164" s="44"/>
      <c r="I164" s="44"/>
      <c r="J164" s="44"/>
      <c r="K164" s="44"/>
      <c r="L164" s="44"/>
      <c r="M164" s="44"/>
      <c r="N164" s="44"/>
      <c r="O164" s="44"/>
      <c r="P164" s="44"/>
      <c r="Q164" s="44"/>
      <c r="R164" s="44"/>
      <c r="S164" s="44"/>
      <c r="T164" s="44"/>
      <c r="U164" s="44"/>
      <c r="V164" s="44"/>
      <c r="W164" s="44"/>
      <c r="X164" s="44"/>
      <c r="Y164" s="44"/>
      <c r="Z164" s="44"/>
      <c r="AA164" s="44"/>
    </row>
    <row r="165" ht="20" customHeight="1">
      <c r="A165" s="40" t="str">
        <v>3.25%, due December 2019</v>
      </c>
      <c r="B165" s="3"/>
      <c r="C165" s="44"/>
      <c r="D165" s="44" t="n">
        <v>0.0219</v>
      </c>
      <c r="E165" s="44" t="n">
        <v>0.021099999999999997</v>
      </c>
      <c r="F165" s="44"/>
      <c r="G165" s="44"/>
      <c r="H165" s="44"/>
      <c r="I165" s="44"/>
      <c r="J165" s="44"/>
      <c r="K165" s="44"/>
      <c r="L165" s="44"/>
      <c r="M165" s="44"/>
      <c r="N165" s="44"/>
      <c r="O165" s="44"/>
      <c r="P165" s="44"/>
      <c r="Q165" s="44"/>
      <c r="R165" s="44"/>
      <c r="S165" s="44"/>
      <c r="T165" s="44"/>
      <c r="U165" s="44"/>
      <c r="V165" s="44"/>
      <c r="W165" s="44"/>
      <c r="X165" s="44"/>
      <c r="Y165" s="44"/>
      <c r="Z165" s="44"/>
      <c r="AA165" s="44"/>
    </row>
    <row r="166" ht="20" customHeight="1">
      <c r="A166" s="40" t="str">
        <v>1.85%, due May 2020</v>
      </c>
      <c r="B166" s="3"/>
      <c r="C166" s="44"/>
      <c r="D166" s="44" t="n">
        <v>0.019</v>
      </c>
      <c r="E166" s="44" t="n">
        <v>0.0189</v>
      </c>
      <c r="F166" s="44" t="n">
        <v>0.0189</v>
      </c>
      <c r="G166" s="44"/>
      <c r="H166" s="44"/>
      <c r="I166" s="44"/>
      <c r="J166" s="44"/>
      <c r="K166" s="44"/>
      <c r="L166" s="44"/>
      <c r="M166" s="44"/>
      <c r="N166" s="44"/>
      <c r="O166" s="44"/>
      <c r="P166" s="44"/>
      <c r="Q166" s="44"/>
      <c r="R166" s="44"/>
      <c r="S166" s="44"/>
      <c r="T166" s="44"/>
      <c r="U166" s="44"/>
      <c r="V166" s="44"/>
      <c r="W166" s="44"/>
      <c r="X166" s="44"/>
      <c r="Y166" s="44"/>
      <c r="Z166" s="44"/>
      <c r="AA166" s="44"/>
    </row>
    <row r="167" ht="20" customHeight="1">
      <c r="A167" s="40" t="str">
        <v>2.45%, due July 2020</v>
      </c>
      <c r="B167" s="3"/>
      <c r="C167" s="44"/>
      <c r="D167" s="44" t="n">
        <v>0.025</v>
      </c>
      <c r="E167" s="44" t="n">
        <v>0.024900000000000002</v>
      </c>
      <c r="F167" s="44" t="n">
        <v>0.024900000000000002</v>
      </c>
      <c r="G167" s="44"/>
      <c r="H167" s="44"/>
      <c r="I167" s="44"/>
      <c r="J167" s="44"/>
      <c r="K167" s="44"/>
      <c r="L167" s="44"/>
      <c r="M167" s="44"/>
      <c r="N167" s="44"/>
      <c r="O167" s="44"/>
      <c r="P167" s="44"/>
      <c r="Q167" s="44"/>
      <c r="R167" s="44"/>
      <c r="S167" s="44"/>
      <c r="T167" s="44"/>
      <c r="U167" s="44"/>
      <c r="V167" s="44"/>
      <c r="W167" s="44"/>
      <c r="X167" s="44"/>
      <c r="Y167" s="44"/>
      <c r="Z167" s="44"/>
      <c r="AA167" s="44"/>
    </row>
    <row r="168" ht="20" customHeight="1">
      <c r="A168" s="40" t="str">
        <v>1.70%, due May 2021</v>
      </c>
      <c r="B168" s="3"/>
      <c r="C168" s="44"/>
      <c r="D168" s="44" t="n">
        <v>0.0178</v>
      </c>
      <c r="E168" s="44" t="n">
        <v>0.0179</v>
      </c>
      <c r="F168" s="44" t="n">
        <v>0.0179</v>
      </c>
      <c r="G168" s="44" t="n">
        <v>0.0179</v>
      </c>
      <c r="H168" s="44"/>
      <c r="I168" s="44"/>
      <c r="J168" s="44"/>
      <c r="K168" s="44"/>
      <c r="L168" s="44"/>
      <c r="M168" s="44"/>
      <c r="N168" s="44"/>
      <c r="O168" s="44"/>
      <c r="P168" s="44"/>
      <c r="Q168" s="44"/>
      <c r="R168" s="44"/>
      <c r="S168" s="44"/>
      <c r="T168" s="44"/>
      <c r="U168" s="44"/>
      <c r="V168" s="44"/>
      <c r="W168" s="44"/>
      <c r="X168" s="44"/>
      <c r="Y168" s="44"/>
      <c r="Z168" s="44"/>
      <c r="AA168" s="44"/>
    </row>
    <row r="169" ht="20" customHeight="1">
      <c r="A169" s="40" t="str">
        <v>3.30%, due October 2021</v>
      </c>
      <c r="B169" s="3"/>
      <c r="C169" s="44"/>
      <c r="D169" s="44" t="n">
        <v>0.0269</v>
      </c>
      <c r="E169" s="44" t="n">
        <v>0.036699999999999997</v>
      </c>
      <c r="F169" s="44" t="n">
        <v>0.0371</v>
      </c>
      <c r="G169" s="44" t="n">
        <v>0.029900000000000003</v>
      </c>
      <c r="H169" s="44"/>
      <c r="I169" s="44"/>
      <c r="J169" s="44"/>
      <c r="K169" s="44"/>
      <c r="L169" s="44"/>
      <c r="M169" s="44"/>
      <c r="N169" s="44"/>
      <c r="O169" s="44"/>
      <c r="P169" s="44"/>
      <c r="Q169" s="44"/>
      <c r="R169" s="44"/>
      <c r="S169" s="44"/>
      <c r="T169" s="44"/>
      <c r="U169" s="44"/>
      <c r="V169" s="44"/>
      <c r="W169" s="44"/>
      <c r="X169" s="44"/>
      <c r="Y169" s="44"/>
      <c r="Z169" s="44"/>
      <c r="AA169" s="44"/>
    </row>
    <row r="170" ht="20" customHeight="1">
      <c r="A170" s="40" t="str">
        <v>2.35%, due May 2022</v>
      </c>
      <c r="B170" s="3"/>
      <c r="C170" s="44"/>
      <c r="D170" s="44" t="n">
        <v>0.018600000000000002</v>
      </c>
      <c r="E170" s="44" t="n">
        <v>0.026699999999999998</v>
      </c>
      <c r="F170" s="44" t="n">
        <v>0.0274</v>
      </c>
      <c r="G170" s="44" t="n">
        <v>0.0196</v>
      </c>
      <c r="H170" s="44" t="n">
        <v>0.0196</v>
      </c>
      <c r="I170" s="44"/>
      <c r="J170" s="44"/>
      <c r="K170" s="44"/>
      <c r="L170" s="44"/>
      <c r="M170" s="44"/>
      <c r="N170" s="44"/>
      <c r="O170" s="44"/>
      <c r="P170" s="44"/>
      <c r="Q170" s="44"/>
      <c r="R170" s="44"/>
      <c r="S170" s="44"/>
      <c r="T170" s="44"/>
      <c r="U170" s="44"/>
      <c r="V170" s="44"/>
      <c r="W170" s="44"/>
      <c r="X170" s="44"/>
      <c r="Y170" s="44"/>
      <c r="Z170" s="44"/>
      <c r="AA170" s="44"/>
    </row>
    <row r="171" ht="20" customHeight="1">
      <c r="A171" s="40" t="str">
        <v>3.10%, due July 2022</v>
      </c>
      <c r="B171" s="3"/>
      <c r="C171" s="44"/>
      <c r="D171" s="44" t="n">
        <v>0.025</v>
      </c>
      <c r="E171" s="44" t="n">
        <v>0.0347</v>
      </c>
      <c r="F171" s="44" t="n">
        <v>0.035</v>
      </c>
      <c r="G171" s="44" t="n">
        <v>0.027000000000000003</v>
      </c>
      <c r="H171" s="44" t="n">
        <v>0.027000000000000003</v>
      </c>
      <c r="I171" s="44"/>
      <c r="J171" s="44"/>
      <c r="K171" s="44"/>
      <c r="L171" s="44"/>
      <c r="M171" s="44"/>
      <c r="N171" s="44"/>
      <c r="O171" s="44"/>
      <c r="P171" s="44"/>
      <c r="Q171" s="44"/>
      <c r="R171" s="44"/>
      <c r="S171" s="44"/>
      <c r="T171" s="44"/>
      <c r="U171" s="44"/>
      <c r="V171" s="44"/>
      <c r="W171" s="44"/>
      <c r="X171" s="44"/>
      <c r="Y171" s="44"/>
      <c r="Z171" s="44"/>
      <c r="AA171" s="44"/>
    </row>
    <row r="172" ht="20" customHeight="1">
      <c r="A172" s="40" t="str">
        <v>4.00%, due December 2022</v>
      </c>
      <c r="B172" s="3"/>
      <c r="C172" s="44"/>
      <c r="D172" s="44" t="n">
        <v>0.0298</v>
      </c>
      <c r="E172" s="44" t="n">
        <v>0.028900000000000002</v>
      </c>
      <c r="F172" s="44" t="n">
        <v>0.0297</v>
      </c>
      <c r="G172" s="44"/>
      <c r="H172" s="44"/>
      <c r="I172" s="44"/>
      <c r="J172" s="44"/>
      <c r="K172" s="44"/>
      <c r="L172" s="44"/>
      <c r="M172" s="44"/>
      <c r="N172" s="44"/>
      <c r="O172" s="44"/>
      <c r="P172" s="44"/>
      <c r="Q172" s="44"/>
      <c r="R172" s="44"/>
      <c r="S172" s="44"/>
      <c r="T172" s="44"/>
      <c r="U172" s="44"/>
      <c r="V172" s="44"/>
      <c r="W172" s="44"/>
      <c r="X172" s="44"/>
      <c r="Y172" s="44"/>
      <c r="Z172" s="44"/>
      <c r="AA172" s="44"/>
    </row>
    <row r="173" ht="20" customHeight="1">
      <c r="A173" s="40" t="str">
        <v>4.00%, due December 20221</v>
      </c>
      <c r="B173" s="3"/>
      <c r="C173" s="44"/>
      <c r="D173" s="44"/>
      <c r="E173" s="44"/>
      <c r="F173" s="44"/>
      <c r="G173" s="44" t="n">
        <v>0.028300000000000002</v>
      </c>
      <c r="H173" s="44" t="n">
        <v>0.0296</v>
      </c>
      <c r="I173" s="44"/>
      <c r="J173" s="44"/>
      <c r="K173" s="44"/>
      <c r="L173" s="44"/>
      <c r="M173" s="44"/>
      <c r="N173" s="44"/>
      <c r="O173" s="44"/>
      <c r="P173" s="44"/>
      <c r="Q173" s="44"/>
      <c r="R173" s="44"/>
      <c r="S173" s="44"/>
      <c r="T173" s="44"/>
      <c r="U173" s="44"/>
      <c r="V173" s="44"/>
      <c r="W173" s="44"/>
      <c r="X173" s="44"/>
      <c r="Y173" s="44"/>
      <c r="Z173" s="44"/>
      <c r="AA173" s="44"/>
    </row>
    <row r="174" ht="20" customHeight="1">
      <c r="A174" s="40" t="str">
        <v>2.70%, due December 2022</v>
      </c>
      <c r="B174" s="3"/>
      <c r="C174" s="44"/>
      <c r="D174" s="44" t="n">
        <v>0.0208</v>
      </c>
      <c r="E174" s="44" t="n">
        <v>0.030600000000000002</v>
      </c>
      <c r="F174" s="44" t="n">
        <v>0.030899999999999997</v>
      </c>
      <c r="G174" s="44" t="n">
        <v>0.022799999999999997</v>
      </c>
      <c r="H174" s="44" t="n">
        <v>0.022799999999999997</v>
      </c>
      <c r="I174" s="44"/>
      <c r="J174" s="44"/>
      <c r="K174" s="44"/>
      <c r="L174" s="44"/>
      <c r="M174" s="44"/>
      <c r="N174" s="44"/>
      <c r="O174" s="44"/>
      <c r="P174" s="44"/>
      <c r="Q174" s="44"/>
      <c r="R174" s="44"/>
      <c r="S174" s="44"/>
      <c r="T174" s="44"/>
      <c r="U174" s="44"/>
      <c r="V174" s="44"/>
      <c r="W174" s="44"/>
      <c r="X174" s="44"/>
      <c r="Y174" s="44"/>
      <c r="Z174" s="44"/>
      <c r="AA174" s="44"/>
    </row>
    <row r="175" ht="20" customHeight="1">
      <c r="A175" s="40" t="str">
        <v>4.10%, due November 2023</v>
      </c>
      <c r="B175" s="3"/>
      <c r="C175" s="44"/>
      <c r="D175" s="44" t="n">
        <v>0.0323</v>
      </c>
      <c r="E175" s="44" t="n">
        <v>0.0322</v>
      </c>
      <c r="F175" s="44" t="n">
        <v>0.0322</v>
      </c>
      <c r="G175" s="44" t="n">
        <v>0.0322</v>
      </c>
      <c r="H175" s="44" t="n">
        <v>0.0322</v>
      </c>
      <c r="I175" s="44"/>
      <c r="J175" s="44"/>
      <c r="K175" s="44"/>
      <c r="L175" s="44"/>
      <c r="M175" s="44"/>
      <c r="N175" s="44"/>
      <c r="O175" s="44"/>
      <c r="P175" s="44"/>
      <c r="Q175" s="44"/>
      <c r="R175" s="44"/>
      <c r="S175" s="44"/>
      <c r="T175" s="44"/>
      <c r="U175" s="44"/>
      <c r="V175" s="44"/>
      <c r="W175" s="44"/>
      <c r="X175" s="44"/>
      <c r="Y175" s="44"/>
      <c r="Z175" s="44"/>
      <c r="AA175" s="44"/>
    </row>
    <row r="176" ht="20" customHeight="1">
      <c r="A176" s="40" t="str">
        <v>2.88%, due May 2024</v>
      </c>
      <c r="B176" s="3"/>
      <c r="C176" s="44"/>
      <c r="D176" s="44" t="n">
        <v>0.0236</v>
      </c>
      <c r="E176" s="44" t="n">
        <v>0.030299999999999997</v>
      </c>
      <c r="F176" s="44" t="n">
        <v>0.030699999999999998</v>
      </c>
      <c r="G176" s="44" t="n">
        <v>0.0231</v>
      </c>
      <c r="H176" s="44" t="n">
        <v>0.0231</v>
      </c>
      <c r="I176" s="44" t="n">
        <v>0.023399999999999997</v>
      </c>
      <c r="J176" s="44" t="n">
        <v>0.0232</v>
      </c>
      <c r="K176" s="44"/>
      <c r="L176" s="44"/>
      <c r="M176" s="44"/>
      <c r="N176" s="44"/>
      <c r="O176" s="44"/>
      <c r="P176" s="44"/>
      <c r="Q176" s="44"/>
      <c r="R176" s="44"/>
      <c r="S176" s="44"/>
      <c r="T176" s="44"/>
      <c r="U176" s="44"/>
      <c r="V176" s="44"/>
      <c r="W176" s="44"/>
      <c r="X176" s="44"/>
      <c r="Y176" s="44"/>
      <c r="Z176" s="44"/>
      <c r="AA176" s="44"/>
    </row>
    <row r="177" ht="20" customHeight="1">
      <c r="A177" s="40" t="str">
        <v>2.70%, due June 2024</v>
      </c>
      <c r="B177" s="3"/>
      <c r="C177" s="44"/>
      <c r="D177" s="44" t="n">
        <v>0.0212</v>
      </c>
      <c r="E177" s="44" t="n">
        <v>0.0279</v>
      </c>
      <c r="F177" s="44" t="n">
        <v>0.028399999999999998</v>
      </c>
      <c r="G177" s="44" t="n">
        <v>0.021400000000000002</v>
      </c>
      <c r="H177" s="44" t="n">
        <v>0.021400000000000002</v>
      </c>
      <c r="I177" s="44" t="n">
        <v>0.021400000000000002</v>
      </c>
      <c r="J177" s="44" t="n">
        <v>0.021400000000000002</v>
      </c>
      <c r="K177" s="44"/>
      <c r="L177" s="44"/>
      <c r="M177" s="44"/>
      <c r="N177" s="44"/>
      <c r="O177" s="44"/>
      <c r="P177" s="44"/>
      <c r="Q177" s="44"/>
      <c r="R177" s="44"/>
      <c r="S177" s="44"/>
      <c r="T177" s="44"/>
      <c r="U177" s="44"/>
      <c r="V177" s="44"/>
      <c r="W177" s="44"/>
      <c r="X177" s="44"/>
      <c r="Y177" s="44"/>
      <c r="Z177" s="44"/>
      <c r="AA177" s="44"/>
    </row>
    <row r="178" ht="20" customHeight="1">
      <c r="A178" s="40" t="str">
        <v>3.40%, due March 2025</v>
      </c>
      <c r="B178" s="3"/>
      <c r="C178" s="44"/>
      <c r="D178" s="44"/>
      <c r="E178" s="44"/>
      <c r="F178" s="44"/>
      <c r="G178" s="44" t="n">
        <v>0.0346</v>
      </c>
      <c r="H178" s="44" t="n">
        <v>0.0345</v>
      </c>
      <c r="I178" s="44" t="n">
        <v>0.0344</v>
      </c>
      <c r="J178" s="44" t="n">
        <v>0.0345</v>
      </c>
      <c r="K178" s="44" t="n">
        <v>0.0344</v>
      </c>
      <c r="L178" s="44"/>
      <c r="M178" s="44"/>
      <c r="N178" s="44"/>
      <c r="O178" s="44"/>
      <c r="P178" s="44"/>
      <c r="Q178" s="44"/>
      <c r="R178" s="44"/>
      <c r="S178" s="44"/>
      <c r="T178" s="44"/>
      <c r="U178" s="44"/>
      <c r="V178" s="44"/>
      <c r="W178" s="44"/>
      <c r="X178" s="44"/>
      <c r="Y178" s="44"/>
      <c r="Z178" s="44"/>
      <c r="AA178" s="44"/>
    </row>
    <row r="179" ht="20" customHeight="1">
      <c r="A179" s="40" t="str">
        <v>3.70%, due July 2025</v>
      </c>
      <c r="B179" s="3"/>
      <c r="C179" s="44"/>
      <c r="D179" s="44" t="n">
        <v>0.032</v>
      </c>
      <c r="E179" s="44" t="n">
        <v>0.0416</v>
      </c>
      <c r="F179" s="44" t="n">
        <v>0.0444</v>
      </c>
      <c r="G179" s="44" t="n">
        <v>0.029300000000000003</v>
      </c>
      <c r="H179" s="44" t="n">
        <v>0.0216</v>
      </c>
      <c r="I179" s="44" t="n">
        <v>0.0383</v>
      </c>
      <c r="J179" s="44" t="n">
        <v>0.0729</v>
      </c>
      <c r="K179" s="44" t="n">
        <v>0.07490000000000001</v>
      </c>
      <c r="L179" s="44"/>
      <c r="M179" s="44"/>
      <c r="N179" s="44"/>
      <c r="O179" s="44"/>
      <c r="P179" s="44"/>
      <c r="Q179" s="44"/>
      <c r="R179" s="44"/>
      <c r="S179" s="44"/>
      <c r="T179" s="44"/>
      <c r="U179" s="44"/>
      <c r="V179" s="44"/>
      <c r="W179" s="44"/>
      <c r="X179" s="44"/>
      <c r="Y179" s="44"/>
      <c r="Z179" s="44"/>
      <c r="AA179" s="44"/>
    </row>
    <row r="180" ht="20" customHeight="1">
      <c r="A180" s="40" t="str">
        <v>4.88%, due February 2026</v>
      </c>
      <c r="B180" s="3"/>
      <c r="C180" s="44"/>
      <c r="D180" s="44"/>
      <c r="E180" s="44"/>
      <c r="F180" s="44"/>
      <c r="G180" s="44"/>
      <c r="H180" s="44"/>
      <c r="I180" s="44"/>
      <c r="J180" s="44" t="n">
        <v>0.0496</v>
      </c>
      <c r="K180" s="44" t="n">
        <v>0.0493</v>
      </c>
      <c r="L180" s="44" t="n">
        <v>0.0493</v>
      </c>
      <c r="M180" s="44"/>
      <c r="N180" s="44"/>
      <c r="O180" s="44"/>
      <c r="P180" s="44"/>
      <c r="Q180" s="44"/>
      <c r="R180" s="44"/>
      <c r="S180" s="44"/>
      <c r="T180" s="44"/>
      <c r="U180" s="44"/>
      <c r="V180" s="44"/>
      <c r="W180" s="44"/>
      <c r="X180" s="44"/>
      <c r="Y180" s="44"/>
      <c r="Z180" s="44"/>
      <c r="AA180" s="44"/>
    </row>
    <row r="181" ht="20" customHeight="1">
      <c r="A181" s="40" t="str">
        <v>2.60%, due May 2026</v>
      </c>
      <c r="B181" s="3"/>
      <c r="C181" s="44"/>
      <c r="D181" s="44" t="n">
        <v>0.0166</v>
      </c>
      <c r="E181" s="44" t="n">
        <v>0.0262</v>
      </c>
      <c r="F181" s="44" t="n">
        <v>0.0291</v>
      </c>
      <c r="G181" s="44" t="n">
        <v>0.013600000000000001</v>
      </c>
      <c r="H181" s="44" t="n">
        <v>0.0063</v>
      </c>
      <c r="I181" s="44" t="n">
        <v>0.0225</v>
      </c>
      <c r="J181" s="44" t="n">
        <v>0.0579</v>
      </c>
      <c r="K181" s="44" t="n">
        <v>0.059699999999999996</v>
      </c>
      <c r="L181" s="44" t="n">
        <v>0.050300000000000004</v>
      </c>
      <c r="M181" s="44"/>
      <c r="N181" s="44"/>
      <c r="O181" s="44"/>
      <c r="P181" s="44"/>
      <c r="Q181" s="44"/>
      <c r="R181" s="44"/>
      <c r="S181" s="44"/>
      <c r="T181" s="44"/>
      <c r="U181" s="44"/>
      <c r="V181" s="44"/>
      <c r="W181" s="44"/>
      <c r="X181" s="44"/>
      <c r="Y181" s="44"/>
      <c r="Z181" s="44"/>
      <c r="AA181" s="44"/>
    </row>
    <row r="182" ht="20" customHeight="1">
      <c r="A182" s="40" t="str">
        <v>3.75%, due March 2027</v>
      </c>
      <c r="B182" s="3"/>
      <c r="C182" s="44"/>
      <c r="D182" s="44"/>
      <c r="E182" s="44"/>
      <c r="F182" s="44"/>
      <c r="G182" s="44" t="n">
        <v>0.038</v>
      </c>
      <c r="H182" s="44" t="n">
        <v>0.0379</v>
      </c>
      <c r="I182" s="44" t="n">
        <v>0.0378</v>
      </c>
      <c r="J182" s="44" t="n">
        <v>0.0379</v>
      </c>
      <c r="K182" s="44" t="n">
        <v>0.0378</v>
      </c>
      <c r="L182" s="44" t="n">
        <v>0.0378</v>
      </c>
      <c r="M182" s="44"/>
      <c r="N182" s="44"/>
      <c r="O182" s="44"/>
      <c r="P182" s="44"/>
      <c r="Q182" s="44"/>
      <c r="R182" s="44"/>
      <c r="S182" s="44"/>
      <c r="T182" s="44"/>
      <c r="U182" s="44"/>
      <c r="V182" s="44"/>
      <c r="W182" s="44"/>
      <c r="X182" s="44"/>
      <c r="Y182" s="44"/>
      <c r="Z182" s="44"/>
      <c r="AA182" s="44"/>
    </row>
    <row r="183" ht="20" customHeight="1">
      <c r="A183" s="40" t="str">
        <v>3.15%, due May 2027</v>
      </c>
      <c r="B183" s="3"/>
      <c r="C183" s="44"/>
      <c r="D183" s="44" t="n">
        <v>0.0282</v>
      </c>
      <c r="E183" s="44" t="n">
        <v>0.0321</v>
      </c>
      <c r="F183" s="44" t="n">
        <v>0.0348</v>
      </c>
      <c r="G183" s="44" t="n">
        <v>0.0191</v>
      </c>
      <c r="H183" s="44" t="n">
        <v>0.0121</v>
      </c>
      <c r="I183" s="44" t="n">
        <v>0.028399999999999998</v>
      </c>
      <c r="J183" s="44" t="n">
        <v>0.0635</v>
      </c>
      <c r="K183" s="44" t="n">
        <v>0.0654</v>
      </c>
      <c r="L183" s="44" t="n">
        <v>0.055999999999999994</v>
      </c>
      <c r="M183" s="44"/>
      <c r="N183" s="44"/>
      <c r="O183" s="44"/>
      <c r="P183" s="44"/>
      <c r="Q183" s="44"/>
      <c r="R183" s="44"/>
      <c r="S183" s="44"/>
      <c r="T183" s="44"/>
      <c r="U183" s="44"/>
      <c r="V183" s="44"/>
      <c r="W183" s="44"/>
      <c r="X183" s="44"/>
      <c r="Y183" s="44"/>
      <c r="Z183" s="44"/>
      <c r="AA183" s="44"/>
    </row>
    <row r="184" ht="20" customHeight="1">
      <c r="A184" s="40" t="str">
        <v>3.75%, due August 2027</v>
      </c>
      <c r="B184" s="3"/>
      <c r="C184" s="44"/>
      <c r="D184" s="44"/>
      <c r="E184" s="44"/>
      <c r="F184" s="44"/>
      <c r="G184" s="44"/>
      <c r="H184" s="44"/>
      <c r="I184" s="44" t="n">
        <v>0.038</v>
      </c>
      <c r="J184" s="44" t="n">
        <v>0.0382</v>
      </c>
      <c r="K184" s="44" t="n">
        <v>0.0381</v>
      </c>
      <c r="L184" s="44" t="n">
        <v>0.0381</v>
      </c>
      <c r="M184" s="44"/>
      <c r="N184" s="44"/>
      <c r="O184" s="44"/>
      <c r="P184" s="44"/>
      <c r="Q184" s="44"/>
      <c r="R184" s="44"/>
      <c r="S184" s="44"/>
      <c r="T184" s="44"/>
      <c r="U184" s="44"/>
      <c r="V184" s="44"/>
      <c r="W184" s="44"/>
      <c r="X184" s="44"/>
      <c r="Y184" s="44"/>
      <c r="Z184" s="44"/>
      <c r="AA184" s="44"/>
    </row>
    <row r="185" ht="20" customHeight="1">
      <c r="A185" s="40" t="str">
        <v>4.88%, due February 2028</v>
      </c>
      <c r="B185" s="3"/>
      <c r="C185" s="44"/>
      <c r="D185" s="44"/>
      <c r="E185" s="44"/>
      <c r="F185" s="44"/>
      <c r="G185" s="44"/>
      <c r="H185" s="44"/>
      <c r="I185" s="44"/>
      <c r="J185" s="44" t="n">
        <v>0.049400000000000006</v>
      </c>
      <c r="K185" s="44" t="n">
        <v>0.0492</v>
      </c>
      <c r="L185" s="44" t="n">
        <v>0.0492</v>
      </c>
      <c r="M185" s="44"/>
      <c r="N185" s="44"/>
      <c r="O185" s="44"/>
      <c r="P185" s="44"/>
      <c r="Q185" s="44"/>
      <c r="R185" s="44"/>
      <c r="S185" s="44"/>
      <c r="T185" s="44"/>
      <c r="U185" s="44"/>
      <c r="V185" s="44"/>
      <c r="W185" s="44"/>
      <c r="X185" s="44"/>
      <c r="Y185" s="44"/>
      <c r="Z185" s="44"/>
      <c r="AA185" s="44"/>
    </row>
    <row r="186" ht="20" customHeight="1">
      <c r="A186" s="40" t="str">
        <v>1.60%, due August 2028</v>
      </c>
      <c r="B186" s="3"/>
      <c r="C186" s="44"/>
      <c r="D186" s="44"/>
      <c r="E186" s="44"/>
      <c r="F186" s="44"/>
      <c r="G186" s="44"/>
      <c r="H186" s="44" t="n">
        <v>0.0168</v>
      </c>
      <c r="I186" s="44" t="n">
        <v>0.0167</v>
      </c>
      <c r="J186" s="44" t="n">
        <v>0.0167</v>
      </c>
      <c r="K186" s="44" t="n">
        <v>0.0167</v>
      </c>
      <c r="L186" s="44" t="n">
        <v>0.0167</v>
      </c>
      <c r="M186" s="44"/>
      <c r="N186" s="44"/>
      <c r="O186" s="44"/>
      <c r="P186" s="44"/>
      <c r="Q186" s="44"/>
      <c r="R186" s="44"/>
      <c r="S186" s="44"/>
      <c r="T186" s="44"/>
      <c r="U186" s="44"/>
      <c r="V186" s="44"/>
      <c r="W186" s="44"/>
      <c r="X186" s="44"/>
      <c r="Y186" s="44"/>
      <c r="Z186" s="44"/>
      <c r="AA186" s="44"/>
    </row>
    <row r="187" ht="20" customHeight="1">
      <c r="A187" s="40" t="str">
        <v>4.00%, due August 2029</v>
      </c>
      <c r="B187" s="3"/>
      <c r="C187" s="44"/>
      <c r="D187" s="44"/>
      <c r="E187" s="44"/>
      <c r="F187" s="44"/>
      <c r="G187" s="44"/>
      <c r="H187" s="44"/>
      <c r="I187" s="44" t="n">
        <v>0.0405</v>
      </c>
      <c r="J187" s="44" t="n">
        <v>0.0406</v>
      </c>
      <c r="K187" s="44" t="n">
        <v>0.0405</v>
      </c>
      <c r="L187" s="44" t="n">
        <v>0.0405</v>
      </c>
      <c r="M187" s="44"/>
      <c r="N187" s="44"/>
      <c r="O187" s="44"/>
      <c r="P187" s="44"/>
      <c r="Q187" s="44"/>
      <c r="R187" s="44"/>
      <c r="S187" s="44"/>
      <c r="T187" s="44"/>
      <c r="U187" s="44"/>
      <c r="V187" s="44"/>
      <c r="W187" s="44"/>
      <c r="X187" s="44"/>
      <c r="Y187" s="44"/>
      <c r="Z187" s="44"/>
      <c r="AA187" s="44"/>
    </row>
    <row r="188" ht="20" customHeight="1">
      <c r="A188" s="40" t="str">
        <v>2.45%, due November 2029</v>
      </c>
      <c r="B188" s="3"/>
      <c r="C188" s="44"/>
      <c r="D188" s="44"/>
      <c r="E188" s="44"/>
      <c r="F188" s="44" t="n">
        <v>0.0248</v>
      </c>
      <c r="G188" s="44" t="n">
        <v>0.0239</v>
      </c>
      <c r="H188" s="44" t="n">
        <v>0.0239</v>
      </c>
      <c r="I188" s="44" t="n">
        <v>0.023799999999999998</v>
      </c>
      <c r="J188" s="44" t="n">
        <v>0.0239</v>
      </c>
      <c r="K188" s="44" t="n">
        <v>0.023799999999999998</v>
      </c>
      <c r="L188" s="44" t="n">
        <v>0.023799999999999998</v>
      </c>
      <c r="M188" s="44"/>
      <c r="N188" s="44"/>
      <c r="O188" s="44"/>
      <c r="P188" s="44"/>
      <c r="Q188" s="44"/>
      <c r="R188" s="44"/>
      <c r="S188" s="44"/>
      <c r="T188" s="44"/>
      <c r="U188" s="44"/>
      <c r="V188" s="44"/>
      <c r="W188" s="44"/>
      <c r="X188" s="44"/>
      <c r="Y188" s="44"/>
      <c r="Z188" s="44"/>
      <c r="AA188" s="44"/>
    </row>
    <row r="189" ht="20" customHeight="1">
      <c r="A189" s="40" t="str">
        <v>5.13%, due February 2030</v>
      </c>
      <c r="B189" s="3"/>
      <c r="C189" s="44"/>
      <c r="D189" s="44"/>
      <c r="E189" s="44"/>
      <c r="F189" s="44"/>
      <c r="G189" s="44"/>
      <c r="H189" s="44"/>
      <c r="I189" s="44"/>
      <c r="J189" s="44" t="n">
        <v>0.051699999999999996</v>
      </c>
      <c r="K189" s="44" t="n">
        <v>0.051399999999999994</v>
      </c>
      <c r="L189" s="44" t="n">
        <v>0.051399999999999994</v>
      </c>
      <c r="M189" s="44"/>
      <c r="N189" s="44"/>
      <c r="O189" s="44"/>
      <c r="P189" s="44"/>
      <c r="Q189" s="44"/>
      <c r="R189" s="44"/>
      <c r="S189" s="44"/>
      <c r="T189" s="44"/>
      <c r="U189" s="44"/>
      <c r="V189" s="44"/>
      <c r="W189" s="44"/>
      <c r="X189" s="44"/>
      <c r="Y189" s="44"/>
      <c r="Z189" s="44"/>
      <c r="AA189" s="44"/>
    </row>
    <row r="190" ht="20" customHeight="1">
      <c r="A190" s="40" t="str">
        <v>3.90%, due March 2030</v>
      </c>
      <c r="B190" s="3"/>
      <c r="C190" s="44"/>
      <c r="D190" s="44"/>
      <c r="E190" s="44"/>
      <c r="F190" s="44"/>
      <c r="G190" s="44" t="n">
        <v>0.0394</v>
      </c>
      <c r="H190" s="44" t="n">
        <v>0.0393</v>
      </c>
      <c r="I190" s="44" t="n">
        <v>0.0392</v>
      </c>
      <c r="J190" s="44" t="n">
        <v>0.0393</v>
      </c>
      <c r="K190" s="44" t="n">
        <v>0.0391</v>
      </c>
      <c r="L190" s="44" t="n">
        <v>0.0391</v>
      </c>
      <c r="M190" s="44"/>
      <c r="N190" s="44"/>
      <c r="O190" s="44"/>
      <c r="P190" s="44"/>
      <c r="Q190" s="44"/>
      <c r="R190" s="44"/>
      <c r="S190" s="44"/>
      <c r="T190" s="44"/>
      <c r="U190" s="44"/>
      <c r="V190" s="44"/>
      <c r="W190" s="44"/>
      <c r="X190" s="44"/>
      <c r="Y190" s="44"/>
      <c r="Z190" s="44"/>
      <c r="AA190" s="44"/>
    </row>
    <row r="191" ht="20" customHeight="1">
      <c r="A191" s="40" t="str">
        <v>5.00%, due February 2031</v>
      </c>
      <c r="B191" s="3"/>
      <c r="C191" s="44"/>
      <c r="D191" s="44"/>
      <c r="E191" s="44"/>
      <c r="F191" s="44"/>
      <c r="G191" s="44"/>
      <c r="H191" s="44"/>
      <c r="I191" s="44"/>
      <c r="J191" s="44"/>
      <c r="K191" s="44" t="n">
        <v>0.0499</v>
      </c>
      <c r="L191" s="44" t="n">
        <v>0.0507</v>
      </c>
      <c r="M191" s="44"/>
      <c r="N191" s="44"/>
      <c r="O191" s="44"/>
      <c r="P191" s="44"/>
      <c r="Q191" s="44"/>
      <c r="R191" s="44"/>
      <c r="S191" s="44"/>
      <c r="T191" s="44"/>
      <c r="U191" s="44"/>
      <c r="V191" s="44"/>
      <c r="W191" s="44"/>
      <c r="X191" s="44"/>
      <c r="Y191" s="44"/>
      <c r="Z191" s="44"/>
      <c r="AA191" s="44"/>
    </row>
    <row r="192" ht="20" customHeight="1">
      <c r="A192" s="40" t="str">
        <v>2.00%, due August 2031</v>
      </c>
      <c r="B192" s="3"/>
      <c r="C192" s="44"/>
      <c r="D192" s="44"/>
      <c r="E192" s="44"/>
      <c r="F192" s="44"/>
      <c r="G192" s="44"/>
      <c r="H192" s="44" t="n">
        <v>0.0204</v>
      </c>
      <c r="I192" s="44" t="n">
        <v>0.0202</v>
      </c>
      <c r="J192" s="44" t="n">
        <v>0.0203</v>
      </c>
      <c r="K192" s="44" t="n">
        <v>0.0202</v>
      </c>
      <c r="L192" s="44" t="n">
        <v>0.0202</v>
      </c>
      <c r="M192" s="44"/>
      <c r="N192" s="44"/>
      <c r="O192" s="44"/>
      <c r="P192" s="44"/>
      <c r="Q192" s="44"/>
      <c r="R192" s="44"/>
      <c r="S192" s="44"/>
      <c r="T192" s="44"/>
      <c r="U192" s="44"/>
      <c r="V192" s="44"/>
      <c r="W192" s="44"/>
      <c r="X192" s="44"/>
      <c r="Y192" s="44"/>
      <c r="Z192" s="44"/>
      <c r="AA192" s="44"/>
    </row>
    <row r="193" ht="20" customHeight="1">
      <c r="A193" s="40" t="str">
        <v>4.15%, due August 2032</v>
      </c>
      <c r="B193" s="3"/>
      <c r="C193" s="44"/>
      <c r="D193" s="44"/>
      <c r="E193" s="44"/>
      <c r="F193" s="44"/>
      <c r="G193" s="44"/>
      <c r="H193" s="44"/>
      <c r="I193" s="44" t="n">
        <v>0.0417</v>
      </c>
      <c r="J193" s="44" t="n">
        <v>0.0418</v>
      </c>
      <c r="K193" s="44" t="n">
        <v>0.0417</v>
      </c>
      <c r="L193" s="44" t="n">
        <v>0.0417</v>
      </c>
      <c r="M193" s="44"/>
      <c r="N193" s="44"/>
      <c r="O193" s="44"/>
      <c r="P193" s="44"/>
      <c r="Q193" s="44"/>
      <c r="R193" s="44"/>
      <c r="S193" s="44"/>
      <c r="T193" s="44"/>
      <c r="U193" s="44"/>
      <c r="V193" s="44"/>
      <c r="W193" s="44"/>
      <c r="X193" s="44"/>
      <c r="Y193" s="44"/>
      <c r="Z193" s="44"/>
      <c r="AA193" s="44"/>
    </row>
    <row r="194" ht="20" customHeight="1">
      <c r="A194" s="40" t="str">
        <v>4.00%, due December 2032</v>
      </c>
      <c r="B194" s="3"/>
      <c r="C194" s="44"/>
      <c r="D194" s="44" t="n">
        <v>0.040999999999999995</v>
      </c>
      <c r="E194" s="44" t="n">
        <v>0.037000000000000005</v>
      </c>
      <c r="F194" s="44" t="n">
        <v>0.0356</v>
      </c>
      <c r="G194" s="44" t="n">
        <v>0.0184</v>
      </c>
      <c r="H194" s="44" t="n">
        <v>0.0124</v>
      </c>
      <c r="I194" s="44" t="n">
        <v>0.022000000000000002</v>
      </c>
      <c r="J194" s="44" t="n">
        <v>0.0721</v>
      </c>
      <c r="K194" s="44" t="n">
        <v>0.0659</v>
      </c>
      <c r="L194" s="44" t="n">
        <v>0.0565</v>
      </c>
      <c r="M194" s="44"/>
      <c r="N194" s="44"/>
      <c r="O194" s="44"/>
      <c r="P194" s="44"/>
      <c r="Q194" s="44"/>
      <c r="R194" s="44"/>
      <c r="S194" s="44"/>
      <c r="T194" s="44"/>
      <c r="U194" s="44"/>
      <c r="V194" s="44"/>
      <c r="W194" s="44"/>
      <c r="X194" s="44"/>
      <c r="Y194" s="44"/>
      <c r="Z194" s="44"/>
      <c r="AA194" s="44"/>
    </row>
    <row r="195" ht="20" customHeight="1">
      <c r="A195" s="40" t="str">
        <v>5.20%, due February 2033</v>
      </c>
      <c r="B195" s="3"/>
      <c r="C195" s="44"/>
      <c r="D195" s="44"/>
      <c r="E195" s="44"/>
      <c r="F195" s="44"/>
      <c r="G195" s="44"/>
      <c r="H195" s="44"/>
      <c r="I195" s="44"/>
      <c r="J195" s="44" t="n">
        <v>0.0525</v>
      </c>
      <c r="K195" s="44" t="n">
        <v>0.052300000000000006</v>
      </c>
      <c r="L195" s="44" t="n">
        <v>0.052300000000000006</v>
      </c>
      <c r="M195" s="44"/>
      <c r="N195" s="44"/>
      <c r="O195" s="44"/>
      <c r="P195" s="44"/>
      <c r="Q195" s="44"/>
      <c r="R195" s="44"/>
      <c r="S195" s="44"/>
      <c r="T195" s="44"/>
      <c r="U195" s="44"/>
      <c r="V195" s="44"/>
      <c r="W195" s="44"/>
      <c r="X195" s="44"/>
      <c r="Y195" s="44"/>
      <c r="Z195" s="44"/>
      <c r="AA195" s="44"/>
    </row>
    <row r="196" ht="20" customHeight="1">
      <c r="A196" s="40" t="str">
        <v>5.15%, due February 2034</v>
      </c>
      <c r="B196" s="3"/>
      <c r="C196" s="44"/>
      <c r="D196" s="44"/>
      <c r="E196" s="44"/>
      <c r="F196" s="44"/>
      <c r="G196" s="44"/>
      <c r="H196" s="44"/>
      <c r="I196" s="44"/>
      <c r="J196" s="44"/>
      <c r="K196" s="44" t="n">
        <v>0.052000000000000005</v>
      </c>
      <c r="L196" s="44" t="n">
        <v>0.0518</v>
      </c>
      <c r="M196" s="44"/>
      <c r="N196" s="44"/>
      <c r="O196" s="44"/>
      <c r="P196" s="44"/>
      <c r="Q196" s="44"/>
      <c r="R196" s="44"/>
      <c r="S196" s="44"/>
      <c r="T196" s="44"/>
      <c r="U196" s="44"/>
      <c r="V196" s="44"/>
      <c r="W196" s="44"/>
      <c r="X196" s="44"/>
      <c r="Y196" s="44"/>
      <c r="Z196" s="44"/>
      <c r="AA196" s="44"/>
    </row>
    <row r="197" ht="20" customHeight="1">
      <c r="A197" s="40" t="str">
        <v>4.60%, due March 2040</v>
      </c>
      <c r="B197" s="3"/>
      <c r="C197" s="44"/>
      <c r="D197" s="44"/>
      <c r="E197" s="44"/>
      <c r="F197" s="44"/>
      <c r="G197" s="44" t="n">
        <v>0.0462</v>
      </c>
      <c r="H197" s="44" t="n">
        <v>0.0461</v>
      </c>
      <c r="I197" s="44" t="n">
        <v>0.045899999999999996</v>
      </c>
      <c r="J197" s="44" t="n">
        <v>0.0461</v>
      </c>
      <c r="K197" s="44" t="n">
        <v>0.045899999999999996</v>
      </c>
      <c r="L197" s="44" t="n">
        <v>0.045899999999999996</v>
      </c>
      <c r="M197" s="44"/>
      <c r="N197" s="44"/>
      <c r="O197" s="44"/>
      <c r="P197" s="44"/>
      <c r="Q197" s="44"/>
      <c r="R197" s="44"/>
      <c r="S197" s="44"/>
      <c r="T197" s="44"/>
      <c r="U197" s="44"/>
      <c r="V197" s="44"/>
      <c r="W197" s="44"/>
      <c r="X197" s="44"/>
      <c r="Y197" s="44"/>
      <c r="Z197" s="44"/>
      <c r="AA197" s="44"/>
    </row>
    <row r="198" ht="20" customHeight="1">
      <c r="A198" s="40" t="str">
        <v>2.80%, due August 2041</v>
      </c>
      <c r="B198" s="3"/>
      <c r="C198" s="44"/>
      <c r="D198" s="44"/>
      <c r="E198" s="44"/>
      <c r="F198" s="44"/>
      <c r="G198" s="44"/>
      <c r="H198" s="44" t="n">
        <v>0.0282</v>
      </c>
      <c r="I198" s="44" t="n">
        <v>0.0281</v>
      </c>
      <c r="J198" s="44" t="n">
        <v>0.0281</v>
      </c>
      <c r="K198" s="44" t="n">
        <v>0.0281</v>
      </c>
      <c r="L198" s="44" t="n">
        <v>0.0281</v>
      </c>
      <c r="M198" s="44"/>
      <c r="N198" s="44"/>
      <c r="O198" s="44"/>
      <c r="P198" s="44"/>
      <c r="Q198" s="44"/>
      <c r="R198" s="44"/>
      <c r="S198" s="44"/>
      <c r="T198" s="44"/>
      <c r="U198" s="44"/>
      <c r="V198" s="44"/>
      <c r="W198" s="44"/>
      <c r="X198" s="44"/>
      <c r="Y198" s="44"/>
      <c r="Z198" s="44"/>
      <c r="AA198" s="44"/>
    </row>
    <row r="199" ht="20" customHeight="1">
      <c r="A199" s="40" t="str">
        <v>4.80%, due October 2041</v>
      </c>
      <c r="B199" s="3"/>
      <c r="C199" s="44"/>
      <c r="D199" s="44" t="n">
        <v>0.048600000000000004</v>
      </c>
      <c r="E199" s="44" t="n">
        <v>0.0449</v>
      </c>
      <c r="F199" s="44" t="n">
        <v>0.0431</v>
      </c>
      <c r="G199" s="44" t="n">
        <v>0.0282</v>
      </c>
      <c r="H199" s="44" t="n">
        <v>0.020099999999999996</v>
      </c>
      <c r="I199" s="44" t="n">
        <v>0.037000000000000005</v>
      </c>
      <c r="J199" s="44" t="n">
        <v>0.0716</v>
      </c>
      <c r="K199" s="44" t="n">
        <v>0.0733</v>
      </c>
      <c r="L199" s="44" t="n">
        <v>0.0639</v>
      </c>
      <c r="M199" s="44"/>
      <c r="N199" s="44"/>
      <c r="O199" s="44"/>
      <c r="P199" s="44"/>
      <c r="Q199" s="44"/>
      <c r="R199" s="44"/>
      <c r="S199" s="44"/>
      <c r="T199" s="44"/>
      <c r="U199" s="44"/>
      <c r="V199" s="44"/>
      <c r="W199" s="44"/>
      <c r="X199" s="44"/>
      <c r="Y199" s="44"/>
      <c r="Z199" s="44"/>
      <c r="AA199" s="44"/>
    </row>
    <row r="200" ht="20" customHeight="1">
      <c r="A200" s="40" t="str">
        <v>4.25%, due December 2042</v>
      </c>
      <c r="B200" s="3"/>
      <c r="C200" s="44"/>
      <c r="D200" s="44" t="n">
        <v>0.043899999999999995</v>
      </c>
      <c r="E200" s="44" t="n">
        <v>0.0387</v>
      </c>
      <c r="F200" s="44" t="n">
        <v>0.0374</v>
      </c>
      <c r="G200" s="44" t="n">
        <v>0.020099999999999996</v>
      </c>
      <c r="H200" s="44" t="n">
        <v>0.014199999999999999</v>
      </c>
      <c r="I200" s="44" t="n">
        <v>0.0232</v>
      </c>
      <c r="J200" s="44" t="n">
        <v>0.0745</v>
      </c>
      <c r="K200" s="44" t="n">
        <v>0.067</v>
      </c>
      <c r="L200" s="44" t="n">
        <v>0.058899999999999994</v>
      </c>
      <c r="M200" s="44"/>
      <c r="N200" s="44"/>
      <c r="O200" s="44"/>
      <c r="P200" s="44"/>
      <c r="Q200" s="44"/>
      <c r="R200" s="44"/>
      <c r="S200" s="44"/>
      <c r="T200" s="44"/>
      <c r="U200" s="44"/>
      <c r="V200" s="44"/>
      <c r="W200" s="44"/>
      <c r="X200" s="44"/>
      <c r="Y200" s="44"/>
      <c r="Z200" s="44"/>
      <c r="AA200" s="44"/>
    </row>
    <row r="201" ht="20" customHeight="1">
      <c r="A201" s="40" t="str">
        <v>5.63%, due February 2043</v>
      </c>
      <c r="B201" s="3"/>
      <c r="C201" s="44"/>
      <c r="D201" s="44"/>
      <c r="E201" s="44"/>
      <c r="F201" s="44"/>
      <c r="G201" s="44"/>
      <c r="H201" s="44"/>
      <c r="I201" s="44"/>
      <c r="J201" s="44" t="n">
        <v>0.0564</v>
      </c>
      <c r="K201" s="44" t="n">
        <v>0.056100000000000004</v>
      </c>
      <c r="L201" s="44" t="n">
        <v>0.056100000000000004</v>
      </c>
      <c r="M201" s="44"/>
      <c r="N201" s="44"/>
      <c r="O201" s="44"/>
      <c r="P201" s="44"/>
      <c r="Q201" s="44"/>
      <c r="R201" s="44"/>
      <c r="S201" s="44"/>
      <c r="T201" s="44"/>
      <c r="U201" s="44"/>
      <c r="V201" s="44"/>
      <c r="W201" s="44"/>
      <c r="X201" s="44"/>
      <c r="Y201" s="44"/>
      <c r="Z201" s="44"/>
      <c r="AA201" s="44"/>
    </row>
    <row r="202" ht="20" customHeight="1">
      <c r="A202" s="40" t="str">
        <v>4.90%, due July 2045</v>
      </c>
      <c r="B202" s="3"/>
      <c r="C202" s="44"/>
      <c r="D202" s="44" t="n">
        <v>0.0492</v>
      </c>
      <c r="E202" s="44" t="n">
        <v>0.045599999999999995</v>
      </c>
      <c r="F202" s="44" t="n">
        <v>0.0441</v>
      </c>
      <c r="G202" s="44" t="n">
        <v>0.028999999999999998</v>
      </c>
      <c r="H202" s="44" t="n">
        <v>0.0213</v>
      </c>
      <c r="I202" s="44" t="n">
        <v>0.038</v>
      </c>
      <c r="J202" s="44" t="n">
        <v>0.0729</v>
      </c>
      <c r="K202" s="44" t="n">
        <v>0.0746</v>
      </c>
      <c r="L202" s="44" t="n">
        <v>0.0652</v>
      </c>
      <c r="M202" s="44"/>
      <c r="N202" s="44"/>
      <c r="O202" s="44"/>
      <c r="P202" s="44"/>
      <c r="Q202" s="44"/>
      <c r="R202" s="44"/>
      <c r="S202" s="44"/>
      <c r="T202" s="44"/>
      <c r="U202" s="44"/>
      <c r="V202" s="44"/>
      <c r="W202" s="44"/>
      <c r="X202" s="44"/>
      <c r="Y202" s="44"/>
      <c r="Z202" s="44"/>
      <c r="AA202" s="44"/>
    </row>
    <row r="203" ht="20" customHeight="1">
      <c r="A203" s="40" t="str">
        <v>4.70%, due December 2045</v>
      </c>
      <c r="B203" s="3"/>
      <c r="C203" s="44"/>
      <c r="D203" s="44" t="n">
        <v>0.024900000000000002</v>
      </c>
      <c r="E203" s="44" t="n">
        <v>0.0345</v>
      </c>
      <c r="F203" s="44"/>
      <c r="G203" s="44"/>
      <c r="H203" s="44"/>
      <c r="I203" s="44"/>
      <c r="J203" s="44"/>
      <c r="K203" s="44"/>
      <c r="L203" s="44"/>
      <c r="M203" s="44"/>
      <c r="N203" s="44"/>
      <c r="O203" s="44"/>
      <c r="P203" s="44"/>
      <c r="Q203" s="44"/>
      <c r="R203" s="44"/>
      <c r="S203" s="44"/>
      <c r="T203" s="44"/>
      <c r="U203" s="44"/>
      <c r="V203" s="44"/>
      <c r="W203" s="44"/>
      <c r="X203" s="44"/>
      <c r="Y203" s="44"/>
      <c r="Z203" s="44"/>
      <c r="AA203" s="44"/>
    </row>
    <row r="204" ht="20" customHeight="1">
      <c r="A204" s="40" t="str">
        <v>4.10%, due May 2046</v>
      </c>
      <c r="B204" s="3"/>
      <c r="C204" s="44"/>
      <c r="D204" s="44" t="n">
        <v>0.0412</v>
      </c>
      <c r="E204" s="44" t="n">
        <v>0.037200000000000004</v>
      </c>
      <c r="F204" s="44" t="n">
        <v>0.0368</v>
      </c>
      <c r="G204" s="44" t="n">
        <v>0.0213</v>
      </c>
      <c r="H204" s="44" t="n">
        <v>0.013999999999999999</v>
      </c>
      <c r="I204" s="44" t="n">
        <v>0.030299999999999997</v>
      </c>
      <c r="J204" s="44" t="n">
        <v>0.0658</v>
      </c>
      <c r="K204" s="44" t="n">
        <v>0.0674</v>
      </c>
      <c r="L204" s="44" t="n">
        <v>0.057999999999999996</v>
      </c>
      <c r="M204" s="44"/>
      <c r="N204" s="44"/>
      <c r="O204" s="44"/>
      <c r="P204" s="44"/>
      <c r="Q204" s="44"/>
      <c r="R204" s="44"/>
      <c r="S204" s="44"/>
      <c r="T204" s="44"/>
      <c r="U204" s="44"/>
      <c r="V204" s="44"/>
      <c r="W204" s="44"/>
      <c r="X204" s="44"/>
      <c r="Y204" s="44"/>
      <c r="Z204" s="44"/>
      <c r="AA204" s="44"/>
    </row>
    <row r="205" ht="20" customHeight="1">
      <c r="A205" s="40" t="str">
        <v>4.10%, due May 2047</v>
      </c>
      <c r="B205" s="3"/>
      <c r="C205" s="44"/>
      <c r="D205" s="44" t="n">
        <v>0.041299999999999996</v>
      </c>
      <c r="E205" s="44" t="n">
        <v>0.0359</v>
      </c>
      <c r="F205" s="44" t="n">
        <v>0.0364</v>
      </c>
      <c r="G205" s="44" t="n">
        <v>0.0207</v>
      </c>
      <c r="H205" s="44" t="n">
        <v>0.0137</v>
      </c>
      <c r="I205" s="44" t="n">
        <v>0.03</v>
      </c>
      <c r="J205" s="44" t="n">
        <v>0.0653</v>
      </c>
      <c r="K205" s="44" t="n">
        <v>0.067</v>
      </c>
      <c r="L205" s="44" t="n">
        <v>0.0576</v>
      </c>
      <c r="M205" s="44"/>
      <c r="N205" s="44"/>
      <c r="O205" s="44"/>
      <c r="P205" s="44"/>
      <c r="Q205" s="44"/>
      <c r="R205" s="44"/>
      <c r="S205" s="44"/>
      <c r="T205" s="44"/>
      <c r="U205" s="44"/>
      <c r="V205" s="44"/>
      <c r="W205" s="44"/>
      <c r="X205" s="44"/>
      <c r="Y205" s="44"/>
      <c r="Z205" s="44"/>
      <c r="AA205" s="44"/>
    </row>
    <row r="206" ht="20" customHeight="1">
      <c r="A206" s="40" t="str">
        <v>4.10%, due August 2047</v>
      </c>
      <c r="B206" s="3"/>
      <c r="C206" s="44"/>
      <c r="D206" s="44" t="n">
        <v>0.0215</v>
      </c>
      <c r="E206" s="44" t="n">
        <v>0.0291</v>
      </c>
      <c r="F206" s="44" t="n">
        <v>0.032</v>
      </c>
      <c r="G206" s="44" t="n">
        <v>0.016399999999999998</v>
      </c>
      <c r="H206" s="44" t="n">
        <v>0.0092</v>
      </c>
      <c r="I206" s="44" t="n">
        <v>0.0254</v>
      </c>
      <c r="J206" s="44" t="n">
        <v>0.060899999999999996</v>
      </c>
      <c r="K206" s="44" t="n">
        <v>0.06269999999999999</v>
      </c>
      <c r="L206" s="44" t="n">
        <v>0.0533</v>
      </c>
      <c r="M206" s="44"/>
      <c r="N206" s="44"/>
      <c r="O206" s="44"/>
      <c r="P206" s="44"/>
      <c r="Q206" s="44"/>
      <c r="R206" s="44"/>
      <c r="S206" s="44"/>
      <c r="T206" s="44"/>
      <c r="U206" s="44"/>
      <c r="V206" s="44"/>
      <c r="W206" s="44"/>
      <c r="X206" s="44"/>
      <c r="Y206" s="44"/>
      <c r="Z206" s="44"/>
      <c r="AA206" s="44"/>
    </row>
    <row r="207" ht="20" customHeight="1">
      <c r="A207" s="40" t="str">
        <v>3.73%, due December 2047</v>
      </c>
      <c r="B207" s="3"/>
      <c r="C207" s="44"/>
      <c r="D207" s="44" t="n">
        <v>0.0374</v>
      </c>
      <c r="E207" s="44" t="n">
        <v>0.039</v>
      </c>
      <c r="F207" s="44" t="n">
        <v>0.0407</v>
      </c>
      <c r="G207" s="44" t="n">
        <v>0.0239</v>
      </c>
      <c r="H207" s="44" t="n">
        <v>0.0177</v>
      </c>
      <c r="I207" s="44" t="n">
        <v>0.0331</v>
      </c>
      <c r="J207" s="44" t="n">
        <v>0.0699</v>
      </c>
      <c r="K207" s="44" t="n">
        <v>0.0711</v>
      </c>
      <c r="L207" s="44" t="n">
        <v>0.0617</v>
      </c>
      <c r="M207" s="44"/>
      <c r="N207" s="44"/>
      <c r="O207" s="44"/>
      <c r="P207" s="44"/>
      <c r="Q207" s="44"/>
      <c r="R207" s="44"/>
      <c r="S207" s="44"/>
      <c r="T207" s="44"/>
      <c r="U207" s="44"/>
      <c r="V207" s="44"/>
      <c r="W207" s="44"/>
      <c r="X207" s="44"/>
      <c r="Y207" s="44"/>
      <c r="Z207" s="44"/>
      <c r="AA207" s="44"/>
    </row>
    <row r="208" ht="20" customHeight="1">
      <c r="A208" s="40" t="str">
        <v>3.25%, due November 2049</v>
      </c>
      <c r="B208" s="3"/>
      <c r="C208" s="44"/>
      <c r="D208" s="44"/>
      <c r="E208" s="44"/>
      <c r="F208" s="44" t="n">
        <v>0.0326</v>
      </c>
      <c r="G208" s="44" t="n">
        <v>0.032</v>
      </c>
      <c r="H208" s="44" t="n">
        <v>0.032</v>
      </c>
      <c r="I208" s="44" t="n">
        <v>0.0319</v>
      </c>
      <c r="J208" s="44" t="n">
        <v>0.032</v>
      </c>
      <c r="K208" s="44" t="n">
        <v>0.0319</v>
      </c>
      <c r="L208" s="44" t="n">
        <v>0.0319</v>
      </c>
      <c r="M208" s="44"/>
      <c r="N208" s="44"/>
      <c r="O208" s="44"/>
      <c r="P208" s="44"/>
      <c r="Q208" s="44"/>
      <c r="R208" s="44"/>
      <c r="S208" s="44"/>
      <c r="T208" s="44"/>
      <c r="U208" s="44"/>
      <c r="V208" s="44"/>
      <c r="W208" s="44"/>
      <c r="X208" s="44"/>
      <c r="Y208" s="44"/>
      <c r="Z208" s="44"/>
      <c r="AA208" s="44"/>
    </row>
    <row r="209" ht="20" customHeight="1">
      <c r="A209" s="40" t="str">
        <v>4.75%, due March 2050</v>
      </c>
      <c r="B209" s="3"/>
      <c r="C209" s="44"/>
      <c r="D209" s="44"/>
      <c r="E209" s="44"/>
      <c r="F209" s="44"/>
      <c r="G209" s="44" t="n">
        <v>0.047599999999999996</v>
      </c>
      <c r="H209" s="44" t="n">
        <v>0.047400000000000005</v>
      </c>
      <c r="I209" s="44" t="n">
        <v>0.0473</v>
      </c>
      <c r="J209" s="44" t="n">
        <v>0.047400000000000005</v>
      </c>
      <c r="K209" s="44" t="n">
        <v>0.0473</v>
      </c>
      <c r="L209" s="44" t="n">
        <v>0.0473</v>
      </c>
      <c r="M209" s="44"/>
      <c r="N209" s="44"/>
      <c r="O209" s="44"/>
      <c r="P209" s="44"/>
      <c r="Q209" s="44"/>
      <c r="R209" s="44"/>
      <c r="S209" s="44"/>
      <c r="T209" s="44"/>
      <c r="U209" s="44"/>
      <c r="V209" s="44"/>
      <c r="W209" s="44"/>
      <c r="X209" s="44"/>
      <c r="Y209" s="44"/>
      <c r="Z209" s="44"/>
      <c r="AA209" s="44"/>
    </row>
    <row r="210" ht="20" customHeight="1">
      <c r="A210" s="40" t="str">
        <v>3.05%, due August 2051</v>
      </c>
      <c r="B210" s="3"/>
      <c r="C210" s="44"/>
      <c r="D210" s="44"/>
      <c r="E210" s="44"/>
      <c r="F210" s="44"/>
      <c r="G210" s="44"/>
      <c r="H210" s="44" t="n">
        <v>0.030699999999999998</v>
      </c>
      <c r="I210" s="44" t="n">
        <v>0.030600000000000002</v>
      </c>
      <c r="J210" s="44" t="n">
        <v>0.030600000000000002</v>
      </c>
      <c r="K210" s="44" t="n">
        <v>0.0305</v>
      </c>
      <c r="L210" s="44" t="n">
        <v>0.0305</v>
      </c>
      <c r="M210" s="44"/>
      <c r="N210" s="44"/>
      <c r="O210" s="44"/>
      <c r="P210" s="44"/>
      <c r="Q210" s="44"/>
      <c r="R210" s="44"/>
      <c r="S210" s="44"/>
      <c r="T210" s="44"/>
      <c r="U210" s="44"/>
      <c r="V210" s="44"/>
      <c r="W210" s="44"/>
      <c r="X210" s="44"/>
      <c r="Y210" s="44"/>
      <c r="Z210" s="44"/>
      <c r="AA210" s="44"/>
    </row>
    <row r="211" ht="20" customHeight="1">
      <c r="A211" s="40" t="str">
        <v>4.90%, due August 2052</v>
      </c>
      <c r="B211" s="3"/>
      <c r="C211" s="44"/>
      <c r="D211" s="44"/>
      <c r="E211" s="44"/>
      <c r="F211" s="44"/>
      <c r="G211" s="44"/>
      <c r="H211" s="44"/>
      <c r="I211" s="44" t="n">
        <v>0.048799999999999996</v>
      </c>
      <c r="J211" s="44" t="n">
        <v>0.049</v>
      </c>
      <c r="K211" s="44" t="n">
        <v>0.0489</v>
      </c>
      <c r="L211" s="44" t="n">
        <v>0.0489</v>
      </c>
      <c r="M211" s="44"/>
      <c r="N211" s="44"/>
      <c r="O211" s="44"/>
      <c r="P211" s="44"/>
      <c r="Q211" s="44"/>
      <c r="R211" s="44"/>
      <c r="S211" s="44"/>
      <c r="T211" s="44"/>
      <c r="U211" s="44"/>
      <c r="V211" s="44"/>
      <c r="W211" s="44"/>
      <c r="X211" s="44"/>
      <c r="Y211" s="44"/>
      <c r="Z211" s="44"/>
      <c r="AA211" s="44"/>
    </row>
    <row r="212" ht="20" customHeight="1">
      <c r="A212" s="40" t="str">
        <v>5.70%, due February 2053</v>
      </c>
      <c r="B212" s="3"/>
      <c r="C212" s="44"/>
      <c r="D212" s="44"/>
      <c r="E212" s="44"/>
      <c r="F212" s="44"/>
      <c r="G212" s="44"/>
      <c r="H212" s="44"/>
      <c r="I212" s="44"/>
      <c r="J212" s="44" t="n">
        <v>0.0571</v>
      </c>
      <c r="K212" s="44" t="n">
        <v>0.056799999999999996</v>
      </c>
      <c r="L212" s="44" t="n">
        <v>0.056799999999999996</v>
      </c>
      <c r="M212" s="44"/>
      <c r="N212" s="44"/>
      <c r="O212" s="44"/>
      <c r="P212" s="44"/>
      <c r="Q212" s="44"/>
      <c r="R212" s="44"/>
      <c r="S212" s="44"/>
      <c r="T212" s="44"/>
      <c r="U212" s="44"/>
      <c r="V212" s="44"/>
      <c r="W212" s="44"/>
      <c r="X212" s="44"/>
      <c r="Y212" s="44"/>
      <c r="Z212" s="44"/>
      <c r="AA212" s="44"/>
    </row>
    <row r="213" ht="20" customHeight="1">
      <c r="A213" s="40" t="str">
        <v>5.60%, due February 2054</v>
      </c>
      <c r="B213" s="3"/>
      <c r="C213" s="44"/>
      <c r="D213" s="44"/>
      <c r="E213" s="44"/>
      <c r="F213" s="44"/>
      <c r="G213" s="44"/>
      <c r="H213" s="44"/>
      <c r="I213" s="44"/>
      <c r="J213" s="44"/>
      <c r="K213" s="44" t="n">
        <v>0.056100000000000004</v>
      </c>
      <c r="L213" s="44" t="n">
        <v>0.0559</v>
      </c>
      <c r="M213" s="44"/>
      <c r="N213" s="44"/>
      <c r="O213" s="44"/>
      <c r="P213" s="44"/>
      <c r="Q213" s="44"/>
      <c r="R213" s="44"/>
      <c r="S213" s="44"/>
      <c r="T213" s="44"/>
      <c r="U213" s="44"/>
      <c r="V213" s="44"/>
      <c r="W213" s="44"/>
      <c r="X213" s="44"/>
      <c r="Y213" s="44"/>
      <c r="Z213" s="44"/>
      <c r="AA213" s="44"/>
    </row>
    <row r="214" ht="20" customHeight="1">
      <c r="A214" s="40" t="str">
        <v>3.10%, due February 2060</v>
      </c>
      <c r="B214" s="3"/>
      <c r="C214" s="44"/>
      <c r="D214" s="44"/>
      <c r="E214" s="44"/>
      <c r="F214" s="44"/>
      <c r="G214" s="44" t="n">
        <v>0.031200000000000002</v>
      </c>
      <c r="H214" s="44" t="n">
        <v>0.0311</v>
      </c>
      <c r="I214" s="44" t="n">
        <v>0.031</v>
      </c>
      <c r="J214" s="44" t="n">
        <v>0.0311</v>
      </c>
      <c r="K214" s="44" t="n">
        <v>0.031</v>
      </c>
      <c r="L214" s="44" t="n">
        <v>0.031</v>
      </c>
      <c r="M214" s="44"/>
      <c r="N214" s="44"/>
      <c r="O214" s="44"/>
      <c r="P214" s="44"/>
      <c r="Q214" s="44"/>
      <c r="R214" s="44"/>
      <c r="S214" s="44"/>
      <c r="T214" s="44"/>
      <c r="U214" s="44"/>
      <c r="V214" s="44"/>
      <c r="W214" s="44"/>
      <c r="X214" s="44"/>
      <c r="Y214" s="44"/>
      <c r="Z214" s="44"/>
      <c r="AA214" s="44"/>
    </row>
    <row r="215" ht="20" customHeight="1">
      <c r="A215" s="40" t="str">
        <v>4.95%, due March 2060</v>
      </c>
      <c r="B215" s="3"/>
      <c r="C215" s="44"/>
      <c r="D215" s="44"/>
      <c r="E215" s="44"/>
      <c r="F215" s="44"/>
      <c r="G215" s="44" t="n">
        <v>0.05</v>
      </c>
      <c r="H215" s="44" t="n">
        <v>0.0499</v>
      </c>
      <c r="I215" s="44" t="n">
        <v>0.049800000000000004</v>
      </c>
      <c r="J215" s="44" t="n">
        <v>0.0499</v>
      </c>
      <c r="K215" s="44" t="n">
        <v>0.049800000000000004</v>
      </c>
      <c r="L215" s="44" t="n">
        <v>0.049800000000000004</v>
      </c>
      <c r="M215" s="44"/>
      <c r="N215" s="44"/>
      <c r="O215" s="44"/>
      <c r="P215" s="44"/>
      <c r="Q215" s="44"/>
      <c r="R215" s="44"/>
      <c r="S215" s="44"/>
      <c r="T215" s="44"/>
      <c r="U215" s="44"/>
      <c r="V215" s="44"/>
      <c r="W215" s="44"/>
      <c r="X215" s="44"/>
      <c r="Y215" s="44"/>
      <c r="Z215" s="44"/>
      <c r="AA215" s="44"/>
    </row>
    <row r="216" ht="20" customHeight="1">
      <c r="A216" s="40" t="str">
        <v>3.20%, due August 2061</v>
      </c>
      <c r="B216" s="3"/>
      <c r="C216" s="44"/>
      <c r="D216" s="44"/>
      <c r="E216" s="44"/>
      <c r="F216" s="44"/>
      <c r="G216" s="44"/>
      <c r="H216" s="44" t="n">
        <v>0.0322</v>
      </c>
      <c r="I216" s="44" t="n">
        <v>0.032</v>
      </c>
      <c r="J216" s="44" t="n">
        <v>0.0321</v>
      </c>
      <c r="K216" s="44" t="n">
        <v>0.032</v>
      </c>
      <c r="L216" s="44" t="n">
        <v>0.032</v>
      </c>
      <c r="M216" s="44"/>
      <c r="N216" s="44"/>
      <c r="O216" s="44"/>
      <c r="P216" s="44"/>
      <c r="Q216" s="44"/>
      <c r="R216" s="44"/>
      <c r="S216" s="44"/>
      <c r="T216" s="44"/>
      <c r="U216" s="44"/>
      <c r="V216" s="44"/>
      <c r="W216" s="44"/>
      <c r="X216" s="44"/>
      <c r="Y216" s="44"/>
      <c r="Z216" s="44"/>
      <c r="AA216" s="44"/>
    </row>
    <row r="217" ht="20" customHeight="1">
      <c r="A217" s="40" t="str">
        <v>5.05%, due August 2062</v>
      </c>
      <c r="B217" s="3"/>
      <c r="C217" s="44"/>
      <c r="D217" s="44"/>
      <c r="E217" s="44"/>
      <c r="F217" s="44"/>
      <c r="G217" s="44"/>
      <c r="H217" s="44"/>
      <c r="I217" s="44" t="n">
        <v>0.050300000000000004</v>
      </c>
      <c r="J217" s="44" t="n">
        <v>0.050499999999999996</v>
      </c>
      <c r="K217" s="44" t="n">
        <v>0.050300000000000004</v>
      </c>
      <c r="L217" s="44" t="n">
        <v>0.050300000000000004</v>
      </c>
      <c r="M217" s="44"/>
      <c r="N217" s="44"/>
      <c r="O217" s="44"/>
      <c r="P217" s="44"/>
      <c r="Q217" s="44"/>
      <c r="R217" s="44"/>
      <c r="S217" s="44"/>
      <c r="T217" s="44"/>
      <c r="U217" s="44"/>
      <c r="V217" s="44"/>
      <c r="W217" s="44"/>
      <c r="X217" s="44"/>
      <c r="Y217" s="44"/>
      <c r="Z217" s="44"/>
      <c r="AA217" s="44"/>
    </row>
    <row r="218" ht="20" customHeight="1">
      <c r="A218" s="40" t="str">
        <v>2.40% - 2.70%, due December 2035 - 2040</v>
      </c>
      <c r="B218" s="3"/>
      <c r="C218" s="44"/>
      <c r="D218" s="44"/>
      <c r="E218" s="44" t="n">
        <v>0.024900000000000002</v>
      </c>
      <c r="F218" s="44" t="n">
        <v>0.0248</v>
      </c>
      <c r="G218" s="44" t="n">
        <v>0.024900000000000002</v>
      </c>
      <c r="H218" s="44" t="n">
        <v>0.024900000000000002</v>
      </c>
      <c r="I218" s="44" t="n">
        <v>0.024900000000000002</v>
      </c>
      <c r="J218" s="44"/>
      <c r="K218" s="44"/>
      <c r="L218" s="44"/>
      <c r="M218" s="44"/>
      <c r="N218" s="44"/>
      <c r="O218" s="44"/>
      <c r="P218" s="44"/>
      <c r="Q218" s="44"/>
      <c r="R218" s="44"/>
      <c r="S218" s="44"/>
      <c r="T218" s="44"/>
      <c r="U218" s="44"/>
      <c r="V218" s="44"/>
      <c r="W218" s="44"/>
      <c r="X218" s="44"/>
      <c r="Y218" s="44"/>
      <c r="Z218" s="44"/>
      <c r="AA218" s="44"/>
    </row>
    <row r="219" ht="20" customHeight="1">
      <c r="A219" s="40" t="str">
        <v>5.00%, due March 2049</v>
      </c>
      <c r="B219" s="3"/>
      <c r="C219" s="44"/>
      <c r="D219" s="44"/>
      <c r="E219" s="44"/>
      <c r="F219" s="44" t="n">
        <v>0.0288</v>
      </c>
      <c r="G219" s="44" t="n">
        <v>0.0213</v>
      </c>
      <c r="H219" s="44" t="n">
        <v>0.0213</v>
      </c>
      <c r="I219" s="44"/>
      <c r="J219" s="44"/>
      <c r="K219" s="44"/>
      <c r="L219" s="44"/>
      <c r="M219" s="44"/>
      <c r="N219" s="44"/>
      <c r="O219" s="44"/>
      <c r="P219" s="44"/>
      <c r="Q219" s="44"/>
      <c r="R219" s="44"/>
      <c r="S219" s="44"/>
      <c r="T219" s="44"/>
      <c r="U219" s="44"/>
      <c r="V219" s="44"/>
      <c r="W219" s="44"/>
      <c r="X219" s="44"/>
      <c r="Y219" s="44"/>
      <c r="Z219" s="44"/>
      <c r="AA219" s="44"/>
    </row>
    <row r="220" ht="20" customHeight="1">
      <c r="A220" s="40" t="str">
        <v>5.90%, due February 2063</v>
      </c>
      <c r="B220" s="3"/>
      <c r="C220" s="44"/>
      <c r="D220" s="44"/>
      <c r="E220" s="44"/>
      <c r="F220" s="44"/>
      <c r="G220" s="44"/>
      <c r="H220" s="44"/>
      <c r="I220" s="44"/>
      <c r="J220" s="44" t="n">
        <v>0.0591</v>
      </c>
      <c r="K220" s="44" t="n">
        <v>0.0588</v>
      </c>
      <c r="L220" s="44" t="n">
        <v>0.0588</v>
      </c>
      <c r="M220" s="44"/>
      <c r="N220" s="44"/>
      <c r="O220" s="44"/>
      <c r="P220" s="44"/>
      <c r="Q220" s="44"/>
      <c r="R220" s="44"/>
      <c r="S220" s="44"/>
      <c r="T220" s="44"/>
      <c r="U220" s="44"/>
      <c r="V220" s="44"/>
      <c r="W220" s="44"/>
      <c r="X220" s="44"/>
      <c r="Y220" s="44"/>
      <c r="Z220" s="44"/>
      <c r="AA220" s="44"/>
    </row>
    <row r="221" ht="20" customHeight="1">
      <c r="A221" s="40" t="str">
        <v>3.80% - 4.10%, due December 2035 - 2040</v>
      </c>
      <c r="B221" s="3"/>
      <c r="C221" s="44"/>
      <c r="D221" s="44"/>
      <c r="E221" s="44"/>
      <c r="F221" s="44"/>
      <c r="G221" s="44"/>
      <c r="H221" s="44"/>
      <c r="I221" s="44"/>
      <c r="J221" s="44" t="n">
        <v>0.038900000000000004</v>
      </c>
      <c r="K221" s="44" t="n">
        <v>0.0387</v>
      </c>
      <c r="L221" s="44" t="n">
        <v>0.0387</v>
      </c>
      <c r="M221" s="44"/>
      <c r="N221" s="44"/>
      <c r="O221" s="44"/>
      <c r="P221" s="44"/>
      <c r="Q221" s="44"/>
      <c r="R221" s="44"/>
      <c r="S221" s="44"/>
      <c r="T221" s="44"/>
      <c r="U221" s="44"/>
      <c r="V221" s="44"/>
      <c r="W221" s="44"/>
      <c r="X221" s="44"/>
      <c r="Y221" s="44"/>
      <c r="Z221" s="44"/>
      <c r="AA221" s="44"/>
    </row>
    <row r="222" ht="20" customHeight="1">
      <c r="A222" s="40" t="str">
        <v>5.00%, due September 2042</v>
      </c>
      <c r="B222" s="3"/>
      <c r="C222" s="44"/>
      <c r="D222" s="44"/>
      <c r="E222" s="44"/>
      <c r="F222" s="44"/>
      <c r="G222" s="44"/>
      <c r="H222" s="44"/>
      <c r="I222" s="44" t="n">
        <v>0.0341</v>
      </c>
      <c r="J222" s="44" t="n">
        <v>0.0364</v>
      </c>
      <c r="K222" s="44" t="n">
        <v>0.0363</v>
      </c>
      <c r="L222" s="44" t="n">
        <v>0.0363</v>
      </c>
      <c r="M222" s="44"/>
      <c r="N222" s="44"/>
      <c r="O222" s="44"/>
      <c r="P222" s="44"/>
      <c r="Q222" s="44"/>
      <c r="R222" s="44"/>
      <c r="S222" s="44"/>
      <c r="T222" s="44"/>
      <c r="U222" s="44"/>
      <c r="V222" s="44"/>
      <c r="W222" s="44"/>
      <c r="X222" s="44"/>
      <c r="Y222" s="44"/>
      <c r="Z222" s="44"/>
      <c r="AA222" s="44"/>
    </row>
    <row r="223" ht="20" customHeight="1">
      <c r="A223" s="40" t="str">
        <v>5.00%, due June 2049</v>
      </c>
      <c r="B223" s="3"/>
      <c r="C223" s="44"/>
      <c r="D223" s="44"/>
      <c r="E223" s="44"/>
      <c r="F223" s="44" t="n">
        <v>0.0248</v>
      </c>
      <c r="G223" s="44" t="n">
        <v>0.0215</v>
      </c>
      <c r="H223" s="44" t="n">
        <v>0.0215</v>
      </c>
      <c r="I223" s="44" t="n">
        <v>0.0215</v>
      </c>
      <c r="J223" s="44" t="n">
        <v>0.0215</v>
      </c>
      <c r="K223" s="44"/>
      <c r="L223" s="44"/>
      <c r="M223" s="44"/>
      <c r="N223" s="44"/>
      <c r="O223" s="44"/>
      <c r="P223" s="44"/>
      <c r="Q223" s="44"/>
      <c r="R223" s="44"/>
      <c r="S223" s="44"/>
      <c r="T223" s="44"/>
      <c r="U223" s="44"/>
      <c r="V223" s="44"/>
      <c r="W223" s="44"/>
      <c r="X223" s="44"/>
      <c r="Y223" s="44"/>
      <c r="Z223" s="44"/>
      <c r="AA223" s="44"/>
    </row>
    <row r="224" ht="20" customHeight="1">
      <c r="A224" s="40" t="str">
        <v>3.25%, due August 2039</v>
      </c>
      <c r="B224" s="3"/>
      <c r="C224" s="44"/>
      <c r="D224" s="44" t="n">
        <v>0.0403</v>
      </c>
      <c r="E224" s="44" t="n">
        <v>0.0342</v>
      </c>
      <c r="F224" s="44" t="n">
        <v>0.0337</v>
      </c>
      <c r="G224" s="44"/>
      <c r="H224" s="44"/>
      <c r="I224" s="44"/>
      <c r="J224" s="44"/>
      <c r="K224" s="44"/>
      <c r="L224" s="44"/>
      <c r="M224" s="44"/>
      <c r="N224" s="44"/>
      <c r="O224" s="44"/>
      <c r="P224" s="44"/>
      <c r="Q224" s="44"/>
      <c r="R224" s="44"/>
      <c r="S224" s="44"/>
      <c r="T224" s="44"/>
      <c r="U224" s="44"/>
      <c r="V224" s="44"/>
      <c r="W224" s="44"/>
      <c r="X224" s="44"/>
      <c r="Y224" s="44"/>
      <c r="Z224" s="44"/>
      <c r="AA224" s="44"/>
    </row>
    <row r="225" ht="20" customHeight="1">
      <c r="A225" s="40" t="str">
        <v>4.00%, due June 2049</v>
      </c>
      <c r="B225" s="3"/>
      <c r="C225" s="44"/>
      <c r="D225" s="44"/>
      <c r="E225" s="44"/>
      <c r="F225" s="44"/>
      <c r="G225" s="44"/>
      <c r="H225" s="44"/>
      <c r="I225" s="44"/>
      <c r="J225" s="44"/>
      <c r="K225" s="44" t="n">
        <v>0.039900000000000005</v>
      </c>
      <c r="L225" s="44" t="n">
        <v>0.0398</v>
      </c>
      <c r="M225" s="44"/>
      <c r="N225" s="44"/>
      <c r="O225" s="44"/>
      <c r="P225" s="44"/>
      <c r="Q225" s="44"/>
      <c r="R225" s="44"/>
      <c r="S225" s="44"/>
      <c r="T225" s="44"/>
      <c r="U225" s="44"/>
      <c r="V225" s="44"/>
      <c r="W225" s="44"/>
      <c r="X225" s="44"/>
      <c r="Y225" s="44"/>
      <c r="Z225" s="44"/>
      <c r="AA225" s="44"/>
    </row>
    <row r="226" ht="20" customHeight="1">
      <c r="A226" s="40" t="str">
        <v>5.00%, due September 2052</v>
      </c>
      <c r="B226" s="3"/>
      <c r="C226" s="44"/>
      <c r="D226" s="44"/>
      <c r="E226" s="44"/>
      <c r="F226" s="44"/>
      <c r="G226" s="44"/>
      <c r="H226" s="44"/>
      <c r="I226" s="44" t="n">
        <v>0.0317</v>
      </c>
      <c r="J226" s="44" t="n">
        <v>0.0426</v>
      </c>
      <c r="K226" s="44" t="n">
        <v>0.0424</v>
      </c>
      <c r="L226" s="44" t="n">
        <v>0.0424</v>
      </c>
      <c r="M226" s="44"/>
      <c r="N226" s="44"/>
      <c r="O226" s="44"/>
      <c r="P226" s="44"/>
      <c r="Q226" s="44"/>
      <c r="R226" s="44"/>
      <c r="S226" s="44"/>
      <c r="T226" s="44"/>
      <c r="U226" s="44"/>
      <c r="V226" s="44"/>
      <c r="W226" s="44"/>
      <c r="X226" s="44"/>
      <c r="Y226" s="44"/>
      <c r="Z226" s="44"/>
      <c r="AA226" s="44"/>
    </row>
    <row r="227" ht="8"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22" customHeight="1">
      <c r="A228" s="21" t="str">
        <v>Debt maturities: years after each balance-sheet date</v>
      </c>
      <c r="B228" s="21" t="str">
        <v>Debt maturities: years after each balance-sheet date</v>
      </c>
      <c r="C228" s="21" t="str">
        <v>Debt maturities: years after each balance-sheet date</v>
      </c>
      <c r="D228" s="21" t="str">
        <v>Debt maturities: years after each balance-sheet date</v>
      </c>
      <c r="E228" s="21" t="str">
        <v>Debt maturities: years after each balance-sheet date</v>
      </c>
      <c r="F228" s="21" t="str">
        <v>Debt maturities: years after each balance-sheet date</v>
      </c>
      <c r="G228" s="21" t="str">
        <v>Debt maturities: years after each balance-sheet date</v>
      </c>
      <c r="H228" s="21" t="str">
        <v>Debt maturities: years after each balance-sheet date</v>
      </c>
      <c r="I228" s="21" t="str">
        <v>Debt maturities: years after each balance-sheet date</v>
      </c>
      <c r="J228" s="21" t="str">
        <v>Debt maturities: years after each balance-sheet date</v>
      </c>
      <c r="K228" s="21" t="str">
        <v>Debt maturities: years after each balance-sheet date</v>
      </c>
      <c r="L228" s="21" t="str">
        <v>Debt maturities: years after each balance-sheet date</v>
      </c>
      <c r="M228" s="21" t="str">
        <v>Debt maturities: years after each balance-sheet date</v>
      </c>
      <c r="N228" s="21" t="str">
        <v>Debt maturities: years after each balance-sheet date</v>
      </c>
      <c r="O228" s="21" t="str">
        <v>Debt maturities: years after each balance-sheet date</v>
      </c>
      <c r="P228" s="21" t="str">
        <v>Debt maturities: years after each balance-sheet date</v>
      </c>
      <c r="Q228" s="21" t="str">
        <v>Debt maturities: years after each balance-sheet date</v>
      </c>
      <c r="R228" s="21" t="str">
        <v>Debt maturities: years after each balance-sheet date</v>
      </c>
      <c r="S228" s="21" t="str">
        <v>Debt maturities: years after each balance-sheet date</v>
      </c>
      <c r="T228" s="21" t="str">
        <v>Debt maturities: years after each balance-sheet date</v>
      </c>
      <c r="U228" s="21" t="str">
        <v>Debt maturities: years after each balance-sheet date</v>
      </c>
      <c r="V228" s="21" t="str">
        <v>Debt maturities: years after each balance-sheet date</v>
      </c>
      <c r="W228" s="21" t="str">
        <v>Debt maturities: years after each balance-sheet date</v>
      </c>
      <c r="X228" s="21" t="str">
        <v>Debt maturities: years after each balance-sheet date</v>
      </c>
      <c r="Y228" s="21" t="str">
        <v>Debt maturities: years after each balance-sheet date</v>
      </c>
      <c r="Z228" s="21" t="str">
        <v>Debt maturities: years after each balance-sheet date</v>
      </c>
      <c r="AA228" s="21" t="str">
        <v>Debt maturities: years after each balance-sheet date</v>
      </c>
    </row>
    <row r="229" ht="22" customHeight="1">
      <c r="A229" s="49" t="str">
        <v>Future debt maturities</v>
      </c>
      <c r="B229" s="3"/>
      <c r="C229" s="51"/>
      <c r="D229" s="51"/>
      <c r="E229" s="51"/>
      <c r="F229" s="51"/>
      <c r="G229" s="51"/>
      <c r="H229" s="51"/>
      <c r="I229" s="51"/>
      <c r="J229" s="51"/>
      <c r="K229" s="51"/>
      <c r="L229" s="51" t="n">
        <v>2500</v>
      </c>
      <c r="M229" s="51"/>
      <c r="N229" s="51"/>
      <c r="O229" s="51"/>
      <c r="P229" s="51"/>
      <c r="Q229" s="51"/>
      <c r="R229" s="51"/>
      <c r="S229" s="51"/>
      <c r="T229" s="51"/>
      <c r="U229" s="51"/>
      <c r="V229" s="51"/>
      <c r="W229" s="51"/>
      <c r="X229" s="51"/>
      <c r="Y229" s="51"/>
      <c r="Z229" s="51"/>
      <c r="AA229" s="51"/>
    </row>
    <row r="230" ht="22" customHeight="1">
      <c r="A230" s="49" t="str">
        <v>Future debt maturities [2031 and thereafter]</v>
      </c>
      <c r="B230" s="3"/>
      <c r="C230" s="51"/>
      <c r="D230" s="51"/>
      <c r="E230" s="51"/>
      <c r="F230" s="51"/>
      <c r="G230" s="51"/>
      <c r="H230" s="51"/>
      <c r="I230" s="51"/>
      <c r="J230" s="51"/>
      <c r="K230" s="51"/>
      <c r="L230" s="51" t="n">
        <v>31698</v>
      </c>
      <c r="M230" s="51"/>
      <c r="N230" s="51"/>
      <c r="O230" s="51"/>
      <c r="P230" s="51"/>
      <c r="Q230" s="51"/>
      <c r="R230" s="51"/>
      <c r="S230" s="51"/>
      <c r="T230" s="51"/>
      <c r="U230" s="51"/>
      <c r="V230" s="51"/>
      <c r="W230" s="51"/>
      <c r="X230" s="51"/>
      <c r="Y230" s="51"/>
      <c r="Z230" s="51"/>
      <c r="AA230" s="51"/>
    </row>
    <row r="231" ht="22" customHeight="1">
      <c r="A231" s="49" t="str">
        <v>Future debt maturities [Total]</v>
      </c>
      <c r="B231" s="3"/>
      <c r="C231" s="51"/>
      <c r="D231" s="51"/>
      <c r="E231" s="51"/>
      <c r="F231" s="51"/>
      <c r="G231" s="51"/>
      <c r="H231" s="51"/>
      <c r="I231" s="51"/>
      <c r="J231" s="51"/>
      <c r="K231" s="51"/>
      <c r="L231" s="51" t="n">
        <v>47235</v>
      </c>
      <c r="M231" s="51"/>
      <c r="N231" s="51"/>
      <c r="O231" s="51"/>
      <c r="P231" s="51"/>
      <c r="Q231" s="51"/>
      <c r="R231" s="51"/>
      <c r="S231" s="51"/>
      <c r="T231" s="51"/>
      <c r="U231" s="51"/>
      <c r="V231" s="51"/>
      <c r="W231" s="51"/>
      <c r="X231" s="51"/>
      <c r="Y231" s="51"/>
      <c r="Z231" s="51"/>
      <c r="AA231" s="51"/>
    </row>
    <row r="232" ht="22" customHeight="1">
      <c r="A232" s="49" t="str">
        <v>[Aggregate debt maturities, excluding commercial paper]</v>
      </c>
      <c r="B232" s="3"/>
      <c r="C232" s="51"/>
      <c r="D232" s="51" t="n">
        <v>600</v>
      </c>
      <c r="E232" s="51" t="n">
        <v>177</v>
      </c>
      <c r="F232" s="51" t="n">
        <v>3450</v>
      </c>
      <c r="G232" s="51" t="n">
        <v>2500</v>
      </c>
      <c r="H232" s="51" t="n">
        <v>4586</v>
      </c>
      <c r="I232" s="51" t="n">
        <v>423</v>
      </c>
      <c r="J232" s="51" t="n">
        <v>2288</v>
      </c>
      <c r="K232" s="51" t="n">
        <v>3750</v>
      </c>
      <c r="L232" s="51"/>
      <c r="M232" s="51"/>
      <c r="N232" s="51"/>
      <c r="O232" s="51"/>
      <c r="P232" s="51"/>
      <c r="Q232" s="51"/>
      <c r="R232" s="51"/>
      <c r="S232" s="51"/>
      <c r="T232" s="51"/>
      <c r="U232" s="51"/>
      <c r="V232" s="51"/>
      <c r="W232" s="51"/>
      <c r="X232" s="51"/>
      <c r="Y232" s="51"/>
      <c r="Z232" s="51"/>
      <c r="AA232" s="51"/>
    </row>
    <row r="233" ht="36" customHeight="1">
      <c r="A233" s="49" t="str">
        <v>[Aggregate debt maturities, excluding commercial paper] [2023 and thereafter]</v>
      </c>
      <c r="B233" s="3"/>
      <c r="C233" s="51"/>
      <c r="D233" s="51" t="n">
        <v>17163</v>
      </c>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36" customHeight="1">
      <c r="A234" s="49" t="str">
        <v>[Aggregate debt maturities, excluding commercial paper] [2024 and thereafter]</v>
      </c>
      <c r="B234" s="3"/>
      <c r="C234" s="51"/>
      <c r="D234" s="51"/>
      <c r="E234" s="51" t="n">
        <v>16174</v>
      </c>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36" customHeight="1">
      <c r="A235" s="49" t="str">
        <v>[Aggregate debt maturities, excluding commercial paper] [2025 and thereafter]</v>
      </c>
      <c r="B235" s="3"/>
      <c r="C235" s="51"/>
      <c r="D235" s="51"/>
      <c r="E235" s="51"/>
      <c r="F235" s="51" t="n">
        <v>16119</v>
      </c>
      <c r="G235" s="51"/>
      <c r="H235" s="51"/>
      <c r="I235" s="51"/>
      <c r="J235" s="51"/>
      <c r="K235" s="51"/>
      <c r="L235" s="51"/>
      <c r="M235" s="51"/>
      <c r="N235" s="51"/>
      <c r="O235" s="51"/>
      <c r="P235" s="51"/>
      <c r="Q235" s="51"/>
      <c r="R235" s="51"/>
      <c r="S235" s="51"/>
      <c r="T235" s="51"/>
      <c r="U235" s="51"/>
      <c r="V235" s="51"/>
      <c r="W235" s="51"/>
      <c r="X235" s="51"/>
      <c r="Y235" s="51"/>
      <c r="Z235" s="51"/>
      <c r="AA235" s="51"/>
    </row>
    <row r="236" ht="36" customHeight="1">
      <c r="A236" s="49" t="str">
        <v>[Aggregate debt maturities, excluding commercial paper] [2026 and thereafter]</v>
      </c>
      <c r="B236" s="3"/>
      <c r="C236" s="51"/>
      <c r="D236" s="51"/>
      <c r="E236" s="51"/>
      <c r="F236" s="51"/>
      <c r="G236" s="51" t="n">
        <v>22247</v>
      </c>
      <c r="H236" s="51"/>
      <c r="I236" s="51"/>
      <c r="J236" s="51"/>
      <c r="K236" s="51"/>
      <c r="L236" s="51"/>
      <c r="M236" s="51"/>
      <c r="N236" s="51"/>
      <c r="O236" s="51"/>
      <c r="P236" s="51"/>
      <c r="Q236" s="51"/>
      <c r="R236" s="51"/>
      <c r="S236" s="51"/>
      <c r="T236" s="51"/>
      <c r="U236" s="51"/>
      <c r="V236" s="51"/>
      <c r="W236" s="51"/>
      <c r="X236" s="51"/>
      <c r="Y236" s="51"/>
      <c r="Z236" s="51"/>
      <c r="AA236" s="51"/>
    </row>
    <row r="237" ht="36" customHeight="1">
      <c r="A237" s="49" t="str">
        <v>[Aggregate debt maturities, excluding commercial paper] [2027 and thereafter]</v>
      </c>
      <c r="B237" s="3"/>
      <c r="C237" s="51"/>
      <c r="D237" s="51"/>
      <c r="E237" s="51"/>
      <c r="F237" s="51"/>
      <c r="G237" s="51"/>
      <c r="H237" s="51" t="n">
        <v>26109</v>
      </c>
      <c r="I237" s="51"/>
      <c r="J237" s="51"/>
      <c r="K237" s="51"/>
      <c r="L237" s="51"/>
      <c r="M237" s="51"/>
      <c r="N237" s="51"/>
      <c r="O237" s="51"/>
      <c r="P237" s="51"/>
      <c r="Q237" s="51"/>
      <c r="R237" s="51"/>
      <c r="S237" s="51"/>
      <c r="T237" s="51"/>
      <c r="U237" s="51"/>
      <c r="V237" s="51"/>
      <c r="W237" s="51"/>
      <c r="X237" s="51"/>
      <c r="Y237" s="51"/>
      <c r="Z237" s="51"/>
      <c r="AA237" s="51"/>
    </row>
    <row r="238" ht="36" customHeight="1">
      <c r="A238" s="49" t="str">
        <v>[Aggregate debt maturities, excluding commercial paper] [2028 and thereafter]</v>
      </c>
      <c r="B238" s="3"/>
      <c r="C238" s="51"/>
      <c r="D238" s="51"/>
      <c r="E238" s="51"/>
      <c r="F238" s="51"/>
      <c r="G238" s="51"/>
      <c r="H238" s="51"/>
      <c r="I238" s="51" t="n">
        <v>27998</v>
      </c>
      <c r="J238" s="51"/>
      <c r="K238" s="51"/>
      <c r="L238" s="51"/>
      <c r="M238" s="51"/>
      <c r="N238" s="51"/>
      <c r="O238" s="51"/>
      <c r="P238" s="51"/>
      <c r="Q238" s="51"/>
      <c r="R238" s="51"/>
      <c r="S238" s="51"/>
      <c r="T238" s="51"/>
      <c r="U238" s="51"/>
      <c r="V238" s="51"/>
      <c r="W238" s="51"/>
      <c r="X238" s="51"/>
      <c r="Y238" s="51"/>
      <c r="Z238" s="51"/>
      <c r="AA238" s="51"/>
    </row>
    <row r="239" ht="36" customHeight="1">
      <c r="A239" s="49" t="str">
        <v>[Aggregate debt maturities, excluding commercial paper] [2029 and thereafter]</v>
      </c>
      <c r="B239" s="3"/>
      <c r="C239" s="51"/>
      <c r="D239" s="51"/>
      <c r="E239" s="51"/>
      <c r="F239" s="51"/>
      <c r="G239" s="51"/>
      <c r="H239" s="51"/>
      <c r="I239" s="51"/>
      <c r="J239" s="51" t="n">
        <v>34747</v>
      </c>
      <c r="K239" s="51"/>
      <c r="L239" s="51"/>
      <c r="M239" s="51"/>
      <c r="N239" s="51"/>
      <c r="O239" s="51"/>
      <c r="P239" s="51"/>
      <c r="Q239" s="51"/>
      <c r="R239" s="51"/>
      <c r="S239" s="51"/>
      <c r="T239" s="51"/>
      <c r="U239" s="51"/>
      <c r="V239" s="51"/>
      <c r="W239" s="51"/>
      <c r="X239" s="51"/>
      <c r="Y239" s="51"/>
      <c r="Z239" s="51"/>
      <c r="AA239" s="51"/>
    </row>
    <row r="240" ht="36" customHeight="1">
      <c r="A240" s="49" t="str">
        <v>[Aggregate debt maturities, excluding commercial paper] [2030 and thereafter]</v>
      </c>
      <c r="B240" s="3"/>
      <c r="C240" s="51"/>
      <c r="D240" s="51"/>
      <c r="E240" s="51"/>
      <c r="F240" s="51"/>
      <c r="G240" s="51"/>
      <c r="H240" s="51"/>
      <c r="I240" s="51"/>
      <c r="J240" s="51"/>
      <c r="K240" s="51" t="n">
        <v>34448</v>
      </c>
      <c r="L240" s="51"/>
      <c r="M240" s="51"/>
      <c r="N240" s="51"/>
      <c r="O240" s="51"/>
      <c r="P240" s="51"/>
      <c r="Q240" s="51"/>
      <c r="R240" s="51"/>
      <c r="S240" s="51"/>
      <c r="T240" s="51"/>
      <c r="U240" s="51"/>
      <c r="V240" s="51"/>
      <c r="W240" s="51"/>
      <c r="X240" s="51"/>
      <c r="Y240" s="51"/>
      <c r="Z240" s="51"/>
      <c r="AA240" s="51"/>
    </row>
    <row r="241" ht="36" customHeight="1">
      <c r="A241" s="49" t="str">
        <v>[Aggregate debt maturities, excluding commercial paper] [Total]</v>
      </c>
      <c r="B241" s="3"/>
      <c r="C241" s="51"/>
      <c r="D241" s="51" t="n">
        <v>28385</v>
      </c>
      <c r="E241" s="51" t="n">
        <v>27140</v>
      </c>
      <c r="F241" s="51" t="n">
        <v>28751</v>
      </c>
      <c r="G241" s="51" t="n">
        <v>35214</v>
      </c>
      <c r="H241" s="51" t="n">
        <v>37695</v>
      </c>
      <c r="I241" s="51" t="n">
        <v>39285</v>
      </c>
      <c r="J241" s="51" t="n">
        <v>50285</v>
      </c>
      <c r="K241" s="51" t="n">
        <v>50985</v>
      </c>
      <c r="L241" s="51"/>
      <c r="M241" s="51"/>
      <c r="N241" s="51"/>
      <c r="O241" s="51"/>
      <c r="P241" s="51"/>
      <c r="Q241" s="51"/>
      <c r="R241" s="51"/>
      <c r="S241" s="51"/>
      <c r="T241" s="51"/>
      <c r="U241" s="51"/>
      <c r="V241" s="51"/>
      <c r="W241" s="51"/>
      <c r="X241" s="51"/>
      <c r="Y241" s="51"/>
      <c r="Z241" s="51"/>
      <c r="AA241" s="51"/>
    </row>
    <row r="242" ht="22" customHeight="1">
      <c r="A242" s="49" t="str">
        <v>Due in fiscal year +1 after balance date</v>
      </c>
      <c r="B242" s="3"/>
      <c r="C242" s="51" t="n">
        <v>3500</v>
      </c>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22" customHeight="1">
      <c r="A243" s="49" t="str">
        <v>Due in fiscal year +2 after balance date</v>
      </c>
      <c r="B243" s="3"/>
      <c r="C243" s="51" t="n">
        <v>600</v>
      </c>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22" customHeight="1">
      <c r="A244" s="49" t="str">
        <v>Due in fiscal year +3 after balance date</v>
      </c>
      <c r="B244" s="3"/>
      <c r="C244" s="51" t="n">
        <v>180</v>
      </c>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22" customHeight="1">
      <c r="A245" s="49" t="str">
        <v>Due in fiscal year +4 after balance date</v>
      </c>
      <c r="B245" s="3"/>
      <c r="C245" s="51" t="n">
        <v>1750</v>
      </c>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22" customHeight="1">
      <c r="A246" s="49" t="str">
        <v>Due in fiscal year +5 after balance date</v>
      </c>
      <c r="B246" s="3"/>
      <c r="C246" s="51" t="n">
        <v>2500</v>
      </c>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22" customHeight="1">
      <c r="A247" s="49" t="str">
        <v>Due fiscal year +6 and thereafter</v>
      </c>
      <c r="B247" s="3"/>
      <c r="C247" s="51" t="n">
        <v>18492</v>
      </c>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24" customHeight="1">
      <c r="A248" s="34" t="str">
        <v>Total</v>
      </c>
      <c r="B248" s="35"/>
      <c r="C248" s="36" t="n">
        <v>27022</v>
      </c>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ht="8"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22" customHeight="1">
      <c r="A250" s="21" t="str">
        <v>Convertible debentures</v>
      </c>
      <c r="B250" s="21" t="str">
        <v>Convertible debentures</v>
      </c>
      <c r="C250" s="21" t="str">
        <v>Convertible debentures</v>
      </c>
      <c r="D250" s="21" t="str">
        <v>Convertible debentures</v>
      </c>
      <c r="E250" s="21" t="str">
        <v>Convertible debentures</v>
      </c>
      <c r="F250" s="21" t="str">
        <v>Convertible debentures</v>
      </c>
      <c r="G250" s="21" t="str">
        <v>Convertible debentures</v>
      </c>
      <c r="H250" s="21" t="str">
        <v>Convertible debentures</v>
      </c>
      <c r="I250" s="21" t="str">
        <v>Convertible debentures</v>
      </c>
      <c r="J250" s="21" t="str">
        <v>Convertible debentures</v>
      </c>
      <c r="K250" s="21" t="str">
        <v>Convertible debentures</v>
      </c>
      <c r="L250" s="21" t="str">
        <v>Convertible debentures</v>
      </c>
      <c r="M250" s="21" t="str">
        <v>Convertible debentures</v>
      </c>
      <c r="N250" s="21" t="str">
        <v>Convertible debentures</v>
      </c>
      <c r="O250" s="21" t="str">
        <v>Convertible debentures</v>
      </c>
      <c r="P250" s="21" t="str">
        <v>Convertible debentures</v>
      </c>
      <c r="Q250" s="21" t="str">
        <v>Convertible debentures</v>
      </c>
      <c r="R250" s="21" t="str">
        <v>Convertible debentures</v>
      </c>
      <c r="S250" s="21" t="str">
        <v>Convertible debentures</v>
      </c>
      <c r="T250" s="21" t="str">
        <v>Convertible debentures</v>
      </c>
      <c r="U250" s="21" t="str">
        <v>Convertible debentures</v>
      </c>
      <c r="V250" s="21" t="str">
        <v>Convertible debentures</v>
      </c>
      <c r="W250" s="21" t="str">
        <v>Convertible debentures</v>
      </c>
      <c r="X250" s="21" t="str">
        <v>Convertible debentures</v>
      </c>
      <c r="Y250" s="21" t="str">
        <v>Convertible debentures</v>
      </c>
      <c r="Z250" s="21" t="str">
        <v>Convertible debentures</v>
      </c>
      <c r="AA250" s="21" t="str">
        <v>Convertible debentures</v>
      </c>
    </row>
    <row r="251" ht="22" customHeight="1">
      <c r="A251" s="49" t="str">
        <v>Outstanding principal</v>
      </c>
      <c r="B251" s="3"/>
      <c r="C251" s="51" t="n">
        <v>2000</v>
      </c>
      <c r="D251" s="51" t="n">
        <v>2000</v>
      </c>
      <c r="E251" s="51" t="n">
        <v>988</v>
      </c>
      <c r="F251" s="51" t="n">
        <v>372</v>
      </c>
      <c r="G251" s="51"/>
      <c r="H251" s="51"/>
      <c r="I251" s="51"/>
      <c r="J251" s="51"/>
      <c r="K251" s="51"/>
      <c r="L251" s="51"/>
      <c r="M251" s="51"/>
      <c r="N251" s="51"/>
      <c r="O251" s="51"/>
      <c r="P251" s="51"/>
      <c r="Q251" s="51"/>
      <c r="R251" s="51"/>
      <c r="S251" s="51"/>
      <c r="T251" s="51"/>
      <c r="U251" s="51"/>
      <c r="V251" s="51"/>
      <c r="W251" s="51"/>
      <c r="X251" s="51"/>
      <c r="Y251" s="51"/>
      <c r="Z251" s="51"/>
      <c r="AA251" s="51"/>
    </row>
    <row r="252" ht="36" customHeight="1">
      <c r="A252" s="49" t="str">
        <v>Equity component (including temporary equity) carrying amount</v>
      </c>
      <c r="B252" s="3"/>
      <c r="C252" s="51" t="n">
        <v>613</v>
      </c>
      <c r="D252" s="51" t="n">
        <v>613</v>
      </c>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22" customHeight="1">
      <c r="A253" s="49" t="str">
        <v>Unamortized discount</v>
      </c>
      <c r="B253" s="3"/>
      <c r="C253" s="51" t="n">
        <v>882</v>
      </c>
      <c r="D253" s="51" t="n">
        <v>866</v>
      </c>
      <c r="E253" s="51" t="n">
        <v>419</v>
      </c>
      <c r="F253" s="51" t="n">
        <v>155</v>
      </c>
      <c r="G253" s="51"/>
      <c r="H253" s="51"/>
      <c r="I253" s="51"/>
      <c r="J253" s="51"/>
      <c r="K253" s="51"/>
      <c r="L253" s="51"/>
      <c r="M253" s="51"/>
      <c r="N253" s="51"/>
      <c r="O253" s="51"/>
      <c r="P253" s="51"/>
      <c r="Q253" s="51"/>
      <c r="R253" s="51"/>
      <c r="S253" s="51"/>
      <c r="T253" s="51"/>
      <c r="U253" s="51"/>
      <c r="V253" s="51"/>
      <c r="W253" s="51"/>
      <c r="X253" s="51"/>
      <c r="Y253" s="51"/>
      <c r="Z253" s="51"/>
      <c r="AA253" s="51"/>
    </row>
    <row r="254" ht="22" customHeight="1">
      <c r="A254" s="49" t="str">
        <v>Net debt carrying amount</v>
      </c>
      <c r="B254" s="3"/>
      <c r="C254" s="51" t="n">
        <v>1118</v>
      </c>
      <c r="D254" s="51" t="n">
        <v>1134</v>
      </c>
      <c r="E254" s="51" t="n">
        <v>569</v>
      </c>
      <c r="F254" s="51" t="n">
        <v>217</v>
      </c>
      <c r="G254" s="51"/>
      <c r="H254" s="51"/>
      <c r="I254" s="51"/>
      <c r="J254" s="51"/>
      <c r="K254" s="51"/>
      <c r="L254" s="51"/>
      <c r="M254" s="51"/>
      <c r="N254" s="51"/>
      <c r="O254" s="51"/>
      <c r="P254" s="51"/>
      <c r="Q254" s="51"/>
      <c r="R254" s="51"/>
      <c r="S254" s="51"/>
      <c r="T254" s="51"/>
      <c r="U254" s="51"/>
      <c r="V254" s="51"/>
      <c r="W254" s="51"/>
      <c r="X254" s="51"/>
      <c r="Y254" s="51"/>
      <c r="Z254" s="51"/>
      <c r="AA254" s="51"/>
    </row>
    <row r="255" ht="36" customHeight="1">
      <c r="A255" s="49" t="str">
        <v>Conversion rate (shares of common stock per $1,000 principal amount of debentures)</v>
      </c>
      <c r="B255" s="3"/>
      <c r="C255" s="51" t="n">
        <v>47.72</v>
      </c>
      <c r="D255" s="51" t="n">
        <v>48.37</v>
      </c>
      <c r="E255" s="51" t="n">
        <v>49.01</v>
      </c>
      <c r="F255" s="51" t="n">
        <v>49.69</v>
      </c>
      <c r="G255" s="51"/>
      <c r="H255" s="51"/>
      <c r="I255" s="51"/>
      <c r="J255" s="51"/>
      <c r="K255" s="51"/>
      <c r="L255" s="51"/>
      <c r="M255" s="51"/>
      <c r="N255" s="51"/>
      <c r="O255" s="51"/>
      <c r="P255" s="51"/>
      <c r="Q255" s="51"/>
      <c r="R255" s="51"/>
      <c r="S255" s="51"/>
      <c r="T255" s="51"/>
      <c r="U255" s="51"/>
      <c r="V255" s="51"/>
      <c r="W255" s="51"/>
      <c r="X255" s="51"/>
      <c r="Y255" s="51"/>
      <c r="Z255" s="51"/>
      <c r="AA255" s="51"/>
    </row>
    <row r="256" ht="22" customHeight="1">
      <c r="A256" s="49" t="str">
        <v>Effective conversion price (per share of common stock)</v>
      </c>
      <c r="B256" s="3"/>
      <c r="C256" s="60" t="n">
        <v>20.95</v>
      </c>
      <c r="D256" s="60" t="n">
        <v>20.68</v>
      </c>
      <c r="E256" s="60" t="n">
        <v>20.4</v>
      </c>
      <c r="F256" s="60" t="n">
        <v>20.13</v>
      </c>
      <c r="G256" s="60"/>
      <c r="H256" s="60"/>
      <c r="I256" s="60"/>
      <c r="J256" s="60"/>
      <c r="K256" s="60"/>
      <c r="L256" s="60"/>
      <c r="M256" s="60"/>
      <c r="N256" s="60"/>
      <c r="O256" s="60"/>
      <c r="P256" s="60"/>
      <c r="Q256" s="60"/>
      <c r="R256" s="60"/>
      <c r="S256" s="60"/>
      <c r="T256" s="60"/>
      <c r="U256" s="60"/>
      <c r="V256" s="60"/>
      <c r="W256" s="60"/>
      <c r="X256" s="60"/>
      <c r="Y256" s="60"/>
      <c r="Z256" s="60"/>
      <c r="AA256" s="60"/>
    </row>
    <row r="257" ht="20" customHeight="1">
      <c r="A257" s="40" t="str">
        <v>Annual stated coupon interest rate [2009Debentures]</v>
      </c>
      <c r="B257" s="3"/>
      <c r="C257" s="44" t="n">
        <v>0.0325</v>
      </c>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ht="20" customHeight="1">
      <c r="A258" s="40" t="str">
        <v>Annual stated coupon interest rate [2005Debentures]</v>
      </c>
      <c r="B258" s="3"/>
      <c r="C258" s="44" t="n">
        <v>0.029500000000000002</v>
      </c>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row>
    <row r="259" ht="20" customHeight="1">
      <c r="A259" s="40" t="str">
        <v>Annual effective interest rate [2009Debentures]</v>
      </c>
      <c r="B259" s="3"/>
      <c r="C259" s="44" t="n">
        <v>0.07200000000000001</v>
      </c>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ht="20" customHeight="1">
      <c r="A260" s="40" t="str">
        <v>Annual effective interest rate [2005Debentures]</v>
      </c>
      <c r="B260" s="3"/>
      <c r="C260" s="44" t="n">
        <v>0.0645</v>
      </c>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ht="8"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22" customHeight="1">
      <c r="A262" s="21" t="str">
        <v>Debt fair value hierarchy</v>
      </c>
      <c r="B262" s="21" t="str">
        <v>Debt fair value hierarchy</v>
      </c>
      <c r="C262" s="21" t="str">
        <v>Debt fair value hierarchy</v>
      </c>
      <c r="D262" s="21" t="str">
        <v>Debt fair value hierarchy</v>
      </c>
      <c r="E262" s="21" t="str">
        <v>Debt fair value hierarchy</v>
      </c>
      <c r="F262" s="21" t="str">
        <v>Debt fair value hierarchy</v>
      </c>
      <c r="G262" s="21" t="str">
        <v>Debt fair value hierarchy</v>
      </c>
      <c r="H262" s="21" t="str">
        <v>Debt fair value hierarchy</v>
      </c>
      <c r="I262" s="21" t="str">
        <v>Debt fair value hierarchy</v>
      </c>
      <c r="J262" s="21" t="str">
        <v>Debt fair value hierarchy</v>
      </c>
      <c r="K262" s="21" t="str">
        <v>Debt fair value hierarchy</v>
      </c>
      <c r="L262" s="21" t="str">
        <v>Debt fair value hierarchy</v>
      </c>
      <c r="M262" s="21" t="str">
        <v>Debt fair value hierarchy</v>
      </c>
      <c r="N262" s="21" t="str">
        <v>Debt fair value hierarchy</v>
      </c>
      <c r="O262" s="21" t="str">
        <v>Debt fair value hierarchy</v>
      </c>
      <c r="P262" s="21" t="str">
        <v>Debt fair value hierarchy</v>
      </c>
      <c r="Q262" s="21" t="str">
        <v>Debt fair value hierarchy</v>
      </c>
      <c r="R262" s="21" t="str">
        <v>Debt fair value hierarchy</v>
      </c>
      <c r="S262" s="21" t="str">
        <v>Debt fair value hierarchy</v>
      </c>
      <c r="T262" s="21" t="str">
        <v>Debt fair value hierarchy</v>
      </c>
      <c r="U262" s="21" t="str">
        <v>Debt fair value hierarchy</v>
      </c>
      <c r="V262" s="21" t="str">
        <v>Debt fair value hierarchy</v>
      </c>
      <c r="W262" s="21" t="str">
        <v>Debt fair value hierarchy</v>
      </c>
      <c r="X262" s="21" t="str">
        <v>Debt fair value hierarchy</v>
      </c>
      <c r="Y262" s="21" t="str">
        <v>Debt fair value hierarchy</v>
      </c>
      <c r="Z262" s="21" t="str">
        <v>Debt fair value hierarchy</v>
      </c>
      <c r="AA262" s="21" t="str">
        <v>Debt fair value hierarchy</v>
      </c>
    </row>
    <row r="263" ht="22" customHeight="1">
      <c r="A263" s="49" t="str">
        <v>Short-term debt</v>
      </c>
      <c r="B263" s="3"/>
      <c r="C263" s="51" t="n">
        <v>4609</v>
      </c>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22" customHeight="1">
      <c r="A264" s="49" t="str">
        <v>Short-term debt [level1]</v>
      </c>
      <c r="B264" s="3"/>
      <c r="C264" s="51" t="n">
        <v>3006</v>
      </c>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22" customHeight="1">
      <c r="A265" s="49" t="str">
        <v>Short-term debt [level2]</v>
      </c>
      <c r="B265" s="3"/>
      <c r="C265" s="51" t="n">
        <v>2114</v>
      </c>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22" customHeight="1">
      <c r="A266" s="49" t="str">
        <v>Short-term debt [level3]</v>
      </c>
      <c r="B266" s="3"/>
      <c r="C266" s="51" t="n">
        <v>0</v>
      </c>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22" customHeight="1">
      <c r="A267" s="49" t="str">
        <v>Short-term debt</v>
      </c>
      <c r="B267" s="3"/>
      <c r="C267" s="51" t="n">
        <v>5120</v>
      </c>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22" customHeight="1">
      <c r="A268" s="49" t="str">
        <v>Long-term debt</v>
      </c>
      <c r="B268" s="3"/>
      <c r="C268" s="51" t="n">
        <v>20649</v>
      </c>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22" customHeight="1">
      <c r="A269" s="49" t="str">
        <v>Long-term debt [level1]</v>
      </c>
      <c r="B269" s="3"/>
      <c r="C269" s="51" t="n">
        <v>12171</v>
      </c>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22" customHeight="1">
      <c r="A270" s="49" t="str">
        <v>Long-term debt [level2]</v>
      </c>
      <c r="B270" s="3"/>
      <c r="C270" s="51" t="n">
        <v>9786</v>
      </c>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22" customHeight="1">
      <c r="A271" s="49" t="str">
        <v>Long-term debt [level3]</v>
      </c>
      <c r="B271" s="3"/>
      <c r="C271" s="51" t="n">
        <v>0</v>
      </c>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22" customHeight="1">
      <c r="A272" s="49" t="str">
        <v>Long-term debt</v>
      </c>
      <c r="B272" s="3"/>
      <c r="C272" s="51" t="n">
        <v>21957</v>
      </c>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8"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22" customHeight="1">
      <c r="A274" s="21" t="str">
        <v>'Interest and other, net' components</v>
      </c>
      <c r="B274" s="21" t="str">
        <v>'Interest and other, net' components</v>
      </c>
      <c r="C274" s="21" t="str">
        <v>'Interest and other, net' components</v>
      </c>
      <c r="D274" s="21" t="str">
        <v>'Interest and other, net' components</v>
      </c>
      <c r="E274" s="21" t="str">
        <v>'Interest and other, net' components</v>
      </c>
      <c r="F274" s="21" t="str">
        <v>'Interest and other, net' components</v>
      </c>
      <c r="G274" s="21" t="str">
        <v>'Interest and other, net' components</v>
      </c>
      <c r="H274" s="21" t="str">
        <v>'Interest and other, net' components</v>
      </c>
      <c r="I274" s="21" t="str">
        <v>'Interest and other, net' components</v>
      </c>
      <c r="J274" s="21" t="str">
        <v>'Interest and other, net' components</v>
      </c>
      <c r="K274" s="21" t="str">
        <v>'Interest and other, net' components</v>
      </c>
      <c r="L274" s="21" t="str">
        <v>'Interest and other, net' components</v>
      </c>
      <c r="M274" s="21" t="str">
        <v>'Interest and other, net' components</v>
      </c>
      <c r="N274" s="21" t="str">
        <v>'Interest and other, net' components</v>
      </c>
      <c r="O274" s="21" t="str">
        <v>'Interest and other, net' components</v>
      </c>
      <c r="P274" s="21" t="str">
        <v>'Interest and other, net' components</v>
      </c>
      <c r="Q274" s="21" t="str">
        <v>'Interest and other, net' components</v>
      </c>
      <c r="R274" s="21" t="str">
        <v>'Interest and other, net' components</v>
      </c>
      <c r="S274" s="21" t="str">
        <v>'Interest and other, net' components</v>
      </c>
      <c r="T274" s="21" t="str">
        <v>'Interest and other, net' components</v>
      </c>
      <c r="U274" s="21" t="str">
        <v>'Interest and other, net' components</v>
      </c>
      <c r="V274" s="21" t="str">
        <v>'Interest and other, net' components</v>
      </c>
      <c r="W274" s="21" t="str">
        <v>'Interest and other, net' components</v>
      </c>
      <c r="X274" s="21" t="str">
        <v>'Interest and other, net' components</v>
      </c>
      <c r="Y274" s="21" t="str">
        <v>'Interest and other, net' components</v>
      </c>
      <c r="Z274" s="21" t="str">
        <v>'Interest and other, net' components</v>
      </c>
      <c r="AA274" s="21" t="str">
        <v>'Interest and other, net' components</v>
      </c>
    </row>
    <row r="275" ht="22" customHeight="1">
      <c r="A275" s="49" t="str">
        <v>Interest income</v>
      </c>
      <c r="B275" s="3"/>
      <c r="C275" s="51" t="n">
        <v>222</v>
      </c>
      <c r="D275" s="51" t="n">
        <v>441</v>
      </c>
      <c r="E275" s="51" t="n">
        <v>438</v>
      </c>
      <c r="F275" s="51" t="n">
        <v>483</v>
      </c>
      <c r="G275" s="51" t="n">
        <v>272</v>
      </c>
      <c r="H275" s="51" t="n">
        <v>144</v>
      </c>
      <c r="I275" s="51" t="n">
        <v>589</v>
      </c>
      <c r="J275" s="51" t="n">
        <v>1335</v>
      </c>
      <c r="K275" s="51" t="n">
        <v>1245</v>
      </c>
      <c r="L275" s="51" t="n">
        <v>1007</v>
      </c>
      <c r="M275" s="51"/>
      <c r="N275" s="51" t="n">
        <v>334</v>
      </c>
      <c r="O275" s="51" t="n">
        <v>313</v>
      </c>
      <c r="P275" s="51" t="n">
        <v>332</v>
      </c>
      <c r="Q275" s="52" t="n">
        <f>IF(COUNT(J275,N275,O275,P275)=4,J275-N275-O275-P275,"")</f>
        <v>356</v>
      </c>
      <c r="R275" s="51" t="n">
        <v>323</v>
      </c>
      <c r="S275" s="51" t="n">
        <v>320</v>
      </c>
      <c r="T275" s="51" t="n">
        <v>340</v>
      </c>
      <c r="U275" s="52" t="n">
        <f>IF(COUNT(K275,R275,S275,T275)=4,K275-R275-S275-T275,"")</f>
        <v>262</v>
      </c>
      <c r="V275" s="51" t="n">
        <v>245</v>
      </c>
      <c r="W275" s="51" t="n">
        <v>210</v>
      </c>
      <c r="X275" s="51" t="n">
        <v>228</v>
      </c>
      <c r="Y275" s="52" t="n">
        <f>IF(COUNT(L275,V275,W275,X275)=4,L275-V275-W275-X275,"")</f>
        <v>324</v>
      </c>
      <c r="Z275" s="51" t="n">
        <v>333</v>
      </c>
      <c r="AA275" s="51" t="n">
        <v>334</v>
      </c>
    </row>
    <row r="276" ht="22" customHeight="1">
      <c r="A276" s="49" t="str">
        <v>Interest expense</v>
      </c>
      <c r="B276" s="3"/>
      <c r="C276" s="51" t="n">
        <v>-733</v>
      </c>
      <c r="D276" s="51" t="n">
        <v>-646</v>
      </c>
      <c r="E276" s="51" t="n">
        <v>-468</v>
      </c>
      <c r="F276" s="51" t="n">
        <v>-489</v>
      </c>
      <c r="G276" s="51" t="n">
        <v>-629</v>
      </c>
      <c r="H276" s="51" t="n">
        <v>-597</v>
      </c>
      <c r="I276" s="51" t="n">
        <v>-496</v>
      </c>
      <c r="J276" s="51" t="n">
        <v>-878</v>
      </c>
      <c r="K276" s="51" t="n">
        <v>-1034</v>
      </c>
      <c r="L276" s="51" t="n">
        <v>-1091</v>
      </c>
      <c r="M276" s="51"/>
      <c r="N276" s="51" t="n">
        <v>-193</v>
      </c>
      <c r="O276" s="51" t="n">
        <v>-214</v>
      </c>
      <c r="P276" s="51" t="n">
        <v>-204</v>
      </c>
      <c r="Q276" s="52" t="n">
        <f>IF(COUNT(J276,N276,O276,P276)=4,J276-N276-O276-P276,"")</f>
        <v>-267</v>
      </c>
      <c r="R276" s="51" t="n">
        <v>-258</v>
      </c>
      <c r="S276" s="51" t="n">
        <v>-294</v>
      </c>
      <c r="T276" s="51" t="n">
        <v>-248</v>
      </c>
      <c r="U276" s="52" t="n">
        <f>IF(COUNT(K276,R276,S276,T276)=4,K276-R276-S276-T276,"")</f>
        <v>-234</v>
      </c>
      <c r="V276" s="51" t="n">
        <v>-299</v>
      </c>
      <c r="W276" s="51" t="n">
        <v>-227</v>
      </c>
      <c r="X276" s="51" t="n">
        <v>-282</v>
      </c>
      <c r="Y276" s="52" t="n">
        <f>IF(COUNT(L276,V276,W276,X276)=4,L276-V276-W276-X276,"")</f>
        <v>-283</v>
      </c>
      <c r="Z276" s="51" t="n">
        <v>-264</v>
      </c>
      <c r="AA276" s="51" t="n">
        <v>-321</v>
      </c>
    </row>
    <row r="277" ht="22" customHeight="1">
      <c r="A277" s="49" t="str">
        <v>Gain (loss) on mark-to-market of Escrowed Shares</v>
      </c>
      <c r="B277" s="3"/>
      <c r="C277" s="51"/>
      <c r="D277" s="51"/>
      <c r="E277" s="51"/>
      <c r="F277" s="51"/>
      <c r="G277" s="51"/>
      <c r="H277" s="51"/>
      <c r="I277" s="51"/>
      <c r="J277" s="51" t="n">
        <v>0</v>
      </c>
      <c r="K277" s="51" t="n">
        <v>0</v>
      </c>
      <c r="L277" s="51" t="n">
        <v>-1796</v>
      </c>
      <c r="M277" s="51"/>
      <c r="N277" s="51"/>
      <c r="O277" s="51"/>
      <c r="P277" s="51"/>
      <c r="Q277" s="52" t="str">
        <f>IF(COUNT(J277,N277,O277,P277)=4,J277-N277-O277-P277,"")</f>
      </c>
      <c r="R277" s="51"/>
      <c r="S277" s="51"/>
      <c r="T277" s="51" t="n">
        <v>0</v>
      </c>
      <c r="U277" s="52" t="str">
        <f>IF(COUNT(K277,R277,S277,T277)=4,K277-R277-S277-T277,"")</f>
      </c>
      <c r="V277" s="51" t="n">
        <v>0</v>
      </c>
      <c r="W277" s="51" t="n">
        <v>0</v>
      </c>
      <c r="X277" s="51" t="n">
        <v>-1687</v>
      </c>
      <c r="Y277" s="52" t="n">
        <f>IF(COUNT(L277,V277,W277,X277)=4,L277-V277-W277-X277,"")</f>
        <v>-109</v>
      </c>
      <c r="Z277" s="51" t="n">
        <v>-1090</v>
      </c>
      <c r="AA277" s="51" t="n">
        <v>-12529</v>
      </c>
    </row>
    <row r="278" ht="22" customHeight="1">
      <c r="A278" s="49" t="str">
        <v>Gain on divestiture of Altera</v>
      </c>
      <c r="B278" s="3"/>
      <c r="C278" s="51"/>
      <c r="D278" s="51"/>
      <c r="E278" s="51"/>
      <c r="F278" s="51"/>
      <c r="G278" s="51"/>
      <c r="H278" s="51"/>
      <c r="I278" s="51"/>
      <c r="J278" s="51" t="n">
        <v>0</v>
      </c>
      <c r="K278" s="51" t="n">
        <v>0</v>
      </c>
      <c r="L278" s="51" t="n">
        <v>5553</v>
      </c>
      <c r="M278" s="51"/>
      <c r="N278" s="51"/>
      <c r="O278" s="51"/>
      <c r="P278" s="51"/>
      <c r="Q278" s="52" t="str">
        <f>IF(COUNT(J278,N278,O278,P278)=4,J278-N278-O278-P278,"")</f>
      </c>
      <c r="R278" s="51"/>
      <c r="S278" s="51"/>
      <c r="T278" s="51" t="n">
        <v>0</v>
      </c>
      <c r="U278" s="52" t="str">
        <f>IF(COUNT(K278,R278,S278,T278)=4,K278-R278-S278-T278,"")</f>
      </c>
      <c r="V278" s="51"/>
      <c r="W278" s="51"/>
      <c r="X278" s="51" t="n">
        <v>5546</v>
      </c>
      <c r="Y278" s="52" t="str">
        <f>IF(COUNT(L278,V278,W278,X278)=4,L278-V278-W278-X278,"")</f>
      </c>
      <c r="Z278" s="51"/>
      <c r="AA278" s="51"/>
    </row>
    <row r="279" ht="22" customHeight="1">
      <c r="A279" s="49" t="str">
        <v>Other, net</v>
      </c>
      <c r="B279" s="3"/>
      <c r="C279" s="51" t="n">
        <v>67</v>
      </c>
      <c r="D279" s="51" t="n">
        <v>-30</v>
      </c>
      <c r="E279" s="51" t="n">
        <v>156</v>
      </c>
      <c r="F279" s="51" t="n">
        <v>490</v>
      </c>
      <c r="G279" s="51" t="n">
        <v>-147</v>
      </c>
      <c r="H279" s="51" t="n">
        <v>-29</v>
      </c>
      <c r="I279" s="51" t="n">
        <v>1073</v>
      </c>
      <c r="J279" s="51" t="n">
        <v>172</v>
      </c>
      <c r="K279" s="51" t="n">
        <v>15</v>
      </c>
      <c r="L279" s="51" t="n">
        <v>-416</v>
      </c>
      <c r="M279" s="51"/>
      <c r="N279" s="51" t="n">
        <v>0</v>
      </c>
      <c r="O279" s="51" t="n">
        <v>125</v>
      </c>
      <c r="P279" s="51" t="n">
        <v>19</v>
      </c>
      <c r="Q279" s="52" t="n">
        <f>IF(COUNT(J279,N279,O279,P279)=4,J279-N279-O279-P279,"")</f>
        <v>28</v>
      </c>
      <c r="R279" s="51" t="n">
        <v>80</v>
      </c>
      <c r="S279" s="51" t="n">
        <v>54</v>
      </c>
      <c r="T279" s="51" t="n">
        <v>38</v>
      </c>
      <c r="U279" s="52" t="n">
        <f>IF(COUNT(K279,R279,S279,T279)=4,K279-R279-S279-T279,"")</f>
        <v>-157</v>
      </c>
      <c r="V279" s="51" t="n">
        <v>-119</v>
      </c>
      <c r="W279" s="51" t="n">
        <v>-78</v>
      </c>
      <c r="X279" s="51" t="n">
        <v>-135</v>
      </c>
      <c r="Y279" s="52" t="n">
        <f>IF(COUNT(L279,V279,W279,X279)=4,L279-V279-W279-X279,"")</f>
        <v>-84</v>
      </c>
      <c r="Z279" s="51" t="n">
        <v>283</v>
      </c>
      <c r="AA279" s="51" t="n">
        <v>-60</v>
      </c>
    </row>
    <row r="280" ht="24" customHeight="1">
      <c r="A280" s="34" t="str">
        <v>Total interest and other, net</v>
      </c>
      <c r="B280" s="35"/>
      <c r="C280" s="36" t="n">
        <v>-444</v>
      </c>
      <c r="D280" s="36" t="n">
        <v>-235</v>
      </c>
      <c r="E280" s="36" t="n">
        <v>126</v>
      </c>
      <c r="F280" s="36" t="n">
        <v>484</v>
      </c>
      <c r="G280" s="36" t="n">
        <v>-504</v>
      </c>
      <c r="H280" s="36" t="n">
        <v>-482</v>
      </c>
      <c r="I280" s="36" t="n">
        <v>1166</v>
      </c>
      <c r="J280" s="36" t="n">
        <v>629</v>
      </c>
      <c r="K280" s="36" t="n">
        <v>226</v>
      </c>
      <c r="L280" s="36" t="n">
        <v>3257</v>
      </c>
      <c r="M280" s="36"/>
      <c r="N280" s="36" t="n">
        <v>141</v>
      </c>
      <c r="O280" s="36" t="n">
        <v>224</v>
      </c>
      <c r="P280" s="36" t="n">
        <v>147</v>
      </c>
      <c r="Q280" s="37" t="n">
        <f>IF(COUNT(J280,N280,O280,P280)=4,J280-N280-O280-P280,"")</f>
        <v>117</v>
      </c>
      <c r="R280" s="36" t="n">
        <v>145</v>
      </c>
      <c r="S280" s="36" t="n">
        <v>80</v>
      </c>
      <c r="T280" s="36" t="n">
        <v>130</v>
      </c>
      <c r="U280" s="37" t="n">
        <f>IF(COUNT(K280,R280,S280,T280)=4,K280-R280-S280-T280,"")</f>
        <v>-129</v>
      </c>
      <c r="V280" s="36" t="n">
        <v>-173</v>
      </c>
      <c r="W280" s="36" t="n">
        <v>-95</v>
      </c>
      <c r="X280" s="36" t="n">
        <v>3670</v>
      </c>
      <c r="Y280" s="37" t="n">
        <f>IF(COUNT(L280,V280,W280,X280)=4,L280-V280-W280-X280,"")</f>
        <v>-145</v>
      </c>
      <c r="Z280" s="36" t="n">
        <v>-738</v>
      </c>
      <c r="AA280" s="36" t="n">
        <v>-12576</v>
      </c>
    </row>
    <row r="281" ht="36" customHeight="1">
      <c r="A281" s="49" t="str">
        <v>Check: components - total interest and other, net (should be 0)</v>
      </c>
      <c r="B281" s="3"/>
      <c r="C281" s="59" t="n">
        <f>IF(COUNT(C275,C276,C279,C280)=4,C275+C276+C279+0+0-C280,"")</f>
        <v>0</v>
      </c>
      <c r="D281" s="59" t="n">
        <f>IF(COUNT(D275,D276,D279,D280)=4,D275+D276+D279+0+0-D280,"")</f>
        <v>0</v>
      </c>
      <c r="E281" s="59" t="n">
        <f>IF(COUNT(E275,E276,E279,E280)=4,E275+E276+E279+0+0-E280,"")</f>
        <v>0</v>
      </c>
      <c r="F281" s="59" t="n">
        <f>IF(COUNT(F275,F276,F279,F280)=4,F275+F276+F279+0+0-F280,"")</f>
        <v>0</v>
      </c>
      <c r="G281" s="59" t="n">
        <f>IF(COUNT(G275,G276,G279,G280)=4,G275+G276+G279+0+0-G280,"")</f>
        <v>0</v>
      </c>
      <c r="H281" s="59" t="n">
        <f>IF(COUNT(H275,H276,H279,H280)=4,H275+H276+H279+0+0-H280,"")</f>
        <v>0</v>
      </c>
      <c r="I281" s="59" t="n">
        <f>IF(COUNT(I275,I276,I279,I280)=4,I275+I276+I279+0+0-I280,"")</f>
        <v>0</v>
      </c>
      <c r="J281" s="59" t="n">
        <f>IF(COUNT(J275,J276,J279,J277,J278,J280)=6,J275+J276+J279+J277+J278-J280,"")</f>
        <v>0</v>
      </c>
      <c r="K281" s="59" t="n">
        <f>IF(COUNT(K275,K276,K279,K277,K278,K280)=6,K275+K276+K279+K277+K278-K280,"")</f>
        <v>0</v>
      </c>
      <c r="L281" s="59" t="n">
        <f>IF(COUNT(L275,L276,L279,L277,L278,L280)=6,L275+L276+L279+L277+L278-L280,"")</f>
        <v>0</v>
      </c>
      <c r="M281" s="59"/>
      <c r="N281" s="59" t="n">
        <f>IF(COUNT(N275,N276,N279,N280)=4,N275+N276+N279+0+0-N280,"")</f>
        <v>0</v>
      </c>
      <c r="O281" s="59" t="n">
        <f>IF(COUNT(O275,O276,O279,O280)=4,O275+O276+O279+0+0-O280,"")</f>
        <v>0</v>
      </c>
      <c r="P281" s="59" t="n">
        <f>IF(COUNT(P275,P276,P279,P280)=4,P275+P276+P279+0+0-P280,"")</f>
        <v>0</v>
      </c>
      <c r="Q281" s="59" t="str">
        <f>IF(COUNT(Q275,Q276,Q279,Q277,Q278,Q280)=6,Q275+Q276+Q279+Q277+Q278-Q280,"")</f>
      </c>
      <c r="R281" s="59" t="n">
        <f>IF(COUNT(R275,R276,R279,R280)=4,R275+R276+R279+0+0-R280,"")</f>
        <v>0</v>
      </c>
      <c r="S281" s="59" t="n">
        <f>IF(COUNT(S275,S276,S279,S280)=4,S275+S276+S279+0+0-S280,"")</f>
        <v>0</v>
      </c>
      <c r="T281" s="59" t="n">
        <f>IF(COUNT(T275,T276,T279,T277,T278,T280)=6,T275+T276+T279+T277+T278-T280,"")</f>
        <v>0</v>
      </c>
      <c r="U281" s="59" t="str">
        <f>IF(COUNT(U275,U276,U279,U277,U278,U280)=6,U275+U276+U279+U277+U278-U280,"")</f>
      </c>
      <c r="V281" s="59" t="n">
        <f>IF(COUNT(V275,V276,V279,V277,V280)=5,V275+V276+V279+V277+0-V280,"")</f>
        <v>0</v>
      </c>
      <c r="W281" s="59" t="n">
        <f>IF(COUNT(W275,W276,W279,W277,W280)=5,W275+W276+W279+W277+0-W280,"")</f>
        <v>0</v>
      </c>
      <c r="X281" s="59" t="n">
        <f>IF(COUNT(X275,X276,X279,X277,X278,X280)=6,X275+X276+X279+X277+X278-X280,"")</f>
        <v>0</v>
      </c>
      <c r="Y281" s="59" t="str">
        <f>IF(COUNT(Y275,Y276,Y279,Y277,Y278,Y280)=6,Y275+Y276+Y279+Y277+Y278-Y280,"")</f>
      </c>
      <c r="Z281" s="59" t="n">
        <f>IF(COUNT(Z275,Z276,Z279,Z277,Z280)=5,Z275+Z276+Z279+Z277+0-Z280,"")</f>
        <v>0</v>
      </c>
      <c r="AA281" s="59" t="n">
        <f>IF(COUNT(AA275,AA276,AA279,AA277,AA280)=5,AA275+AA276+AA279+AA277+0-AA280,"")</f>
        <v>0</v>
      </c>
    </row>
    <row r="282" ht="8"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22" customHeight="1">
      <c r="A283" s="21" t="str">
        <v>Cash paid for interest, net of capitalized interest</v>
      </c>
      <c r="B283" s="21" t="str">
        <v>Cash paid for interest, net of capitalized interest</v>
      </c>
      <c r="C283" s="21" t="str">
        <v>Cash paid for interest, net of capitalized interest</v>
      </c>
      <c r="D283" s="21" t="str">
        <v>Cash paid for interest, net of capitalized interest</v>
      </c>
      <c r="E283" s="21" t="str">
        <v>Cash paid for interest, net of capitalized interest</v>
      </c>
      <c r="F283" s="21" t="str">
        <v>Cash paid for interest, net of capitalized interest</v>
      </c>
      <c r="G283" s="21" t="str">
        <v>Cash paid for interest, net of capitalized interest</v>
      </c>
      <c r="H283" s="21" t="str">
        <v>Cash paid for interest, net of capitalized interest</v>
      </c>
      <c r="I283" s="21" t="str">
        <v>Cash paid for interest, net of capitalized interest</v>
      </c>
      <c r="J283" s="21" t="str">
        <v>Cash paid for interest, net of capitalized interest</v>
      </c>
      <c r="K283" s="21" t="str">
        <v>Cash paid for interest, net of capitalized interest</v>
      </c>
      <c r="L283" s="21" t="str">
        <v>Cash paid for interest, net of capitalized interest</v>
      </c>
      <c r="M283" s="21" t="str">
        <v>Cash paid for interest, net of capitalized interest</v>
      </c>
      <c r="N283" s="21" t="str">
        <v>Cash paid for interest, net of capitalized interest</v>
      </c>
      <c r="O283" s="21" t="str">
        <v>Cash paid for interest, net of capitalized interest</v>
      </c>
      <c r="P283" s="21" t="str">
        <v>Cash paid for interest, net of capitalized interest</v>
      </c>
      <c r="Q283" s="21" t="str">
        <v>Cash paid for interest, net of capitalized interest</v>
      </c>
      <c r="R283" s="21" t="str">
        <v>Cash paid for interest, net of capitalized interest</v>
      </c>
      <c r="S283" s="21" t="str">
        <v>Cash paid for interest, net of capitalized interest</v>
      </c>
      <c r="T283" s="21" t="str">
        <v>Cash paid for interest, net of capitalized interest</v>
      </c>
      <c r="U283" s="21" t="str">
        <v>Cash paid for interest, net of capitalized interest</v>
      </c>
      <c r="V283" s="21" t="str">
        <v>Cash paid for interest, net of capitalized interest</v>
      </c>
      <c r="W283" s="21" t="str">
        <v>Cash paid for interest, net of capitalized interest</v>
      </c>
      <c r="X283" s="21" t="str">
        <v>Cash paid for interest, net of capitalized interest</v>
      </c>
      <c r="Y283" s="21" t="str">
        <v>Cash paid for interest, net of capitalized interest</v>
      </c>
      <c r="Z283" s="21" t="str">
        <v>Cash paid for interest, net of capitalized interest</v>
      </c>
      <c r="AA283" s="21" t="str">
        <v>Cash paid for interest, net of capitalized interest</v>
      </c>
    </row>
    <row r="284" ht="22" customHeight="1">
      <c r="A284" s="49" t="str">
        <v>Interest, net of capitalized interest</v>
      </c>
      <c r="B284" s="3"/>
      <c r="C284" s="51" t="n">
        <v>682</v>
      </c>
      <c r="D284" s="51" t="n">
        <v>624</v>
      </c>
      <c r="E284" s="51" t="n">
        <v>448</v>
      </c>
      <c r="F284" s="51" t="n">
        <v>469</v>
      </c>
      <c r="G284" s="51" t="n">
        <v>594</v>
      </c>
      <c r="H284" s="51" t="n">
        <v>545</v>
      </c>
      <c r="I284" s="51" t="n">
        <v>459</v>
      </c>
      <c r="J284" s="51" t="n">
        <v>613</v>
      </c>
      <c r="K284" s="51" t="n">
        <v>987</v>
      </c>
      <c r="L284" s="51" t="n">
        <v>1106</v>
      </c>
      <c r="M284" s="51"/>
      <c r="N284" s="51" t="n">
        <v>239</v>
      </c>
      <c r="O284" s="51"/>
      <c r="P284" s="51"/>
      <c r="Q284" s="51"/>
      <c r="R284" s="51" t="n">
        <v>540</v>
      </c>
      <c r="S284" s="51"/>
      <c r="T284" s="51"/>
      <c r="U284" s="51"/>
      <c r="V284" s="51" t="n">
        <v>635</v>
      </c>
      <c r="W284" s="51"/>
      <c r="X284" s="51"/>
      <c r="Y284" s="51"/>
      <c r="Z284" s="51" t="n">
        <v>600</v>
      </c>
      <c r="AA284" s="51"/>
    </row>
    <row r="285" ht="8"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22" customHeight="1">
      <c r="A286" s="21" t="str">
        <v>Fair-value hedged debt — carrying amount and cumulative hedging adjustment</v>
      </c>
      <c r="B286" s="21" t="str">
        <v>Fair-value hedged debt — carrying amount and cumulative hedging adjustment</v>
      </c>
      <c r="C286" s="21" t="str">
        <v>Fair-value hedged debt — carrying amount and cumulative hedging adjustment</v>
      </c>
      <c r="D286" s="21" t="str">
        <v>Fair-value hedged debt — carrying amount and cumulative hedging adjustment</v>
      </c>
      <c r="E286" s="21" t="str">
        <v>Fair-value hedged debt — carrying amount and cumulative hedging adjustment</v>
      </c>
      <c r="F286" s="21" t="str">
        <v>Fair-value hedged debt — carrying amount and cumulative hedging adjustment</v>
      </c>
      <c r="G286" s="21" t="str">
        <v>Fair-value hedged debt — carrying amount and cumulative hedging adjustment</v>
      </c>
      <c r="H286" s="21" t="str">
        <v>Fair-value hedged debt — carrying amount and cumulative hedging adjustment</v>
      </c>
      <c r="I286" s="21" t="str">
        <v>Fair-value hedged debt — carrying amount and cumulative hedging adjustment</v>
      </c>
      <c r="J286" s="21" t="str">
        <v>Fair-value hedged debt — carrying amount and cumulative hedging adjustment</v>
      </c>
      <c r="K286" s="21" t="str">
        <v>Fair-value hedged debt — carrying amount and cumulative hedging adjustment</v>
      </c>
      <c r="L286" s="21" t="str">
        <v>Fair-value hedged debt — carrying amount and cumulative hedging adjustment</v>
      </c>
      <c r="M286" s="21" t="str">
        <v>Fair-value hedged debt — carrying amount and cumulative hedging adjustment</v>
      </c>
      <c r="N286" s="21" t="str">
        <v>Fair-value hedged debt — carrying amount and cumulative hedging adjustment</v>
      </c>
      <c r="O286" s="21" t="str">
        <v>Fair-value hedged debt — carrying amount and cumulative hedging adjustment</v>
      </c>
      <c r="P286" s="21" t="str">
        <v>Fair-value hedged debt — carrying amount and cumulative hedging adjustment</v>
      </c>
      <c r="Q286" s="21" t="str">
        <v>Fair-value hedged debt — carrying amount and cumulative hedging adjustment</v>
      </c>
      <c r="R286" s="21" t="str">
        <v>Fair-value hedged debt — carrying amount and cumulative hedging adjustment</v>
      </c>
      <c r="S286" s="21" t="str">
        <v>Fair-value hedged debt — carrying amount and cumulative hedging adjustment</v>
      </c>
      <c r="T286" s="21" t="str">
        <v>Fair-value hedged debt — carrying amount and cumulative hedging adjustment</v>
      </c>
      <c r="U286" s="21" t="str">
        <v>Fair-value hedged debt — carrying amount and cumulative hedging adjustment</v>
      </c>
      <c r="V286" s="21" t="str">
        <v>Fair-value hedged debt — carrying amount and cumulative hedging adjustment</v>
      </c>
      <c r="W286" s="21" t="str">
        <v>Fair-value hedged debt — carrying amount and cumulative hedging adjustment</v>
      </c>
      <c r="X286" s="21" t="str">
        <v>Fair-value hedged debt — carrying amount and cumulative hedging adjustment</v>
      </c>
      <c r="Y286" s="21" t="str">
        <v>Fair-value hedged debt — carrying amount and cumulative hedging adjustment</v>
      </c>
      <c r="Z286" s="21" t="str">
        <v>Fair-value hedged debt — carrying amount and cumulative hedging adjustment</v>
      </c>
      <c r="AA286" s="21" t="str">
        <v>Fair-value hedged debt — carrying amount and cumulative hedging adjustment</v>
      </c>
    </row>
    <row r="287" ht="22" customHeight="1">
      <c r="A287" s="49" t="str">
        <v>Short-term debt [carrying amount]</v>
      </c>
      <c r="B287" s="3"/>
      <c r="C287" s="51"/>
      <c r="D287" s="51"/>
      <c r="E287" s="51"/>
      <c r="F287" s="51"/>
      <c r="G287" s="51"/>
      <c r="H287" s="51"/>
      <c r="I287" s="51"/>
      <c r="J287" s="51" t="n">
        <v>0</v>
      </c>
      <c r="K287" s="51" t="n">
        <v>-2214</v>
      </c>
      <c r="L287" s="51" t="n">
        <v>-993</v>
      </c>
      <c r="M287" s="51"/>
      <c r="N287" s="51"/>
      <c r="O287" s="51"/>
      <c r="P287" s="51"/>
      <c r="Q287" s="51"/>
      <c r="R287" s="51"/>
      <c r="S287" s="51"/>
      <c r="T287" s="51"/>
      <c r="U287" s="51"/>
      <c r="V287" s="51" t="n">
        <v>-2229</v>
      </c>
      <c r="W287" s="51" t="n">
        <v>-3227</v>
      </c>
      <c r="X287" s="51" t="n">
        <v>-988</v>
      </c>
      <c r="Y287" s="51"/>
      <c r="Z287" s="51" t="n">
        <v>-997</v>
      </c>
      <c r="AA287" s="51" t="n">
        <v>-982</v>
      </c>
    </row>
    <row r="288" ht="22" customHeight="1">
      <c r="A288" s="49" t="str">
        <v>Short-term debt [cumulative fv hedging adjustment]</v>
      </c>
      <c r="B288" s="3"/>
      <c r="C288" s="51"/>
      <c r="D288" s="51"/>
      <c r="E288" s="51"/>
      <c r="F288" s="51"/>
      <c r="G288" s="51"/>
      <c r="H288" s="51"/>
      <c r="I288" s="51"/>
      <c r="J288" s="51" t="n">
        <v>0</v>
      </c>
      <c r="K288" s="51" t="n">
        <v>36</v>
      </c>
      <c r="L288" s="51" t="n">
        <v>7</v>
      </c>
      <c r="M288" s="51"/>
      <c r="N288" s="51"/>
      <c r="O288" s="51"/>
      <c r="P288" s="51"/>
      <c r="Q288" s="51"/>
      <c r="R288" s="51"/>
      <c r="S288" s="51"/>
      <c r="T288" s="51"/>
      <c r="U288" s="51"/>
      <c r="V288" s="51" t="n">
        <v>21</v>
      </c>
      <c r="W288" s="51" t="n">
        <v>23</v>
      </c>
      <c r="X288" s="51" t="n">
        <v>12</v>
      </c>
      <c r="Y288" s="51"/>
      <c r="Z288" s="51" t="n">
        <v>3</v>
      </c>
      <c r="AA288" s="51" t="n">
        <v>18</v>
      </c>
    </row>
    <row r="289" ht="22" customHeight="1">
      <c r="A289" s="49" t="str">
        <v>Long-term debt [carrying amount]</v>
      </c>
      <c r="B289" s="3"/>
      <c r="C289" s="51"/>
      <c r="D289" s="51" t="n">
        <v>-12653</v>
      </c>
      <c r="E289" s="51" t="n">
        <v>-19622</v>
      </c>
      <c r="F289" s="51" t="n">
        <v>-12678</v>
      </c>
      <c r="G289" s="51" t="n">
        <v>-13495</v>
      </c>
      <c r="H289" s="51" t="n">
        <v>-12772</v>
      </c>
      <c r="I289" s="51" t="n">
        <v>-11221</v>
      </c>
      <c r="J289" s="51" t="n">
        <v>-11419</v>
      </c>
      <c r="K289" s="51" t="n">
        <v>-9201</v>
      </c>
      <c r="L289" s="51" t="n">
        <v>-8488</v>
      </c>
      <c r="M289" s="51"/>
      <c r="N289" s="51"/>
      <c r="O289" s="51"/>
      <c r="P289" s="51" t="n">
        <v>-11032</v>
      </c>
      <c r="Q289" s="51"/>
      <c r="R289" s="51" t="n">
        <v>-11275</v>
      </c>
      <c r="S289" s="51" t="n">
        <v>-11299</v>
      </c>
      <c r="T289" s="51" t="n">
        <v>-11644</v>
      </c>
      <c r="U289" s="51"/>
      <c r="V289" s="51" t="n">
        <v>-9327</v>
      </c>
      <c r="W289" s="51" t="n">
        <v>-8435</v>
      </c>
      <c r="X289" s="51" t="n">
        <v>-8460</v>
      </c>
      <c r="Y289" s="51"/>
      <c r="Z289" s="51" t="n">
        <v>-8425</v>
      </c>
      <c r="AA289" s="51" t="n">
        <v>-13483</v>
      </c>
    </row>
    <row r="290" ht="22" customHeight="1">
      <c r="A290" s="49" t="str">
        <v>Long-term debt [cumulative fv hedging adjustment]</v>
      </c>
      <c r="B290" s="3"/>
      <c r="C290" s="51"/>
      <c r="D290" s="51" t="n">
        <v>252</v>
      </c>
      <c r="E290" s="51" t="n">
        <v>390</v>
      </c>
      <c r="F290" s="51" t="n">
        <v>-681</v>
      </c>
      <c r="G290" s="51" t="n">
        <v>-1498</v>
      </c>
      <c r="H290" s="51" t="n">
        <v>-775</v>
      </c>
      <c r="I290" s="51" t="n">
        <v>776</v>
      </c>
      <c r="J290" s="51" t="n">
        <v>578</v>
      </c>
      <c r="K290" s="51" t="n">
        <v>546</v>
      </c>
      <c r="L290" s="51" t="n">
        <v>259</v>
      </c>
      <c r="M290" s="51"/>
      <c r="N290" s="51"/>
      <c r="O290" s="51"/>
      <c r="P290" s="51" t="n">
        <v>965</v>
      </c>
      <c r="Q290" s="51"/>
      <c r="R290" s="51" t="n">
        <v>722</v>
      </c>
      <c r="S290" s="51" t="n">
        <v>698</v>
      </c>
      <c r="T290" s="51" t="n">
        <v>353</v>
      </c>
      <c r="U290" s="51"/>
      <c r="V290" s="51" t="n">
        <v>420</v>
      </c>
      <c r="W290" s="51" t="n">
        <v>312</v>
      </c>
      <c r="X290" s="51" t="n">
        <v>287</v>
      </c>
      <c r="Y290" s="51"/>
      <c r="Z290" s="51" t="n">
        <v>322</v>
      </c>
      <c r="AA290" s="51" t="n">
        <v>264</v>
      </c>
    </row>
    <row r="291" ht="24" customHeight="1">
      <c r="A291" s="34" t="str">
        <v>Total [carrying amount]</v>
      </c>
      <c r="B291" s="35"/>
      <c r="C291" s="36"/>
      <c r="D291" s="36"/>
      <c r="E291" s="36"/>
      <c r="F291" s="36"/>
      <c r="G291" s="36"/>
      <c r="H291" s="36"/>
      <c r="I291" s="36"/>
      <c r="J291" s="36" t="n">
        <v>-11419</v>
      </c>
      <c r="K291" s="36" t="n">
        <v>-11415</v>
      </c>
      <c r="L291" s="36" t="n">
        <v>-9481</v>
      </c>
      <c r="M291" s="36"/>
      <c r="N291" s="36"/>
      <c r="O291" s="36"/>
      <c r="P291" s="36"/>
      <c r="Q291" s="36"/>
      <c r="R291" s="36"/>
      <c r="S291" s="36"/>
      <c r="T291" s="36"/>
      <c r="U291" s="36"/>
      <c r="V291" s="36" t="n">
        <v>-11556</v>
      </c>
      <c r="W291" s="36" t="n">
        <v>-11662</v>
      </c>
      <c r="X291" s="36" t="n">
        <v>-9448</v>
      </c>
      <c r="Y291" s="36"/>
      <c r="Z291" s="36" t="n">
        <v>-9422</v>
      </c>
      <c r="AA291" s="36" t="n">
        <v>-14465</v>
      </c>
    </row>
    <row r="292" ht="24" customHeight="1">
      <c r="A292" s="34" t="str">
        <v>Total [cumulative fv hedging adjustment]</v>
      </c>
      <c r="B292" s="35"/>
      <c r="C292" s="36"/>
      <c r="D292" s="36"/>
      <c r="E292" s="36"/>
      <c r="F292" s="36"/>
      <c r="G292" s="36"/>
      <c r="H292" s="36"/>
      <c r="I292" s="36"/>
      <c r="J292" s="36" t="n">
        <v>578</v>
      </c>
      <c r="K292" s="36" t="n">
        <v>582</v>
      </c>
      <c r="L292" s="36" t="n">
        <v>266</v>
      </c>
      <c r="M292" s="36"/>
      <c r="N292" s="36"/>
      <c r="O292" s="36"/>
      <c r="P292" s="36"/>
      <c r="Q292" s="36"/>
      <c r="R292" s="36"/>
      <c r="S292" s="36"/>
      <c r="T292" s="36"/>
      <c r="U292" s="36"/>
      <c r="V292" s="36" t="n">
        <v>441</v>
      </c>
      <c r="W292" s="36" t="n">
        <v>335</v>
      </c>
      <c r="X292" s="36" t="n">
        <v>299</v>
      </c>
      <c r="Y292" s="36"/>
      <c r="Z292" s="36" t="n">
        <v>325</v>
      </c>
      <c r="AA292" s="36" t="n">
        <v>282</v>
      </c>
    </row>
    <row r="293" ht="22" customHeight="1">
      <c r="A293" s="49" t="str">
        <v>Long-Term Debt [carrying amount]</v>
      </c>
      <c r="B293" s="3"/>
      <c r="C293" s="51" t="n">
        <v>-8879</v>
      </c>
      <c r="D293" s="51" t="n">
        <v>-12653</v>
      </c>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22" customHeight="1">
      <c r="A294" s="49" t="str">
        <v>Long-Term Debt [cumulative fv hedging adjustment]</v>
      </c>
      <c r="B294" s="3"/>
      <c r="C294" s="51" t="n">
        <v>184</v>
      </c>
      <c r="D294" s="51" t="n">
        <v>252</v>
      </c>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8"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22" customHeight="1">
      <c r="A296" s="21" t="str">
        <v>Leases — tables as filed</v>
      </c>
      <c r="B296" s="21" t="str">
        <v>Leases — tables as filed</v>
      </c>
      <c r="C296" s="21" t="str">
        <v>Leases — tables as filed</v>
      </c>
      <c r="D296" s="21" t="str">
        <v>Leases — tables as filed</v>
      </c>
      <c r="E296" s="21" t="str">
        <v>Leases — tables as filed</v>
      </c>
      <c r="F296" s="21" t="str">
        <v>Leases — tables as filed</v>
      </c>
      <c r="G296" s="21" t="str">
        <v>Leases — tables as filed</v>
      </c>
      <c r="H296" s="21" t="str">
        <v>Leases — tables as filed</v>
      </c>
      <c r="I296" s="21" t="str">
        <v>Leases — tables as filed</v>
      </c>
      <c r="J296" s="21" t="str">
        <v>Leases — tables as filed</v>
      </c>
      <c r="K296" s="21" t="str">
        <v>Leases — tables as filed</v>
      </c>
      <c r="L296" s="21" t="str">
        <v>Leases — tables as filed</v>
      </c>
      <c r="M296" s="21" t="str">
        <v>Leases — tables as filed</v>
      </c>
      <c r="N296" s="21" t="str">
        <v>Leases — tables as filed</v>
      </c>
      <c r="O296" s="21" t="str">
        <v>Leases — tables as filed</v>
      </c>
      <c r="P296" s="21" t="str">
        <v>Leases — tables as filed</v>
      </c>
      <c r="Q296" s="21" t="str">
        <v>Leases — tables as filed</v>
      </c>
      <c r="R296" s="21" t="str">
        <v>Leases — tables as filed</v>
      </c>
      <c r="S296" s="21" t="str">
        <v>Leases — tables as filed</v>
      </c>
      <c r="T296" s="21" t="str">
        <v>Leases — tables as filed</v>
      </c>
      <c r="U296" s="21" t="str">
        <v>Leases — tables as filed</v>
      </c>
      <c r="V296" s="21" t="str">
        <v>Leases — tables as filed</v>
      </c>
      <c r="W296" s="21" t="str">
        <v>Leases — tables as filed</v>
      </c>
      <c r="X296" s="21" t="str">
        <v>Leases — tables as filed</v>
      </c>
      <c r="Y296" s="21" t="str">
        <v>Leases — tables as filed</v>
      </c>
      <c r="Z296" s="21" t="str">
        <v>Leases — tables as filed</v>
      </c>
      <c r="AA296" s="21" t="str">
        <v>Leases — tables as filed</v>
      </c>
    </row>
    <row r="297" ht="22" customHeight="1">
      <c r="A297" s="49" t="str">
        <v>Payments on finance leases - Payments on finance leases</v>
      </c>
      <c r="B297" s="3"/>
      <c r="C297" s="51"/>
      <c r="D297" s="51"/>
      <c r="E297" s="51"/>
      <c r="F297" s="51"/>
      <c r="G297" s="51" t="n">
        <v>0</v>
      </c>
      <c r="H297" s="51" t="n">
        <v>0</v>
      </c>
      <c r="I297" s="51" t="n">
        <v>-345</v>
      </c>
      <c r="J297" s="51" t="n">
        <v>-96</v>
      </c>
      <c r="K297" s="51"/>
      <c r="L297" s="51"/>
      <c r="M297" s="51"/>
      <c r="N297" s="51"/>
      <c r="O297" s="51"/>
      <c r="P297" s="51"/>
      <c r="Q297" s="51"/>
      <c r="R297" s="51"/>
      <c r="S297" s="51"/>
      <c r="T297" s="51"/>
      <c r="U297" s="51"/>
      <c r="V297" s="51"/>
      <c r="W297" s="51"/>
      <c r="X297" s="51"/>
      <c r="Y297" s="51"/>
      <c r="Z297" s="51"/>
      <c r="AA297" s="51"/>
    </row>
    <row r="298" ht="50" customHeight="1">
      <c r="A298" s="49" t="str">
        <v>Minimum rental commitments under all non-cancelable leases - Minimum rental commitments under all non-cancelable leases</v>
      </c>
      <c r="B298" s="3"/>
      <c r="C298" s="51"/>
      <c r="D298" s="51"/>
      <c r="E298" s="51" t="n">
        <v>229</v>
      </c>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50" customHeight="1">
      <c r="A299" s="49" t="str">
        <v>Minimum rental commitments under all non-cancelable leases - Minimum rental commitments under all non-cancelable leases [2024 and Thereafter]</v>
      </c>
      <c r="B299" s="3"/>
      <c r="C299" s="51"/>
      <c r="D299" s="51"/>
      <c r="E299" s="51" t="n">
        <v>121</v>
      </c>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50" customHeight="1">
      <c r="A300" s="49" t="str">
        <v>Minimum rental commitments under all non-cancelable leases - Minimum rental commitments under all non-cancelable leases [Total]</v>
      </c>
      <c r="B300" s="3"/>
      <c r="C300" s="51"/>
      <c r="D300" s="51"/>
      <c r="E300" s="51" t="n">
        <v>835</v>
      </c>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22" customHeight="1">
      <c r="A301" s="49" t="str">
        <v>Lease payments - Lease payments</v>
      </c>
      <c r="B301" s="3"/>
      <c r="C301" s="51"/>
      <c r="D301" s="51"/>
      <c r="E301" s="51"/>
      <c r="F301" s="51" t="n">
        <v>178</v>
      </c>
      <c r="G301" s="51" t="n">
        <v>175</v>
      </c>
      <c r="H301" s="51"/>
      <c r="I301" s="51"/>
      <c r="J301" s="51"/>
      <c r="K301" s="51"/>
      <c r="L301" s="51"/>
      <c r="M301" s="51"/>
      <c r="N301" s="51"/>
      <c r="O301" s="51"/>
      <c r="P301" s="51"/>
      <c r="Q301" s="51"/>
      <c r="R301" s="51"/>
      <c r="S301" s="51"/>
      <c r="T301" s="51"/>
      <c r="U301" s="51"/>
      <c r="V301" s="51"/>
      <c r="W301" s="51"/>
      <c r="X301" s="51"/>
      <c r="Y301" s="51"/>
      <c r="Z301" s="51"/>
      <c r="AA301" s="51"/>
    </row>
    <row r="302" ht="22" customHeight="1">
      <c r="A302" s="49" t="str">
        <v>Lease payments - Lease payments [2025 and Thereafter]</v>
      </c>
      <c r="B302" s="3"/>
      <c r="C302" s="51"/>
      <c r="D302" s="51"/>
      <c r="E302" s="51"/>
      <c r="F302" s="51" t="n">
        <v>57</v>
      </c>
      <c r="G302" s="51"/>
      <c r="H302" s="51"/>
      <c r="I302" s="51"/>
      <c r="J302" s="51"/>
      <c r="K302" s="51"/>
      <c r="L302" s="51"/>
      <c r="M302" s="51"/>
      <c r="N302" s="51"/>
      <c r="O302" s="51"/>
      <c r="P302" s="51"/>
      <c r="Q302" s="51"/>
      <c r="R302" s="51"/>
      <c r="S302" s="51"/>
      <c r="T302" s="51"/>
      <c r="U302" s="51"/>
      <c r="V302" s="51"/>
      <c r="W302" s="51"/>
      <c r="X302" s="51"/>
      <c r="Y302" s="51"/>
      <c r="Z302" s="51"/>
      <c r="AA302" s="51"/>
    </row>
    <row r="303" ht="22" customHeight="1">
      <c r="A303" s="49" t="str">
        <v>Lease payments - Lease payments [Thereafter]</v>
      </c>
      <c r="B303" s="3"/>
      <c r="C303" s="51"/>
      <c r="D303" s="51"/>
      <c r="E303" s="51"/>
      <c r="F303" s="51"/>
      <c r="G303" s="51" t="n">
        <v>34</v>
      </c>
      <c r="H303" s="51"/>
      <c r="I303" s="51"/>
      <c r="J303" s="51"/>
      <c r="K303" s="51"/>
      <c r="L303" s="51"/>
      <c r="M303" s="51"/>
      <c r="N303" s="51"/>
      <c r="O303" s="51"/>
      <c r="P303" s="51"/>
      <c r="Q303" s="51"/>
      <c r="R303" s="51"/>
      <c r="S303" s="51"/>
      <c r="T303" s="51"/>
      <c r="U303" s="51"/>
      <c r="V303" s="51"/>
      <c r="W303" s="51"/>
      <c r="X303" s="51"/>
      <c r="Y303" s="51"/>
      <c r="Z303" s="51"/>
      <c r="AA303" s="51"/>
    </row>
    <row r="304" ht="22" customHeight="1">
      <c r="A304" s="49" t="str">
        <v>Lease payments - Lease payments [Total]</v>
      </c>
      <c r="B304" s="3"/>
      <c r="C304" s="51"/>
      <c r="D304" s="51"/>
      <c r="E304" s="51"/>
      <c r="F304" s="51" t="n">
        <v>595</v>
      </c>
      <c r="G304" s="51" t="n">
        <v>559</v>
      </c>
      <c r="H304" s="51"/>
      <c r="I304" s="51"/>
      <c r="J304" s="51"/>
      <c r="K304" s="51"/>
      <c r="L304" s="51"/>
      <c r="M304" s="51"/>
      <c r="N304" s="51"/>
      <c r="O304" s="51"/>
      <c r="P304" s="51"/>
      <c r="Q304" s="51"/>
      <c r="R304" s="51"/>
      <c r="S304" s="51"/>
      <c r="T304" s="51"/>
      <c r="U304" s="51"/>
      <c r="V304" s="51"/>
      <c r="W304" s="51"/>
      <c r="X304" s="51"/>
      <c r="Y304" s="51"/>
      <c r="Z304" s="51"/>
      <c r="AA304" s="51"/>
    </row>
    <row r="305" ht="36" customHeight="1">
      <c r="A305" s="49" t="str">
        <v>Present value of lease payments - Present value of lease payments</v>
      </c>
      <c r="B305" s="3"/>
      <c r="C305" s="51"/>
      <c r="D305" s="51"/>
      <c r="E305" s="51"/>
      <c r="F305" s="51" t="n">
        <v>549</v>
      </c>
      <c r="G305" s="51" t="n">
        <v>527</v>
      </c>
      <c r="H305" s="51" t="n">
        <v>1455</v>
      </c>
      <c r="I305" s="51" t="n">
        <v>1218</v>
      </c>
      <c r="J305" s="51" t="n">
        <v>978</v>
      </c>
      <c r="K305" s="51" t="n">
        <v>614</v>
      </c>
      <c r="L305" s="51" t="n">
        <v>473</v>
      </c>
      <c r="M305" s="51"/>
      <c r="N305" s="51"/>
      <c r="O305" s="51"/>
      <c r="P305" s="51"/>
      <c r="Q305" s="51"/>
      <c r="R305" s="51"/>
      <c r="S305" s="51"/>
      <c r="T305" s="51"/>
      <c r="U305" s="51"/>
      <c r="V305" s="51"/>
      <c r="W305" s="51"/>
      <c r="X305" s="51"/>
      <c r="Y305" s="51"/>
      <c r="Z305" s="51"/>
      <c r="AA305" s="51"/>
    </row>
    <row r="306" ht="50" customHeight="1">
      <c r="A306" s="49" t="str">
        <v>Minimum rental commitments under all non-cancelable leases - Minimum rental commitments under all non-cancelable leases</v>
      </c>
      <c r="B306" s="3"/>
      <c r="C306" s="51"/>
      <c r="D306" s="51" t="n">
        <v>215</v>
      </c>
      <c r="E306" s="51" t="n">
        <v>229</v>
      </c>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50" customHeight="1">
      <c r="A307" s="49" t="str">
        <v>Minimum rental commitments under all non-cancelable leases - Minimum rental commitments under all non-cancelable leases [2023and thereafter]</v>
      </c>
      <c r="B307" s="3"/>
      <c r="C307" s="51"/>
      <c r="D307" s="51" t="n">
        <v>441</v>
      </c>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50" customHeight="1">
      <c r="A308" s="49" t="str">
        <v>Minimum rental commitments under all non-cancelable leases - Minimum rental commitments under all non-cancelable leases [2024and Thereafter]</v>
      </c>
      <c r="B308" s="3"/>
      <c r="C308" s="51"/>
      <c r="D308" s="51"/>
      <c r="E308" s="51" t="n">
        <v>121</v>
      </c>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50" customHeight="1">
      <c r="A309" s="49" t="str">
        <v>Minimum rental commitments under all non-cancelable leases - Minimum rental commitments under all non-cancelable leases [Total]</v>
      </c>
      <c r="B309" s="3"/>
      <c r="C309" s="51"/>
      <c r="D309" s="51" t="n">
        <v>1245</v>
      </c>
      <c r="E309" s="51" t="n">
        <v>835</v>
      </c>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22" customHeight="1">
      <c r="A310" s="49" t="str">
        <v>2017 - 2017</v>
      </c>
      <c r="B310" s="3"/>
      <c r="C310" s="51" t="n">
        <v>229</v>
      </c>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22" customHeight="1">
      <c r="A311" s="49" t="str">
        <v>2018 - 2018</v>
      </c>
      <c r="B311" s="3"/>
      <c r="C311" s="51" t="n">
        <v>184</v>
      </c>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22" customHeight="1">
      <c r="A312" s="49" t="str">
        <v>2019 - 2019</v>
      </c>
      <c r="B312" s="3"/>
      <c r="C312" s="51" t="n">
        <v>158</v>
      </c>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22" customHeight="1">
      <c r="A313" s="49" t="str">
        <v>2020 - 2020</v>
      </c>
      <c r="B313" s="3"/>
      <c r="C313" s="51" t="n">
        <v>133</v>
      </c>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22" customHeight="1">
      <c r="A314" s="49" t="str">
        <v>2021 - 2021</v>
      </c>
      <c r="B314" s="3"/>
      <c r="C314" s="51" t="n">
        <v>100</v>
      </c>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22" customHeight="1">
      <c r="A315" s="49" t="str">
        <v>2022 and thereafter - 2022 and thereafter</v>
      </c>
      <c r="B315" s="3"/>
      <c r="C315" s="51" t="n">
        <v>422</v>
      </c>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24" customHeight="1">
      <c r="A316" s="34" t="str">
        <v>Total - Total</v>
      </c>
      <c r="B316" s="35"/>
      <c r="C316" s="36" t="n">
        <v>1226</v>
      </c>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row>
    <row r="317" ht="22" customHeight="1">
      <c r="A317" s="49" t="str">
        <v>Operating lease obligations - Operating lease obligations</v>
      </c>
      <c r="B317" s="3"/>
      <c r="C317" s="51" t="n">
        <v>1226</v>
      </c>
      <c r="D317" s="51" t="n">
        <v>1245</v>
      </c>
      <c r="E317" s="51" t="n">
        <v>835</v>
      </c>
      <c r="F317" s="51" t="n">
        <v>595</v>
      </c>
      <c r="G317" s="51" t="n">
        <v>559</v>
      </c>
      <c r="H317" s="51"/>
      <c r="I317" s="51"/>
      <c r="J317" s="51"/>
      <c r="K317" s="51"/>
      <c r="L317" s="51"/>
      <c r="M317" s="51"/>
      <c r="N317" s="51"/>
      <c r="O317" s="51"/>
      <c r="P317" s="51"/>
      <c r="Q317" s="51"/>
      <c r="R317" s="51"/>
      <c r="S317" s="51"/>
      <c r="T317" s="51"/>
      <c r="U317" s="51"/>
      <c r="V317" s="51"/>
      <c r="W317" s="51"/>
      <c r="X317" s="51"/>
      <c r="Y317" s="51"/>
      <c r="Z317" s="51"/>
      <c r="AA317" s="51"/>
    </row>
    <row r="318" ht="22" customHeight="1">
      <c r="A318" s="49" t="str">
        <v>Operating lease obligations - Operating lease obligations</v>
      </c>
      <c r="B318" s="3"/>
      <c r="C318" s="51" t="n">
        <v>229</v>
      </c>
      <c r="D318" s="51" t="n">
        <v>215</v>
      </c>
      <c r="E318" s="51" t="n">
        <v>229</v>
      </c>
      <c r="F318" s="51" t="n">
        <v>178</v>
      </c>
      <c r="G318" s="51" t="n">
        <v>175</v>
      </c>
      <c r="H318" s="51"/>
      <c r="I318" s="51"/>
      <c r="J318" s="51"/>
      <c r="K318" s="51"/>
      <c r="L318" s="51"/>
      <c r="M318" s="51"/>
      <c r="N318" s="51"/>
      <c r="O318" s="51"/>
      <c r="P318" s="51"/>
      <c r="Q318" s="51"/>
      <c r="R318" s="51"/>
      <c r="S318" s="51"/>
      <c r="T318" s="51"/>
      <c r="U318" s="51"/>
      <c r="V318" s="51"/>
      <c r="W318" s="51"/>
      <c r="X318" s="51"/>
      <c r="Y318" s="51"/>
      <c r="Z318" s="51"/>
      <c r="AA318" s="51"/>
    </row>
    <row r="319" ht="22" customHeight="1">
      <c r="A319" s="49" t="str">
        <v>Operating lease obligations - Operating lease obligations</v>
      </c>
      <c r="B319" s="3"/>
      <c r="C319" s="51" t="n">
        <v>342</v>
      </c>
      <c r="D319" s="51" t="n">
        <v>348</v>
      </c>
      <c r="E319" s="51" t="n">
        <v>314</v>
      </c>
      <c r="F319" s="51" t="n">
        <v>232</v>
      </c>
      <c r="G319" s="51" t="n">
        <v>229</v>
      </c>
      <c r="H319" s="51"/>
      <c r="I319" s="51"/>
      <c r="J319" s="51"/>
      <c r="K319" s="51"/>
      <c r="L319" s="51"/>
      <c r="M319" s="51"/>
      <c r="N319" s="51"/>
      <c r="O319" s="51"/>
      <c r="P319" s="51"/>
      <c r="Q319" s="51"/>
      <c r="R319" s="51"/>
      <c r="S319" s="51"/>
      <c r="T319" s="51"/>
      <c r="U319" s="51"/>
      <c r="V319" s="51"/>
      <c r="W319" s="51"/>
      <c r="X319" s="51"/>
      <c r="Y319" s="51"/>
      <c r="Z319" s="51"/>
      <c r="AA319" s="51"/>
    </row>
    <row r="320" ht="22" customHeight="1">
      <c r="A320" s="49" t="str">
        <v>Operating lease obligations - Operating lease obligations</v>
      </c>
      <c r="B320" s="3"/>
      <c r="C320" s="51" t="n">
        <v>233</v>
      </c>
      <c r="D320" s="51" t="n">
        <v>241</v>
      </c>
      <c r="E320" s="51" t="n">
        <v>171</v>
      </c>
      <c r="F320" s="51" t="n">
        <v>128</v>
      </c>
      <c r="G320" s="51" t="n">
        <v>121</v>
      </c>
      <c r="H320" s="51"/>
      <c r="I320" s="51"/>
      <c r="J320" s="51"/>
      <c r="K320" s="51"/>
      <c r="L320" s="51"/>
      <c r="M320" s="51"/>
      <c r="N320" s="51"/>
      <c r="O320" s="51"/>
      <c r="P320" s="51"/>
      <c r="Q320" s="51"/>
      <c r="R320" s="51"/>
      <c r="S320" s="51"/>
      <c r="T320" s="51"/>
      <c r="U320" s="51"/>
      <c r="V320" s="51"/>
      <c r="W320" s="51"/>
      <c r="X320" s="51"/>
      <c r="Y320" s="51"/>
      <c r="Z320" s="51"/>
      <c r="AA320" s="51"/>
    </row>
    <row r="321" ht="22" customHeight="1">
      <c r="A321" s="49" t="str">
        <v>Operating lease obligations - Operating lease obligations</v>
      </c>
      <c r="B321" s="3"/>
      <c r="C321" s="51" t="n">
        <v>422</v>
      </c>
      <c r="D321" s="51" t="n">
        <v>441</v>
      </c>
      <c r="E321" s="51" t="n">
        <v>121</v>
      </c>
      <c r="F321" s="51" t="n">
        <v>57</v>
      </c>
      <c r="G321" s="51" t="n">
        <v>34</v>
      </c>
      <c r="H321" s="51"/>
      <c r="I321" s="51"/>
      <c r="J321" s="51"/>
      <c r="K321" s="51"/>
      <c r="L321" s="51"/>
      <c r="M321" s="51"/>
      <c r="N321" s="51"/>
      <c r="O321" s="51"/>
      <c r="P321" s="51"/>
      <c r="Q321" s="51"/>
      <c r="R321" s="51"/>
      <c r="S321" s="51"/>
      <c r="T321" s="51"/>
      <c r="U321" s="51"/>
      <c r="V321" s="51"/>
      <c r="W321" s="51"/>
      <c r="X321" s="51"/>
      <c r="Y321" s="51"/>
      <c r="Z321" s="51"/>
      <c r="AA321" s="51"/>
    </row>
    <row r="322" ht="22" customHeight="1">
      <c r="A322" s="49" t="str">
        <v>Operating lease payments - Operating lease payments</v>
      </c>
      <c r="B322" s="3"/>
      <c r="C322" s="51"/>
      <c r="D322" s="51"/>
      <c r="E322" s="51"/>
      <c r="F322" s="51"/>
      <c r="G322" s="51"/>
      <c r="H322" s="51" t="n">
        <v>183</v>
      </c>
      <c r="I322" s="51" t="n">
        <v>179</v>
      </c>
      <c r="J322" s="51" t="n">
        <v>149</v>
      </c>
      <c r="K322" s="51" t="n">
        <v>112</v>
      </c>
      <c r="L322" s="51" t="n">
        <v>94</v>
      </c>
      <c r="M322" s="51"/>
      <c r="N322" s="51"/>
      <c r="O322" s="51"/>
      <c r="P322" s="51"/>
      <c r="Q322" s="51"/>
      <c r="R322" s="51"/>
      <c r="S322" s="51"/>
      <c r="T322" s="51"/>
      <c r="U322" s="51"/>
      <c r="V322" s="51"/>
      <c r="W322" s="51"/>
      <c r="X322" s="51"/>
      <c r="Y322" s="51"/>
      <c r="Z322" s="51"/>
      <c r="AA322" s="51"/>
    </row>
    <row r="323" ht="36" customHeight="1">
      <c r="A323" s="49" t="str">
        <v>Operating lease payments - Operating lease payments [Thereafter]</v>
      </c>
      <c r="B323" s="3"/>
      <c r="C323" s="51"/>
      <c r="D323" s="51"/>
      <c r="E323" s="51"/>
      <c r="F323" s="51"/>
      <c r="G323" s="51"/>
      <c r="H323" s="51" t="n">
        <v>27</v>
      </c>
      <c r="I323" s="51" t="n">
        <v>28</v>
      </c>
      <c r="J323" s="51" t="n">
        <v>103</v>
      </c>
      <c r="K323" s="51" t="n">
        <v>119</v>
      </c>
      <c r="L323" s="51" t="n">
        <v>100</v>
      </c>
      <c r="M323" s="51"/>
      <c r="N323" s="51"/>
      <c r="O323" s="51"/>
      <c r="P323" s="51"/>
      <c r="Q323" s="51"/>
      <c r="R323" s="51"/>
      <c r="S323" s="51"/>
      <c r="T323" s="51"/>
      <c r="U323" s="51"/>
      <c r="V323" s="51"/>
      <c r="W323" s="51"/>
      <c r="X323" s="51"/>
      <c r="Y323" s="51"/>
      <c r="Z323" s="51"/>
      <c r="AA323" s="51"/>
    </row>
    <row r="324" ht="36" customHeight="1">
      <c r="A324" s="49" t="str">
        <v>Operating lease payments - Operating lease payments [Total]</v>
      </c>
      <c r="B324" s="3"/>
      <c r="C324" s="51"/>
      <c r="D324" s="51"/>
      <c r="E324" s="51"/>
      <c r="F324" s="51"/>
      <c r="G324" s="51"/>
      <c r="H324" s="51" t="n">
        <v>499</v>
      </c>
      <c r="I324" s="51" t="n">
        <v>446</v>
      </c>
      <c r="J324" s="51" t="n">
        <v>499</v>
      </c>
      <c r="K324" s="51" t="n">
        <v>452</v>
      </c>
      <c r="L324" s="51" t="n">
        <v>422</v>
      </c>
      <c r="M324" s="51"/>
      <c r="N324" s="51"/>
      <c r="O324" s="51"/>
      <c r="P324" s="51"/>
      <c r="Q324" s="51"/>
      <c r="R324" s="51"/>
      <c r="S324" s="51"/>
      <c r="T324" s="51"/>
      <c r="U324" s="51"/>
      <c r="V324" s="51"/>
      <c r="W324" s="51"/>
      <c r="X324" s="51"/>
      <c r="Y324" s="51"/>
      <c r="Z324" s="51"/>
      <c r="AA324" s="51"/>
    </row>
    <row r="325" ht="22" customHeight="1">
      <c r="A325" s="49" t="str">
        <v>Finance lease payments - Finance lease payments</v>
      </c>
      <c r="B325" s="3"/>
      <c r="C325" s="51"/>
      <c r="D325" s="51"/>
      <c r="E325" s="51"/>
      <c r="F325" s="51"/>
      <c r="G325" s="51"/>
      <c r="H325" s="51" t="n">
        <v>451</v>
      </c>
      <c r="I325" s="51" t="n">
        <v>682</v>
      </c>
      <c r="J325" s="51" t="n">
        <v>480</v>
      </c>
      <c r="K325" s="51" t="n">
        <v>107</v>
      </c>
      <c r="L325" s="51" t="n">
        <v>96</v>
      </c>
      <c r="M325" s="51"/>
      <c r="N325" s="51"/>
      <c r="O325" s="51"/>
      <c r="P325" s="51"/>
      <c r="Q325" s="51"/>
      <c r="R325" s="51"/>
      <c r="S325" s="51"/>
      <c r="T325" s="51"/>
      <c r="U325" s="51"/>
      <c r="V325" s="51"/>
      <c r="W325" s="51"/>
      <c r="X325" s="51"/>
      <c r="Y325" s="51"/>
      <c r="Z325" s="51"/>
      <c r="AA325" s="51"/>
    </row>
    <row r="326" ht="36" customHeight="1">
      <c r="A326" s="49" t="str">
        <v>Finance lease payments - Finance lease payments [Thereafter]</v>
      </c>
      <c r="B326" s="3"/>
      <c r="C326" s="51"/>
      <c r="D326" s="51"/>
      <c r="E326" s="51"/>
      <c r="F326" s="51"/>
      <c r="G326" s="51"/>
      <c r="H326" s="51"/>
      <c r="I326" s="51" t="n">
        <v>0</v>
      </c>
      <c r="J326" s="51" t="n">
        <v>0</v>
      </c>
      <c r="K326" s="51" t="n">
        <v>0</v>
      </c>
      <c r="L326" s="51" t="n">
        <v>19</v>
      </c>
      <c r="M326" s="51"/>
      <c r="N326" s="51"/>
      <c r="O326" s="51"/>
      <c r="P326" s="51"/>
      <c r="Q326" s="51"/>
      <c r="R326" s="51"/>
      <c r="S326" s="51"/>
      <c r="T326" s="51"/>
      <c r="U326" s="51"/>
      <c r="V326" s="51"/>
      <c r="W326" s="51"/>
      <c r="X326" s="51"/>
      <c r="Y326" s="51"/>
      <c r="Z326" s="51"/>
      <c r="AA326" s="51"/>
    </row>
    <row r="327" ht="22" customHeight="1">
      <c r="A327" s="49" t="str">
        <v>Finance lease payments - Finance lease payments [Total]</v>
      </c>
      <c r="B327" s="3"/>
      <c r="C327" s="51"/>
      <c r="D327" s="51"/>
      <c r="E327" s="51"/>
      <c r="F327" s="51"/>
      <c r="G327" s="51"/>
      <c r="H327" s="51" t="n">
        <v>980</v>
      </c>
      <c r="I327" s="51" t="n">
        <v>809</v>
      </c>
      <c r="J327" s="51" t="n">
        <v>550</v>
      </c>
      <c r="K327" s="51" t="n">
        <v>235</v>
      </c>
      <c r="L327" s="51" t="n">
        <v>133</v>
      </c>
      <c r="M327" s="51"/>
      <c r="N327" s="51"/>
      <c r="O327" s="51"/>
      <c r="P327" s="51"/>
      <c r="Q327" s="51"/>
      <c r="R327" s="51"/>
      <c r="S327" s="51"/>
      <c r="T327" s="51"/>
      <c r="U327" s="51"/>
      <c r="V327" s="51"/>
      <c r="W327" s="51"/>
      <c r="X327" s="51"/>
      <c r="Y327" s="51"/>
      <c r="Z327" s="51"/>
      <c r="AA327" s="51"/>
    </row>
    <row r="328" ht="22" customHeight="1">
      <c r="A328" s="49" t="str">
        <v>Payments on finance leases - Payments on finance leases</v>
      </c>
      <c r="B328" s="3"/>
      <c r="C328" s="51"/>
      <c r="D328" s="51"/>
      <c r="E328" s="51"/>
      <c r="F328" s="51"/>
      <c r="G328" s="51"/>
      <c r="H328" s="51"/>
      <c r="I328" s="51"/>
      <c r="J328" s="51"/>
      <c r="K328" s="51"/>
      <c r="L328" s="51"/>
      <c r="M328" s="51"/>
      <c r="N328" s="51" t="n">
        <v>-15</v>
      </c>
      <c r="O328" s="51"/>
      <c r="P328" s="51"/>
      <c r="Q328" s="51"/>
      <c r="R328" s="51" t="n">
        <v>0</v>
      </c>
      <c r="S328" s="51"/>
      <c r="T328" s="51"/>
      <c r="U328" s="51"/>
      <c r="V328" s="51"/>
      <c r="W328" s="51"/>
      <c r="X328" s="51"/>
      <c r="Y328" s="51"/>
      <c r="Z328" s="51"/>
      <c r="AA328" s="51"/>
    </row>
    <row r="329" ht="8"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22" customHeight="1">
      <c r="A330" s="21" t="str">
        <v>Contractual commitments by payment horizon</v>
      </c>
      <c r="B330" s="21" t="str">
        <v>Contractual commitments by payment horizon</v>
      </c>
      <c r="C330" s="21" t="str">
        <v>Contractual commitments by payment horizon</v>
      </c>
      <c r="D330" s="21" t="str">
        <v>Contractual commitments by payment horizon</v>
      </c>
      <c r="E330" s="21" t="str">
        <v>Contractual commitments by payment horizon</v>
      </c>
      <c r="F330" s="21" t="str">
        <v>Contractual commitments by payment horizon</v>
      </c>
      <c r="G330" s="21" t="str">
        <v>Contractual commitments by payment horizon</v>
      </c>
      <c r="H330" s="21" t="str">
        <v>Contractual commitments by payment horizon</v>
      </c>
      <c r="I330" s="21" t="str">
        <v>Contractual commitments by payment horizon</v>
      </c>
      <c r="J330" s="21" t="str">
        <v>Contractual commitments by payment horizon</v>
      </c>
      <c r="K330" s="21" t="str">
        <v>Contractual commitments by payment horizon</v>
      </c>
      <c r="L330" s="21" t="str">
        <v>Contractual commitments by payment horizon</v>
      </c>
      <c r="M330" s="21" t="str">
        <v>Contractual commitments by payment horizon</v>
      </c>
      <c r="N330" s="21" t="str">
        <v>Contractual commitments by payment horizon</v>
      </c>
      <c r="O330" s="21" t="str">
        <v>Contractual commitments by payment horizon</v>
      </c>
      <c r="P330" s="21" t="str">
        <v>Contractual commitments by payment horizon</v>
      </c>
      <c r="Q330" s="21" t="str">
        <v>Contractual commitments by payment horizon</v>
      </c>
      <c r="R330" s="21" t="str">
        <v>Contractual commitments by payment horizon</v>
      </c>
      <c r="S330" s="21" t="str">
        <v>Contractual commitments by payment horizon</v>
      </c>
      <c r="T330" s="21" t="str">
        <v>Contractual commitments by payment horizon</v>
      </c>
      <c r="U330" s="21" t="str">
        <v>Contractual commitments by payment horizon</v>
      </c>
      <c r="V330" s="21" t="str">
        <v>Contractual commitments by payment horizon</v>
      </c>
      <c r="W330" s="21" t="str">
        <v>Contractual commitments by payment horizon</v>
      </c>
      <c r="X330" s="21" t="str">
        <v>Contractual commitments by payment horizon</v>
      </c>
      <c r="Y330" s="21" t="str">
        <v>Contractual commitments by payment horizon</v>
      </c>
      <c r="Z330" s="21" t="str">
        <v>Contractual commitments by payment horizon</v>
      </c>
      <c r="AA330" s="21" t="str">
        <v>Contractual commitments by payment horizon</v>
      </c>
    </row>
    <row r="331" ht="22" customHeight="1">
      <c r="A331" s="49" t="str">
        <v>Capital purchase obligations2 - Total</v>
      </c>
      <c r="B331" s="3"/>
      <c r="C331" s="51" t="n">
        <v>7529</v>
      </c>
      <c r="D331" s="51" t="n">
        <v>12068</v>
      </c>
      <c r="E331" s="51" t="n">
        <v>9029</v>
      </c>
      <c r="F331" s="51" t="n">
        <v>10918</v>
      </c>
      <c r="G331" s="51" t="n">
        <v>8570</v>
      </c>
      <c r="H331" s="51"/>
      <c r="I331" s="51"/>
      <c r="J331" s="51"/>
      <c r="K331" s="51"/>
      <c r="L331" s="51"/>
      <c r="M331" s="51"/>
      <c r="N331" s="51"/>
      <c r="O331" s="51"/>
      <c r="P331" s="51"/>
      <c r="Q331" s="51"/>
      <c r="R331" s="51"/>
      <c r="S331" s="51"/>
      <c r="T331" s="51"/>
      <c r="U331" s="51"/>
      <c r="V331" s="51"/>
      <c r="W331" s="51"/>
      <c r="X331" s="51"/>
      <c r="Y331" s="51"/>
      <c r="Z331" s="51"/>
      <c r="AA331" s="51"/>
    </row>
    <row r="332" ht="22" customHeight="1">
      <c r="A332" s="49" t="str">
        <v>Capital purchase obligations2 - Less than1 year</v>
      </c>
      <c r="B332" s="3"/>
      <c r="C332" s="51" t="n">
        <v>5646</v>
      </c>
      <c r="D332" s="51" t="n">
        <v>9689</v>
      </c>
      <c r="E332" s="51" t="n">
        <v>7888</v>
      </c>
      <c r="F332" s="51" t="n">
        <v>9300</v>
      </c>
      <c r="G332" s="51" t="n">
        <v>8006</v>
      </c>
      <c r="H332" s="51"/>
      <c r="I332" s="51"/>
      <c r="J332" s="51"/>
      <c r="K332" s="51"/>
      <c r="L332" s="51"/>
      <c r="M332" s="51"/>
      <c r="N332" s="51"/>
      <c r="O332" s="51"/>
      <c r="P332" s="51"/>
      <c r="Q332" s="51"/>
      <c r="R332" s="51"/>
      <c r="S332" s="51"/>
      <c r="T332" s="51"/>
      <c r="U332" s="51"/>
      <c r="V332" s="51"/>
      <c r="W332" s="51"/>
      <c r="X332" s="51"/>
      <c r="Y332" s="51"/>
      <c r="Z332" s="51"/>
      <c r="AA332" s="51"/>
    </row>
    <row r="333" ht="22" customHeight="1">
      <c r="A333" s="49" t="str">
        <v>Capital purchase obligations2 - 1–3 years</v>
      </c>
      <c r="B333" s="3"/>
      <c r="C333" s="51" t="n">
        <v>1882</v>
      </c>
      <c r="D333" s="51" t="n">
        <v>2266</v>
      </c>
      <c r="E333" s="51" t="n">
        <v>795</v>
      </c>
      <c r="F333" s="51" t="n">
        <v>1595</v>
      </c>
      <c r="G333" s="51" t="n">
        <v>556</v>
      </c>
      <c r="H333" s="51"/>
      <c r="I333" s="51"/>
      <c r="J333" s="51"/>
      <c r="K333" s="51"/>
      <c r="L333" s="51"/>
      <c r="M333" s="51"/>
      <c r="N333" s="51"/>
      <c r="O333" s="51"/>
      <c r="P333" s="51"/>
      <c r="Q333" s="51"/>
      <c r="R333" s="51"/>
      <c r="S333" s="51"/>
      <c r="T333" s="51"/>
      <c r="U333" s="51"/>
      <c r="V333" s="51"/>
      <c r="W333" s="51"/>
      <c r="X333" s="51"/>
      <c r="Y333" s="51"/>
      <c r="Z333" s="51"/>
      <c r="AA333" s="51"/>
    </row>
    <row r="334" ht="22" customHeight="1">
      <c r="A334" s="49" t="str">
        <v>Capital purchase obligations2 - 3–5 years</v>
      </c>
      <c r="B334" s="3"/>
      <c r="C334" s="51" t="n">
        <v>1</v>
      </c>
      <c r="D334" s="51" t="n">
        <v>113</v>
      </c>
      <c r="E334" s="51" t="n">
        <v>345</v>
      </c>
      <c r="F334" s="51" t="n">
        <v>14</v>
      </c>
      <c r="G334" s="51" t="n">
        <v>8</v>
      </c>
      <c r="H334" s="51"/>
      <c r="I334" s="51"/>
      <c r="J334" s="51"/>
      <c r="K334" s="51"/>
      <c r="L334" s="51"/>
      <c r="M334" s="51"/>
      <c r="N334" s="51"/>
      <c r="O334" s="51"/>
      <c r="P334" s="51"/>
      <c r="Q334" s="51"/>
      <c r="R334" s="51"/>
      <c r="S334" s="51"/>
      <c r="T334" s="51"/>
      <c r="U334" s="51"/>
      <c r="V334" s="51"/>
      <c r="W334" s="51"/>
      <c r="X334" s="51"/>
      <c r="Y334" s="51"/>
      <c r="Z334" s="51"/>
      <c r="AA334" s="51"/>
    </row>
    <row r="335" ht="22" customHeight="1">
      <c r="A335" s="49" t="str">
        <v>Capital purchase obligations2 - More than5 years</v>
      </c>
      <c r="B335" s="3"/>
      <c r="C335" s="51" t="n">
        <v>0</v>
      </c>
      <c r="D335" s="51" t="n">
        <v>0</v>
      </c>
      <c r="E335" s="51" t="n">
        <v>1</v>
      </c>
      <c r="F335" s="51" t="n">
        <v>9</v>
      </c>
      <c r="G335" s="51" t="n">
        <v>0</v>
      </c>
      <c r="H335" s="51"/>
      <c r="I335" s="51"/>
      <c r="J335" s="51"/>
      <c r="K335" s="51"/>
      <c r="L335" s="51"/>
      <c r="M335" s="51"/>
      <c r="N335" s="51"/>
      <c r="O335" s="51"/>
      <c r="P335" s="51"/>
      <c r="Q335" s="51"/>
      <c r="R335" s="51"/>
      <c r="S335" s="51"/>
      <c r="T335" s="51"/>
      <c r="U335" s="51"/>
      <c r="V335" s="51"/>
      <c r="W335" s="51"/>
      <c r="X335" s="51"/>
      <c r="Y335" s="51"/>
      <c r="Z335" s="51"/>
      <c r="AA335" s="51"/>
    </row>
    <row r="336" ht="22" customHeight="1">
      <c r="A336" s="49" t="str">
        <v>Other purchase obligations and commitments3 - Total</v>
      </c>
      <c r="B336" s="3"/>
      <c r="C336" s="51" t="n">
        <v>3038</v>
      </c>
      <c r="D336" s="51" t="n">
        <v>2692</v>
      </c>
      <c r="E336" s="51" t="n">
        <v>3249</v>
      </c>
      <c r="F336" s="51" t="n">
        <v>2757</v>
      </c>
      <c r="G336" s="51" t="n">
        <v>2585</v>
      </c>
      <c r="H336" s="51"/>
      <c r="I336" s="51"/>
      <c r="J336" s="51"/>
      <c r="K336" s="51"/>
      <c r="L336" s="51"/>
      <c r="M336" s="51"/>
      <c r="N336" s="51"/>
      <c r="O336" s="51"/>
      <c r="P336" s="51"/>
      <c r="Q336" s="51"/>
      <c r="R336" s="51"/>
      <c r="S336" s="51"/>
      <c r="T336" s="51"/>
      <c r="U336" s="51"/>
      <c r="V336" s="51"/>
      <c r="W336" s="51"/>
      <c r="X336" s="51"/>
      <c r="Y336" s="51"/>
      <c r="Z336" s="51"/>
      <c r="AA336" s="51"/>
    </row>
    <row r="337" ht="36" customHeight="1">
      <c r="A337" s="49" t="str">
        <v>Other purchase obligations and commitments3 - Less than1 year</v>
      </c>
      <c r="B337" s="3"/>
      <c r="C337" s="51" t="n">
        <v>1825</v>
      </c>
      <c r="D337" s="51" t="n">
        <v>1577</v>
      </c>
      <c r="E337" s="51" t="n">
        <v>1272</v>
      </c>
      <c r="F337" s="51" t="n">
        <v>1636</v>
      </c>
      <c r="G337" s="51" t="n">
        <v>1831</v>
      </c>
      <c r="H337" s="51"/>
      <c r="I337" s="51"/>
      <c r="J337" s="51"/>
      <c r="K337" s="51"/>
      <c r="L337" s="51"/>
      <c r="M337" s="51"/>
      <c r="N337" s="51"/>
      <c r="O337" s="51"/>
      <c r="P337" s="51"/>
      <c r="Q337" s="51"/>
      <c r="R337" s="51"/>
      <c r="S337" s="51"/>
      <c r="T337" s="51"/>
      <c r="U337" s="51"/>
      <c r="V337" s="51"/>
      <c r="W337" s="51"/>
      <c r="X337" s="51"/>
      <c r="Y337" s="51"/>
      <c r="Z337" s="51"/>
      <c r="AA337" s="51"/>
    </row>
    <row r="338" ht="22" customHeight="1">
      <c r="A338" s="49" t="str">
        <v>Other purchase obligations and commitments3 - 1–3 years</v>
      </c>
      <c r="B338" s="3"/>
      <c r="C338" s="51" t="n">
        <v>1154</v>
      </c>
      <c r="D338" s="51" t="n">
        <v>1040</v>
      </c>
      <c r="E338" s="51" t="n">
        <v>1781</v>
      </c>
      <c r="F338" s="51" t="n">
        <v>947</v>
      </c>
      <c r="G338" s="51" t="n">
        <v>598</v>
      </c>
      <c r="H338" s="51"/>
      <c r="I338" s="51"/>
      <c r="J338" s="51"/>
      <c r="K338" s="51"/>
      <c r="L338" s="51"/>
      <c r="M338" s="51"/>
      <c r="N338" s="51"/>
      <c r="O338" s="51"/>
      <c r="P338" s="51"/>
      <c r="Q338" s="51"/>
      <c r="R338" s="51"/>
      <c r="S338" s="51"/>
      <c r="T338" s="51"/>
      <c r="U338" s="51"/>
      <c r="V338" s="51"/>
      <c r="W338" s="51"/>
      <c r="X338" s="51"/>
      <c r="Y338" s="51"/>
      <c r="Z338" s="51"/>
      <c r="AA338" s="51"/>
    </row>
    <row r="339" ht="22" customHeight="1">
      <c r="A339" s="49" t="str">
        <v>Other purchase obligations and commitments3 - 3–5 years</v>
      </c>
      <c r="B339" s="3"/>
      <c r="C339" s="51" t="n">
        <v>59</v>
      </c>
      <c r="D339" s="51" t="n">
        <v>55</v>
      </c>
      <c r="E339" s="51" t="n">
        <v>178</v>
      </c>
      <c r="F339" s="51" t="n">
        <v>147</v>
      </c>
      <c r="G339" s="51" t="n">
        <v>149</v>
      </c>
      <c r="H339" s="51"/>
      <c r="I339" s="51"/>
      <c r="J339" s="51"/>
      <c r="K339" s="51"/>
      <c r="L339" s="51"/>
      <c r="M339" s="51"/>
      <c r="N339" s="51"/>
      <c r="O339" s="51"/>
      <c r="P339" s="51"/>
      <c r="Q339" s="51"/>
      <c r="R339" s="51"/>
      <c r="S339" s="51"/>
      <c r="T339" s="51"/>
      <c r="U339" s="51"/>
      <c r="V339" s="51"/>
      <c r="W339" s="51"/>
      <c r="X339" s="51"/>
      <c r="Y339" s="51"/>
      <c r="Z339" s="51"/>
      <c r="AA339" s="51"/>
    </row>
    <row r="340" ht="36" customHeight="1">
      <c r="A340" s="49" t="str">
        <v>Other purchase obligations and commitments3 - More than5 years</v>
      </c>
      <c r="B340" s="3"/>
      <c r="C340" s="51" t="n">
        <v>0</v>
      </c>
      <c r="D340" s="51" t="n">
        <v>20</v>
      </c>
      <c r="E340" s="51" t="n">
        <v>18</v>
      </c>
      <c r="F340" s="51" t="n">
        <v>27</v>
      </c>
      <c r="G340" s="51" t="n">
        <v>7</v>
      </c>
      <c r="H340" s="51"/>
      <c r="I340" s="51"/>
      <c r="J340" s="51"/>
      <c r="K340" s="51"/>
      <c r="L340" s="51"/>
      <c r="M340" s="51"/>
      <c r="N340" s="51"/>
      <c r="O340" s="51"/>
      <c r="P340" s="51"/>
      <c r="Q340" s="51"/>
      <c r="R340" s="51"/>
      <c r="S340" s="51"/>
      <c r="T340" s="51"/>
      <c r="U340" s="51"/>
      <c r="V340" s="51"/>
      <c r="W340" s="51"/>
      <c r="X340" s="51"/>
      <c r="Y340" s="51"/>
      <c r="Z340" s="51"/>
      <c r="AA340" s="51"/>
    </row>
    <row r="341" ht="22" customHeight="1">
      <c r="A341" s="49" t="str">
        <v>Tax obligations4 - Total</v>
      </c>
      <c r="B341" s="3"/>
      <c r="C341" s="51"/>
      <c r="D341" s="51" t="n">
        <v>6120</v>
      </c>
      <c r="E341" s="51" t="n">
        <v>4732</v>
      </c>
      <c r="F341" s="51" t="n">
        <v>4442</v>
      </c>
      <c r="G341" s="51" t="n">
        <v>4418</v>
      </c>
      <c r="H341" s="51"/>
      <c r="I341" s="51"/>
      <c r="J341" s="51"/>
      <c r="K341" s="51"/>
      <c r="L341" s="51"/>
      <c r="M341" s="51"/>
      <c r="N341" s="51"/>
      <c r="O341" s="51"/>
      <c r="P341" s="51"/>
      <c r="Q341" s="51"/>
      <c r="R341" s="51"/>
      <c r="S341" s="51"/>
      <c r="T341" s="51"/>
      <c r="U341" s="51"/>
      <c r="V341" s="51"/>
      <c r="W341" s="51"/>
      <c r="X341" s="51"/>
      <c r="Y341" s="51"/>
      <c r="Z341" s="51"/>
      <c r="AA341" s="51"/>
    </row>
    <row r="342" ht="22" customHeight="1">
      <c r="A342" s="49" t="str">
        <v>Tax obligations4 - Less than1 year</v>
      </c>
      <c r="B342" s="3"/>
      <c r="C342" s="51"/>
      <c r="D342" s="51" t="n">
        <v>490</v>
      </c>
      <c r="E342" s="51" t="n">
        <v>143</v>
      </c>
      <c r="F342" s="51" t="n">
        <v>10</v>
      </c>
      <c r="G342" s="51" t="n">
        <v>259</v>
      </c>
      <c r="H342" s="51"/>
      <c r="I342" s="51"/>
      <c r="J342" s="51"/>
      <c r="K342" s="51"/>
      <c r="L342" s="51"/>
      <c r="M342" s="51"/>
      <c r="N342" s="51"/>
      <c r="O342" s="51"/>
      <c r="P342" s="51"/>
      <c r="Q342" s="51"/>
      <c r="R342" s="51"/>
      <c r="S342" s="51"/>
      <c r="T342" s="51"/>
      <c r="U342" s="51"/>
      <c r="V342" s="51"/>
      <c r="W342" s="51"/>
      <c r="X342" s="51"/>
      <c r="Y342" s="51"/>
      <c r="Z342" s="51"/>
      <c r="AA342" s="51"/>
    </row>
    <row r="343" ht="22" customHeight="1">
      <c r="A343" s="49" t="str">
        <v>Tax obligations4 - 1–3 years</v>
      </c>
      <c r="B343" s="3"/>
      <c r="C343" s="51"/>
      <c r="D343" s="51" t="n">
        <v>979</v>
      </c>
      <c r="E343" s="51" t="n">
        <v>426</v>
      </c>
      <c r="F343" s="51" t="n">
        <v>746</v>
      </c>
      <c r="G343" s="51" t="n">
        <v>1234</v>
      </c>
      <c r="H343" s="51"/>
      <c r="I343" s="51"/>
      <c r="J343" s="51"/>
      <c r="K343" s="51"/>
      <c r="L343" s="51"/>
      <c r="M343" s="51"/>
      <c r="N343" s="51"/>
      <c r="O343" s="51"/>
      <c r="P343" s="51"/>
      <c r="Q343" s="51"/>
      <c r="R343" s="51"/>
      <c r="S343" s="51"/>
      <c r="T343" s="51"/>
      <c r="U343" s="51"/>
      <c r="V343" s="51"/>
      <c r="W343" s="51"/>
      <c r="X343" s="51"/>
      <c r="Y343" s="51"/>
      <c r="Z343" s="51"/>
      <c r="AA343" s="51"/>
    </row>
    <row r="344" ht="22" customHeight="1">
      <c r="A344" s="49" t="str">
        <v>Tax obligations4 - 3–5 years</v>
      </c>
      <c r="B344" s="3"/>
      <c r="C344" s="51"/>
      <c r="D344" s="51" t="n">
        <v>979</v>
      </c>
      <c r="E344" s="51" t="n">
        <v>1234</v>
      </c>
      <c r="F344" s="51" t="n">
        <v>1853</v>
      </c>
      <c r="G344" s="51" t="n">
        <v>2478</v>
      </c>
      <c r="H344" s="51"/>
      <c r="I344" s="51"/>
      <c r="J344" s="51"/>
      <c r="K344" s="51"/>
      <c r="L344" s="51"/>
      <c r="M344" s="51"/>
      <c r="N344" s="51"/>
      <c r="O344" s="51"/>
      <c r="P344" s="51"/>
      <c r="Q344" s="51"/>
      <c r="R344" s="51"/>
      <c r="S344" s="51"/>
      <c r="T344" s="51"/>
      <c r="U344" s="51"/>
      <c r="V344" s="51"/>
      <c r="W344" s="51"/>
      <c r="X344" s="51"/>
      <c r="Y344" s="51"/>
      <c r="Z344" s="51"/>
      <c r="AA344" s="51"/>
    </row>
    <row r="345" ht="22" customHeight="1">
      <c r="A345" s="49" t="str">
        <v>Tax obligations4 - More than5 years</v>
      </c>
      <c r="B345" s="3"/>
      <c r="C345" s="51"/>
      <c r="D345" s="51" t="n">
        <v>3672</v>
      </c>
      <c r="E345" s="51" t="n">
        <v>2929</v>
      </c>
      <c r="F345" s="51" t="n">
        <v>1833</v>
      </c>
      <c r="G345" s="51" t="n">
        <v>447</v>
      </c>
      <c r="H345" s="51"/>
      <c r="I345" s="51"/>
      <c r="J345" s="51"/>
      <c r="K345" s="51"/>
      <c r="L345" s="51"/>
      <c r="M345" s="51"/>
      <c r="N345" s="51"/>
      <c r="O345" s="51"/>
      <c r="P345" s="51"/>
      <c r="Q345" s="51"/>
      <c r="R345" s="51"/>
      <c r="S345" s="51"/>
      <c r="T345" s="51"/>
      <c r="U345" s="51"/>
      <c r="V345" s="51"/>
      <c r="W345" s="51"/>
      <c r="X345" s="51"/>
      <c r="Y345" s="51"/>
      <c r="Z345" s="51"/>
      <c r="AA345" s="51"/>
    </row>
    <row r="346" ht="22" customHeight="1">
      <c r="A346" s="49" t="str">
        <v>Long-term debt obligations5 - Total</v>
      </c>
      <c r="B346" s="3"/>
      <c r="C346" s="51" t="n">
        <v>42020</v>
      </c>
      <c r="D346" s="51" t="n">
        <v>42278</v>
      </c>
      <c r="E346" s="51" t="n">
        <v>40187</v>
      </c>
      <c r="F346" s="51" t="n">
        <v>41328</v>
      </c>
      <c r="G346" s="51" t="n">
        <v>55543</v>
      </c>
      <c r="H346" s="51"/>
      <c r="I346" s="51"/>
      <c r="J346" s="51"/>
      <c r="K346" s="51"/>
      <c r="L346" s="51"/>
      <c r="M346" s="51"/>
      <c r="N346" s="51"/>
      <c r="O346" s="51"/>
      <c r="P346" s="51"/>
      <c r="Q346" s="51"/>
      <c r="R346" s="51"/>
      <c r="S346" s="51"/>
      <c r="T346" s="51"/>
      <c r="U346" s="51"/>
      <c r="V346" s="51"/>
      <c r="W346" s="51"/>
      <c r="X346" s="51"/>
      <c r="Y346" s="51"/>
      <c r="Z346" s="51"/>
      <c r="AA346" s="51"/>
    </row>
    <row r="347" ht="22" customHeight="1">
      <c r="A347" s="49" t="str">
        <v>Long-term debt obligations5 - Less than1 year</v>
      </c>
      <c r="B347" s="3"/>
      <c r="C347" s="51" t="n">
        <v>4391</v>
      </c>
      <c r="D347" s="51" t="n">
        <v>1495</v>
      </c>
      <c r="E347" s="51" t="n">
        <v>1518</v>
      </c>
      <c r="F347" s="51" t="n">
        <v>4706</v>
      </c>
      <c r="G347" s="51" t="n">
        <v>3725</v>
      </c>
      <c r="H347" s="51"/>
      <c r="I347" s="51"/>
      <c r="J347" s="51"/>
      <c r="K347" s="51"/>
      <c r="L347" s="51"/>
      <c r="M347" s="51"/>
      <c r="N347" s="51"/>
      <c r="O347" s="51"/>
      <c r="P347" s="51"/>
      <c r="Q347" s="51"/>
      <c r="R347" s="51"/>
      <c r="S347" s="51"/>
      <c r="T347" s="51"/>
      <c r="U347" s="51"/>
      <c r="V347" s="51"/>
      <c r="W347" s="51"/>
      <c r="X347" s="51"/>
      <c r="Y347" s="51"/>
      <c r="Z347" s="51"/>
      <c r="AA347" s="51"/>
    </row>
    <row r="348" ht="22" customHeight="1">
      <c r="A348" s="49" t="str">
        <v>Long-term debt obligations5 - 1–3 years</v>
      </c>
      <c r="B348" s="3"/>
      <c r="C348" s="51" t="n">
        <v>2459</v>
      </c>
      <c r="D348" s="51" t="n">
        <v>5377</v>
      </c>
      <c r="E348" s="51" t="n">
        <v>7583</v>
      </c>
      <c r="F348" s="51" t="n">
        <v>8510</v>
      </c>
      <c r="G348" s="51" t="n">
        <v>7046</v>
      </c>
      <c r="H348" s="51"/>
      <c r="I348" s="51"/>
      <c r="J348" s="51"/>
      <c r="K348" s="51"/>
      <c r="L348" s="51"/>
      <c r="M348" s="51"/>
      <c r="N348" s="51"/>
      <c r="O348" s="51"/>
      <c r="P348" s="51"/>
      <c r="Q348" s="51"/>
      <c r="R348" s="51"/>
      <c r="S348" s="51"/>
      <c r="T348" s="51"/>
      <c r="U348" s="51"/>
      <c r="V348" s="51"/>
      <c r="W348" s="51"/>
      <c r="X348" s="51"/>
      <c r="Y348" s="51"/>
      <c r="Z348" s="51"/>
      <c r="AA348" s="51"/>
    </row>
    <row r="349" ht="22" customHeight="1">
      <c r="A349" s="49" t="str">
        <v>Long-term debt obligations5 - 3–5 years</v>
      </c>
      <c r="B349" s="3"/>
      <c r="C349" s="51" t="n">
        <v>5854</v>
      </c>
      <c r="D349" s="51" t="n">
        <v>8489</v>
      </c>
      <c r="E349" s="51" t="n">
        <v>6173</v>
      </c>
      <c r="F349" s="51" t="n">
        <v>3508</v>
      </c>
      <c r="G349" s="51" t="n">
        <v>7571</v>
      </c>
      <c r="H349" s="51"/>
      <c r="I349" s="51"/>
      <c r="J349" s="51"/>
      <c r="K349" s="51"/>
      <c r="L349" s="51"/>
      <c r="M349" s="51"/>
      <c r="N349" s="51"/>
      <c r="O349" s="51"/>
      <c r="P349" s="51"/>
      <c r="Q349" s="51"/>
      <c r="R349" s="51"/>
      <c r="S349" s="51"/>
      <c r="T349" s="51"/>
      <c r="U349" s="51"/>
      <c r="V349" s="51"/>
      <c r="W349" s="51"/>
      <c r="X349" s="51"/>
      <c r="Y349" s="51"/>
      <c r="Z349" s="51"/>
      <c r="AA349" s="51"/>
    </row>
    <row r="350" ht="22" customHeight="1">
      <c r="A350" s="49" t="str">
        <v>Long-term debt obligations5 - More than5 years</v>
      </c>
      <c r="B350" s="3"/>
      <c r="C350" s="51" t="n">
        <v>29316</v>
      </c>
      <c r="D350" s="51" t="n">
        <v>26917</v>
      </c>
      <c r="E350" s="51" t="n">
        <v>24913</v>
      </c>
      <c r="F350" s="51" t="n">
        <v>24604</v>
      </c>
      <c r="G350" s="51" t="n">
        <v>37201</v>
      </c>
      <c r="H350" s="51"/>
      <c r="I350" s="51"/>
      <c r="J350" s="51"/>
      <c r="K350" s="51"/>
      <c r="L350" s="51"/>
      <c r="M350" s="51"/>
      <c r="N350" s="51"/>
      <c r="O350" s="51"/>
      <c r="P350" s="51"/>
      <c r="Q350" s="51"/>
      <c r="R350" s="51"/>
      <c r="S350" s="51"/>
      <c r="T350" s="51"/>
      <c r="U350" s="51"/>
      <c r="V350" s="51"/>
      <c r="W350" s="51"/>
      <c r="X350" s="51"/>
      <c r="Y350" s="51"/>
      <c r="Z350" s="51"/>
      <c r="AA350" s="51"/>
    </row>
    <row r="351" ht="22" customHeight="1">
      <c r="A351" s="49" t="str">
        <v>Other long-term liabilities6 - Total</v>
      </c>
      <c r="B351" s="3"/>
      <c r="C351" s="51" t="n">
        <v>1763</v>
      </c>
      <c r="D351" s="51" t="n">
        <v>1544</v>
      </c>
      <c r="E351" s="51" t="n">
        <v>1626</v>
      </c>
      <c r="F351" s="51" t="n">
        <v>1692</v>
      </c>
      <c r="G351" s="51" t="n">
        <v>2059</v>
      </c>
      <c r="H351" s="51"/>
      <c r="I351" s="51"/>
      <c r="J351" s="51"/>
      <c r="K351" s="51"/>
      <c r="L351" s="51"/>
      <c r="M351" s="51"/>
      <c r="N351" s="51"/>
      <c r="O351" s="51"/>
      <c r="P351" s="51"/>
      <c r="Q351" s="51"/>
      <c r="R351" s="51"/>
      <c r="S351" s="51"/>
      <c r="T351" s="51"/>
      <c r="U351" s="51"/>
      <c r="V351" s="51"/>
      <c r="W351" s="51"/>
      <c r="X351" s="51"/>
      <c r="Y351" s="51"/>
      <c r="Z351" s="51"/>
      <c r="AA351" s="51"/>
    </row>
    <row r="352" ht="22" customHeight="1">
      <c r="A352" s="49" t="str">
        <v>Other long-term liabilities6 - Less than1 year</v>
      </c>
      <c r="B352" s="3"/>
      <c r="C352" s="51" t="n">
        <v>841</v>
      </c>
      <c r="D352" s="51" t="n">
        <v>799</v>
      </c>
      <c r="E352" s="51" t="n">
        <v>722</v>
      </c>
      <c r="F352" s="51" t="n">
        <v>898</v>
      </c>
      <c r="G352" s="51" t="n">
        <v>1072</v>
      </c>
      <c r="H352" s="51"/>
      <c r="I352" s="51"/>
      <c r="J352" s="51"/>
      <c r="K352" s="51"/>
      <c r="L352" s="51"/>
      <c r="M352" s="51"/>
      <c r="N352" s="51"/>
      <c r="O352" s="51"/>
      <c r="P352" s="51"/>
      <c r="Q352" s="51"/>
      <c r="R352" s="51"/>
      <c r="S352" s="51"/>
      <c r="T352" s="51"/>
      <c r="U352" s="51"/>
      <c r="V352" s="51"/>
      <c r="W352" s="51"/>
      <c r="X352" s="51"/>
      <c r="Y352" s="51"/>
      <c r="Z352" s="51"/>
      <c r="AA352" s="51"/>
    </row>
    <row r="353" ht="22" customHeight="1">
      <c r="A353" s="49" t="str">
        <v>Other long-term liabilities6 - 1–3 years</v>
      </c>
      <c r="B353" s="3"/>
      <c r="C353" s="51" t="n">
        <v>707</v>
      </c>
      <c r="D353" s="51" t="n">
        <v>422</v>
      </c>
      <c r="E353" s="51" t="n">
        <v>708</v>
      </c>
      <c r="F353" s="51" t="n">
        <v>640</v>
      </c>
      <c r="G353" s="51" t="n">
        <v>820</v>
      </c>
      <c r="H353" s="51"/>
      <c r="I353" s="51"/>
      <c r="J353" s="51"/>
      <c r="K353" s="51"/>
      <c r="L353" s="51"/>
      <c r="M353" s="51"/>
      <c r="N353" s="51"/>
      <c r="O353" s="51"/>
      <c r="P353" s="51"/>
      <c r="Q353" s="51"/>
      <c r="R353" s="51"/>
      <c r="S353" s="51"/>
      <c r="T353" s="51"/>
      <c r="U353" s="51"/>
      <c r="V353" s="51"/>
      <c r="W353" s="51"/>
      <c r="X353" s="51"/>
      <c r="Y353" s="51"/>
      <c r="Z353" s="51"/>
      <c r="AA353" s="51"/>
    </row>
    <row r="354" ht="22" customHeight="1">
      <c r="A354" s="49" t="str">
        <v>Other long-term liabilities6 - 3–5 years</v>
      </c>
      <c r="B354" s="3"/>
      <c r="C354" s="51" t="n">
        <v>114</v>
      </c>
      <c r="D354" s="51" t="n">
        <v>190</v>
      </c>
      <c r="E354" s="51" t="n">
        <v>95</v>
      </c>
      <c r="F354" s="51" t="n">
        <v>40</v>
      </c>
      <c r="G354" s="51" t="n">
        <v>41</v>
      </c>
      <c r="H354" s="51"/>
      <c r="I354" s="51"/>
      <c r="J354" s="51"/>
      <c r="K354" s="51"/>
      <c r="L354" s="51"/>
      <c r="M354" s="51"/>
      <c r="N354" s="51"/>
      <c r="O354" s="51"/>
      <c r="P354" s="51"/>
      <c r="Q354" s="51"/>
      <c r="R354" s="51"/>
      <c r="S354" s="51"/>
      <c r="T354" s="51"/>
      <c r="U354" s="51"/>
      <c r="V354" s="51"/>
      <c r="W354" s="51"/>
      <c r="X354" s="51"/>
      <c r="Y354" s="51"/>
      <c r="Z354" s="51"/>
      <c r="AA354" s="51"/>
    </row>
    <row r="355" ht="22" customHeight="1">
      <c r="A355" s="49" t="str">
        <v>Other long-term liabilities6 - More than5 years</v>
      </c>
      <c r="B355" s="3"/>
      <c r="C355" s="51" t="n">
        <v>101</v>
      </c>
      <c r="D355" s="51" t="n">
        <v>133</v>
      </c>
      <c r="E355" s="51" t="n">
        <v>101</v>
      </c>
      <c r="F355" s="51" t="n">
        <v>114</v>
      </c>
      <c r="G355" s="51" t="n">
        <v>126</v>
      </c>
      <c r="H355" s="51"/>
      <c r="I355" s="51"/>
      <c r="J355" s="51"/>
      <c r="K355" s="51"/>
      <c r="L355" s="51"/>
      <c r="M355" s="51"/>
      <c r="N355" s="51"/>
      <c r="O355" s="51"/>
      <c r="P355" s="51"/>
      <c r="Q355" s="51"/>
      <c r="R355" s="51"/>
      <c r="S355" s="51"/>
      <c r="T355" s="51"/>
      <c r="U355" s="51"/>
      <c r="V355" s="51"/>
      <c r="W355" s="51"/>
      <c r="X355" s="51"/>
      <c r="Y355" s="51"/>
      <c r="Z355" s="51"/>
      <c r="AA355" s="51"/>
    </row>
    <row r="356" ht="22" customHeight="1">
      <c r="A356" s="49" t="str">
        <v>Total7 - Total</v>
      </c>
      <c r="B356" s="3"/>
      <c r="C356" s="51" t="n">
        <v>55576</v>
      </c>
      <c r="D356" s="51" t="n">
        <v>65947</v>
      </c>
      <c r="E356" s="51" t="n">
        <v>59658</v>
      </c>
      <c r="F356" s="51" t="n">
        <v>61732</v>
      </c>
      <c r="G356" s="51" t="n">
        <v>73734</v>
      </c>
      <c r="H356" s="51"/>
      <c r="I356" s="51"/>
      <c r="J356" s="51"/>
      <c r="K356" s="51"/>
      <c r="L356" s="51"/>
      <c r="M356" s="51"/>
      <c r="N356" s="51"/>
      <c r="O356" s="51"/>
      <c r="P356" s="51"/>
      <c r="Q356" s="51"/>
      <c r="R356" s="51"/>
      <c r="S356" s="51"/>
      <c r="T356" s="51"/>
      <c r="U356" s="51"/>
      <c r="V356" s="51"/>
      <c r="W356" s="51"/>
      <c r="X356" s="51"/>
      <c r="Y356" s="51"/>
      <c r="Z356" s="51"/>
      <c r="AA356" s="51"/>
    </row>
    <row r="357" ht="22" customHeight="1">
      <c r="A357" s="49" t="str">
        <v>Total7 - Less than1 year</v>
      </c>
      <c r="B357" s="3"/>
      <c r="C357" s="51" t="n">
        <v>12932</v>
      </c>
      <c r="D357" s="51" t="n">
        <v>14265</v>
      </c>
      <c r="E357" s="51" t="n">
        <v>11772</v>
      </c>
      <c r="F357" s="51" t="n">
        <v>16728</v>
      </c>
      <c r="G357" s="51" t="n">
        <v>15068</v>
      </c>
      <c r="H357" s="51"/>
      <c r="I357" s="51"/>
      <c r="J357" s="51"/>
      <c r="K357" s="51"/>
      <c r="L357" s="51"/>
      <c r="M357" s="51"/>
      <c r="N357" s="51"/>
      <c r="O357" s="51"/>
      <c r="P357" s="51"/>
      <c r="Q357" s="51"/>
      <c r="R357" s="51"/>
      <c r="S357" s="51"/>
      <c r="T357" s="51"/>
      <c r="U357" s="51"/>
      <c r="V357" s="51"/>
      <c r="W357" s="51"/>
      <c r="X357" s="51"/>
      <c r="Y357" s="51"/>
      <c r="Z357" s="51"/>
      <c r="AA357" s="51"/>
    </row>
    <row r="358" ht="22" customHeight="1">
      <c r="A358" s="49" t="str">
        <v>Total7 - 1–3 years</v>
      </c>
      <c r="B358" s="3"/>
      <c r="C358" s="51" t="n">
        <v>6544</v>
      </c>
      <c r="D358" s="51" t="n">
        <v>10432</v>
      </c>
      <c r="E358" s="51" t="n">
        <v>11607</v>
      </c>
      <c r="F358" s="51" t="n">
        <v>12670</v>
      </c>
      <c r="G358" s="51" t="n">
        <v>10483</v>
      </c>
      <c r="H358" s="51"/>
      <c r="I358" s="51"/>
      <c r="J358" s="51"/>
      <c r="K358" s="51"/>
      <c r="L358" s="51"/>
      <c r="M358" s="51"/>
      <c r="N358" s="51"/>
      <c r="O358" s="51"/>
      <c r="P358" s="51"/>
      <c r="Q358" s="51"/>
      <c r="R358" s="51"/>
      <c r="S358" s="51"/>
      <c r="T358" s="51"/>
      <c r="U358" s="51"/>
      <c r="V358" s="51"/>
      <c r="W358" s="51"/>
      <c r="X358" s="51"/>
      <c r="Y358" s="51"/>
      <c r="Z358" s="51"/>
      <c r="AA358" s="51"/>
    </row>
    <row r="359" ht="22" customHeight="1">
      <c r="A359" s="49" t="str">
        <v>Total7 - 3–5 years</v>
      </c>
      <c r="B359" s="3"/>
      <c r="C359" s="51" t="n">
        <v>6261</v>
      </c>
      <c r="D359" s="51" t="n">
        <v>10067</v>
      </c>
      <c r="E359" s="51" t="n">
        <v>8196</v>
      </c>
      <c r="F359" s="51" t="n">
        <v>5690</v>
      </c>
      <c r="G359" s="51" t="n">
        <v>10368</v>
      </c>
      <c r="H359" s="51"/>
      <c r="I359" s="51"/>
      <c r="J359" s="51"/>
      <c r="K359" s="51"/>
      <c r="L359" s="51"/>
      <c r="M359" s="51"/>
      <c r="N359" s="51"/>
      <c r="O359" s="51"/>
      <c r="P359" s="51"/>
      <c r="Q359" s="51"/>
      <c r="R359" s="51"/>
      <c r="S359" s="51"/>
      <c r="T359" s="51"/>
      <c r="U359" s="51"/>
      <c r="V359" s="51"/>
      <c r="W359" s="51"/>
      <c r="X359" s="51"/>
      <c r="Y359" s="51"/>
      <c r="Z359" s="51"/>
      <c r="AA359" s="51"/>
    </row>
    <row r="360" ht="22" customHeight="1">
      <c r="A360" s="49" t="str">
        <v>Total7 - More than5 years</v>
      </c>
      <c r="B360" s="3"/>
      <c r="C360" s="51" t="n">
        <v>29839</v>
      </c>
      <c r="D360" s="51" t="n">
        <v>31183</v>
      </c>
      <c r="E360" s="51" t="n">
        <v>28083</v>
      </c>
      <c r="F360" s="51" t="n">
        <v>26644</v>
      </c>
      <c r="G360" s="51" t="n">
        <v>37815</v>
      </c>
      <c r="H360" s="51"/>
      <c r="I360" s="51"/>
      <c r="J360" s="51"/>
      <c r="K360" s="51"/>
      <c r="L360" s="51"/>
      <c r="M360" s="51"/>
      <c r="N360" s="51"/>
      <c r="O360" s="51"/>
      <c r="P360" s="51"/>
      <c r="Q360" s="51"/>
      <c r="R360" s="51"/>
      <c r="S360" s="51"/>
      <c r="T360" s="51"/>
      <c r="U360" s="51"/>
      <c r="V360" s="51"/>
      <c r="W360" s="51"/>
      <c r="X360" s="51"/>
      <c r="Y360" s="51"/>
      <c r="Z360" s="51"/>
      <c r="AA360" s="51"/>
    </row>
    <row r="361" ht="8"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22" customHeight="1">
      <c r="A362" s="21" t="str">
        <v>Liquidity summary</v>
      </c>
      <c r="B362" s="21" t="str">
        <v>Liquidity summary</v>
      </c>
      <c r="C362" s="21" t="str">
        <v>Liquidity summary</v>
      </c>
      <c r="D362" s="21" t="str">
        <v>Liquidity summary</v>
      </c>
      <c r="E362" s="21" t="str">
        <v>Liquidity summary</v>
      </c>
      <c r="F362" s="21" t="str">
        <v>Liquidity summary</v>
      </c>
      <c r="G362" s="21" t="str">
        <v>Liquidity summary</v>
      </c>
      <c r="H362" s="21" t="str">
        <v>Liquidity summary</v>
      </c>
      <c r="I362" s="21" t="str">
        <v>Liquidity summary</v>
      </c>
      <c r="J362" s="21" t="str">
        <v>Liquidity summary</v>
      </c>
      <c r="K362" s="21" t="str">
        <v>Liquidity summary</v>
      </c>
      <c r="L362" s="21" t="str">
        <v>Liquidity summary</v>
      </c>
      <c r="M362" s="21" t="str">
        <v>Liquidity summary</v>
      </c>
      <c r="N362" s="21" t="str">
        <v>Liquidity summary</v>
      </c>
      <c r="O362" s="21" t="str">
        <v>Liquidity summary</v>
      </c>
      <c r="P362" s="21" t="str">
        <v>Liquidity summary</v>
      </c>
      <c r="Q362" s="21" t="str">
        <v>Liquidity summary</v>
      </c>
      <c r="R362" s="21" t="str">
        <v>Liquidity summary</v>
      </c>
      <c r="S362" s="21" t="str">
        <v>Liquidity summary</v>
      </c>
      <c r="T362" s="21" t="str">
        <v>Liquidity summary</v>
      </c>
      <c r="U362" s="21" t="str">
        <v>Liquidity summary</v>
      </c>
      <c r="V362" s="21" t="str">
        <v>Liquidity summary</v>
      </c>
      <c r="W362" s="21" t="str">
        <v>Liquidity summary</v>
      </c>
      <c r="X362" s="21" t="str">
        <v>Liquidity summary</v>
      </c>
      <c r="Y362" s="21" t="str">
        <v>Liquidity summary</v>
      </c>
      <c r="Z362" s="21" t="str">
        <v>Liquidity summary</v>
      </c>
      <c r="AA362" s="21" t="str">
        <v>Liquidity summary</v>
      </c>
    </row>
    <row r="363" ht="22" customHeight="1">
      <c r="A363" s="49" t="str">
        <v>Cash and cash equivalents</v>
      </c>
      <c r="B363" s="3"/>
      <c r="C363" s="51"/>
      <c r="D363" s="51"/>
      <c r="E363" s="51"/>
      <c r="F363" s="51"/>
      <c r="G363" s="51"/>
      <c r="H363" s="51" t="n">
        <v>4827</v>
      </c>
      <c r="I363" s="51" t="n">
        <v>11144</v>
      </c>
      <c r="J363" s="51" t="n">
        <v>7079</v>
      </c>
      <c r="K363" s="51" t="n">
        <v>8249</v>
      </c>
      <c r="L363" s="51" t="n">
        <v>14265</v>
      </c>
      <c r="M363" s="51"/>
      <c r="N363" s="51"/>
      <c r="O363" s="51"/>
      <c r="P363" s="51" t="n">
        <v>7621</v>
      </c>
      <c r="Q363" s="51"/>
      <c r="R363" s="51" t="n">
        <v>6923</v>
      </c>
      <c r="S363" s="51" t="n">
        <v>11287</v>
      </c>
      <c r="T363" s="51" t="n">
        <v>8785</v>
      </c>
      <c r="U363" s="51"/>
      <c r="V363" s="51" t="n">
        <v>8947</v>
      </c>
      <c r="W363" s="51" t="n">
        <v>9643</v>
      </c>
      <c r="X363" s="51" t="n">
        <v>11141</v>
      </c>
      <c r="Y363" s="51"/>
      <c r="Z363" s="51" t="n">
        <v>17247</v>
      </c>
      <c r="AA363" s="51" t="n">
        <v>12874</v>
      </c>
    </row>
    <row r="364" ht="22" customHeight="1">
      <c r="A364" s="49" t="str">
        <v>Short-term investments</v>
      </c>
      <c r="B364" s="3"/>
      <c r="C364" s="51"/>
      <c r="D364" s="51"/>
      <c r="E364" s="51"/>
      <c r="F364" s="51"/>
      <c r="G364" s="51"/>
      <c r="H364" s="51" t="n">
        <v>2103</v>
      </c>
      <c r="I364" s="51" t="n">
        <v>17194</v>
      </c>
      <c r="J364" s="51" t="n">
        <v>17955</v>
      </c>
      <c r="K364" s="51" t="n">
        <v>13813</v>
      </c>
      <c r="L364" s="51" t="n">
        <v>23151</v>
      </c>
      <c r="M364" s="51"/>
      <c r="N364" s="51"/>
      <c r="O364" s="51"/>
      <c r="P364" s="51" t="n">
        <v>17409</v>
      </c>
      <c r="Q364" s="51"/>
      <c r="R364" s="51" t="n">
        <v>14388</v>
      </c>
      <c r="S364" s="51" t="n">
        <v>17986</v>
      </c>
      <c r="T364" s="51" t="n">
        <v>15301</v>
      </c>
      <c r="U364" s="51"/>
      <c r="V364" s="51" t="n">
        <v>12101</v>
      </c>
      <c r="W364" s="51" t="n">
        <v>11563</v>
      </c>
      <c r="X364" s="51" t="n">
        <v>19794</v>
      </c>
      <c r="Y364" s="51"/>
      <c r="Z364" s="51" t="n">
        <v>15542</v>
      </c>
      <c r="AA364" s="51" t="n">
        <v>16853</v>
      </c>
    </row>
    <row r="365" ht="22" customHeight="1">
      <c r="A365" s="49" t="str">
        <v>Trading assets</v>
      </c>
      <c r="B365" s="3"/>
      <c r="C365" s="51"/>
      <c r="D365" s="51"/>
      <c r="E365" s="51"/>
      <c r="F365" s="51"/>
      <c r="G365" s="51"/>
      <c r="H365" s="51" t="n">
        <v>21483</v>
      </c>
      <c r="I365" s="51"/>
      <c r="J365" s="51"/>
      <c r="K365" s="51"/>
      <c r="L365" s="51"/>
      <c r="M365" s="51"/>
      <c r="N365" s="51"/>
      <c r="O365" s="51"/>
      <c r="P365" s="51"/>
      <c r="Q365" s="51"/>
      <c r="R365" s="51"/>
      <c r="S365" s="51"/>
      <c r="T365" s="51"/>
      <c r="U365" s="51"/>
      <c r="V365" s="51"/>
      <c r="W365" s="51"/>
      <c r="X365" s="51"/>
      <c r="Y365" s="51"/>
      <c r="Z365" s="51"/>
      <c r="AA365" s="51"/>
    </row>
    <row r="366" ht="36" customHeight="1">
      <c r="A366" s="49" t="str">
        <v>Cash and cash equivalents, short-term investments, and trading assets</v>
      </c>
      <c r="B366" s="3"/>
      <c r="C366" s="51" t="n">
        <v>17099</v>
      </c>
      <c r="D366" s="51" t="n">
        <v>14002</v>
      </c>
      <c r="E366" s="51" t="n">
        <v>11650</v>
      </c>
      <c r="F366" s="51" t="n">
        <v>13123</v>
      </c>
      <c r="G366" s="51" t="n">
        <v>23895</v>
      </c>
      <c r="H366" s="51"/>
      <c r="I366" s="51"/>
      <c r="J366" s="51"/>
      <c r="K366" s="51"/>
      <c r="L366" s="51"/>
      <c r="M366" s="51"/>
      <c r="N366" s="51"/>
      <c r="O366" s="51"/>
      <c r="P366" s="51"/>
      <c r="Q366" s="51"/>
      <c r="R366" s="51"/>
      <c r="S366" s="51"/>
      <c r="T366" s="51"/>
      <c r="U366" s="51"/>
      <c r="V366" s="51"/>
      <c r="W366" s="51"/>
      <c r="X366" s="51"/>
      <c r="Y366" s="51"/>
      <c r="Z366" s="51"/>
      <c r="AA366" s="51"/>
    </row>
    <row r="367" ht="22" customHeight="1">
      <c r="A367" s="49" t="str">
        <v>Other long-term investments</v>
      </c>
      <c r="B367" s="3"/>
      <c r="C367" s="51" t="n">
        <v>4716</v>
      </c>
      <c r="D367" s="51" t="n">
        <v>3712</v>
      </c>
      <c r="E367" s="51" t="n">
        <v>3388</v>
      </c>
      <c r="F367" s="51" t="n">
        <v>3276</v>
      </c>
      <c r="G367" s="51" t="n">
        <v>2192</v>
      </c>
      <c r="H367" s="51" t="n">
        <v>840</v>
      </c>
      <c r="I367" s="51"/>
      <c r="J367" s="51"/>
      <c r="K367" s="51"/>
      <c r="L367" s="51"/>
      <c r="M367" s="51"/>
      <c r="N367" s="51"/>
      <c r="O367" s="51"/>
      <c r="P367" s="51"/>
      <c r="Q367" s="51"/>
      <c r="R367" s="51"/>
      <c r="S367" s="51"/>
      <c r="T367" s="51"/>
      <c r="U367" s="51"/>
      <c r="V367" s="51"/>
      <c r="W367" s="51"/>
      <c r="X367" s="51"/>
      <c r="Y367" s="51"/>
      <c r="Z367" s="51"/>
      <c r="AA367" s="51"/>
    </row>
    <row r="368" ht="22" customHeight="1">
      <c r="A368" s="49" t="str">
        <v>Loans receivable and other</v>
      </c>
      <c r="B368" s="3"/>
      <c r="C368" s="51" t="n">
        <v>996</v>
      </c>
      <c r="D368" s="51" t="n">
        <v>1097</v>
      </c>
      <c r="E368" s="51" t="n">
        <v>1550</v>
      </c>
      <c r="F368" s="51" t="n">
        <v>1239</v>
      </c>
      <c r="G368" s="51" t="n">
        <v>947</v>
      </c>
      <c r="H368" s="51" t="n">
        <v>240</v>
      </c>
      <c r="I368" s="51" t="n">
        <v>463</v>
      </c>
      <c r="J368" s="51" t="n">
        <v>5</v>
      </c>
      <c r="K368" s="51"/>
      <c r="L368" s="51"/>
      <c r="M368" s="51"/>
      <c r="N368" s="51"/>
      <c r="O368" s="51"/>
      <c r="P368" s="51" t="n">
        <v>58</v>
      </c>
      <c r="Q368" s="51"/>
      <c r="R368" s="51"/>
      <c r="S368" s="51"/>
      <c r="T368" s="51"/>
      <c r="U368" s="51"/>
      <c r="V368" s="51"/>
      <c r="W368" s="51"/>
      <c r="X368" s="51"/>
      <c r="Y368" s="51"/>
      <c r="Z368" s="51"/>
      <c r="AA368" s="51"/>
    </row>
    <row r="369" ht="36" customHeight="1">
      <c r="A369" s="49" t="str">
        <v>Reverse repurchase agreements with original maturities greater than three months</v>
      </c>
      <c r="B369" s="3"/>
      <c r="C369" s="51" t="n">
        <v>250</v>
      </c>
      <c r="D369" s="51" t="n">
        <v>250</v>
      </c>
      <c r="E369" s="51" t="n">
        <v>250</v>
      </c>
      <c r="F369" s="51" t="n">
        <v>350</v>
      </c>
      <c r="G369" s="51" t="n">
        <v>0</v>
      </c>
      <c r="H369" s="51"/>
      <c r="I369" s="51"/>
      <c r="J369" s="51"/>
      <c r="K369" s="51"/>
      <c r="L369" s="51"/>
      <c r="M369" s="51"/>
      <c r="N369" s="51"/>
      <c r="O369" s="51"/>
      <c r="P369" s="51"/>
      <c r="Q369" s="51"/>
      <c r="R369" s="51"/>
      <c r="S369" s="51"/>
      <c r="T369" s="51"/>
      <c r="U369" s="51"/>
      <c r="V369" s="51"/>
      <c r="W369" s="51"/>
      <c r="X369" s="51"/>
      <c r="Y369" s="51"/>
      <c r="Z369" s="51"/>
      <c r="AA369" s="51"/>
    </row>
    <row r="370" ht="22" customHeight="1">
      <c r="A370" s="49" t="str">
        <v>Unsettled trade liabilities and other</v>
      </c>
      <c r="B370" s="3"/>
      <c r="C370" s="51" t="n">
        <v>119</v>
      </c>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22" customHeight="1">
      <c r="A371" s="49" t="str">
        <v>Short-term and long-term debt</v>
      </c>
      <c r="B371" s="3"/>
      <c r="C371" s="51" t="n">
        <v>25283</v>
      </c>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24" customHeight="1">
      <c r="A372" s="34" t="str">
        <v>Total cash and investments1</v>
      </c>
      <c r="B372" s="35"/>
      <c r="C372" s="36"/>
      <c r="D372" s="36"/>
      <c r="E372" s="36"/>
      <c r="F372" s="36"/>
      <c r="G372" s="36"/>
      <c r="H372" s="36" t="n">
        <v>29493</v>
      </c>
      <c r="I372" s="36" t="n">
        <v>28801</v>
      </c>
      <c r="J372" s="36" t="n">
        <v>25039</v>
      </c>
      <c r="K372" s="36"/>
      <c r="L372" s="36"/>
      <c r="M372" s="36"/>
      <c r="N372" s="36"/>
      <c r="O372" s="36"/>
      <c r="P372" s="36" t="n">
        <v>25088</v>
      </c>
      <c r="Q372" s="36"/>
      <c r="R372" s="36"/>
      <c r="S372" s="36"/>
      <c r="T372" s="36"/>
      <c r="U372" s="36"/>
      <c r="V372" s="36"/>
      <c r="W372" s="36"/>
      <c r="X372" s="36"/>
      <c r="Y372" s="36"/>
      <c r="Z372" s="36"/>
      <c r="AA372" s="36"/>
    </row>
    <row r="373" ht="24" customHeight="1">
      <c r="A373" s="34" t="str">
        <v>Total cash and short-term investments</v>
      </c>
      <c r="B373" s="35"/>
      <c r="C373" s="36"/>
      <c r="D373" s="36"/>
      <c r="E373" s="36"/>
      <c r="F373" s="36"/>
      <c r="G373" s="36"/>
      <c r="H373" s="36"/>
      <c r="I373" s="36"/>
      <c r="J373" s="36"/>
      <c r="K373" s="36" t="n">
        <v>22062</v>
      </c>
      <c r="L373" s="36" t="n">
        <v>37416</v>
      </c>
      <c r="M373" s="36"/>
      <c r="N373" s="36"/>
      <c r="O373" s="36"/>
      <c r="P373" s="36"/>
      <c r="Q373" s="36"/>
      <c r="R373" s="36" t="n">
        <v>21311</v>
      </c>
      <c r="S373" s="36" t="n">
        <v>29273</v>
      </c>
      <c r="T373" s="36" t="n">
        <v>24086</v>
      </c>
      <c r="U373" s="36"/>
      <c r="V373" s="36" t="n">
        <v>21048</v>
      </c>
      <c r="W373" s="36" t="n">
        <v>21206</v>
      </c>
      <c r="X373" s="36" t="n">
        <v>30935</v>
      </c>
      <c r="Y373" s="36"/>
      <c r="Z373" s="36" t="n">
        <v>32789</v>
      </c>
      <c r="AA373" s="36" t="n">
        <v>29727</v>
      </c>
    </row>
    <row r="374" ht="24" customHeight="1">
      <c r="A374" s="34" t="str">
        <v>Total debt</v>
      </c>
      <c r="B374" s="35"/>
      <c r="C374" s="36"/>
      <c r="D374" s="36" t="n">
        <v>26813</v>
      </c>
      <c r="E374" s="36" t="n">
        <v>26359</v>
      </c>
      <c r="F374" s="36" t="n">
        <v>29001</v>
      </c>
      <c r="G374" s="36" t="n">
        <v>36401</v>
      </c>
      <c r="H374" s="36" t="n">
        <v>38101</v>
      </c>
      <c r="I374" s="36" t="n">
        <v>42051</v>
      </c>
      <c r="J374" s="36" t="n">
        <v>49266</v>
      </c>
      <c r="K374" s="36" t="n">
        <v>50011</v>
      </c>
      <c r="L374" s="36" t="n">
        <v>46585</v>
      </c>
      <c r="M374" s="36"/>
      <c r="N374" s="36"/>
      <c r="O374" s="36"/>
      <c r="P374" s="36" t="n">
        <v>48879</v>
      </c>
      <c r="Q374" s="36"/>
      <c r="R374" s="36" t="n">
        <v>52450</v>
      </c>
      <c r="S374" s="36" t="n">
        <v>53029</v>
      </c>
      <c r="T374" s="36" t="n">
        <v>50236</v>
      </c>
      <c r="U374" s="36"/>
      <c r="V374" s="36" t="n">
        <v>50151</v>
      </c>
      <c r="W374" s="36" t="n">
        <v>50757</v>
      </c>
      <c r="X374" s="36" t="n">
        <v>46553</v>
      </c>
      <c r="Y374" s="36"/>
      <c r="Z374" s="36" t="n">
        <v>45031</v>
      </c>
      <c r="AA374" s="36" t="n">
        <v>50537</v>
      </c>
    </row>
    <row r="375" ht="22" customHeight="1">
      <c r="A375" s="49" t="str">
        <v>Temporary equity</v>
      </c>
      <c r="B375" s="3"/>
      <c r="C375" s="51" t="n">
        <v>882</v>
      </c>
      <c r="D375" s="51" t="n">
        <v>866</v>
      </c>
      <c r="E375" s="51" t="n">
        <v>419</v>
      </c>
      <c r="F375" s="51" t="n">
        <v>155</v>
      </c>
      <c r="G375" s="51" t="n">
        <v>0</v>
      </c>
      <c r="H375" s="51"/>
      <c r="I375" s="51"/>
      <c r="J375" s="51"/>
      <c r="K375" s="51"/>
      <c r="L375" s="51"/>
      <c r="M375" s="51"/>
      <c r="N375" s="51"/>
      <c r="O375" s="51"/>
      <c r="P375" s="51"/>
      <c r="Q375" s="51"/>
      <c r="R375" s="51"/>
      <c r="S375" s="51"/>
      <c r="T375" s="51"/>
      <c r="U375" s="51"/>
      <c r="V375" s="51"/>
      <c r="W375" s="51"/>
      <c r="X375" s="51"/>
      <c r="Y375" s="51"/>
      <c r="Z375" s="51"/>
      <c r="AA375" s="51"/>
    </row>
    <row r="376" ht="20" customHeight="1">
      <c r="A376" s="40" t="str">
        <v>Debt as percentage of permanent stockholders' equity</v>
      </c>
      <c r="B376" s="3"/>
      <c r="C376" s="44" t="n">
        <v>0.382</v>
      </c>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row>
    <row r="377" ht="22" customHeight="1">
      <c r="A377" s="49" t="str">
        <v>Debt as a percentage of permanent stockholders' equity</v>
      </c>
      <c r="B377" s="3"/>
      <c r="C377" s="51"/>
      <c r="D377" s="51" t="n">
        <v>38.8</v>
      </c>
      <c r="E377" s="51" t="n">
        <v>35.4</v>
      </c>
      <c r="F377" s="51" t="n">
        <v>37.4</v>
      </c>
      <c r="G377" s="51"/>
      <c r="H377" s="51"/>
      <c r="I377" s="51"/>
      <c r="J377" s="51"/>
      <c r="K377" s="51"/>
      <c r="L377" s="51"/>
      <c r="M377" s="51"/>
      <c r="N377" s="51"/>
      <c r="O377" s="51"/>
      <c r="P377" s="51"/>
      <c r="Q377" s="51"/>
      <c r="R377" s="51"/>
      <c r="S377" s="51"/>
      <c r="T377" s="51"/>
      <c r="U377" s="51"/>
      <c r="V377" s="51"/>
      <c r="W377" s="51"/>
      <c r="X377" s="51"/>
      <c r="Y377" s="51"/>
      <c r="Z377" s="51"/>
      <c r="AA377" s="51"/>
    </row>
    <row r="378" ht="8"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22"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sheetData>
  <mergeCells>
    <mergeCell ref="A1:AA1"/>
    <mergeCell ref="A2:AA2"/>
    <mergeCell ref="A7:AA7"/>
    <mergeCell ref="A12:AA12"/>
    <mergeCell ref="A20:AA20"/>
    <mergeCell ref="A30:AA30"/>
    <mergeCell ref="A40:AA40"/>
    <mergeCell ref="A111:AA111"/>
    <mergeCell ref="A136:AA136"/>
    <mergeCell ref="A161:AA161"/>
    <mergeCell ref="A228:AA228"/>
    <mergeCell ref="A250:AA250"/>
    <mergeCell ref="A262:AA262"/>
    <mergeCell ref="A274:AA274"/>
    <mergeCell ref="A283:AA283"/>
    <mergeCell ref="A286:AA286"/>
    <mergeCell ref="A296:AA296"/>
    <mergeCell ref="A330:AA330"/>
    <mergeCell ref="A362:AA362"/>
  </mergeCells>
  <conditionalFormatting sqref="C16:AA16">
    <cfRule type="cellIs" dxfId="44" priority="1" operator="notBetween">
      <formula>-0.01</formula>
      <formula>0.01</formula>
    </cfRule>
  </conditionalFormatting>
  <conditionalFormatting sqref="C17:AA17">
    <cfRule type="cellIs" dxfId="45" priority="2" operator="notBetween">
      <formula>-0.01</formula>
      <formula>0.01</formula>
    </cfRule>
  </conditionalFormatting>
  <conditionalFormatting sqref="C18:AA18">
    <cfRule type="cellIs" dxfId="46" priority="3" operator="notBetween">
      <formula>-0.01</formula>
      <formula>0.01</formula>
    </cfRule>
  </conditionalFormatting>
  <conditionalFormatting sqref="C281:AA281">
    <cfRule type="cellIs" dxfId="47" priority="4" operator="notBetween">
      <formula>-0.01</formula>
      <formula>0.01</formula>
    </cfRule>
  </conditionalFormatting>
  <pageMargins left="0.7" right="0.7" top="0.75" bottom="0.75" header="0.3" footer="0.3"/>
</worksheet>
</file>

<file path=xl/worksheets/sheet10.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Capital &amp; Shareholders</v>
      </c>
      <c r="B1" s="6" t="str">
        <v>Intel Corporation — Capital &amp; Shareholders</v>
      </c>
      <c r="C1" s="6" t="str">
        <v>Intel Corporation — Capital &amp; Shareholders</v>
      </c>
      <c r="D1" s="6" t="str">
        <v>Intel Corporation — Capital &amp; Shareholders</v>
      </c>
      <c r="E1" s="6" t="str">
        <v>Intel Corporation — Capital &amp; Shareholders</v>
      </c>
      <c r="F1" s="6" t="str">
        <v>Intel Corporation — Capital &amp; Shareholders</v>
      </c>
      <c r="G1" s="6" t="str">
        <v>Intel Corporation — Capital &amp; Shareholders</v>
      </c>
      <c r="H1" s="6" t="str">
        <v>Intel Corporation — Capital &amp; Shareholders</v>
      </c>
      <c r="I1" s="6" t="str">
        <v>Intel Corporation — Capital &amp; Shareholders</v>
      </c>
      <c r="J1" s="6" t="str">
        <v>Intel Corporation — Capital &amp; Shareholders</v>
      </c>
      <c r="K1" s="6" t="str">
        <v>Intel Corporation — Capital &amp; Shareholders</v>
      </c>
      <c r="L1" s="6" t="str">
        <v>Intel Corporation — Capital &amp; Shareholders</v>
      </c>
      <c r="M1" s="6" t="str">
        <v>Intel Corporation — Capital &amp; Shareholders</v>
      </c>
      <c r="N1" s="6" t="str">
        <v>Intel Corporation — Capital &amp; Shareholders</v>
      </c>
      <c r="O1" s="6" t="str">
        <v>Intel Corporation — Capital &amp; Shareholders</v>
      </c>
      <c r="P1" s="6" t="str">
        <v>Intel Corporation — Capital &amp; Shareholders</v>
      </c>
      <c r="Q1" s="6" t="str">
        <v>Intel Corporation — Capital &amp; Shareholders</v>
      </c>
      <c r="R1" s="6" t="str">
        <v>Intel Corporation — Capital &amp; Shareholders</v>
      </c>
      <c r="S1" s="6" t="str">
        <v>Intel Corporation — Capital &amp; Shareholders</v>
      </c>
      <c r="T1" s="6" t="str">
        <v>Intel Corporation — Capital &amp; Shareholders</v>
      </c>
      <c r="U1" s="6" t="str">
        <v>Intel Corporation — Capital &amp; Shareholders</v>
      </c>
      <c r="V1" s="6" t="str">
        <v>Intel Corporation — Capital &amp; Shareholders</v>
      </c>
      <c r="W1" s="6" t="str">
        <v>Intel Corporation — Capital &amp; Shareholders</v>
      </c>
      <c r="X1" s="6" t="str">
        <v>Intel Corporation — Capital &amp; Shareholders</v>
      </c>
      <c r="Y1" s="6" t="str">
        <v>Intel Corporation — Capital &amp; Shareholders</v>
      </c>
      <c r="Z1" s="6" t="str">
        <v>Intel Corporation — Capital &amp; Shareholders</v>
      </c>
      <c r="AA1" s="6" t="str">
        <v>Intel Corporation — Capital &amp; Shareholders</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Equity movements: Total stockholders' equity</v>
      </c>
      <c r="B7" s="21" t="str">
        <v>Equity movements: Total stockholders' equity</v>
      </c>
      <c r="C7" s="21" t="str">
        <v>Equity movements: Total stockholders' equity</v>
      </c>
      <c r="D7" s="21" t="str">
        <v>Equity movements: Total stockholders' equity</v>
      </c>
      <c r="E7" s="21" t="str">
        <v>Equity movements: Total stockholders' equity</v>
      </c>
      <c r="F7" s="21" t="str">
        <v>Equity movements: Total stockholders' equity</v>
      </c>
      <c r="G7" s="21" t="str">
        <v>Equity movements: Total stockholders' equity</v>
      </c>
      <c r="H7" s="21" t="str">
        <v>Equity movements: Total stockholders' equity</v>
      </c>
      <c r="I7" s="21" t="str">
        <v>Equity movements: Total stockholders' equity</v>
      </c>
      <c r="J7" s="21" t="str">
        <v>Equity movements: Total stockholders' equity</v>
      </c>
      <c r="K7" s="21" t="str">
        <v>Equity movements: Total stockholders' equity</v>
      </c>
      <c r="L7" s="21" t="str">
        <v>Equity movements: Total stockholders' equity</v>
      </c>
      <c r="M7" s="21" t="str">
        <v>Equity movements: Total stockholders' equity</v>
      </c>
      <c r="N7" s="21" t="str">
        <v>Equity movements: Total stockholders' equity</v>
      </c>
      <c r="O7" s="21" t="str">
        <v>Equity movements: Total stockholders' equity</v>
      </c>
      <c r="P7" s="21" t="str">
        <v>Equity movements: Total stockholders' equity</v>
      </c>
      <c r="Q7" s="21" t="str">
        <v>Equity movements: Total stockholders' equity</v>
      </c>
      <c r="R7" s="21" t="str">
        <v>Equity movements: Total stockholders' equity</v>
      </c>
      <c r="S7" s="21" t="str">
        <v>Equity movements: Total stockholders' equity</v>
      </c>
      <c r="T7" s="21" t="str">
        <v>Equity movements: Total stockholders' equity</v>
      </c>
      <c r="U7" s="21" t="str">
        <v>Equity movements: Total stockholders' equity</v>
      </c>
      <c r="V7" s="21" t="str">
        <v>Equity movements: Total stockholders' equity</v>
      </c>
      <c r="W7" s="21" t="str">
        <v>Equity movements: Total stockholders' equity</v>
      </c>
      <c r="X7" s="21" t="str">
        <v>Equity movements: Total stockholders' equity</v>
      </c>
      <c r="Y7" s="21" t="str">
        <v>Equity movements: Total stockholders' equity</v>
      </c>
      <c r="Z7" s="21" t="str">
        <v>Equity movements: Total stockholders' equity</v>
      </c>
      <c r="AA7" s="21" t="str">
        <v>Equity movements: Total stockholders' equity</v>
      </c>
    </row>
    <row r="8" ht="18" customHeight="1">
      <c r="A8" s="22" t="str">
        <v>Date-specific balance captions are consolidated into one period-end balance row; dividend captions are consolidated while source detail is retained.</v>
      </c>
      <c r="B8" s="22" t="str">
        <v>Date-specific balance captions are consolidated into one period-end balance row; dividend captions are consolidated while source detail is retained.</v>
      </c>
      <c r="C8" s="22" t="str">
        <v>Date-specific balance captions are consolidated into one period-end balance row; dividend captions are consolidated while source detail is retained.</v>
      </c>
      <c r="D8" s="22" t="str">
        <v>Date-specific balance captions are consolidated into one period-end balance row; dividend captions are consolidated while source detail is retained.</v>
      </c>
      <c r="E8" s="22" t="str">
        <v>Date-specific balance captions are consolidated into one period-end balance row; dividend captions are consolidated while source detail is retained.</v>
      </c>
      <c r="F8" s="22" t="str">
        <v>Date-specific balance captions are consolidated into one period-end balance row; dividend captions are consolidated while source detail is retained.</v>
      </c>
      <c r="G8" s="22" t="str">
        <v>Date-specific balance captions are consolidated into one period-end balance row; dividend captions are consolidated while source detail is retained.</v>
      </c>
      <c r="H8" s="22" t="str">
        <v>Date-specific balance captions are consolidated into one period-end balance row; dividend captions are consolidated while source detail is retained.</v>
      </c>
      <c r="I8" s="22" t="str">
        <v>Date-specific balance captions are consolidated into one period-end balance row; dividend captions are consolidated while source detail is retained.</v>
      </c>
      <c r="J8" s="22" t="str">
        <v>Date-specific balance captions are consolidated into one period-end balance row; dividend captions are consolidated while source detail is retained.</v>
      </c>
      <c r="K8" s="22" t="str">
        <v>Date-specific balance captions are consolidated into one period-end balance row; dividend captions are consolidated while source detail is retained.</v>
      </c>
      <c r="L8" s="22" t="str">
        <v>Date-specific balance captions are consolidated into one period-end balance row; dividend captions are consolidated while source detail is retained.</v>
      </c>
      <c r="M8" s="22" t="str">
        <v>Date-specific balance captions are consolidated into one period-end balance row; dividend captions are consolidated while source detail is retained.</v>
      </c>
      <c r="N8" s="22" t="str">
        <v>Date-specific balance captions are consolidated into one period-end balance row; dividend captions are consolidated while source detail is retained.</v>
      </c>
      <c r="O8" s="22" t="str">
        <v>Date-specific balance captions are consolidated into one period-end balance row; dividend captions are consolidated while source detail is retained.</v>
      </c>
      <c r="P8" s="22" t="str">
        <v>Date-specific balance captions are consolidated into one period-end balance row; dividend captions are consolidated while source detail is retained.</v>
      </c>
      <c r="Q8" s="22" t="str">
        <v>Date-specific balance captions are consolidated into one period-end balance row; dividend captions are consolidated while source detail is retained.</v>
      </c>
      <c r="R8" s="22" t="str">
        <v>Date-specific balance captions are consolidated into one period-end balance row; dividend captions are consolidated while source detail is retained.</v>
      </c>
      <c r="S8" s="22" t="str">
        <v>Date-specific balance captions are consolidated into one period-end balance row; dividend captions are consolidated while source detail is retained.</v>
      </c>
      <c r="T8" s="22" t="str">
        <v>Date-specific balance captions are consolidated into one period-end balance row; dividend captions are consolidated while source detail is retained.</v>
      </c>
      <c r="U8" s="22" t="str">
        <v>Date-specific balance captions are consolidated into one period-end balance row; dividend captions are consolidated while source detail is retained.</v>
      </c>
      <c r="V8" s="22" t="str">
        <v>Date-specific balance captions are consolidated into one period-end balance row; dividend captions are consolidated while source detail is retained.</v>
      </c>
      <c r="W8" s="22" t="str">
        <v>Date-specific balance captions are consolidated into one period-end balance row; dividend captions are consolidated while source detail is retained.</v>
      </c>
      <c r="X8" s="22" t="str">
        <v>Date-specific balance captions are consolidated into one period-end balance row; dividend captions are consolidated while source detail is retained.</v>
      </c>
      <c r="Y8" s="22" t="str">
        <v>Date-specific balance captions are consolidated into one period-end balance row; dividend captions are consolidated while source detail is retained.</v>
      </c>
      <c r="Z8" s="22" t="str">
        <v>Date-specific balance captions are consolidated into one period-end balance row; dividend captions are consolidated while source detail is retained.</v>
      </c>
      <c r="AA8" s="22" t="str">
        <v>Date-specific balance captions are consolidated into one period-end balance row; dividend captions are consolidated while source detail is retained.</v>
      </c>
    </row>
    <row r="9" ht="24" customHeight="1">
      <c r="A9" s="34" t="str">
        <v>Balance at period end</v>
      </c>
      <c r="B9" s="35"/>
      <c r="C9" s="36" t="n">
        <v>66226</v>
      </c>
      <c r="D9" s="36" t="n">
        <v>69019</v>
      </c>
      <c r="E9" s="36" t="n">
        <v>74563</v>
      </c>
      <c r="F9" s="36" t="n">
        <v>77504</v>
      </c>
      <c r="G9" s="36" t="n">
        <v>81038</v>
      </c>
      <c r="H9" s="36" t="n">
        <v>95391</v>
      </c>
      <c r="I9" s="36" t="n">
        <v>103286</v>
      </c>
      <c r="J9" s="36" t="n">
        <v>109965</v>
      </c>
      <c r="K9" s="36" t="n">
        <v>105032</v>
      </c>
      <c r="L9" s="36" t="n">
        <v>126360</v>
      </c>
      <c r="M9" s="36"/>
      <c r="N9" s="36" t="n">
        <v>100403</v>
      </c>
      <c r="O9" s="36" t="n">
        <v>104471</v>
      </c>
      <c r="P9" s="36" t="n">
        <v>105686</v>
      </c>
      <c r="Q9" s="36"/>
      <c r="R9" s="36" t="n">
        <v>110756</v>
      </c>
      <c r="S9" s="36" t="n">
        <v>120434</v>
      </c>
      <c r="T9" s="36" t="n">
        <v>104864</v>
      </c>
      <c r="U9" s="36"/>
      <c r="V9" s="36" t="n">
        <v>106413</v>
      </c>
      <c r="W9" s="36" t="n">
        <v>105751</v>
      </c>
      <c r="X9" s="36" t="n">
        <v>116730</v>
      </c>
      <c r="Y9" s="36"/>
      <c r="Z9" s="36" t="n">
        <v>124989</v>
      </c>
      <c r="AA9" s="36" t="n">
        <v>103143</v>
      </c>
    </row>
    <row r="10" ht="22" customHeight="1">
      <c r="A10" s="49" t="str">
        <v>Cash dividends declared</v>
      </c>
      <c r="B10" s="3"/>
      <c r="C10" s="51" t="n">
        <v>-4925</v>
      </c>
      <c r="D10" s="51" t="n">
        <v>-5072</v>
      </c>
      <c r="E10" s="51" t="n">
        <v>-5541</v>
      </c>
      <c r="F10" s="51" t="n">
        <v>-5578</v>
      </c>
      <c r="G10" s="51" t="n">
        <v>-5568</v>
      </c>
      <c r="H10" s="51" t="n">
        <v>-5644</v>
      </c>
      <c r="I10" s="51" t="n">
        <v>-5997</v>
      </c>
      <c r="J10" s="51" t="n">
        <v>-3088</v>
      </c>
      <c r="K10" s="51" t="n">
        <v>-1599</v>
      </c>
      <c r="L10" s="51"/>
      <c r="M10" s="51"/>
      <c r="N10" s="51" t="n">
        <v>-2036</v>
      </c>
      <c r="O10" s="51"/>
      <c r="P10" s="51" t="n">
        <v>-525</v>
      </c>
      <c r="Q10" s="51"/>
      <c r="R10" s="51" t="n">
        <v>-529</v>
      </c>
      <c r="S10" s="51" t="n">
        <v>-534</v>
      </c>
      <c r="T10" s="51" t="n">
        <v>-536</v>
      </c>
      <c r="U10" s="51"/>
      <c r="V10" s="51"/>
      <c r="W10" s="51"/>
      <c r="X10" s="51"/>
      <c r="Y10" s="51"/>
      <c r="Z10" s="51"/>
      <c r="AA10" s="51"/>
    </row>
    <row r="11" ht="22" customHeight="1">
      <c r="A11" s="49" t="str">
        <v>Net proceeds received from IPO and partner contributions</v>
      </c>
      <c r="B11" s="3"/>
      <c r="C11" s="51"/>
      <c r="D11" s="51"/>
      <c r="E11" s="51"/>
      <c r="F11" s="51"/>
      <c r="G11" s="51"/>
      <c r="H11" s="51"/>
      <c r="I11" s="51" t="n">
        <v>1906</v>
      </c>
      <c r="J11" s="51"/>
      <c r="K11" s="51"/>
      <c r="L11" s="51"/>
      <c r="M11" s="51"/>
      <c r="N11" s="51"/>
      <c r="O11" s="51"/>
      <c r="P11" s="51"/>
      <c r="Q11" s="51"/>
      <c r="R11" s="51"/>
      <c r="S11" s="51"/>
      <c r="T11" s="51"/>
      <c r="U11" s="51"/>
      <c r="V11" s="51"/>
      <c r="W11" s="51"/>
      <c r="X11" s="51"/>
      <c r="Y11" s="51"/>
      <c r="Z11" s="51"/>
      <c r="AA11" s="51"/>
    </row>
    <row r="12" ht="36" customHeight="1">
      <c r="A12" s="49" t="str">
        <v>Proceeds from sales of subsidiary shares and partner contributions</v>
      </c>
      <c r="B12" s="3"/>
      <c r="C12" s="51"/>
      <c r="D12" s="51"/>
      <c r="E12" s="51"/>
      <c r="F12" s="51"/>
      <c r="G12" s="51"/>
      <c r="H12" s="51"/>
      <c r="I12" s="51"/>
      <c r="J12" s="51" t="n">
        <v>4005</v>
      </c>
      <c r="K12" s="51"/>
      <c r="L12" s="51"/>
      <c r="M12" s="51"/>
      <c r="N12" s="51"/>
      <c r="O12" s="51"/>
      <c r="P12" s="51"/>
      <c r="Q12" s="51"/>
      <c r="R12" s="51"/>
      <c r="S12" s="51"/>
      <c r="T12" s="51"/>
      <c r="U12" s="51"/>
      <c r="V12" s="51"/>
      <c r="W12" s="51"/>
      <c r="X12" s="51"/>
      <c r="Y12" s="51"/>
      <c r="Z12" s="51"/>
      <c r="AA12" s="51"/>
    </row>
    <row r="13" ht="36" customHeight="1">
      <c r="A13" s="49" t="str">
        <v>Adjustment to opening balance for change in accounting principle</v>
      </c>
      <c r="B13" s="3"/>
      <c r="C13" s="51"/>
      <c r="D13" s="51"/>
      <c r="E13" s="51" t="n">
        <v>634</v>
      </c>
      <c r="F13" s="51"/>
      <c r="G13" s="51"/>
      <c r="H13" s="51" t="n">
        <v>35</v>
      </c>
      <c r="I13" s="51"/>
      <c r="J13" s="51"/>
      <c r="K13" s="51"/>
      <c r="L13" s="51"/>
      <c r="M13" s="51"/>
      <c r="N13" s="51"/>
      <c r="O13" s="51"/>
      <c r="P13" s="51"/>
      <c r="Q13" s="51"/>
      <c r="R13" s="51"/>
      <c r="S13" s="51"/>
      <c r="T13" s="51"/>
      <c r="U13" s="51"/>
      <c r="V13" s="51"/>
      <c r="W13" s="51"/>
      <c r="X13" s="51"/>
      <c r="Y13" s="51"/>
      <c r="Z13" s="51"/>
      <c r="AA13" s="51"/>
    </row>
    <row r="14" ht="22" customHeight="1">
      <c r="A14" s="49" t="str">
        <v>Net income (loss)</v>
      </c>
      <c r="B14" s="3"/>
      <c r="C14" s="51" t="n">
        <v>10316</v>
      </c>
      <c r="D14" s="51" t="n">
        <v>9601</v>
      </c>
      <c r="E14" s="51" t="n">
        <v>21053</v>
      </c>
      <c r="F14" s="51" t="n">
        <v>21048</v>
      </c>
      <c r="G14" s="51" t="n">
        <v>20899</v>
      </c>
      <c r="H14" s="51" t="n">
        <v>19868</v>
      </c>
      <c r="I14" s="51" t="n">
        <v>8017</v>
      </c>
      <c r="J14" s="51" t="n">
        <v>1675</v>
      </c>
      <c r="K14" s="51" t="n">
        <v>-19233</v>
      </c>
      <c r="L14" s="51" t="n">
        <v>26</v>
      </c>
      <c r="M14" s="51"/>
      <c r="N14" s="51" t="n">
        <v>-2768</v>
      </c>
      <c r="O14" s="51" t="n">
        <v>1473</v>
      </c>
      <c r="P14" s="51" t="n">
        <v>310</v>
      </c>
      <c r="Q14" s="51"/>
      <c r="R14" s="51" t="n">
        <v>-437</v>
      </c>
      <c r="S14" s="51" t="n">
        <v>-1654</v>
      </c>
      <c r="T14" s="51" t="n">
        <v>-16989</v>
      </c>
      <c r="U14" s="51"/>
      <c r="V14" s="51" t="n">
        <v>-887</v>
      </c>
      <c r="W14" s="51" t="n">
        <v>-3024</v>
      </c>
      <c r="X14" s="51" t="n">
        <v>4270</v>
      </c>
      <c r="Y14" s="51"/>
      <c r="Z14" s="51" t="n">
        <v>-4281</v>
      </c>
      <c r="AA14" s="51" t="n">
        <v>-10848</v>
      </c>
    </row>
    <row r="15" ht="36" customHeight="1">
      <c r="A15" s="49" t="str">
        <v>Proceeds from sales of common stock through employee equity incentive plans, net excess tax benefit, and other</v>
      </c>
      <c r="B15" s="3"/>
      <c r="C15" s="51" t="n">
        <v>1307</v>
      </c>
      <c r="D15" s="51" t="n">
        <v>1171</v>
      </c>
      <c r="E15" s="51" t="n">
        <v>424</v>
      </c>
      <c r="F15" s="51"/>
      <c r="G15" s="51"/>
      <c r="H15" s="51"/>
      <c r="I15" s="51"/>
      <c r="J15" s="51"/>
      <c r="K15" s="51"/>
      <c r="L15" s="51"/>
      <c r="M15" s="51"/>
      <c r="N15" s="51"/>
      <c r="O15" s="51"/>
      <c r="P15" s="51"/>
      <c r="Q15" s="51"/>
      <c r="R15" s="51"/>
      <c r="S15" s="51"/>
      <c r="T15" s="51"/>
      <c r="U15" s="51"/>
      <c r="V15" s="51"/>
      <c r="W15" s="51"/>
      <c r="X15" s="51"/>
      <c r="Y15" s="51"/>
      <c r="Z15" s="51"/>
      <c r="AA15" s="51"/>
    </row>
    <row r="16" ht="22" customHeight="1">
      <c r="A16" s="49" t="str">
        <v>Other comprehensive income (loss)</v>
      </c>
      <c r="B16" s="3"/>
      <c r="C16" s="51" t="n">
        <v>46</v>
      </c>
      <c r="D16" s="51" t="n">
        <v>756</v>
      </c>
      <c r="E16" s="51" t="n">
        <v>-46</v>
      </c>
      <c r="F16" s="51" t="n">
        <v>-306</v>
      </c>
      <c r="G16" s="51" t="n">
        <v>529</v>
      </c>
      <c r="H16" s="51" t="n">
        <v>-129</v>
      </c>
      <c r="I16" s="51" t="n">
        <v>318</v>
      </c>
      <c r="J16" s="51" t="n">
        <v>347</v>
      </c>
      <c r="K16" s="51" t="n">
        <v>-496</v>
      </c>
      <c r="L16" s="51" t="n">
        <v>824</v>
      </c>
      <c r="M16" s="51"/>
      <c r="N16" s="51" t="n">
        <v>143</v>
      </c>
      <c r="O16" s="51" t="n">
        <v>-125</v>
      </c>
      <c r="P16" s="51" t="n">
        <v>-317</v>
      </c>
      <c r="Q16" s="51"/>
      <c r="R16" s="51" t="n">
        <v>-327</v>
      </c>
      <c r="S16" s="51" t="n">
        <v>-154</v>
      </c>
      <c r="T16" s="51" t="n">
        <v>511</v>
      </c>
      <c r="U16" s="51"/>
      <c r="V16" s="51" t="n">
        <v>225</v>
      </c>
      <c r="W16" s="51" t="n">
        <v>551</v>
      </c>
      <c r="X16" s="51" t="n">
        <v>-46</v>
      </c>
      <c r="Y16" s="51"/>
      <c r="Z16" s="51" t="n">
        <v>-157</v>
      </c>
      <c r="AA16" s="51" t="n">
        <v>-36</v>
      </c>
    </row>
    <row r="17" ht="24" customHeight="1">
      <c r="A17" s="34" t="str">
        <v>Total comprehensive income</v>
      </c>
      <c r="B17" s="35"/>
      <c r="C17" s="36" t="n">
        <v>10362</v>
      </c>
      <c r="D17" s="36" t="n">
        <v>10357</v>
      </c>
      <c r="E17" s="36" t="n">
        <v>21007</v>
      </c>
      <c r="F17" s="36" t="n">
        <v>20742</v>
      </c>
      <c r="G17" s="36" t="n">
        <v>21428</v>
      </c>
      <c r="H17" s="36" t="n">
        <v>19739</v>
      </c>
      <c r="I17" s="36" t="n">
        <v>8335</v>
      </c>
      <c r="J17" s="36"/>
      <c r="K17" s="36"/>
      <c r="L17" s="36"/>
      <c r="M17" s="36"/>
      <c r="N17" s="36"/>
      <c r="O17" s="36"/>
      <c r="P17" s="36"/>
      <c r="Q17" s="36"/>
      <c r="R17" s="36"/>
      <c r="S17" s="36"/>
      <c r="T17" s="36"/>
      <c r="U17" s="36"/>
      <c r="V17" s="36"/>
      <c r="W17" s="36"/>
      <c r="X17" s="36"/>
      <c r="Y17" s="36"/>
      <c r="Z17" s="36"/>
      <c r="AA17" s="36"/>
    </row>
    <row r="18" ht="22" customHeight="1">
      <c r="A18" s="49" t="str">
        <v>Net proceeds attributed to Escrowed Shares issued</v>
      </c>
      <c r="B18" s="3"/>
      <c r="C18" s="51"/>
      <c r="D18" s="51"/>
      <c r="E18" s="51"/>
      <c r="F18" s="51"/>
      <c r="G18" s="51"/>
      <c r="H18" s="51"/>
      <c r="I18" s="51"/>
      <c r="J18" s="51"/>
      <c r="K18" s="51"/>
      <c r="L18" s="51"/>
      <c r="M18" s="51"/>
      <c r="N18" s="51"/>
      <c r="O18" s="51"/>
      <c r="P18" s="51"/>
      <c r="Q18" s="51"/>
      <c r="R18" s="51"/>
      <c r="S18" s="51"/>
      <c r="T18" s="51"/>
      <c r="U18" s="51"/>
      <c r="V18" s="51"/>
      <c r="W18" s="51"/>
      <c r="X18" s="51"/>
      <c r="Y18" s="51"/>
      <c r="Z18" s="51" t="n">
        <v>261</v>
      </c>
      <c r="AA18" s="51" t="n">
        <v>688</v>
      </c>
    </row>
    <row r="19" ht="22" customHeight="1">
      <c r="A19" s="49" t="str">
        <v>Partner contributions and issuance of subsidiary shares</v>
      </c>
      <c r="B19" s="3"/>
      <c r="C19" s="51"/>
      <c r="D19" s="51"/>
      <c r="E19" s="51"/>
      <c r="F19" s="51"/>
      <c r="G19" s="51"/>
      <c r="H19" s="51"/>
      <c r="I19" s="51"/>
      <c r="J19" s="51"/>
      <c r="K19" s="51"/>
      <c r="L19" s="51"/>
      <c r="M19" s="51"/>
      <c r="N19" s="51"/>
      <c r="O19" s="51"/>
      <c r="P19" s="51"/>
      <c r="Q19" s="51"/>
      <c r="R19" s="51"/>
      <c r="S19" s="51"/>
      <c r="T19" s="51"/>
      <c r="U19" s="51"/>
      <c r="V19" s="51"/>
      <c r="W19" s="51"/>
      <c r="X19" s="51"/>
      <c r="Y19" s="51"/>
      <c r="Z19" s="51" t="n">
        <v>2090</v>
      </c>
      <c r="AA19" s="51"/>
    </row>
    <row r="20" ht="22" customHeight="1">
      <c r="A20" s="49" t="str">
        <v>Partner distributions</v>
      </c>
      <c r="B20" s="3"/>
      <c r="C20" s="51"/>
      <c r="D20" s="51"/>
      <c r="E20" s="51"/>
      <c r="F20" s="51"/>
      <c r="G20" s="51"/>
      <c r="H20" s="51"/>
      <c r="I20" s="51"/>
      <c r="J20" s="51"/>
      <c r="K20" s="51" t="n">
        <v>-43</v>
      </c>
      <c r="L20" s="51" t="n">
        <v>-217</v>
      </c>
      <c r="M20" s="51"/>
      <c r="N20" s="51"/>
      <c r="O20" s="51"/>
      <c r="P20" s="51"/>
      <c r="Q20" s="51"/>
      <c r="R20" s="51"/>
      <c r="S20" s="51"/>
      <c r="T20" s="51"/>
      <c r="U20" s="51"/>
      <c r="V20" s="51" t="n">
        <v>-58</v>
      </c>
      <c r="W20" s="51" t="n">
        <v>-33</v>
      </c>
      <c r="X20" s="51" t="n">
        <v>-68</v>
      </c>
      <c r="Y20" s="51"/>
      <c r="Z20" s="51" t="n">
        <v>-105</v>
      </c>
      <c r="AA20" s="51"/>
    </row>
    <row r="21" ht="22" customHeight="1">
      <c r="A21" s="49" t="str">
        <v>Partner contributions</v>
      </c>
      <c r="B21" s="3"/>
      <c r="C21" s="51"/>
      <c r="D21" s="51"/>
      <c r="E21" s="51"/>
      <c r="F21" s="51"/>
      <c r="G21" s="51"/>
      <c r="H21" s="51"/>
      <c r="I21" s="51"/>
      <c r="J21" s="51"/>
      <c r="K21" s="51"/>
      <c r="L21" s="51"/>
      <c r="M21" s="51"/>
      <c r="N21" s="51"/>
      <c r="O21" s="51"/>
      <c r="P21" s="51"/>
      <c r="Q21" s="51"/>
      <c r="R21" s="51"/>
      <c r="S21" s="51"/>
      <c r="T21" s="51"/>
      <c r="U21" s="51"/>
      <c r="V21" s="51"/>
      <c r="W21" s="51"/>
      <c r="X21" s="51"/>
      <c r="Y21" s="51"/>
      <c r="Z21" s="51"/>
      <c r="AA21" s="51" t="n">
        <v>2019</v>
      </c>
    </row>
    <row r="22" ht="36" customHeight="1">
      <c r="A22" s="49" t="str">
        <v>Partner distributions declared and repurchase of subsidiary shares</v>
      </c>
      <c r="B22" s="3"/>
      <c r="C22" s="51"/>
      <c r="D22" s="51"/>
      <c r="E22" s="51"/>
      <c r="F22" s="51"/>
      <c r="G22" s="51"/>
      <c r="H22" s="51"/>
      <c r="I22" s="51"/>
      <c r="J22" s="51"/>
      <c r="K22" s="51"/>
      <c r="L22" s="51"/>
      <c r="M22" s="51"/>
      <c r="N22" s="51"/>
      <c r="O22" s="51"/>
      <c r="P22" s="51"/>
      <c r="Q22" s="51"/>
      <c r="R22" s="51"/>
      <c r="S22" s="51"/>
      <c r="T22" s="51"/>
      <c r="U22" s="51"/>
      <c r="V22" s="51"/>
      <c r="W22" s="51"/>
      <c r="X22" s="51"/>
      <c r="Y22" s="51"/>
      <c r="Z22" s="51"/>
      <c r="AA22" s="51" t="n">
        <v>-13830</v>
      </c>
    </row>
    <row r="23" ht="22" customHeight="1">
      <c r="A23" s="49" t="str">
        <v>Employee equity incentive plans</v>
      </c>
      <c r="B23" s="3"/>
      <c r="C23" s="51"/>
      <c r="D23" s="51"/>
      <c r="E23" s="51"/>
      <c r="F23" s="51"/>
      <c r="G23" s="51"/>
      <c r="H23" s="51"/>
      <c r="I23" s="51"/>
      <c r="J23" s="51"/>
      <c r="K23" s="51"/>
      <c r="L23" s="51"/>
      <c r="M23" s="51"/>
      <c r="N23" s="51"/>
      <c r="O23" s="51"/>
      <c r="P23" s="51"/>
      <c r="Q23" s="51"/>
      <c r="R23" s="51"/>
      <c r="S23" s="51"/>
      <c r="T23" s="51"/>
      <c r="U23" s="51"/>
      <c r="V23" s="51"/>
      <c r="W23" s="51"/>
      <c r="X23" s="51"/>
      <c r="Y23" s="51"/>
      <c r="Z23" s="51" t="n">
        <v>427</v>
      </c>
      <c r="AA23" s="51" t="n">
        <v>0</v>
      </c>
    </row>
    <row r="24" ht="22" customHeight="1">
      <c r="A24" s="49" t="str">
        <v>Share-based compensation</v>
      </c>
      <c r="B24" s="3"/>
      <c r="C24" s="51" t="n">
        <v>1438</v>
      </c>
      <c r="D24" s="51" t="n">
        <v>1296</v>
      </c>
      <c r="E24" s="51" t="n">
        <v>1548</v>
      </c>
      <c r="F24" s="51" t="n">
        <v>1705</v>
      </c>
      <c r="G24" s="51" t="n">
        <v>1854</v>
      </c>
      <c r="H24" s="51" t="n">
        <v>2036</v>
      </c>
      <c r="I24" s="51" t="n">
        <v>3128</v>
      </c>
      <c r="J24" s="51" t="n">
        <v>3229</v>
      </c>
      <c r="K24" s="51" t="n">
        <v>3367</v>
      </c>
      <c r="L24" s="51" t="n">
        <v>2434</v>
      </c>
      <c r="M24" s="51"/>
      <c r="N24" s="51" t="n">
        <v>739</v>
      </c>
      <c r="O24" s="51" t="n">
        <v>922</v>
      </c>
      <c r="P24" s="51" t="n">
        <v>772</v>
      </c>
      <c r="Q24" s="51"/>
      <c r="R24" s="51" t="n">
        <v>1179</v>
      </c>
      <c r="S24" s="51" t="n">
        <v>780</v>
      </c>
      <c r="T24" s="51" t="n">
        <v>800</v>
      </c>
      <c r="U24" s="51"/>
      <c r="V24" s="51" t="n">
        <v>684</v>
      </c>
      <c r="W24" s="51" t="n">
        <v>664</v>
      </c>
      <c r="X24" s="51" t="n">
        <v>548</v>
      </c>
      <c r="Y24" s="51"/>
      <c r="Z24" s="51" t="n">
        <v>615</v>
      </c>
      <c r="AA24" s="51" t="n">
        <v>557</v>
      </c>
    </row>
    <row r="25" ht="22" customHeight="1">
      <c r="A25" s="49" t="str">
        <v>Temporary equity reclassification</v>
      </c>
      <c r="B25" s="3"/>
      <c r="C25" s="51" t="n">
        <v>15</v>
      </c>
      <c r="D25" s="51"/>
      <c r="E25" s="51"/>
      <c r="F25" s="51"/>
      <c r="G25" s="51"/>
      <c r="H25" s="51"/>
      <c r="I25" s="51"/>
      <c r="J25" s="51"/>
      <c r="K25" s="51"/>
      <c r="L25" s="51"/>
      <c r="M25" s="51"/>
      <c r="N25" s="51"/>
      <c r="O25" s="51"/>
      <c r="P25" s="51"/>
      <c r="Q25" s="51"/>
      <c r="R25" s="51"/>
      <c r="S25" s="51"/>
      <c r="T25" s="51"/>
      <c r="U25" s="51"/>
      <c r="V25" s="51"/>
      <c r="W25" s="51"/>
      <c r="X25" s="51"/>
      <c r="Y25" s="51"/>
      <c r="Z25" s="51"/>
      <c r="AA25" s="51"/>
    </row>
    <row r="26" ht="22" customHeight="1">
      <c r="A26" s="49" t="str">
        <v>Temporary equity reduction</v>
      </c>
      <c r="B26" s="3"/>
      <c r="C26" s="51"/>
      <c r="D26" s="51"/>
      <c r="E26" s="51" t="n">
        <v>447</v>
      </c>
      <c r="F26" s="51" t="n">
        <v>265</v>
      </c>
      <c r="G26" s="51" t="n">
        <v>155</v>
      </c>
      <c r="H26" s="51" t="n">
        <v>0</v>
      </c>
      <c r="I26" s="51"/>
      <c r="J26" s="51"/>
      <c r="K26" s="51"/>
      <c r="L26" s="51"/>
      <c r="M26" s="51"/>
      <c r="N26" s="51"/>
      <c r="O26" s="51"/>
      <c r="P26" s="51"/>
      <c r="Q26" s="51"/>
      <c r="R26" s="51"/>
      <c r="S26" s="51"/>
      <c r="T26" s="51"/>
      <c r="U26" s="51"/>
      <c r="V26" s="51"/>
      <c r="W26" s="51"/>
      <c r="X26" s="51"/>
      <c r="Y26" s="51"/>
      <c r="Z26" s="51"/>
      <c r="AA26" s="51"/>
    </row>
    <row r="27" ht="22" customHeight="1">
      <c r="A27" s="49" t="str">
        <v>Convertible debt</v>
      </c>
      <c r="B27" s="3"/>
      <c r="C27" s="51"/>
      <c r="D27" s="51" t="n">
        <v>-894</v>
      </c>
      <c r="E27" s="51" t="n">
        <v>-1591</v>
      </c>
      <c r="F27" s="51" t="n">
        <v>-1032</v>
      </c>
      <c r="G27" s="51" t="n">
        <v>-750</v>
      </c>
      <c r="H27" s="51" t="n">
        <v>0</v>
      </c>
      <c r="I27" s="51"/>
      <c r="J27" s="51"/>
      <c r="K27" s="51"/>
      <c r="L27" s="51"/>
      <c r="M27" s="51"/>
      <c r="N27" s="51"/>
      <c r="O27" s="51"/>
      <c r="P27" s="51"/>
      <c r="Q27" s="51"/>
      <c r="R27" s="51"/>
      <c r="S27" s="51"/>
      <c r="T27" s="51"/>
      <c r="U27" s="51"/>
      <c r="V27" s="51"/>
      <c r="W27" s="51"/>
      <c r="X27" s="51"/>
      <c r="Y27" s="51"/>
      <c r="Z27" s="51"/>
      <c r="AA27" s="51"/>
    </row>
    <row r="28" ht="22" customHeight="1">
      <c r="A28" s="49" t="str">
        <v>Repurchase of common stock</v>
      </c>
      <c r="B28" s="3"/>
      <c r="C28" s="51" t="n">
        <v>-2592</v>
      </c>
      <c r="D28" s="51" t="n">
        <v>-3609</v>
      </c>
      <c r="E28" s="51" t="n">
        <v>-10858</v>
      </c>
      <c r="F28" s="51" t="n">
        <v>-13565</v>
      </c>
      <c r="G28" s="51" t="n">
        <v>-14109</v>
      </c>
      <c r="H28" s="51" t="n">
        <v>-2415</v>
      </c>
      <c r="I28" s="51"/>
      <c r="J28" s="51"/>
      <c r="K28" s="51"/>
      <c r="L28" s="51"/>
      <c r="M28" s="51"/>
      <c r="N28" s="51"/>
      <c r="O28" s="51"/>
      <c r="P28" s="51"/>
      <c r="Q28" s="51"/>
      <c r="R28" s="51"/>
      <c r="S28" s="51"/>
      <c r="T28" s="51"/>
      <c r="U28" s="51"/>
      <c r="V28" s="51"/>
      <c r="W28" s="51"/>
      <c r="X28" s="51"/>
      <c r="Y28" s="51"/>
      <c r="Z28" s="51"/>
      <c r="AA28" s="51"/>
    </row>
    <row r="29" ht="22" customHeight="1">
      <c r="A29" s="49" t="str">
        <v>Restricted stock unit withholdings</v>
      </c>
      <c r="B29" s="3"/>
      <c r="C29" s="51" t="n">
        <v>-464</v>
      </c>
      <c r="D29" s="51" t="n">
        <v>-456</v>
      </c>
      <c r="E29" s="51" t="n">
        <v>-526</v>
      </c>
      <c r="F29" s="51" t="n">
        <v>-488</v>
      </c>
      <c r="G29" s="51" t="n">
        <v>-494</v>
      </c>
      <c r="H29" s="51" t="n">
        <v>-420</v>
      </c>
      <c r="I29" s="51" t="n">
        <v>-486</v>
      </c>
      <c r="J29" s="51" t="n">
        <v>-533</v>
      </c>
      <c r="K29" s="51" t="n">
        <v>-631</v>
      </c>
      <c r="L29" s="51" t="n">
        <v>-423</v>
      </c>
      <c r="M29" s="51"/>
      <c r="N29" s="51" t="n">
        <v>-69</v>
      </c>
      <c r="O29" s="51" t="n">
        <v>-166</v>
      </c>
      <c r="P29" s="51" t="n">
        <v>-156</v>
      </c>
      <c r="Q29" s="51"/>
      <c r="R29" s="51" t="n">
        <v>-144</v>
      </c>
      <c r="S29" s="51" t="n">
        <v>-203</v>
      </c>
      <c r="T29" s="51" t="n">
        <v>-128</v>
      </c>
      <c r="U29" s="51"/>
      <c r="V29" s="51" t="n">
        <v>-78</v>
      </c>
      <c r="W29" s="51" t="n">
        <v>-103</v>
      </c>
      <c r="X29" s="51" t="n">
        <v>-105</v>
      </c>
      <c r="Y29" s="51"/>
      <c r="Z29" s="51" t="n">
        <v>-221</v>
      </c>
      <c r="AA29" s="51" t="n">
        <v>-396</v>
      </c>
    </row>
    <row r="30" ht="22" customHeight="1">
      <c r="A30" s="49" t="str">
        <v>Net proceeds from partner contributions</v>
      </c>
      <c r="B30" s="3"/>
      <c r="C30" s="51"/>
      <c r="D30" s="51"/>
      <c r="E30" s="51"/>
      <c r="F30" s="51"/>
      <c r="G30" s="51"/>
      <c r="H30" s="51"/>
      <c r="I30" s="51"/>
      <c r="J30" s="51"/>
      <c r="K30" s="51" t="n">
        <v>12714</v>
      </c>
      <c r="L30" s="51"/>
      <c r="M30" s="51"/>
      <c r="N30" s="51" t="n">
        <v>449</v>
      </c>
      <c r="O30" s="51"/>
      <c r="P30" s="51"/>
      <c r="Q30" s="51"/>
      <c r="R30" s="51" t="n">
        <v>423</v>
      </c>
      <c r="S30" s="51" t="n">
        <v>11438</v>
      </c>
      <c r="T30" s="51" t="n">
        <v>417</v>
      </c>
      <c r="U30" s="51"/>
      <c r="V30" s="51" t="n">
        <v>955</v>
      </c>
      <c r="W30" s="51" t="n">
        <v>1283</v>
      </c>
      <c r="X30" s="51"/>
      <c r="Y30" s="51"/>
      <c r="Z30" s="51"/>
      <c r="AA30" s="51"/>
    </row>
    <row r="31" ht="22" customHeight="1">
      <c r="A31" s="49" t="str">
        <v>Employee equity incentive plans and other</v>
      </c>
      <c r="B31" s="3"/>
      <c r="C31" s="51"/>
      <c r="D31" s="51"/>
      <c r="E31" s="51"/>
      <c r="F31" s="51" t="n">
        <v>892</v>
      </c>
      <c r="G31" s="51" t="n">
        <v>1018</v>
      </c>
      <c r="H31" s="51" t="n">
        <v>1022</v>
      </c>
      <c r="I31" s="51" t="n">
        <v>1009</v>
      </c>
      <c r="J31" s="51" t="n">
        <v>1044</v>
      </c>
      <c r="K31" s="51" t="n">
        <v>988</v>
      </c>
      <c r="L31" s="51" t="n">
        <v>771</v>
      </c>
      <c r="M31" s="51"/>
      <c r="N31" s="51" t="n">
        <v>659</v>
      </c>
      <c r="O31" s="51" t="n">
        <v>6</v>
      </c>
      <c r="P31" s="51" t="n">
        <v>372</v>
      </c>
      <c r="Q31" s="51"/>
      <c r="R31" s="51" t="n">
        <v>626</v>
      </c>
      <c r="S31" s="51" t="n">
        <v>5</v>
      </c>
      <c r="T31" s="51" t="n">
        <v>355</v>
      </c>
      <c r="U31" s="51"/>
      <c r="V31" s="51" t="n">
        <v>491</v>
      </c>
      <c r="W31" s="51" t="n">
        <v>0</v>
      </c>
      <c r="X31" s="51" t="n">
        <v>286</v>
      </c>
      <c r="Y31" s="51"/>
      <c r="Z31" s="51"/>
      <c r="AA31" s="51"/>
    </row>
    <row r="32" ht="22" customHeight="1">
      <c r="A32" s="49" t="str">
        <v>Opening balance adjustment1</v>
      </c>
      <c r="B32" s="3"/>
      <c r="C32" s="51"/>
      <c r="D32" s="51"/>
      <c r="E32" s="51"/>
      <c r="F32" s="51"/>
      <c r="G32" s="51"/>
      <c r="H32" s="51"/>
      <c r="I32" s="51"/>
      <c r="J32" s="51"/>
      <c r="K32" s="51"/>
      <c r="L32" s="51" t="n">
        <v>49</v>
      </c>
      <c r="M32" s="51"/>
      <c r="N32" s="51"/>
      <c r="O32" s="51"/>
      <c r="P32" s="51"/>
      <c r="Q32" s="51"/>
      <c r="R32" s="51"/>
      <c r="S32" s="51"/>
      <c r="T32" s="51"/>
      <c r="U32" s="51"/>
      <c r="V32" s="51"/>
      <c r="W32" s="51"/>
      <c r="X32" s="51"/>
      <c r="Y32" s="51"/>
      <c r="Z32" s="51"/>
      <c r="AA32" s="51"/>
    </row>
    <row r="33" ht="22" customHeight="1">
      <c r="A33" s="49" t="str">
        <v>Net proceeds from stock issuances and warrants2</v>
      </c>
      <c r="B33" s="3"/>
      <c r="C33" s="51"/>
      <c r="D33" s="51"/>
      <c r="E33" s="51"/>
      <c r="F33" s="51"/>
      <c r="G33" s="51"/>
      <c r="H33" s="51"/>
      <c r="I33" s="51"/>
      <c r="J33" s="51"/>
      <c r="K33" s="51"/>
      <c r="L33" s="51" t="n">
        <v>11835</v>
      </c>
      <c r="M33" s="51"/>
      <c r="N33" s="51"/>
      <c r="O33" s="51"/>
      <c r="P33" s="51"/>
      <c r="Q33" s="51"/>
      <c r="R33" s="51"/>
      <c r="S33" s="51"/>
      <c r="T33" s="51"/>
      <c r="U33" s="51"/>
      <c r="V33" s="51"/>
      <c r="W33" s="51"/>
      <c r="X33" s="51" t="n">
        <v>3758</v>
      </c>
      <c r="Y33" s="51"/>
      <c r="Z33" s="51"/>
      <c r="AA33" s="51"/>
    </row>
    <row r="34" ht="36" customHeight="1">
      <c r="A34" s="49" t="str">
        <v>Net proceeds from sales of subsidiary shares and partner contributions</v>
      </c>
      <c r="B34" s="3"/>
      <c r="C34" s="51"/>
      <c r="D34" s="51"/>
      <c r="E34" s="51"/>
      <c r="F34" s="51"/>
      <c r="G34" s="51"/>
      <c r="H34" s="51"/>
      <c r="I34" s="51"/>
      <c r="J34" s="51"/>
      <c r="K34" s="51"/>
      <c r="L34" s="51" t="n">
        <v>6029</v>
      </c>
      <c r="M34" s="51"/>
      <c r="N34" s="51"/>
      <c r="O34" s="51" t="n">
        <v>1958</v>
      </c>
      <c r="P34" s="51" t="n">
        <v>759</v>
      </c>
      <c r="Q34" s="51"/>
      <c r="R34" s="51"/>
      <c r="S34" s="51"/>
      <c r="T34" s="51"/>
      <c r="U34" s="51"/>
      <c r="V34" s="51"/>
      <c r="W34" s="51"/>
      <c r="X34" s="51" t="n">
        <v>2336</v>
      </c>
      <c r="Y34" s="51"/>
      <c r="Z34" s="51"/>
      <c r="AA34" s="51"/>
    </row>
    <row r="35" ht="8"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22" customHeight="1">
      <c r="A36" s="21" t="str">
        <v>Equity movements: Common stock - shares (millions)</v>
      </c>
      <c r="B36" s="21" t="str">
        <v>Equity movements: Common stock - shares (millions)</v>
      </c>
      <c r="C36" s="21" t="str">
        <v>Equity movements: Common stock - shares (millions)</v>
      </c>
      <c r="D36" s="21" t="str">
        <v>Equity movements: Common stock - shares (millions)</v>
      </c>
      <c r="E36" s="21" t="str">
        <v>Equity movements: Common stock - shares (millions)</v>
      </c>
      <c r="F36" s="21" t="str">
        <v>Equity movements: Common stock - shares (millions)</v>
      </c>
      <c r="G36" s="21" t="str">
        <v>Equity movements: Common stock - shares (millions)</v>
      </c>
      <c r="H36" s="21" t="str">
        <v>Equity movements: Common stock - shares (millions)</v>
      </c>
      <c r="I36" s="21" t="str">
        <v>Equity movements: Common stock - shares (millions)</v>
      </c>
      <c r="J36" s="21" t="str">
        <v>Equity movements: Common stock - shares (millions)</v>
      </c>
      <c r="K36" s="21" t="str">
        <v>Equity movements: Common stock - shares (millions)</v>
      </c>
      <c r="L36" s="21" t="str">
        <v>Equity movements: Common stock - shares (millions)</v>
      </c>
      <c r="M36" s="21" t="str">
        <v>Equity movements: Common stock - shares (millions)</v>
      </c>
      <c r="N36" s="21" t="str">
        <v>Equity movements: Common stock - shares (millions)</v>
      </c>
      <c r="O36" s="21" t="str">
        <v>Equity movements: Common stock - shares (millions)</v>
      </c>
      <c r="P36" s="21" t="str">
        <v>Equity movements: Common stock - shares (millions)</v>
      </c>
      <c r="Q36" s="21" t="str">
        <v>Equity movements: Common stock - shares (millions)</v>
      </c>
      <c r="R36" s="21" t="str">
        <v>Equity movements: Common stock - shares (millions)</v>
      </c>
      <c r="S36" s="21" t="str">
        <v>Equity movements: Common stock - shares (millions)</v>
      </c>
      <c r="T36" s="21" t="str">
        <v>Equity movements: Common stock - shares (millions)</v>
      </c>
      <c r="U36" s="21" t="str">
        <v>Equity movements: Common stock - shares (millions)</v>
      </c>
      <c r="V36" s="21" t="str">
        <v>Equity movements: Common stock - shares (millions)</v>
      </c>
      <c r="W36" s="21" t="str">
        <v>Equity movements: Common stock - shares (millions)</v>
      </c>
      <c r="X36" s="21" t="str">
        <v>Equity movements: Common stock - shares (millions)</v>
      </c>
      <c r="Y36" s="21" t="str">
        <v>Equity movements: Common stock - shares (millions)</v>
      </c>
      <c r="Z36" s="21" t="str">
        <v>Equity movements: Common stock - shares (millions)</v>
      </c>
      <c r="AA36" s="21" t="str">
        <v>Equity movements: Common stock - shares (millions)</v>
      </c>
    </row>
    <row r="37" ht="18" customHeight="1">
      <c r="A37" s="22" t="str">
        <v>Date-specific balance captions are consolidated into one period-end balance row; dividend captions are consolidated while source detail is retained.</v>
      </c>
      <c r="B37" s="22" t="str">
        <v>Date-specific balance captions are consolidated into one period-end balance row; dividend captions are consolidated while source detail is retained.</v>
      </c>
      <c r="C37" s="22" t="str">
        <v>Date-specific balance captions are consolidated into one period-end balance row; dividend captions are consolidated while source detail is retained.</v>
      </c>
      <c r="D37" s="22" t="str">
        <v>Date-specific balance captions are consolidated into one period-end balance row; dividend captions are consolidated while source detail is retained.</v>
      </c>
      <c r="E37" s="22" t="str">
        <v>Date-specific balance captions are consolidated into one period-end balance row; dividend captions are consolidated while source detail is retained.</v>
      </c>
      <c r="F37" s="22" t="str">
        <v>Date-specific balance captions are consolidated into one period-end balance row; dividend captions are consolidated while source detail is retained.</v>
      </c>
      <c r="G37" s="22" t="str">
        <v>Date-specific balance captions are consolidated into one period-end balance row; dividend captions are consolidated while source detail is retained.</v>
      </c>
      <c r="H37" s="22" t="str">
        <v>Date-specific balance captions are consolidated into one period-end balance row; dividend captions are consolidated while source detail is retained.</v>
      </c>
      <c r="I37" s="22" t="str">
        <v>Date-specific balance captions are consolidated into one period-end balance row; dividend captions are consolidated while source detail is retained.</v>
      </c>
      <c r="J37" s="22" t="str">
        <v>Date-specific balance captions are consolidated into one period-end balance row; dividend captions are consolidated while source detail is retained.</v>
      </c>
      <c r="K37" s="22" t="str">
        <v>Date-specific balance captions are consolidated into one period-end balance row; dividend captions are consolidated while source detail is retained.</v>
      </c>
      <c r="L37" s="22" t="str">
        <v>Date-specific balance captions are consolidated into one period-end balance row; dividend captions are consolidated while source detail is retained.</v>
      </c>
      <c r="M37" s="22" t="str">
        <v>Date-specific balance captions are consolidated into one period-end balance row; dividend captions are consolidated while source detail is retained.</v>
      </c>
      <c r="N37" s="22" t="str">
        <v>Date-specific balance captions are consolidated into one period-end balance row; dividend captions are consolidated while source detail is retained.</v>
      </c>
      <c r="O37" s="22" t="str">
        <v>Date-specific balance captions are consolidated into one period-end balance row; dividend captions are consolidated while source detail is retained.</v>
      </c>
      <c r="P37" s="22" t="str">
        <v>Date-specific balance captions are consolidated into one period-end balance row; dividend captions are consolidated while source detail is retained.</v>
      </c>
      <c r="Q37" s="22" t="str">
        <v>Date-specific balance captions are consolidated into one period-end balance row; dividend captions are consolidated while source detail is retained.</v>
      </c>
      <c r="R37" s="22" t="str">
        <v>Date-specific balance captions are consolidated into one period-end balance row; dividend captions are consolidated while source detail is retained.</v>
      </c>
      <c r="S37" s="22" t="str">
        <v>Date-specific balance captions are consolidated into one period-end balance row; dividend captions are consolidated while source detail is retained.</v>
      </c>
      <c r="T37" s="22" t="str">
        <v>Date-specific balance captions are consolidated into one period-end balance row; dividend captions are consolidated while source detail is retained.</v>
      </c>
      <c r="U37" s="22" t="str">
        <v>Date-specific balance captions are consolidated into one period-end balance row; dividend captions are consolidated while source detail is retained.</v>
      </c>
      <c r="V37" s="22" t="str">
        <v>Date-specific balance captions are consolidated into one period-end balance row; dividend captions are consolidated while source detail is retained.</v>
      </c>
      <c r="W37" s="22" t="str">
        <v>Date-specific balance captions are consolidated into one period-end balance row; dividend captions are consolidated while source detail is retained.</v>
      </c>
      <c r="X37" s="22" t="str">
        <v>Date-specific balance captions are consolidated into one period-end balance row; dividend captions are consolidated while source detail is retained.</v>
      </c>
      <c r="Y37" s="22" t="str">
        <v>Date-specific balance captions are consolidated into one period-end balance row; dividend captions are consolidated while source detail is retained.</v>
      </c>
      <c r="Z37" s="22" t="str">
        <v>Date-specific balance captions are consolidated into one period-end balance row; dividend captions are consolidated while source detail is retained.</v>
      </c>
      <c r="AA37" s="22" t="str">
        <v>Date-specific balance captions are consolidated into one period-end balance row; dividend captions are consolidated while source detail is retained.</v>
      </c>
    </row>
    <row r="38" ht="24" customHeight="1">
      <c r="A38" s="34" t="str">
        <v>Balance at period end</v>
      </c>
      <c r="B38" s="35"/>
      <c r="C38" s="36" t="n">
        <v>4730</v>
      </c>
      <c r="D38" s="36" t="n">
        <v>4687</v>
      </c>
      <c r="E38" s="36" t="n">
        <v>4516</v>
      </c>
      <c r="F38" s="36" t="n">
        <v>4290</v>
      </c>
      <c r="G38" s="36" t="n">
        <v>4062</v>
      </c>
      <c r="H38" s="36" t="n">
        <v>4070</v>
      </c>
      <c r="I38" s="36" t="n">
        <v>4137</v>
      </c>
      <c r="J38" s="36" t="n">
        <v>4228</v>
      </c>
      <c r="K38" s="36" t="n">
        <v>4330</v>
      </c>
      <c r="L38" s="36" t="n">
        <v>4994</v>
      </c>
      <c r="M38" s="36"/>
      <c r="N38" s="36" t="n">
        <v>4171</v>
      </c>
      <c r="O38" s="36" t="n">
        <v>4188</v>
      </c>
      <c r="P38" s="36" t="n">
        <v>4216</v>
      </c>
      <c r="Q38" s="36"/>
      <c r="R38" s="36" t="n">
        <v>4257</v>
      </c>
      <c r="S38" s="36" t="n">
        <v>4276</v>
      </c>
      <c r="T38" s="36" t="n">
        <v>4309</v>
      </c>
      <c r="U38" s="36"/>
      <c r="V38" s="36" t="n">
        <v>4362</v>
      </c>
      <c r="W38" s="36" t="n">
        <v>4377</v>
      </c>
      <c r="X38" s="36" t="n">
        <v>4766</v>
      </c>
      <c r="Y38" s="36"/>
      <c r="Z38" s="36" t="n">
        <v>5023</v>
      </c>
      <c r="AA38" s="36" t="n">
        <v>5043</v>
      </c>
    </row>
    <row r="39" ht="22" customHeight="1">
      <c r="A39" s="49" t="str">
        <v>Cash dividends declared</v>
      </c>
      <c r="B39" s="3"/>
      <c r="C39" s="51" t="n">
        <v>0</v>
      </c>
      <c r="D39" s="51" t="n">
        <v>0</v>
      </c>
      <c r="E39" s="51" t="n">
        <v>0</v>
      </c>
      <c r="F39" s="51" t="n">
        <v>0</v>
      </c>
      <c r="G39" s="51" t="n">
        <v>0</v>
      </c>
      <c r="H39" s="51" t="n">
        <v>0</v>
      </c>
      <c r="I39" s="51" t="n">
        <v>0</v>
      </c>
      <c r="J39" s="51" t="n">
        <v>0</v>
      </c>
      <c r="K39" s="51" t="n">
        <v>0</v>
      </c>
      <c r="L39" s="51"/>
      <c r="M39" s="51"/>
      <c r="N39" s="51" t="n">
        <v>0</v>
      </c>
      <c r="O39" s="51"/>
      <c r="P39" s="51" t="n">
        <v>0</v>
      </c>
      <c r="Q39" s="51"/>
      <c r="R39" s="51" t="n">
        <v>0</v>
      </c>
      <c r="S39" s="51" t="n">
        <v>0</v>
      </c>
      <c r="T39" s="51" t="n">
        <v>0</v>
      </c>
      <c r="U39" s="51"/>
      <c r="V39" s="51"/>
      <c r="W39" s="51"/>
      <c r="X39" s="51"/>
      <c r="Y39" s="51"/>
      <c r="Z39" s="51"/>
      <c r="AA39" s="51"/>
    </row>
    <row r="40" ht="22" customHeight="1">
      <c r="A40" s="49" t="str">
        <v>Net proceeds received from IPO and partner contributions</v>
      </c>
      <c r="B40" s="3"/>
      <c r="C40" s="51"/>
      <c r="D40" s="51"/>
      <c r="E40" s="51"/>
      <c r="F40" s="51"/>
      <c r="G40" s="51"/>
      <c r="H40" s="51"/>
      <c r="I40" s="51" t="n">
        <v>0</v>
      </c>
      <c r="J40" s="51"/>
      <c r="K40" s="51"/>
      <c r="L40" s="51"/>
      <c r="M40" s="51"/>
      <c r="N40" s="51"/>
      <c r="O40" s="51"/>
      <c r="P40" s="51"/>
      <c r="Q40" s="51"/>
      <c r="R40" s="51"/>
      <c r="S40" s="51"/>
      <c r="T40" s="51"/>
      <c r="U40" s="51"/>
      <c r="V40" s="51"/>
      <c r="W40" s="51"/>
      <c r="X40" s="51"/>
      <c r="Y40" s="51"/>
      <c r="Z40" s="51"/>
      <c r="AA40" s="51"/>
    </row>
    <row r="41" ht="36" customHeight="1">
      <c r="A41" s="49" t="str">
        <v>Proceeds from sales of subsidiary shares and partner contributions</v>
      </c>
      <c r="B41" s="3"/>
      <c r="C41" s="51"/>
      <c r="D41" s="51"/>
      <c r="E41" s="51"/>
      <c r="F41" s="51"/>
      <c r="G41" s="51"/>
      <c r="H41" s="51"/>
      <c r="I41" s="51"/>
      <c r="J41" s="51" t="n">
        <v>0</v>
      </c>
      <c r="K41" s="51"/>
      <c r="L41" s="51"/>
      <c r="M41" s="51"/>
      <c r="N41" s="51"/>
      <c r="O41" s="51"/>
      <c r="P41" s="51"/>
      <c r="Q41" s="51"/>
      <c r="R41" s="51"/>
      <c r="S41" s="51"/>
      <c r="T41" s="51"/>
      <c r="U41" s="51"/>
      <c r="V41" s="51"/>
      <c r="W41" s="51"/>
      <c r="X41" s="51"/>
      <c r="Y41" s="51"/>
      <c r="Z41" s="51"/>
      <c r="AA41" s="51"/>
    </row>
    <row r="42" ht="22" customHeight="1">
      <c r="A42" s="49" t="str">
        <v>Net income (loss)</v>
      </c>
      <c r="B42" s="3"/>
      <c r="C42" s="51" t="n">
        <v>0</v>
      </c>
      <c r="D42" s="51" t="n">
        <v>0</v>
      </c>
      <c r="E42" s="51" t="n">
        <v>0</v>
      </c>
      <c r="F42" s="51" t="n">
        <v>0</v>
      </c>
      <c r="G42" s="51" t="n">
        <v>0</v>
      </c>
      <c r="H42" s="51" t="n">
        <v>0</v>
      </c>
      <c r="I42" s="51" t="n">
        <v>0</v>
      </c>
      <c r="J42" s="51" t="n">
        <v>0</v>
      </c>
      <c r="K42" s="51" t="n">
        <v>0</v>
      </c>
      <c r="L42" s="51" t="n">
        <v>0</v>
      </c>
      <c r="M42" s="51"/>
      <c r="N42" s="51" t="n">
        <v>0</v>
      </c>
      <c r="O42" s="51" t="n">
        <v>0</v>
      </c>
      <c r="P42" s="51" t="n">
        <v>0</v>
      </c>
      <c r="Q42" s="51"/>
      <c r="R42" s="51" t="n">
        <v>0</v>
      </c>
      <c r="S42" s="51" t="n">
        <v>0</v>
      </c>
      <c r="T42" s="51" t="n">
        <v>0</v>
      </c>
      <c r="U42" s="51"/>
      <c r="V42" s="51" t="n">
        <v>0</v>
      </c>
      <c r="W42" s="51" t="n">
        <v>0</v>
      </c>
      <c r="X42" s="51" t="n">
        <v>0</v>
      </c>
      <c r="Y42" s="51"/>
      <c r="Z42" s="51" t="n">
        <v>0</v>
      </c>
      <c r="AA42" s="51" t="n">
        <v>0</v>
      </c>
    </row>
    <row r="43" ht="36" customHeight="1">
      <c r="A43" s="49" t="str">
        <v>Proceeds from sales of common stock through employee equity incentive plans, net excess tax benefit, and other</v>
      </c>
      <c r="B43" s="3"/>
      <c r="C43" s="51" t="n">
        <v>101</v>
      </c>
      <c r="D43" s="51" t="n">
        <v>70</v>
      </c>
      <c r="E43" s="51" t="n">
        <v>56</v>
      </c>
      <c r="F43" s="51"/>
      <c r="G43" s="51"/>
      <c r="H43" s="51"/>
      <c r="I43" s="51"/>
      <c r="J43" s="51"/>
      <c r="K43" s="51"/>
      <c r="L43" s="51"/>
      <c r="M43" s="51"/>
      <c r="N43" s="51"/>
      <c r="O43" s="51"/>
      <c r="P43" s="51"/>
      <c r="Q43" s="51"/>
      <c r="R43" s="51"/>
      <c r="S43" s="51"/>
      <c r="T43" s="51"/>
      <c r="U43" s="51"/>
      <c r="V43" s="51"/>
      <c r="W43" s="51"/>
      <c r="X43" s="51"/>
      <c r="Y43" s="51"/>
      <c r="Z43" s="51"/>
      <c r="AA43" s="51"/>
    </row>
    <row r="44" ht="22" customHeight="1">
      <c r="A44" s="49" t="str">
        <v>Other comprehensive income (loss)</v>
      </c>
      <c r="B44" s="3"/>
      <c r="C44" s="51" t="n">
        <v>0</v>
      </c>
      <c r="D44" s="51" t="n">
        <v>0</v>
      </c>
      <c r="E44" s="51" t="n">
        <v>0</v>
      </c>
      <c r="F44" s="51" t="n">
        <v>0</v>
      </c>
      <c r="G44" s="51" t="n">
        <v>0</v>
      </c>
      <c r="H44" s="51" t="n">
        <v>0</v>
      </c>
      <c r="I44" s="51" t="n">
        <v>0</v>
      </c>
      <c r="J44" s="51" t="n">
        <v>0</v>
      </c>
      <c r="K44" s="51" t="n">
        <v>0</v>
      </c>
      <c r="L44" s="51" t="n">
        <v>0</v>
      </c>
      <c r="M44" s="51"/>
      <c r="N44" s="51" t="n">
        <v>0</v>
      </c>
      <c r="O44" s="51" t="n">
        <v>0</v>
      </c>
      <c r="P44" s="51" t="n">
        <v>0</v>
      </c>
      <c r="Q44" s="51"/>
      <c r="R44" s="51" t="n">
        <v>0</v>
      </c>
      <c r="S44" s="51" t="n">
        <v>0</v>
      </c>
      <c r="T44" s="51" t="n">
        <v>0</v>
      </c>
      <c r="U44" s="51"/>
      <c r="V44" s="51" t="n">
        <v>0</v>
      </c>
      <c r="W44" s="51" t="n">
        <v>0</v>
      </c>
      <c r="X44" s="51" t="n">
        <v>0</v>
      </c>
      <c r="Y44" s="51"/>
      <c r="Z44" s="51" t="n">
        <v>0</v>
      </c>
      <c r="AA44" s="51" t="n">
        <v>0</v>
      </c>
    </row>
    <row r="45" ht="22" customHeight="1">
      <c r="A45" s="49" t="str">
        <v>Net proceeds attributed to Escrowed Shares issued</v>
      </c>
      <c r="B45" s="3"/>
      <c r="C45" s="51"/>
      <c r="D45" s="51"/>
      <c r="E45" s="51"/>
      <c r="F45" s="51"/>
      <c r="G45" s="51"/>
      <c r="H45" s="51"/>
      <c r="I45" s="51"/>
      <c r="J45" s="51"/>
      <c r="K45" s="51"/>
      <c r="L45" s="51"/>
      <c r="M45" s="51"/>
      <c r="N45" s="51"/>
      <c r="O45" s="51"/>
      <c r="P45" s="51"/>
      <c r="Q45" s="51"/>
      <c r="R45" s="51"/>
      <c r="S45" s="51"/>
      <c r="T45" s="51"/>
      <c r="U45" s="51"/>
      <c r="V45" s="51"/>
      <c r="W45" s="51"/>
      <c r="X45" s="51"/>
      <c r="Y45" s="51"/>
      <c r="Z45" s="51" t="n">
        <v>6</v>
      </c>
      <c r="AA45" s="51" t="n">
        <v>7</v>
      </c>
    </row>
    <row r="46" ht="22" customHeight="1">
      <c r="A46" s="49" t="str">
        <v>Partner contributions and issuance of subsidiary shares</v>
      </c>
      <c r="B46" s="3"/>
      <c r="C46" s="51"/>
      <c r="D46" s="51"/>
      <c r="E46" s="51"/>
      <c r="F46" s="51"/>
      <c r="G46" s="51"/>
      <c r="H46" s="51"/>
      <c r="I46" s="51"/>
      <c r="J46" s="51"/>
      <c r="K46" s="51"/>
      <c r="L46" s="51"/>
      <c r="M46" s="51"/>
      <c r="N46" s="51"/>
      <c r="O46" s="51"/>
      <c r="P46" s="51"/>
      <c r="Q46" s="51"/>
      <c r="R46" s="51"/>
      <c r="S46" s="51"/>
      <c r="T46" s="51"/>
      <c r="U46" s="51"/>
      <c r="V46" s="51"/>
      <c r="W46" s="51"/>
      <c r="X46" s="51"/>
      <c r="Y46" s="51"/>
      <c r="Z46" s="51" t="n">
        <v>0</v>
      </c>
      <c r="AA46" s="51"/>
    </row>
    <row r="47" ht="22" customHeight="1">
      <c r="A47" s="49" t="str">
        <v>Partner distributions</v>
      </c>
      <c r="B47" s="3"/>
      <c r="C47" s="51"/>
      <c r="D47" s="51"/>
      <c r="E47" s="51"/>
      <c r="F47" s="51"/>
      <c r="G47" s="51"/>
      <c r="H47" s="51"/>
      <c r="I47" s="51"/>
      <c r="J47" s="51"/>
      <c r="K47" s="51" t="n">
        <v>0</v>
      </c>
      <c r="L47" s="51" t="n">
        <v>0</v>
      </c>
      <c r="M47" s="51"/>
      <c r="N47" s="51"/>
      <c r="O47" s="51"/>
      <c r="P47" s="51"/>
      <c r="Q47" s="51"/>
      <c r="R47" s="51"/>
      <c r="S47" s="51"/>
      <c r="T47" s="51"/>
      <c r="U47" s="51"/>
      <c r="V47" s="51" t="n">
        <v>0</v>
      </c>
      <c r="W47" s="51" t="n">
        <v>0</v>
      </c>
      <c r="X47" s="51" t="n">
        <v>0</v>
      </c>
      <c r="Y47" s="51"/>
      <c r="Z47" s="51" t="n">
        <v>0</v>
      </c>
      <c r="AA47" s="51"/>
    </row>
    <row r="48" ht="22" customHeight="1">
      <c r="A48" s="49" t="str">
        <v>Partner contributions</v>
      </c>
      <c r="B48" s="3"/>
      <c r="C48" s="51"/>
      <c r="D48" s="51"/>
      <c r="E48" s="51"/>
      <c r="F48" s="51"/>
      <c r="G48" s="51"/>
      <c r="H48" s="51"/>
      <c r="I48" s="51"/>
      <c r="J48" s="51"/>
      <c r="K48" s="51"/>
      <c r="L48" s="51"/>
      <c r="M48" s="51"/>
      <c r="N48" s="51"/>
      <c r="O48" s="51"/>
      <c r="P48" s="51"/>
      <c r="Q48" s="51"/>
      <c r="R48" s="51"/>
      <c r="S48" s="51"/>
      <c r="T48" s="51"/>
      <c r="U48" s="51"/>
      <c r="V48" s="51"/>
      <c r="W48" s="51"/>
      <c r="X48" s="51"/>
      <c r="Y48" s="51"/>
      <c r="Z48" s="51"/>
      <c r="AA48" s="51" t="n">
        <v>0</v>
      </c>
    </row>
    <row r="49" ht="36" customHeight="1">
      <c r="A49" s="49" t="str">
        <v>Partner distributions declared and repurchase of subsidiary shares</v>
      </c>
      <c r="B49" s="3"/>
      <c r="C49" s="51"/>
      <c r="D49" s="51"/>
      <c r="E49" s="51"/>
      <c r="F49" s="51"/>
      <c r="G49" s="51"/>
      <c r="H49" s="51"/>
      <c r="I49" s="51"/>
      <c r="J49" s="51"/>
      <c r="K49" s="51"/>
      <c r="L49" s="51"/>
      <c r="M49" s="51"/>
      <c r="N49" s="51"/>
      <c r="O49" s="51"/>
      <c r="P49" s="51"/>
      <c r="Q49" s="51"/>
      <c r="R49" s="51"/>
      <c r="S49" s="51"/>
      <c r="T49" s="51"/>
      <c r="U49" s="51"/>
      <c r="V49" s="51"/>
      <c r="W49" s="51"/>
      <c r="X49" s="51"/>
      <c r="Y49" s="51"/>
      <c r="Z49" s="51"/>
      <c r="AA49" s="51" t="n">
        <v>0</v>
      </c>
    </row>
    <row r="50" ht="22" customHeight="1">
      <c r="A50" s="49" t="str">
        <v>Employee equity incentive plans</v>
      </c>
      <c r="B50" s="3"/>
      <c r="C50" s="51"/>
      <c r="D50" s="51"/>
      <c r="E50" s="51"/>
      <c r="F50" s="51"/>
      <c r="G50" s="51"/>
      <c r="H50" s="51"/>
      <c r="I50" s="51"/>
      <c r="J50" s="51"/>
      <c r="K50" s="51"/>
      <c r="L50" s="51"/>
      <c r="M50" s="51"/>
      <c r="N50" s="51"/>
      <c r="O50" s="51"/>
      <c r="P50" s="51"/>
      <c r="Q50" s="51"/>
      <c r="R50" s="51"/>
      <c r="S50" s="51"/>
      <c r="T50" s="51"/>
      <c r="U50" s="51"/>
      <c r="V50" s="51"/>
      <c r="W50" s="51"/>
      <c r="X50" s="51"/>
      <c r="Y50" s="51"/>
      <c r="Z50" s="51" t="n">
        <v>28</v>
      </c>
      <c r="AA50" s="51" t="n">
        <v>17</v>
      </c>
    </row>
    <row r="51" ht="22" customHeight="1">
      <c r="A51" s="49" t="str">
        <v>Share-based compensation</v>
      </c>
      <c r="B51" s="3"/>
      <c r="C51" s="51" t="n">
        <v>0</v>
      </c>
      <c r="D51" s="51" t="n">
        <v>0</v>
      </c>
      <c r="E51" s="51" t="n">
        <v>0</v>
      </c>
      <c r="F51" s="51" t="n">
        <v>0</v>
      </c>
      <c r="G51" s="51" t="n">
        <v>0</v>
      </c>
      <c r="H51" s="51" t="n">
        <v>0</v>
      </c>
      <c r="I51" s="51" t="n">
        <v>0</v>
      </c>
      <c r="J51" s="51" t="n">
        <v>0</v>
      </c>
      <c r="K51" s="51" t="n">
        <v>0</v>
      </c>
      <c r="L51" s="51" t="n">
        <v>0</v>
      </c>
      <c r="M51" s="51"/>
      <c r="N51" s="51" t="n">
        <v>0</v>
      </c>
      <c r="O51" s="51" t="n">
        <v>0</v>
      </c>
      <c r="P51" s="51" t="n">
        <v>0</v>
      </c>
      <c r="Q51" s="51"/>
      <c r="R51" s="51" t="n">
        <v>0</v>
      </c>
      <c r="S51" s="51" t="n">
        <v>0</v>
      </c>
      <c r="T51" s="51" t="n">
        <v>0</v>
      </c>
      <c r="U51" s="51"/>
      <c r="V51" s="51" t="n">
        <v>0</v>
      </c>
      <c r="W51" s="51" t="n">
        <v>0</v>
      </c>
      <c r="X51" s="51" t="n">
        <v>0</v>
      </c>
      <c r="Y51" s="51"/>
      <c r="Z51" s="51" t="n">
        <v>0</v>
      </c>
      <c r="AA51" s="51" t="n">
        <v>0</v>
      </c>
    </row>
    <row r="52" ht="22" customHeight="1">
      <c r="A52" s="49" t="str">
        <v>Temporary equity reclassification</v>
      </c>
      <c r="B52" s="3"/>
      <c r="C52" s="51" t="n">
        <v>0</v>
      </c>
      <c r="D52" s="51"/>
      <c r="E52" s="51"/>
      <c r="F52" s="51"/>
      <c r="G52" s="51"/>
      <c r="H52" s="51"/>
      <c r="I52" s="51"/>
      <c r="J52" s="51"/>
      <c r="K52" s="51"/>
      <c r="L52" s="51"/>
      <c r="M52" s="51"/>
      <c r="N52" s="51"/>
      <c r="O52" s="51"/>
      <c r="P52" s="51"/>
      <c r="Q52" s="51"/>
      <c r="R52" s="51"/>
      <c r="S52" s="51"/>
      <c r="T52" s="51"/>
      <c r="U52" s="51"/>
      <c r="V52" s="51"/>
      <c r="W52" s="51"/>
      <c r="X52" s="51"/>
      <c r="Y52" s="51"/>
      <c r="Z52" s="51"/>
      <c r="AA52" s="51"/>
    </row>
    <row r="53" ht="22" customHeight="1">
      <c r="A53" s="49" t="str">
        <v>Temporary equity reduction</v>
      </c>
      <c r="B53" s="3"/>
      <c r="C53" s="51"/>
      <c r="D53" s="51"/>
      <c r="E53" s="51" t="n">
        <v>0</v>
      </c>
      <c r="F53" s="51" t="n">
        <v>0</v>
      </c>
      <c r="G53" s="51" t="n">
        <v>0</v>
      </c>
      <c r="H53" s="51" t="n">
        <v>0</v>
      </c>
      <c r="I53" s="51"/>
      <c r="J53" s="51"/>
      <c r="K53" s="51"/>
      <c r="L53" s="51"/>
      <c r="M53" s="51"/>
      <c r="N53" s="51"/>
      <c r="O53" s="51"/>
      <c r="P53" s="51"/>
      <c r="Q53" s="51"/>
      <c r="R53" s="51"/>
      <c r="S53" s="51"/>
      <c r="T53" s="51"/>
      <c r="U53" s="51"/>
      <c r="V53" s="51"/>
      <c r="W53" s="51"/>
      <c r="X53" s="51"/>
      <c r="Y53" s="51"/>
      <c r="Z53" s="51"/>
      <c r="AA53" s="51"/>
    </row>
    <row r="54" ht="22" customHeight="1">
      <c r="A54" s="49" t="str">
        <v>Convertible debt</v>
      </c>
      <c r="B54" s="3"/>
      <c r="C54" s="51"/>
      <c r="D54" s="51" t="n">
        <v>0</v>
      </c>
      <c r="E54" s="51" t="n">
        <v>0</v>
      </c>
      <c r="F54" s="51" t="n">
        <v>0</v>
      </c>
      <c r="G54" s="51" t="n">
        <v>0</v>
      </c>
      <c r="H54" s="51" t="n">
        <v>0</v>
      </c>
      <c r="I54" s="51"/>
      <c r="J54" s="51"/>
      <c r="K54" s="51"/>
      <c r="L54" s="51"/>
      <c r="M54" s="51"/>
      <c r="N54" s="51"/>
      <c r="O54" s="51"/>
      <c r="P54" s="51"/>
      <c r="Q54" s="51"/>
      <c r="R54" s="51"/>
      <c r="S54" s="51"/>
      <c r="T54" s="51"/>
      <c r="U54" s="51"/>
      <c r="V54" s="51"/>
      <c r="W54" s="51"/>
      <c r="X54" s="51"/>
      <c r="Y54" s="51"/>
      <c r="Z54" s="51"/>
      <c r="AA54" s="51"/>
    </row>
    <row r="55" ht="22" customHeight="1">
      <c r="A55" s="49" t="str">
        <v>Repurchase of common stock</v>
      </c>
      <c r="B55" s="3"/>
      <c r="C55" s="51" t="n">
        <v>-81</v>
      </c>
      <c r="D55" s="51" t="n">
        <v>-101</v>
      </c>
      <c r="E55" s="51" t="n">
        <v>-217</v>
      </c>
      <c r="F55" s="51" t="n">
        <v>-272</v>
      </c>
      <c r="G55" s="51" t="n">
        <v>-275</v>
      </c>
      <c r="H55" s="51" t="n">
        <v>-40</v>
      </c>
      <c r="I55" s="51"/>
      <c r="J55" s="51"/>
      <c r="K55" s="51"/>
      <c r="L55" s="51"/>
      <c r="M55" s="51"/>
      <c r="N55" s="51"/>
      <c r="O55" s="51"/>
      <c r="P55" s="51"/>
      <c r="Q55" s="51"/>
      <c r="R55" s="51"/>
      <c r="S55" s="51"/>
      <c r="T55" s="51"/>
      <c r="U55" s="51"/>
      <c r="V55" s="51"/>
      <c r="W55" s="51"/>
      <c r="X55" s="51"/>
      <c r="Y55" s="51"/>
      <c r="Z55" s="51"/>
      <c r="AA55" s="51"/>
    </row>
    <row r="56" ht="22" customHeight="1">
      <c r="A56" s="49" t="str">
        <v>Restricted stock unit withholdings</v>
      </c>
      <c r="B56" s="3"/>
      <c r="C56" s="51" t="n">
        <v>-15</v>
      </c>
      <c r="D56" s="51" t="n">
        <v>-12</v>
      </c>
      <c r="E56" s="51" t="n">
        <v>-10</v>
      </c>
      <c r="F56" s="51" t="n">
        <v>-9</v>
      </c>
      <c r="G56" s="51" t="n">
        <v>-8</v>
      </c>
      <c r="H56" s="51" t="n">
        <v>-6</v>
      </c>
      <c r="I56" s="51" t="n">
        <v>-12</v>
      </c>
      <c r="J56" s="51" t="n">
        <v>-16</v>
      </c>
      <c r="K56" s="51" t="n">
        <v>-21</v>
      </c>
      <c r="L56" s="51" t="n">
        <v>-17</v>
      </c>
      <c r="M56" s="51"/>
      <c r="N56" s="51" t="n">
        <v>-2</v>
      </c>
      <c r="O56" s="51" t="n">
        <v>-5</v>
      </c>
      <c r="P56" s="51" t="n">
        <v>-5</v>
      </c>
      <c r="Q56" s="51"/>
      <c r="R56" s="51" t="n">
        <v>-3</v>
      </c>
      <c r="S56" s="51" t="n">
        <v>-7</v>
      </c>
      <c r="T56" s="51" t="n">
        <v>-5</v>
      </c>
      <c r="U56" s="51"/>
      <c r="V56" s="51" t="n">
        <v>-4</v>
      </c>
      <c r="W56" s="51" t="n">
        <v>-5</v>
      </c>
      <c r="X56" s="51" t="n">
        <v>-5</v>
      </c>
      <c r="Y56" s="51"/>
      <c r="Z56" s="51" t="n">
        <v>-5</v>
      </c>
      <c r="AA56" s="51" t="n">
        <v>-4</v>
      </c>
    </row>
    <row r="57" ht="36" customHeight="1">
      <c r="A57" s="49" t="str">
        <v>Adjustment to opening balance for change in accounting principle</v>
      </c>
      <c r="B57" s="3"/>
      <c r="C57" s="51"/>
      <c r="D57" s="51"/>
      <c r="E57" s="51" t="n">
        <v>0</v>
      </c>
      <c r="F57" s="51"/>
      <c r="G57" s="51"/>
      <c r="H57" s="51"/>
      <c r="I57" s="51"/>
      <c r="J57" s="51"/>
      <c r="K57" s="51"/>
      <c r="L57" s="51"/>
      <c r="M57" s="51"/>
      <c r="N57" s="51"/>
      <c r="O57" s="51"/>
      <c r="P57" s="51"/>
      <c r="Q57" s="51"/>
      <c r="R57" s="51"/>
      <c r="S57" s="51"/>
      <c r="T57" s="51"/>
      <c r="U57" s="51"/>
      <c r="V57" s="51"/>
      <c r="W57" s="51"/>
      <c r="X57" s="51"/>
      <c r="Y57" s="51"/>
      <c r="Z57" s="51"/>
      <c r="AA57" s="51"/>
    </row>
    <row r="58" ht="22" customHeight="1">
      <c r="A58" s="49" t="str">
        <v>Net proceeds from partner contributions</v>
      </c>
      <c r="B58" s="3"/>
      <c r="C58" s="51"/>
      <c r="D58" s="51"/>
      <c r="E58" s="51"/>
      <c r="F58" s="51"/>
      <c r="G58" s="51"/>
      <c r="H58" s="51"/>
      <c r="I58" s="51"/>
      <c r="J58" s="51"/>
      <c r="K58" s="51" t="n">
        <v>0</v>
      </c>
      <c r="L58" s="51"/>
      <c r="M58" s="51"/>
      <c r="N58" s="51" t="n">
        <v>0</v>
      </c>
      <c r="O58" s="51"/>
      <c r="P58" s="51"/>
      <c r="Q58" s="51"/>
      <c r="R58" s="51" t="n">
        <v>0</v>
      </c>
      <c r="S58" s="51" t="n">
        <v>0</v>
      </c>
      <c r="T58" s="51" t="n">
        <v>0</v>
      </c>
      <c r="U58" s="51"/>
      <c r="V58" s="51" t="n">
        <v>0</v>
      </c>
      <c r="W58" s="51" t="n">
        <v>0</v>
      </c>
      <c r="X58" s="51"/>
      <c r="Y58" s="51"/>
      <c r="Z58" s="51"/>
      <c r="AA58" s="51"/>
    </row>
    <row r="59" ht="22" customHeight="1">
      <c r="A59" s="49" t="str">
        <v>Employee equity incentive plans and other</v>
      </c>
      <c r="B59" s="3"/>
      <c r="C59" s="51"/>
      <c r="D59" s="51"/>
      <c r="E59" s="51"/>
      <c r="F59" s="51" t="n">
        <v>55</v>
      </c>
      <c r="G59" s="51" t="n">
        <v>55</v>
      </c>
      <c r="H59" s="51" t="n">
        <v>54</v>
      </c>
      <c r="I59" s="51" t="n">
        <v>79</v>
      </c>
      <c r="J59" s="51" t="n">
        <v>107</v>
      </c>
      <c r="K59" s="51" t="n">
        <v>123</v>
      </c>
      <c r="L59" s="51" t="n">
        <v>101</v>
      </c>
      <c r="M59" s="51"/>
      <c r="N59" s="51" t="n">
        <v>36</v>
      </c>
      <c r="O59" s="51" t="n">
        <v>22</v>
      </c>
      <c r="P59" s="51" t="n">
        <v>33</v>
      </c>
      <c r="Q59" s="51"/>
      <c r="R59" s="51" t="n">
        <v>32</v>
      </c>
      <c r="S59" s="51" t="n">
        <v>26</v>
      </c>
      <c r="T59" s="51" t="n">
        <v>38</v>
      </c>
      <c r="U59" s="51"/>
      <c r="V59" s="51" t="n">
        <v>36</v>
      </c>
      <c r="W59" s="51" t="n">
        <v>20</v>
      </c>
      <c r="X59" s="51" t="n">
        <v>32</v>
      </c>
      <c r="Y59" s="51"/>
      <c r="Z59" s="51"/>
      <c r="AA59" s="51"/>
    </row>
    <row r="60" ht="22" customHeight="1">
      <c r="A60" s="49" t="str">
        <v>Opening balance adjustment1</v>
      </c>
      <c r="B60" s="3"/>
      <c r="C60" s="51"/>
      <c r="D60" s="51"/>
      <c r="E60" s="51"/>
      <c r="F60" s="51"/>
      <c r="G60" s="51"/>
      <c r="H60" s="51"/>
      <c r="I60" s="51"/>
      <c r="J60" s="51"/>
      <c r="K60" s="51"/>
      <c r="L60" s="51" t="n">
        <v>0</v>
      </c>
      <c r="M60" s="51"/>
      <c r="N60" s="51"/>
      <c r="O60" s="51"/>
      <c r="P60" s="51"/>
      <c r="Q60" s="51"/>
      <c r="R60" s="51"/>
      <c r="S60" s="51"/>
      <c r="T60" s="51"/>
      <c r="U60" s="51"/>
      <c r="V60" s="51"/>
      <c r="W60" s="51"/>
      <c r="X60" s="51"/>
      <c r="Y60" s="51"/>
      <c r="Z60" s="51"/>
      <c r="AA60" s="51"/>
    </row>
    <row r="61" ht="22" customHeight="1">
      <c r="A61" s="49" t="str">
        <v>Net proceeds from stock issuances and warrants2</v>
      </c>
      <c r="B61" s="3"/>
      <c r="C61" s="51"/>
      <c r="D61" s="51"/>
      <c r="E61" s="51"/>
      <c r="F61" s="51"/>
      <c r="G61" s="51"/>
      <c r="H61" s="51"/>
      <c r="I61" s="51"/>
      <c r="J61" s="51"/>
      <c r="K61" s="51"/>
      <c r="L61" s="51" t="n">
        <v>580</v>
      </c>
      <c r="M61" s="51"/>
      <c r="N61" s="51"/>
      <c r="O61" s="51"/>
      <c r="P61" s="51"/>
      <c r="Q61" s="51"/>
      <c r="R61" s="51"/>
      <c r="S61" s="51"/>
      <c r="T61" s="51"/>
      <c r="U61" s="51"/>
      <c r="V61" s="51"/>
      <c r="W61" s="51"/>
      <c r="X61" s="51" t="n">
        <v>362</v>
      </c>
      <c r="Y61" s="51"/>
      <c r="Z61" s="51"/>
      <c r="AA61" s="51"/>
    </row>
    <row r="62" ht="36" customHeight="1">
      <c r="A62" s="49" t="str">
        <v>Net proceeds from sales of subsidiary shares and partner contributions</v>
      </c>
      <c r="B62" s="3"/>
      <c r="C62" s="51"/>
      <c r="D62" s="51"/>
      <c r="E62" s="51"/>
      <c r="F62" s="51"/>
      <c r="G62" s="51"/>
      <c r="H62" s="51"/>
      <c r="I62" s="51"/>
      <c r="J62" s="51"/>
      <c r="K62" s="51"/>
      <c r="L62" s="51" t="n">
        <v>0</v>
      </c>
      <c r="M62" s="51"/>
      <c r="N62" s="51"/>
      <c r="O62" s="51" t="n">
        <v>0</v>
      </c>
      <c r="P62" s="51" t="n">
        <v>0</v>
      </c>
      <c r="Q62" s="51"/>
      <c r="R62" s="51"/>
      <c r="S62" s="51"/>
      <c r="T62" s="51"/>
      <c r="U62" s="51"/>
      <c r="V62" s="51"/>
      <c r="W62" s="51"/>
      <c r="X62" s="51" t="n">
        <v>0</v>
      </c>
      <c r="Y62" s="51"/>
      <c r="Z62" s="51"/>
      <c r="AA62" s="51"/>
    </row>
    <row r="63" ht="8"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22" customHeight="1">
      <c r="A64" s="21" t="str">
        <v>Equity movements: Common stock and capital in excess of par - amount</v>
      </c>
      <c r="B64" s="21" t="str">
        <v>Equity movements: Common stock and capital in excess of par - amount</v>
      </c>
      <c r="C64" s="21" t="str">
        <v>Equity movements: Common stock and capital in excess of par - amount</v>
      </c>
      <c r="D64" s="21" t="str">
        <v>Equity movements: Common stock and capital in excess of par - amount</v>
      </c>
      <c r="E64" s="21" t="str">
        <v>Equity movements: Common stock and capital in excess of par - amount</v>
      </c>
      <c r="F64" s="21" t="str">
        <v>Equity movements: Common stock and capital in excess of par - amount</v>
      </c>
      <c r="G64" s="21" t="str">
        <v>Equity movements: Common stock and capital in excess of par - amount</v>
      </c>
      <c r="H64" s="21" t="str">
        <v>Equity movements: Common stock and capital in excess of par - amount</v>
      </c>
      <c r="I64" s="21" t="str">
        <v>Equity movements: Common stock and capital in excess of par - amount</v>
      </c>
      <c r="J64" s="21" t="str">
        <v>Equity movements: Common stock and capital in excess of par - amount</v>
      </c>
      <c r="K64" s="21" t="str">
        <v>Equity movements: Common stock and capital in excess of par - amount</v>
      </c>
      <c r="L64" s="21" t="str">
        <v>Equity movements: Common stock and capital in excess of par - amount</v>
      </c>
      <c r="M64" s="21" t="str">
        <v>Equity movements: Common stock and capital in excess of par - amount</v>
      </c>
      <c r="N64" s="21" t="str">
        <v>Equity movements: Common stock and capital in excess of par - amount</v>
      </c>
      <c r="O64" s="21" t="str">
        <v>Equity movements: Common stock and capital in excess of par - amount</v>
      </c>
      <c r="P64" s="21" t="str">
        <v>Equity movements: Common stock and capital in excess of par - amount</v>
      </c>
      <c r="Q64" s="21" t="str">
        <v>Equity movements: Common stock and capital in excess of par - amount</v>
      </c>
      <c r="R64" s="21" t="str">
        <v>Equity movements: Common stock and capital in excess of par - amount</v>
      </c>
      <c r="S64" s="21" t="str">
        <v>Equity movements: Common stock and capital in excess of par - amount</v>
      </c>
      <c r="T64" s="21" t="str">
        <v>Equity movements: Common stock and capital in excess of par - amount</v>
      </c>
      <c r="U64" s="21" t="str">
        <v>Equity movements: Common stock and capital in excess of par - amount</v>
      </c>
      <c r="V64" s="21" t="str">
        <v>Equity movements: Common stock and capital in excess of par - amount</v>
      </c>
      <c r="W64" s="21" t="str">
        <v>Equity movements: Common stock and capital in excess of par - amount</v>
      </c>
      <c r="X64" s="21" t="str">
        <v>Equity movements: Common stock and capital in excess of par - amount</v>
      </c>
      <c r="Y64" s="21" t="str">
        <v>Equity movements: Common stock and capital in excess of par - amount</v>
      </c>
      <c r="Z64" s="21" t="str">
        <v>Equity movements: Common stock and capital in excess of par - amount</v>
      </c>
      <c r="AA64" s="21" t="str">
        <v>Equity movements: Common stock and capital in excess of par - amount</v>
      </c>
    </row>
    <row r="65" ht="18" customHeight="1">
      <c r="A65" s="22" t="str">
        <v>Date-specific balance captions are consolidated into one period-end balance row; dividend captions are consolidated while source detail is retained.</v>
      </c>
      <c r="B65" s="22" t="str">
        <v>Date-specific balance captions are consolidated into one period-end balance row; dividend captions are consolidated while source detail is retained.</v>
      </c>
      <c r="C65" s="22" t="str">
        <v>Date-specific balance captions are consolidated into one period-end balance row; dividend captions are consolidated while source detail is retained.</v>
      </c>
      <c r="D65" s="22" t="str">
        <v>Date-specific balance captions are consolidated into one period-end balance row; dividend captions are consolidated while source detail is retained.</v>
      </c>
      <c r="E65" s="22" t="str">
        <v>Date-specific balance captions are consolidated into one period-end balance row; dividend captions are consolidated while source detail is retained.</v>
      </c>
      <c r="F65" s="22" t="str">
        <v>Date-specific balance captions are consolidated into one period-end balance row; dividend captions are consolidated while source detail is retained.</v>
      </c>
      <c r="G65" s="22" t="str">
        <v>Date-specific balance captions are consolidated into one period-end balance row; dividend captions are consolidated while source detail is retained.</v>
      </c>
      <c r="H65" s="22" t="str">
        <v>Date-specific balance captions are consolidated into one period-end balance row; dividend captions are consolidated while source detail is retained.</v>
      </c>
      <c r="I65" s="22" t="str">
        <v>Date-specific balance captions are consolidated into one period-end balance row; dividend captions are consolidated while source detail is retained.</v>
      </c>
      <c r="J65" s="22" t="str">
        <v>Date-specific balance captions are consolidated into one period-end balance row; dividend captions are consolidated while source detail is retained.</v>
      </c>
      <c r="K65" s="22" t="str">
        <v>Date-specific balance captions are consolidated into one period-end balance row; dividend captions are consolidated while source detail is retained.</v>
      </c>
      <c r="L65" s="22" t="str">
        <v>Date-specific balance captions are consolidated into one period-end balance row; dividend captions are consolidated while source detail is retained.</v>
      </c>
      <c r="M65" s="22" t="str">
        <v>Date-specific balance captions are consolidated into one period-end balance row; dividend captions are consolidated while source detail is retained.</v>
      </c>
      <c r="N65" s="22" t="str">
        <v>Date-specific balance captions are consolidated into one period-end balance row; dividend captions are consolidated while source detail is retained.</v>
      </c>
      <c r="O65" s="22" t="str">
        <v>Date-specific balance captions are consolidated into one period-end balance row; dividend captions are consolidated while source detail is retained.</v>
      </c>
      <c r="P65" s="22" t="str">
        <v>Date-specific balance captions are consolidated into one period-end balance row; dividend captions are consolidated while source detail is retained.</v>
      </c>
      <c r="Q65" s="22" t="str">
        <v>Date-specific balance captions are consolidated into one period-end balance row; dividend captions are consolidated while source detail is retained.</v>
      </c>
      <c r="R65" s="22" t="str">
        <v>Date-specific balance captions are consolidated into one period-end balance row; dividend captions are consolidated while source detail is retained.</v>
      </c>
      <c r="S65" s="22" t="str">
        <v>Date-specific balance captions are consolidated into one period-end balance row; dividend captions are consolidated while source detail is retained.</v>
      </c>
      <c r="T65" s="22" t="str">
        <v>Date-specific balance captions are consolidated into one period-end balance row; dividend captions are consolidated while source detail is retained.</v>
      </c>
      <c r="U65" s="22" t="str">
        <v>Date-specific balance captions are consolidated into one period-end balance row; dividend captions are consolidated while source detail is retained.</v>
      </c>
      <c r="V65" s="22" t="str">
        <v>Date-specific balance captions are consolidated into one period-end balance row; dividend captions are consolidated while source detail is retained.</v>
      </c>
      <c r="W65" s="22" t="str">
        <v>Date-specific balance captions are consolidated into one period-end balance row; dividend captions are consolidated while source detail is retained.</v>
      </c>
      <c r="X65" s="22" t="str">
        <v>Date-specific balance captions are consolidated into one period-end balance row; dividend captions are consolidated while source detail is retained.</v>
      </c>
      <c r="Y65" s="22" t="str">
        <v>Date-specific balance captions are consolidated into one period-end balance row; dividend captions are consolidated while source detail is retained.</v>
      </c>
      <c r="Z65" s="22" t="str">
        <v>Date-specific balance captions are consolidated into one period-end balance row; dividend captions are consolidated while source detail is retained.</v>
      </c>
      <c r="AA65" s="22" t="str">
        <v>Date-specific balance captions are consolidated into one period-end balance row; dividend captions are consolidated while source detail is retained.</v>
      </c>
    </row>
    <row r="66" ht="24" customHeight="1">
      <c r="A66" s="34" t="str">
        <v>Balance at period end</v>
      </c>
      <c r="B66" s="35"/>
      <c r="C66" s="36" t="n">
        <v>25373</v>
      </c>
      <c r="D66" s="36" t="n">
        <v>26074</v>
      </c>
      <c r="E66" s="36" t="n">
        <v>25365</v>
      </c>
      <c r="F66" s="36" t="n">
        <v>25261</v>
      </c>
      <c r="G66" s="36" t="n">
        <v>25556</v>
      </c>
      <c r="H66" s="36" t="n">
        <v>28006</v>
      </c>
      <c r="I66" s="36" t="n">
        <v>31580</v>
      </c>
      <c r="J66" s="36" t="n">
        <v>36649</v>
      </c>
      <c r="K66" s="36" t="n">
        <v>50949</v>
      </c>
      <c r="L66" s="36" t="n">
        <v>65185</v>
      </c>
      <c r="M66" s="36"/>
      <c r="N66" s="36" t="n">
        <v>32829</v>
      </c>
      <c r="O66" s="36" t="n">
        <v>34330</v>
      </c>
      <c r="P66" s="36" t="n">
        <v>35653</v>
      </c>
      <c r="Q66" s="36"/>
      <c r="R66" s="36" t="n">
        <v>38291</v>
      </c>
      <c r="S66" s="36" t="n">
        <v>49763</v>
      </c>
      <c r="T66" s="36" t="n">
        <v>50665</v>
      </c>
      <c r="U66" s="36"/>
      <c r="V66" s="36" t="n">
        <v>51920</v>
      </c>
      <c r="W66" s="36" t="n">
        <v>52334</v>
      </c>
      <c r="X66" s="36" t="n">
        <v>56755</v>
      </c>
      <c r="Y66" s="36"/>
      <c r="Z66" s="36" t="n">
        <v>66259</v>
      </c>
      <c r="AA66" s="36" t="n">
        <v>53780</v>
      </c>
    </row>
    <row r="67" ht="22" customHeight="1">
      <c r="A67" s="49" t="str">
        <v>Cash dividends declared</v>
      </c>
      <c r="B67" s="3"/>
      <c r="C67" s="51" t="n">
        <v>0</v>
      </c>
      <c r="D67" s="51" t="n">
        <v>0</v>
      </c>
      <c r="E67" s="51" t="n">
        <v>0</v>
      </c>
      <c r="F67" s="51" t="n">
        <v>0</v>
      </c>
      <c r="G67" s="51" t="n">
        <v>0</v>
      </c>
      <c r="H67" s="51" t="n">
        <v>0</v>
      </c>
      <c r="I67" s="51" t="n">
        <v>0</v>
      </c>
      <c r="J67" s="51" t="n">
        <v>0</v>
      </c>
      <c r="K67" s="51" t="n">
        <v>0</v>
      </c>
      <c r="L67" s="51"/>
      <c r="M67" s="51"/>
      <c r="N67" s="51" t="n">
        <v>0</v>
      </c>
      <c r="O67" s="51"/>
      <c r="P67" s="51" t="n">
        <v>0</v>
      </c>
      <c r="Q67" s="51"/>
      <c r="R67" s="51" t="n">
        <v>0</v>
      </c>
      <c r="S67" s="51" t="n">
        <v>0</v>
      </c>
      <c r="T67" s="51" t="n">
        <v>0</v>
      </c>
      <c r="U67" s="51"/>
      <c r="V67" s="51"/>
      <c r="W67" s="51"/>
      <c r="X67" s="51"/>
      <c r="Y67" s="51"/>
      <c r="Z67" s="51"/>
      <c r="AA67" s="51"/>
    </row>
    <row r="68" ht="22" customHeight="1">
      <c r="A68" s="49" t="str">
        <v>Net proceeds received from IPO and partner contributions</v>
      </c>
      <c r="B68" s="3"/>
      <c r="C68" s="51"/>
      <c r="D68" s="51"/>
      <c r="E68" s="51"/>
      <c r="F68" s="51"/>
      <c r="G68" s="51"/>
      <c r="H68" s="51"/>
      <c r="I68" s="51" t="n">
        <v>75</v>
      </c>
      <c r="J68" s="51"/>
      <c r="K68" s="51"/>
      <c r="L68" s="51"/>
      <c r="M68" s="51"/>
      <c r="N68" s="51"/>
      <c r="O68" s="51"/>
      <c r="P68" s="51"/>
      <c r="Q68" s="51"/>
      <c r="R68" s="51"/>
      <c r="S68" s="51"/>
      <c r="T68" s="51"/>
      <c r="U68" s="51"/>
      <c r="V68" s="51"/>
      <c r="W68" s="51"/>
      <c r="X68" s="51"/>
      <c r="Y68" s="51"/>
      <c r="Z68" s="51"/>
      <c r="AA68" s="51"/>
    </row>
    <row r="69" ht="36" customHeight="1">
      <c r="A69" s="49" t="str">
        <v>Proceeds from sales of subsidiary shares and partner contributions</v>
      </c>
      <c r="B69" s="3"/>
      <c r="C69" s="51"/>
      <c r="D69" s="51"/>
      <c r="E69" s="51"/>
      <c r="F69" s="51"/>
      <c r="G69" s="51"/>
      <c r="H69" s="51"/>
      <c r="I69" s="51"/>
      <c r="J69" s="51" t="n">
        <v>1620</v>
      </c>
      <c r="K69" s="51"/>
      <c r="L69" s="51"/>
      <c r="M69" s="51"/>
      <c r="N69" s="51"/>
      <c r="O69" s="51"/>
      <c r="P69" s="51"/>
      <c r="Q69" s="51"/>
      <c r="R69" s="51"/>
      <c r="S69" s="51"/>
      <c r="T69" s="51"/>
      <c r="U69" s="51"/>
      <c r="V69" s="51"/>
      <c r="W69" s="51"/>
      <c r="X69" s="51"/>
      <c r="Y69" s="51"/>
      <c r="Z69" s="51"/>
      <c r="AA69" s="51"/>
    </row>
    <row r="70" ht="22" customHeight="1">
      <c r="A70" s="49" t="str">
        <v>Net income (loss)</v>
      </c>
      <c r="B70" s="3"/>
      <c r="C70" s="51" t="n">
        <v>0</v>
      </c>
      <c r="D70" s="51" t="n">
        <v>0</v>
      </c>
      <c r="E70" s="51" t="n">
        <v>0</v>
      </c>
      <c r="F70" s="51" t="n">
        <v>0</v>
      </c>
      <c r="G70" s="51" t="n">
        <v>0</v>
      </c>
      <c r="H70" s="51" t="n">
        <v>0</v>
      </c>
      <c r="I70" s="51" t="n">
        <v>0</v>
      </c>
      <c r="J70" s="51" t="n">
        <v>0</v>
      </c>
      <c r="K70" s="51" t="n">
        <v>0</v>
      </c>
      <c r="L70" s="51" t="n">
        <v>0</v>
      </c>
      <c r="M70" s="51"/>
      <c r="N70" s="51" t="n">
        <v>0</v>
      </c>
      <c r="O70" s="51" t="n">
        <v>0</v>
      </c>
      <c r="P70" s="51" t="n">
        <v>0</v>
      </c>
      <c r="Q70" s="51"/>
      <c r="R70" s="51" t="n">
        <v>0</v>
      </c>
      <c r="S70" s="51" t="n">
        <v>0</v>
      </c>
      <c r="T70" s="51" t="n">
        <v>0</v>
      </c>
      <c r="U70" s="51"/>
      <c r="V70" s="51" t="n">
        <v>0</v>
      </c>
      <c r="W70" s="51" t="n">
        <v>0</v>
      </c>
      <c r="X70" s="51" t="n">
        <v>0</v>
      </c>
      <c r="Y70" s="51"/>
      <c r="Z70" s="51" t="n">
        <v>0</v>
      </c>
      <c r="AA70" s="51" t="n">
        <v>0</v>
      </c>
    </row>
    <row r="71" ht="36" customHeight="1">
      <c r="A71" s="49" t="str">
        <v>Proceeds from sales of common stock through employee equity incentive plans, net excess tax benefit, and other</v>
      </c>
      <c r="B71" s="3"/>
      <c r="C71" s="51" t="n">
        <v>1307</v>
      </c>
      <c r="D71" s="51" t="n">
        <v>1172</v>
      </c>
      <c r="E71" s="51" t="n">
        <v>424</v>
      </c>
      <c r="F71" s="51"/>
      <c r="G71" s="51"/>
      <c r="H71" s="51"/>
      <c r="I71" s="51"/>
      <c r="J71" s="51"/>
      <c r="K71" s="51"/>
      <c r="L71" s="51"/>
      <c r="M71" s="51"/>
      <c r="N71" s="51"/>
      <c r="O71" s="51"/>
      <c r="P71" s="51"/>
      <c r="Q71" s="51"/>
      <c r="R71" s="51"/>
      <c r="S71" s="51"/>
      <c r="T71" s="51"/>
      <c r="U71" s="51"/>
      <c r="V71" s="51"/>
      <c r="W71" s="51"/>
      <c r="X71" s="51"/>
      <c r="Y71" s="51"/>
      <c r="Z71" s="51"/>
      <c r="AA71" s="51"/>
    </row>
    <row r="72" ht="22" customHeight="1">
      <c r="A72" s="49" t="str">
        <v>Other comprehensive income (loss)</v>
      </c>
      <c r="B72" s="3"/>
      <c r="C72" s="51" t="n">
        <v>0</v>
      </c>
      <c r="D72" s="51" t="n">
        <v>0</v>
      </c>
      <c r="E72" s="51" t="n">
        <v>0</v>
      </c>
      <c r="F72" s="51" t="n">
        <v>0</v>
      </c>
      <c r="G72" s="51" t="n">
        <v>0</v>
      </c>
      <c r="H72" s="51" t="n">
        <v>0</v>
      </c>
      <c r="I72" s="51" t="n">
        <v>0</v>
      </c>
      <c r="J72" s="51" t="n">
        <v>0</v>
      </c>
      <c r="K72" s="51" t="n">
        <v>0</v>
      </c>
      <c r="L72" s="51" t="n">
        <v>0</v>
      </c>
      <c r="M72" s="51"/>
      <c r="N72" s="51" t="n">
        <v>0</v>
      </c>
      <c r="O72" s="51" t="n">
        <v>0</v>
      </c>
      <c r="P72" s="51" t="n">
        <v>0</v>
      </c>
      <c r="Q72" s="51"/>
      <c r="R72" s="51" t="n">
        <v>0</v>
      </c>
      <c r="S72" s="51" t="n">
        <v>0</v>
      </c>
      <c r="T72" s="51" t="n">
        <v>0</v>
      </c>
      <c r="U72" s="51"/>
      <c r="V72" s="51" t="n">
        <v>0</v>
      </c>
      <c r="W72" s="51" t="n">
        <v>0</v>
      </c>
      <c r="X72" s="51" t="n">
        <v>0</v>
      </c>
      <c r="Y72" s="51"/>
      <c r="Z72" s="51" t="n">
        <v>0</v>
      </c>
      <c r="AA72" s="51" t="n">
        <v>0</v>
      </c>
    </row>
    <row r="73" ht="22" customHeight="1">
      <c r="A73" s="49" t="str">
        <v>Net proceeds attributed to Escrowed Shares issued</v>
      </c>
      <c r="B73" s="3"/>
      <c r="C73" s="51"/>
      <c r="D73" s="51"/>
      <c r="E73" s="51"/>
      <c r="F73" s="51"/>
      <c r="G73" s="51"/>
      <c r="H73" s="51"/>
      <c r="I73" s="51"/>
      <c r="J73" s="51"/>
      <c r="K73" s="51"/>
      <c r="L73" s="51"/>
      <c r="M73" s="51"/>
      <c r="N73" s="51"/>
      <c r="O73" s="51"/>
      <c r="P73" s="51"/>
      <c r="Q73" s="51"/>
      <c r="R73" s="51"/>
      <c r="S73" s="51"/>
      <c r="T73" s="51"/>
      <c r="U73" s="51"/>
      <c r="V73" s="51"/>
      <c r="W73" s="51"/>
      <c r="X73" s="51"/>
      <c r="Y73" s="51"/>
      <c r="Z73" s="51" t="n">
        <v>261</v>
      </c>
      <c r="AA73" s="51" t="n">
        <v>688</v>
      </c>
    </row>
    <row r="74" ht="22" customHeight="1">
      <c r="A74" s="49" t="str">
        <v>Partner contributions and issuance of subsidiary shares</v>
      </c>
      <c r="B74" s="3"/>
      <c r="C74" s="51"/>
      <c r="D74" s="51"/>
      <c r="E74" s="51"/>
      <c r="F74" s="51"/>
      <c r="G74" s="51"/>
      <c r="H74" s="51"/>
      <c r="I74" s="51"/>
      <c r="J74" s="51"/>
      <c r="K74" s="51"/>
      <c r="L74" s="51"/>
      <c r="M74" s="51"/>
      <c r="N74" s="51"/>
      <c r="O74" s="51"/>
      <c r="P74" s="51"/>
      <c r="Q74" s="51"/>
      <c r="R74" s="51"/>
      <c r="S74" s="51"/>
      <c r="T74" s="51"/>
      <c r="U74" s="51"/>
      <c r="V74" s="51"/>
      <c r="W74" s="51"/>
      <c r="X74" s="51"/>
      <c r="Y74" s="51"/>
      <c r="Z74" s="51" t="n">
        <v>0</v>
      </c>
      <c r="AA74" s="51"/>
    </row>
    <row r="75" ht="22" customHeight="1">
      <c r="A75" s="49" t="str">
        <v>Partner distributions</v>
      </c>
      <c r="B75" s="3"/>
      <c r="C75" s="51"/>
      <c r="D75" s="51"/>
      <c r="E75" s="51"/>
      <c r="F75" s="51"/>
      <c r="G75" s="51"/>
      <c r="H75" s="51"/>
      <c r="I75" s="51"/>
      <c r="J75" s="51"/>
      <c r="K75" s="51" t="n">
        <v>0</v>
      </c>
      <c r="L75" s="51" t="n">
        <v>0</v>
      </c>
      <c r="M75" s="51"/>
      <c r="N75" s="51"/>
      <c r="O75" s="51"/>
      <c r="P75" s="51"/>
      <c r="Q75" s="51"/>
      <c r="R75" s="51"/>
      <c r="S75" s="51"/>
      <c r="T75" s="51"/>
      <c r="U75" s="51"/>
      <c r="V75" s="51" t="n">
        <v>0</v>
      </c>
      <c r="W75" s="51" t="n">
        <v>0</v>
      </c>
      <c r="X75" s="51" t="n">
        <v>0</v>
      </c>
      <c r="Y75" s="51"/>
      <c r="Z75" s="51" t="n">
        <v>0</v>
      </c>
      <c r="AA75" s="51"/>
    </row>
    <row r="76" ht="22" customHeight="1">
      <c r="A76" s="49" t="str">
        <v>Partner contributions</v>
      </c>
      <c r="B76" s="3"/>
      <c r="C76" s="51"/>
      <c r="D76" s="51"/>
      <c r="E76" s="51"/>
      <c r="F76" s="51"/>
      <c r="G76" s="51"/>
      <c r="H76" s="51"/>
      <c r="I76" s="51"/>
      <c r="J76" s="51"/>
      <c r="K76" s="51"/>
      <c r="L76" s="51"/>
      <c r="M76" s="51"/>
      <c r="N76" s="51"/>
      <c r="O76" s="51"/>
      <c r="P76" s="51"/>
      <c r="Q76" s="51"/>
      <c r="R76" s="51"/>
      <c r="S76" s="51"/>
      <c r="T76" s="51"/>
      <c r="U76" s="51"/>
      <c r="V76" s="51"/>
      <c r="W76" s="51"/>
      <c r="X76" s="51"/>
      <c r="Y76" s="51"/>
      <c r="Z76" s="51"/>
      <c r="AA76" s="51" t="n">
        <v>0</v>
      </c>
    </row>
    <row r="77" ht="36" customHeight="1">
      <c r="A77" s="49" t="str">
        <v>Partner distributions declared and repurchase of subsidiary shares</v>
      </c>
      <c r="B77" s="3"/>
      <c r="C77" s="51"/>
      <c r="D77" s="51"/>
      <c r="E77" s="51"/>
      <c r="F77" s="51"/>
      <c r="G77" s="51"/>
      <c r="H77" s="51"/>
      <c r="I77" s="51"/>
      <c r="J77" s="51"/>
      <c r="K77" s="51"/>
      <c r="L77" s="51"/>
      <c r="M77" s="51"/>
      <c r="N77" s="51"/>
      <c r="O77" s="51"/>
      <c r="P77" s="51"/>
      <c r="Q77" s="51"/>
      <c r="R77" s="51"/>
      <c r="S77" s="51"/>
      <c r="T77" s="51"/>
      <c r="U77" s="51"/>
      <c r="V77" s="51"/>
      <c r="W77" s="51"/>
      <c r="X77" s="51"/>
      <c r="Y77" s="51"/>
      <c r="Z77" s="51"/>
      <c r="AA77" s="51" t="n">
        <v>-13545</v>
      </c>
    </row>
    <row r="78" ht="22" customHeight="1">
      <c r="A78" s="49" t="str">
        <v>Employee equity incentive plans</v>
      </c>
      <c r="B78" s="3"/>
      <c r="C78" s="51"/>
      <c r="D78" s="51"/>
      <c r="E78" s="51"/>
      <c r="F78" s="51"/>
      <c r="G78" s="51"/>
      <c r="H78" s="51"/>
      <c r="I78" s="51"/>
      <c r="J78" s="51"/>
      <c r="K78" s="51"/>
      <c r="L78" s="51"/>
      <c r="M78" s="51"/>
      <c r="N78" s="51"/>
      <c r="O78" s="51"/>
      <c r="P78" s="51"/>
      <c r="Q78" s="51"/>
      <c r="R78" s="51"/>
      <c r="S78" s="51"/>
      <c r="T78" s="51"/>
      <c r="U78" s="51"/>
      <c r="V78" s="51"/>
      <c r="W78" s="51"/>
      <c r="X78" s="51"/>
      <c r="Y78" s="51"/>
      <c r="Z78" s="51" t="n">
        <v>427</v>
      </c>
      <c r="AA78" s="51" t="n">
        <v>0</v>
      </c>
    </row>
    <row r="79" ht="22" customHeight="1">
      <c r="A79" s="49" t="str">
        <v>Share-based compensation</v>
      </c>
      <c r="B79" s="3"/>
      <c r="C79" s="51" t="n">
        <v>1438</v>
      </c>
      <c r="D79" s="51" t="n">
        <v>1296</v>
      </c>
      <c r="E79" s="51" t="n">
        <v>1548</v>
      </c>
      <c r="F79" s="51" t="n">
        <v>1705</v>
      </c>
      <c r="G79" s="51" t="n">
        <v>1854</v>
      </c>
      <c r="H79" s="51" t="n">
        <v>2036</v>
      </c>
      <c r="I79" s="51" t="n">
        <v>3099</v>
      </c>
      <c r="J79" s="51" t="n">
        <v>3088</v>
      </c>
      <c r="K79" s="51" t="n">
        <v>3162</v>
      </c>
      <c r="L79" s="51" t="n">
        <v>2163</v>
      </c>
      <c r="M79" s="51"/>
      <c r="N79" s="51" t="n">
        <v>697</v>
      </c>
      <c r="O79" s="51" t="n">
        <v>896</v>
      </c>
      <c r="P79" s="51" t="n">
        <v>737</v>
      </c>
      <c r="Q79" s="51"/>
      <c r="R79" s="51" t="n">
        <v>1138</v>
      </c>
      <c r="S79" s="51" t="n">
        <v>740</v>
      </c>
      <c r="T79" s="51" t="n">
        <v>740</v>
      </c>
      <c r="U79" s="51"/>
      <c r="V79" s="51" t="n">
        <v>622</v>
      </c>
      <c r="W79" s="51" t="n">
        <v>597</v>
      </c>
      <c r="X79" s="51" t="n">
        <v>477</v>
      </c>
      <c r="Y79" s="51"/>
      <c r="Z79" s="51" t="n">
        <v>531</v>
      </c>
      <c r="AA79" s="51" t="n">
        <v>470</v>
      </c>
    </row>
    <row r="80" ht="22" customHeight="1">
      <c r="A80" s="49" t="str">
        <v>Temporary equity reclassification</v>
      </c>
      <c r="B80" s="3"/>
      <c r="C80" s="51" t="n">
        <v>15</v>
      </c>
      <c r="D80" s="51"/>
      <c r="E80" s="51"/>
      <c r="F80" s="51"/>
      <c r="G80" s="51"/>
      <c r="H80" s="51"/>
      <c r="I80" s="51"/>
      <c r="J80" s="51"/>
      <c r="K80" s="51"/>
      <c r="L80" s="51"/>
      <c r="M80" s="51"/>
      <c r="N80" s="51"/>
      <c r="O80" s="51"/>
      <c r="P80" s="51"/>
      <c r="Q80" s="51"/>
      <c r="R80" s="51"/>
      <c r="S80" s="51"/>
      <c r="T80" s="51"/>
      <c r="U80" s="51"/>
      <c r="V80" s="51"/>
      <c r="W80" s="51"/>
      <c r="X80" s="51"/>
      <c r="Y80" s="51"/>
      <c r="Z80" s="51"/>
      <c r="AA80" s="51"/>
    </row>
    <row r="81" ht="22" customHeight="1">
      <c r="A81" s="49" t="str">
        <v>Temporary equity reduction</v>
      </c>
      <c r="B81" s="3"/>
      <c r="C81" s="51"/>
      <c r="D81" s="51"/>
      <c r="E81" s="51" t="n">
        <v>447</v>
      </c>
      <c r="F81" s="51" t="n">
        <v>265</v>
      </c>
      <c r="G81" s="51" t="n">
        <v>155</v>
      </c>
      <c r="H81" s="51" t="n">
        <v>0</v>
      </c>
      <c r="I81" s="51"/>
      <c r="J81" s="51"/>
      <c r="K81" s="51"/>
      <c r="L81" s="51"/>
      <c r="M81" s="51"/>
      <c r="N81" s="51"/>
      <c r="O81" s="51"/>
      <c r="P81" s="51"/>
      <c r="Q81" s="51"/>
      <c r="R81" s="51"/>
      <c r="S81" s="51"/>
      <c r="T81" s="51"/>
      <c r="U81" s="51"/>
      <c r="V81" s="51"/>
      <c r="W81" s="51"/>
      <c r="X81" s="51"/>
      <c r="Y81" s="51"/>
      <c r="Z81" s="51"/>
      <c r="AA81" s="51"/>
    </row>
    <row r="82" ht="22" customHeight="1">
      <c r="A82" s="49" t="str">
        <v>Convertible debt</v>
      </c>
      <c r="B82" s="3"/>
      <c r="C82" s="51"/>
      <c r="D82" s="51" t="n">
        <v>-894</v>
      </c>
      <c r="E82" s="51" t="n">
        <v>-1591</v>
      </c>
      <c r="F82" s="51" t="n">
        <v>-1032</v>
      </c>
      <c r="G82" s="51" t="n">
        <v>-750</v>
      </c>
      <c r="H82" s="51" t="n">
        <v>0</v>
      </c>
      <c r="I82" s="51"/>
      <c r="J82" s="51"/>
      <c r="K82" s="51"/>
      <c r="L82" s="51"/>
      <c r="M82" s="51"/>
      <c r="N82" s="51"/>
      <c r="O82" s="51"/>
      <c r="P82" s="51"/>
      <c r="Q82" s="51"/>
      <c r="R82" s="51"/>
      <c r="S82" s="51"/>
      <c r="T82" s="51"/>
      <c r="U82" s="51"/>
      <c r="V82" s="51"/>
      <c r="W82" s="51"/>
      <c r="X82" s="51"/>
      <c r="Y82" s="51"/>
      <c r="Z82" s="51"/>
      <c r="AA82" s="51"/>
    </row>
    <row r="83" ht="22" customHeight="1">
      <c r="A83" s="49" t="str">
        <v>Repurchase of common stock</v>
      </c>
      <c r="B83" s="3"/>
      <c r="C83" s="51" t="n">
        <v>-412</v>
      </c>
      <c r="D83" s="51" t="n">
        <v>-552</v>
      </c>
      <c r="E83" s="51" t="n">
        <v>-1208</v>
      </c>
      <c r="F83" s="51" t="n">
        <v>-1592</v>
      </c>
      <c r="G83" s="51" t="n">
        <v>-1628</v>
      </c>
      <c r="H83" s="51" t="n">
        <v>-249</v>
      </c>
      <c r="I83" s="51"/>
      <c r="J83" s="51"/>
      <c r="K83" s="51"/>
      <c r="L83" s="51"/>
      <c r="M83" s="51"/>
      <c r="N83" s="51"/>
      <c r="O83" s="51"/>
      <c r="P83" s="51"/>
      <c r="Q83" s="51"/>
      <c r="R83" s="51"/>
      <c r="S83" s="51"/>
      <c r="T83" s="51"/>
      <c r="U83" s="51"/>
      <c r="V83" s="51"/>
      <c r="W83" s="51"/>
      <c r="X83" s="51"/>
      <c r="Y83" s="51"/>
      <c r="Z83" s="51"/>
      <c r="AA83" s="51"/>
    </row>
    <row r="84" ht="22" customHeight="1">
      <c r="A84" s="49" t="str">
        <v>Restricted stock unit withholdings</v>
      </c>
      <c r="B84" s="3"/>
      <c r="C84" s="51" t="n">
        <v>-386</v>
      </c>
      <c r="D84" s="51" t="n">
        <v>-321</v>
      </c>
      <c r="E84" s="51" t="n">
        <v>-329</v>
      </c>
      <c r="F84" s="51" t="n">
        <v>-342</v>
      </c>
      <c r="G84" s="51" t="n">
        <v>-354</v>
      </c>
      <c r="H84" s="51" t="n">
        <v>-359</v>
      </c>
      <c r="I84" s="51" t="n">
        <v>-609</v>
      </c>
      <c r="J84" s="51" t="n">
        <v>-683</v>
      </c>
      <c r="K84" s="51" t="n">
        <v>-862</v>
      </c>
      <c r="L84" s="51" t="n">
        <v>-592</v>
      </c>
      <c r="M84" s="51"/>
      <c r="N84" s="51" t="n">
        <v>-107</v>
      </c>
      <c r="O84" s="51" t="n">
        <v>-267</v>
      </c>
      <c r="P84" s="51" t="n">
        <v>-174</v>
      </c>
      <c r="Q84" s="51"/>
      <c r="R84" s="51" t="n">
        <v>-122</v>
      </c>
      <c r="S84" s="51" t="n">
        <v>-285</v>
      </c>
      <c r="T84" s="51" t="n">
        <v>-193</v>
      </c>
      <c r="U84" s="51"/>
      <c r="V84" s="51" t="n">
        <v>-140</v>
      </c>
      <c r="W84" s="51" t="n">
        <v>-183</v>
      </c>
      <c r="X84" s="51" t="n">
        <v>-160</v>
      </c>
      <c r="Y84" s="51"/>
      <c r="Z84" s="51" t="n">
        <v>-145</v>
      </c>
      <c r="AA84" s="51" t="n">
        <v>-92</v>
      </c>
    </row>
    <row r="85" ht="36" customHeight="1">
      <c r="A85" s="49" t="str">
        <v>Adjustment to opening balance for change in accounting principle</v>
      </c>
      <c r="B85" s="3"/>
      <c r="C85" s="51"/>
      <c r="D85" s="51"/>
      <c r="E85" s="51" t="n">
        <v>0</v>
      </c>
      <c r="F85" s="51"/>
      <c r="G85" s="51"/>
      <c r="H85" s="51"/>
      <c r="I85" s="51"/>
      <c r="J85" s="51"/>
      <c r="K85" s="51"/>
      <c r="L85" s="51"/>
      <c r="M85" s="51"/>
      <c r="N85" s="51"/>
      <c r="O85" s="51"/>
      <c r="P85" s="51"/>
      <c r="Q85" s="51"/>
      <c r="R85" s="51"/>
      <c r="S85" s="51"/>
      <c r="T85" s="51"/>
      <c r="U85" s="51"/>
      <c r="V85" s="51"/>
      <c r="W85" s="51"/>
      <c r="X85" s="51"/>
      <c r="Y85" s="51"/>
      <c r="Z85" s="51"/>
      <c r="AA85" s="51"/>
    </row>
    <row r="86" ht="22" customHeight="1">
      <c r="A86" s="49" t="str">
        <v>Net proceeds from partner contributions</v>
      </c>
      <c r="B86" s="3"/>
      <c r="C86" s="51"/>
      <c r="D86" s="51"/>
      <c r="E86" s="51"/>
      <c r="F86" s="51"/>
      <c r="G86" s="51"/>
      <c r="H86" s="51"/>
      <c r="I86" s="51"/>
      <c r="J86" s="51"/>
      <c r="K86" s="51" t="n">
        <v>11012</v>
      </c>
      <c r="L86" s="51"/>
      <c r="M86" s="51"/>
      <c r="N86" s="51" t="n">
        <v>0</v>
      </c>
      <c r="O86" s="51"/>
      <c r="P86" s="51"/>
      <c r="Q86" s="51"/>
      <c r="R86" s="51" t="n">
        <v>0</v>
      </c>
      <c r="S86" s="51" t="n">
        <v>11012</v>
      </c>
      <c r="T86" s="51" t="n">
        <v>0</v>
      </c>
      <c r="U86" s="51"/>
      <c r="V86" s="51" t="n">
        <v>-2</v>
      </c>
      <c r="W86" s="51" t="n">
        <v>0</v>
      </c>
      <c r="X86" s="51"/>
      <c r="Y86" s="51"/>
      <c r="Z86" s="51"/>
      <c r="AA86" s="51"/>
    </row>
    <row r="87" ht="22" customHeight="1">
      <c r="A87" s="49" t="str">
        <v>Employee equity incentive plans and other</v>
      </c>
      <c r="B87" s="3"/>
      <c r="C87" s="51"/>
      <c r="D87" s="51"/>
      <c r="E87" s="51"/>
      <c r="F87" s="51" t="n">
        <v>892</v>
      </c>
      <c r="G87" s="51" t="n">
        <v>1018</v>
      </c>
      <c r="H87" s="51" t="n">
        <v>1022</v>
      </c>
      <c r="I87" s="51" t="n">
        <v>1009</v>
      </c>
      <c r="J87" s="51" t="n">
        <v>1044</v>
      </c>
      <c r="K87" s="51" t="n">
        <v>988</v>
      </c>
      <c r="L87" s="51" t="n">
        <v>771</v>
      </c>
      <c r="M87" s="51"/>
      <c r="N87" s="51" t="n">
        <v>659</v>
      </c>
      <c r="O87" s="51" t="n">
        <v>6</v>
      </c>
      <c r="P87" s="51" t="n">
        <v>372</v>
      </c>
      <c r="Q87" s="51"/>
      <c r="R87" s="51" t="n">
        <v>626</v>
      </c>
      <c r="S87" s="51" t="n">
        <v>5</v>
      </c>
      <c r="T87" s="51" t="n">
        <v>355</v>
      </c>
      <c r="U87" s="51"/>
      <c r="V87" s="51" t="n">
        <v>491</v>
      </c>
      <c r="W87" s="51" t="n">
        <v>0</v>
      </c>
      <c r="X87" s="51" t="n">
        <v>286</v>
      </c>
      <c r="Y87" s="51"/>
      <c r="Z87" s="51"/>
      <c r="AA87" s="51"/>
    </row>
    <row r="88" ht="22" customHeight="1">
      <c r="A88" s="49" t="str">
        <v>Opening balance adjustment1</v>
      </c>
      <c r="B88" s="3"/>
      <c r="C88" s="51"/>
      <c r="D88" s="51"/>
      <c r="E88" s="51"/>
      <c r="F88" s="51"/>
      <c r="G88" s="51"/>
      <c r="H88" s="51"/>
      <c r="I88" s="51"/>
      <c r="J88" s="51"/>
      <c r="K88" s="51"/>
      <c r="L88" s="51" t="n">
        <v>0</v>
      </c>
      <c r="M88" s="51"/>
      <c r="N88" s="51"/>
      <c r="O88" s="51"/>
      <c r="P88" s="51"/>
      <c r="Q88" s="51"/>
      <c r="R88" s="51"/>
      <c r="S88" s="51"/>
      <c r="T88" s="51"/>
      <c r="U88" s="51"/>
      <c r="V88" s="51"/>
      <c r="W88" s="51"/>
      <c r="X88" s="51"/>
      <c r="Y88" s="51"/>
      <c r="Z88" s="51"/>
      <c r="AA88" s="51"/>
    </row>
    <row r="89" ht="22" customHeight="1">
      <c r="A89" s="49" t="str">
        <v>Net proceeds from stock issuances and warrants2</v>
      </c>
      <c r="B89" s="3"/>
      <c r="C89" s="51"/>
      <c r="D89" s="51"/>
      <c r="E89" s="51"/>
      <c r="F89" s="51"/>
      <c r="G89" s="51"/>
      <c r="H89" s="51"/>
      <c r="I89" s="51"/>
      <c r="J89" s="51"/>
      <c r="K89" s="51"/>
      <c r="L89" s="51" t="n">
        <v>11835</v>
      </c>
      <c r="M89" s="51"/>
      <c r="N89" s="51"/>
      <c r="O89" s="51"/>
      <c r="P89" s="51"/>
      <c r="Q89" s="51"/>
      <c r="R89" s="51"/>
      <c r="S89" s="51"/>
      <c r="T89" s="51"/>
      <c r="U89" s="51"/>
      <c r="V89" s="51"/>
      <c r="W89" s="51"/>
      <c r="X89" s="51" t="n">
        <v>3758</v>
      </c>
      <c r="Y89" s="51"/>
      <c r="Z89" s="51"/>
      <c r="AA89" s="51"/>
    </row>
    <row r="90" ht="36" customHeight="1">
      <c r="A90" s="49" t="str">
        <v>Net proceeds from sales of subsidiary shares and partner contributions</v>
      </c>
      <c r="B90" s="3"/>
      <c r="C90" s="51"/>
      <c r="D90" s="51"/>
      <c r="E90" s="51"/>
      <c r="F90" s="51"/>
      <c r="G90" s="51"/>
      <c r="H90" s="51"/>
      <c r="I90" s="51"/>
      <c r="J90" s="51"/>
      <c r="K90" s="51"/>
      <c r="L90" s="51" t="n">
        <v>59</v>
      </c>
      <c r="M90" s="51"/>
      <c r="N90" s="51"/>
      <c r="O90" s="51" t="n">
        <v>866</v>
      </c>
      <c r="P90" s="51" t="n">
        <v>388</v>
      </c>
      <c r="Q90" s="51"/>
      <c r="R90" s="51"/>
      <c r="S90" s="51"/>
      <c r="T90" s="51"/>
      <c r="U90" s="51"/>
      <c r="V90" s="51"/>
      <c r="W90" s="51"/>
      <c r="X90" s="51" t="n">
        <v>60</v>
      </c>
      <c r="Y90" s="51"/>
      <c r="Z90" s="51"/>
      <c r="AA90" s="51"/>
    </row>
    <row r="91" ht="8"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22" customHeight="1">
      <c r="A92" s="21" t="str">
        <v>Equity movements: Accumulated other comprehensive income (loss)</v>
      </c>
      <c r="B92" s="21" t="str">
        <v>Equity movements: Accumulated other comprehensive income (loss)</v>
      </c>
      <c r="C92" s="21" t="str">
        <v>Equity movements: Accumulated other comprehensive income (loss)</v>
      </c>
      <c r="D92" s="21" t="str">
        <v>Equity movements: Accumulated other comprehensive income (loss)</v>
      </c>
      <c r="E92" s="21" t="str">
        <v>Equity movements: Accumulated other comprehensive income (loss)</v>
      </c>
      <c r="F92" s="21" t="str">
        <v>Equity movements: Accumulated other comprehensive income (loss)</v>
      </c>
      <c r="G92" s="21" t="str">
        <v>Equity movements: Accumulated other comprehensive income (loss)</v>
      </c>
      <c r="H92" s="21" t="str">
        <v>Equity movements: Accumulated other comprehensive income (loss)</v>
      </c>
      <c r="I92" s="21" t="str">
        <v>Equity movements: Accumulated other comprehensive income (loss)</v>
      </c>
      <c r="J92" s="21" t="str">
        <v>Equity movements: Accumulated other comprehensive income (loss)</v>
      </c>
      <c r="K92" s="21" t="str">
        <v>Equity movements: Accumulated other comprehensive income (loss)</v>
      </c>
      <c r="L92" s="21" t="str">
        <v>Equity movements: Accumulated other comprehensive income (loss)</v>
      </c>
      <c r="M92" s="21" t="str">
        <v>Equity movements: Accumulated other comprehensive income (loss)</v>
      </c>
      <c r="N92" s="21" t="str">
        <v>Equity movements: Accumulated other comprehensive income (loss)</v>
      </c>
      <c r="O92" s="21" t="str">
        <v>Equity movements: Accumulated other comprehensive income (loss)</v>
      </c>
      <c r="P92" s="21" t="str">
        <v>Equity movements: Accumulated other comprehensive income (loss)</v>
      </c>
      <c r="Q92" s="21" t="str">
        <v>Equity movements: Accumulated other comprehensive income (loss)</v>
      </c>
      <c r="R92" s="21" t="str">
        <v>Equity movements: Accumulated other comprehensive income (loss)</v>
      </c>
      <c r="S92" s="21" t="str">
        <v>Equity movements: Accumulated other comprehensive income (loss)</v>
      </c>
      <c r="T92" s="21" t="str">
        <v>Equity movements: Accumulated other comprehensive income (loss)</v>
      </c>
      <c r="U92" s="21" t="str">
        <v>Equity movements: Accumulated other comprehensive income (loss)</v>
      </c>
      <c r="V92" s="21" t="str">
        <v>Equity movements: Accumulated other comprehensive income (loss)</v>
      </c>
      <c r="W92" s="21" t="str">
        <v>Equity movements: Accumulated other comprehensive income (loss)</v>
      </c>
      <c r="X92" s="21" t="str">
        <v>Equity movements: Accumulated other comprehensive income (loss)</v>
      </c>
      <c r="Y92" s="21" t="str">
        <v>Equity movements: Accumulated other comprehensive income (loss)</v>
      </c>
      <c r="Z92" s="21" t="str">
        <v>Equity movements: Accumulated other comprehensive income (loss)</v>
      </c>
      <c r="AA92" s="21" t="str">
        <v>Equity movements: Accumulated other comprehensive income (loss)</v>
      </c>
    </row>
    <row r="93" ht="18" customHeight="1">
      <c r="A93" s="22" t="str">
        <v>Date-specific balance captions are consolidated into one period-end balance row; dividend captions are consolidated while source detail is retained.</v>
      </c>
      <c r="B93" s="22" t="str">
        <v>Date-specific balance captions are consolidated into one period-end balance row; dividend captions are consolidated while source detail is retained.</v>
      </c>
      <c r="C93" s="22" t="str">
        <v>Date-specific balance captions are consolidated into one period-end balance row; dividend captions are consolidated while source detail is retained.</v>
      </c>
      <c r="D93" s="22" t="str">
        <v>Date-specific balance captions are consolidated into one period-end balance row; dividend captions are consolidated while source detail is retained.</v>
      </c>
      <c r="E93" s="22" t="str">
        <v>Date-specific balance captions are consolidated into one period-end balance row; dividend captions are consolidated while source detail is retained.</v>
      </c>
      <c r="F93" s="22" t="str">
        <v>Date-specific balance captions are consolidated into one period-end balance row; dividend captions are consolidated while source detail is retained.</v>
      </c>
      <c r="G93" s="22" t="str">
        <v>Date-specific balance captions are consolidated into one period-end balance row; dividend captions are consolidated while source detail is retained.</v>
      </c>
      <c r="H93" s="22" t="str">
        <v>Date-specific balance captions are consolidated into one period-end balance row; dividend captions are consolidated while source detail is retained.</v>
      </c>
      <c r="I93" s="22" t="str">
        <v>Date-specific balance captions are consolidated into one period-end balance row; dividend captions are consolidated while source detail is retained.</v>
      </c>
      <c r="J93" s="22" t="str">
        <v>Date-specific balance captions are consolidated into one period-end balance row; dividend captions are consolidated while source detail is retained.</v>
      </c>
      <c r="K93" s="22" t="str">
        <v>Date-specific balance captions are consolidated into one period-end balance row; dividend captions are consolidated while source detail is retained.</v>
      </c>
      <c r="L93" s="22" t="str">
        <v>Date-specific balance captions are consolidated into one period-end balance row; dividend captions are consolidated while source detail is retained.</v>
      </c>
      <c r="M93" s="22" t="str">
        <v>Date-specific balance captions are consolidated into one period-end balance row; dividend captions are consolidated while source detail is retained.</v>
      </c>
      <c r="N93" s="22" t="str">
        <v>Date-specific balance captions are consolidated into one period-end balance row; dividend captions are consolidated while source detail is retained.</v>
      </c>
      <c r="O93" s="22" t="str">
        <v>Date-specific balance captions are consolidated into one period-end balance row; dividend captions are consolidated while source detail is retained.</v>
      </c>
      <c r="P93" s="22" t="str">
        <v>Date-specific balance captions are consolidated into one period-end balance row; dividend captions are consolidated while source detail is retained.</v>
      </c>
      <c r="Q93" s="22" t="str">
        <v>Date-specific balance captions are consolidated into one period-end balance row; dividend captions are consolidated while source detail is retained.</v>
      </c>
      <c r="R93" s="22" t="str">
        <v>Date-specific balance captions are consolidated into one period-end balance row; dividend captions are consolidated while source detail is retained.</v>
      </c>
      <c r="S93" s="22" t="str">
        <v>Date-specific balance captions are consolidated into one period-end balance row; dividend captions are consolidated while source detail is retained.</v>
      </c>
      <c r="T93" s="22" t="str">
        <v>Date-specific balance captions are consolidated into one period-end balance row; dividend captions are consolidated while source detail is retained.</v>
      </c>
      <c r="U93" s="22" t="str">
        <v>Date-specific balance captions are consolidated into one period-end balance row; dividend captions are consolidated while source detail is retained.</v>
      </c>
      <c r="V93" s="22" t="str">
        <v>Date-specific balance captions are consolidated into one period-end balance row; dividend captions are consolidated while source detail is retained.</v>
      </c>
      <c r="W93" s="22" t="str">
        <v>Date-specific balance captions are consolidated into one period-end balance row; dividend captions are consolidated while source detail is retained.</v>
      </c>
      <c r="X93" s="22" t="str">
        <v>Date-specific balance captions are consolidated into one period-end balance row; dividend captions are consolidated while source detail is retained.</v>
      </c>
      <c r="Y93" s="22" t="str">
        <v>Date-specific balance captions are consolidated into one period-end balance row; dividend captions are consolidated while source detail is retained.</v>
      </c>
      <c r="Z93" s="22" t="str">
        <v>Date-specific balance captions are consolidated into one period-end balance row; dividend captions are consolidated while source detail is retained.</v>
      </c>
      <c r="AA93" s="22" t="str">
        <v>Date-specific balance captions are consolidated into one period-end balance row; dividend captions are consolidated while source detail is retained.</v>
      </c>
    </row>
    <row r="94" ht="24" customHeight="1">
      <c r="A94" s="34" t="str">
        <v>Balance at period end</v>
      </c>
      <c r="B94" s="35"/>
      <c r="C94" s="36" t="n">
        <v>106</v>
      </c>
      <c r="D94" s="36" t="n">
        <v>862</v>
      </c>
      <c r="E94" s="36" t="n">
        <v>-974</v>
      </c>
      <c r="F94" s="36" t="n">
        <v>-1280</v>
      </c>
      <c r="G94" s="36" t="n">
        <v>-751</v>
      </c>
      <c r="H94" s="36" t="n">
        <v>-880</v>
      </c>
      <c r="I94" s="36" t="n">
        <v>-562</v>
      </c>
      <c r="J94" s="36" t="n">
        <v>-215</v>
      </c>
      <c r="K94" s="36" t="n">
        <v>-711</v>
      </c>
      <c r="L94" s="36" t="n">
        <v>113</v>
      </c>
      <c r="M94" s="36"/>
      <c r="N94" s="36" t="n">
        <v>-419</v>
      </c>
      <c r="O94" s="36" t="n">
        <v>-544</v>
      </c>
      <c r="P94" s="36" t="n">
        <v>-861</v>
      </c>
      <c r="Q94" s="36"/>
      <c r="R94" s="36" t="n">
        <v>-542</v>
      </c>
      <c r="S94" s="36" t="n">
        <v>-696</v>
      </c>
      <c r="T94" s="36" t="n">
        <v>-185</v>
      </c>
      <c r="U94" s="36"/>
      <c r="V94" s="36" t="n">
        <v>-486</v>
      </c>
      <c r="W94" s="36" t="n">
        <v>65</v>
      </c>
      <c r="X94" s="36" t="n">
        <v>19</v>
      </c>
      <c r="Y94" s="36"/>
      <c r="Z94" s="36" t="n">
        <v>-44</v>
      </c>
      <c r="AA94" s="36" t="n">
        <v>-80</v>
      </c>
    </row>
    <row r="95" ht="22" customHeight="1">
      <c r="A95" s="49" t="str">
        <v>Cash dividends declared</v>
      </c>
      <c r="B95" s="3"/>
      <c r="C95" s="51" t="n">
        <v>0</v>
      </c>
      <c r="D95" s="51" t="n">
        <v>0</v>
      </c>
      <c r="E95" s="51" t="n">
        <v>0</v>
      </c>
      <c r="F95" s="51" t="n">
        <v>0</v>
      </c>
      <c r="G95" s="51" t="n">
        <v>0</v>
      </c>
      <c r="H95" s="51" t="n">
        <v>0</v>
      </c>
      <c r="I95" s="51" t="n">
        <v>0</v>
      </c>
      <c r="J95" s="51" t="n">
        <v>0</v>
      </c>
      <c r="K95" s="51" t="n">
        <v>0</v>
      </c>
      <c r="L95" s="51"/>
      <c r="M95" s="51"/>
      <c r="N95" s="51" t="n">
        <v>0</v>
      </c>
      <c r="O95" s="51"/>
      <c r="P95" s="51" t="n">
        <v>0</v>
      </c>
      <c r="Q95" s="51"/>
      <c r="R95" s="51" t="n">
        <v>0</v>
      </c>
      <c r="S95" s="51" t="n">
        <v>0</v>
      </c>
      <c r="T95" s="51" t="n">
        <v>0</v>
      </c>
      <c r="U95" s="51"/>
      <c r="V95" s="51"/>
      <c r="W95" s="51"/>
      <c r="X95" s="51"/>
      <c r="Y95" s="51"/>
      <c r="Z95" s="51"/>
      <c r="AA95" s="51"/>
    </row>
    <row r="96" ht="22" customHeight="1">
      <c r="A96" s="49" t="str">
        <v>Net proceeds received from IPO and partner contributions</v>
      </c>
      <c r="B96" s="3"/>
      <c r="C96" s="51"/>
      <c r="D96" s="51"/>
      <c r="E96" s="51"/>
      <c r="F96" s="51"/>
      <c r="G96" s="51"/>
      <c r="H96" s="51"/>
      <c r="I96" s="51" t="n">
        <v>0</v>
      </c>
      <c r="J96" s="51"/>
      <c r="K96" s="51"/>
      <c r="L96" s="51"/>
      <c r="M96" s="51"/>
      <c r="N96" s="51"/>
      <c r="O96" s="51"/>
      <c r="P96" s="51"/>
      <c r="Q96" s="51"/>
      <c r="R96" s="51"/>
      <c r="S96" s="51"/>
      <c r="T96" s="51"/>
      <c r="U96" s="51"/>
      <c r="V96" s="51"/>
      <c r="W96" s="51"/>
      <c r="X96" s="51"/>
      <c r="Y96" s="51"/>
      <c r="Z96" s="51"/>
      <c r="AA96" s="51"/>
    </row>
    <row r="97" ht="36" customHeight="1">
      <c r="A97" s="49" t="str">
        <v>Proceeds from sales of subsidiary shares and partner contributions</v>
      </c>
      <c r="B97" s="3"/>
      <c r="C97" s="51"/>
      <c r="D97" s="51"/>
      <c r="E97" s="51"/>
      <c r="F97" s="51"/>
      <c r="G97" s="51"/>
      <c r="H97" s="51"/>
      <c r="I97" s="51"/>
      <c r="J97" s="51" t="n">
        <v>0</v>
      </c>
      <c r="K97" s="51"/>
      <c r="L97" s="51"/>
      <c r="M97" s="51"/>
      <c r="N97" s="51"/>
      <c r="O97" s="51"/>
      <c r="P97" s="51"/>
      <c r="Q97" s="51"/>
      <c r="R97" s="51"/>
      <c r="S97" s="51"/>
      <c r="T97" s="51"/>
      <c r="U97" s="51"/>
      <c r="V97" s="51"/>
      <c r="W97" s="51"/>
      <c r="X97" s="51"/>
      <c r="Y97" s="51"/>
      <c r="Z97" s="51"/>
      <c r="AA97" s="51"/>
    </row>
    <row r="98" ht="22" customHeight="1">
      <c r="A98" s="49" t="str">
        <v>Net income (loss)</v>
      </c>
      <c r="B98" s="3"/>
      <c r="C98" s="51" t="n">
        <v>0</v>
      </c>
      <c r="D98" s="51" t="n">
        <v>0</v>
      </c>
      <c r="E98" s="51" t="n">
        <v>0</v>
      </c>
      <c r="F98" s="51" t="n">
        <v>0</v>
      </c>
      <c r="G98" s="51" t="n">
        <v>0</v>
      </c>
      <c r="H98" s="51" t="n">
        <v>0</v>
      </c>
      <c r="I98" s="51" t="n">
        <v>0</v>
      </c>
      <c r="J98" s="51" t="n">
        <v>0</v>
      </c>
      <c r="K98" s="51" t="n">
        <v>0</v>
      </c>
      <c r="L98" s="51" t="n">
        <v>0</v>
      </c>
      <c r="M98" s="51"/>
      <c r="N98" s="51" t="n">
        <v>0</v>
      </c>
      <c r="O98" s="51" t="n">
        <v>0</v>
      </c>
      <c r="P98" s="51" t="n">
        <v>0</v>
      </c>
      <c r="Q98" s="51"/>
      <c r="R98" s="51" t="n">
        <v>0</v>
      </c>
      <c r="S98" s="51" t="n">
        <v>0</v>
      </c>
      <c r="T98" s="51" t="n">
        <v>0</v>
      </c>
      <c r="U98" s="51"/>
      <c r="V98" s="51" t="n">
        <v>0</v>
      </c>
      <c r="W98" s="51" t="n">
        <v>0</v>
      </c>
      <c r="X98" s="51" t="n">
        <v>0</v>
      </c>
      <c r="Y98" s="51"/>
      <c r="Z98" s="51" t="n">
        <v>0</v>
      </c>
      <c r="AA98" s="51" t="n">
        <v>0</v>
      </c>
    </row>
    <row r="99" ht="36" customHeight="1">
      <c r="A99" s="49" t="str">
        <v>Proceeds from sales of common stock through employee equity incentive plans, net excess tax benefit, and other</v>
      </c>
      <c r="B99" s="3"/>
      <c r="C99" s="51" t="n">
        <v>0</v>
      </c>
      <c r="D99" s="51" t="n">
        <v>0</v>
      </c>
      <c r="E99" s="51" t="n">
        <v>0</v>
      </c>
      <c r="F99" s="51"/>
      <c r="G99" s="51"/>
      <c r="H99" s="51"/>
      <c r="I99" s="51"/>
      <c r="J99" s="51"/>
      <c r="K99" s="51"/>
      <c r="L99" s="51"/>
      <c r="M99" s="51"/>
      <c r="N99" s="51"/>
      <c r="O99" s="51"/>
      <c r="P99" s="51"/>
      <c r="Q99" s="51"/>
      <c r="R99" s="51"/>
      <c r="S99" s="51"/>
      <c r="T99" s="51"/>
      <c r="U99" s="51"/>
      <c r="V99" s="51"/>
      <c r="W99" s="51"/>
      <c r="X99" s="51"/>
      <c r="Y99" s="51"/>
      <c r="Z99" s="51"/>
      <c r="AA99" s="51"/>
    </row>
    <row r="100" ht="22" customHeight="1">
      <c r="A100" s="49" t="str">
        <v>Other comprehensive income (loss)</v>
      </c>
      <c r="B100" s="3"/>
      <c r="C100" s="51" t="n">
        <v>46</v>
      </c>
      <c r="D100" s="51" t="n">
        <v>756</v>
      </c>
      <c r="E100" s="51" t="n">
        <v>-46</v>
      </c>
      <c r="F100" s="51" t="n">
        <v>-306</v>
      </c>
      <c r="G100" s="51" t="n">
        <v>529</v>
      </c>
      <c r="H100" s="51" t="n">
        <v>-129</v>
      </c>
      <c r="I100" s="51" t="n">
        <v>318</v>
      </c>
      <c r="J100" s="51" t="n">
        <v>347</v>
      </c>
      <c r="K100" s="51" t="n">
        <v>-496</v>
      </c>
      <c r="L100" s="51" t="n">
        <v>824</v>
      </c>
      <c r="M100" s="51"/>
      <c r="N100" s="51" t="n">
        <v>143</v>
      </c>
      <c r="O100" s="51" t="n">
        <v>-125</v>
      </c>
      <c r="P100" s="51" t="n">
        <v>-317</v>
      </c>
      <c r="Q100" s="51"/>
      <c r="R100" s="51" t="n">
        <v>-327</v>
      </c>
      <c r="S100" s="51" t="n">
        <v>-154</v>
      </c>
      <c r="T100" s="51" t="n">
        <v>511</v>
      </c>
      <c r="U100" s="51"/>
      <c r="V100" s="51" t="n">
        <v>225</v>
      </c>
      <c r="W100" s="51" t="n">
        <v>551</v>
      </c>
      <c r="X100" s="51" t="n">
        <v>-46</v>
      </c>
      <c r="Y100" s="51"/>
      <c r="Z100" s="51" t="n">
        <v>-157</v>
      </c>
      <c r="AA100" s="51" t="n">
        <v>-36</v>
      </c>
    </row>
    <row r="101" ht="22" customHeight="1">
      <c r="A101" s="49" t="str">
        <v>Net proceeds attributed to Escrowed Shares issued</v>
      </c>
      <c r="B101" s="3"/>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t="n">
        <v>0</v>
      </c>
      <c r="AA101" s="51" t="n">
        <v>0</v>
      </c>
    </row>
    <row r="102" ht="22" customHeight="1">
      <c r="A102" s="49" t="str">
        <v>Partner contributions and issuance of subsidiary shares</v>
      </c>
      <c r="B102" s="3"/>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t="n">
        <v>0</v>
      </c>
      <c r="AA102" s="51"/>
    </row>
    <row r="103" ht="22" customHeight="1">
      <c r="A103" s="49" t="str">
        <v>Partner distributions</v>
      </c>
      <c r="B103" s="3"/>
      <c r="C103" s="51"/>
      <c r="D103" s="51"/>
      <c r="E103" s="51"/>
      <c r="F103" s="51"/>
      <c r="G103" s="51"/>
      <c r="H103" s="51"/>
      <c r="I103" s="51"/>
      <c r="J103" s="51"/>
      <c r="K103" s="51" t="n">
        <v>0</v>
      </c>
      <c r="L103" s="51" t="n">
        <v>0</v>
      </c>
      <c r="M103" s="51"/>
      <c r="N103" s="51"/>
      <c r="O103" s="51"/>
      <c r="P103" s="51"/>
      <c r="Q103" s="51"/>
      <c r="R103" s="51"/>
      <c r="S103" s="51"/>
      <c r="T103" s="51"/>
      <c r="U103" s="51"/>
      <c r="V103" s="51" t="n">
        <v>0</v>
      </c>
      <c r="W103" s="51" t="n">
        <v>0</v>
      </c>
      <c r="X103" s="51" t="n">
        <v>0</v>
      </c>
      <c r="Y103" s="51"/>
      <c r="Z103" s="51" t="n">
        <v>0</v>
      </c>
      <c r="AA103" s="51"/>
    </row>
    <row r="104" ht="22" customHeight="1">
      <c r="A104" s="49" t="str">
        <v>Partner contributions</v>
      </c>
      <c r="B104" s="3"/>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t="n">
        <v>0</v>
      </c>
    </row>
    <row r="105" ht="36" customHeight="1">
      <c r="A105" s="49" t="str">
        <v>Partner distributions declared and repurchase of subsidiary shares</v>
      </c>
      <c r="B105" s="3"/>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t="n">
        <v>0</v>
      </c>
    </row>
    <row r="106" ht="22" customHeight="1">
      <c r="A106" s="49" t="str">
        <v>Employee equity incentive plans</v>
      </c>
      <c r="B106" s="3"/>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t="n">
        <v>0</v>
      </c>
      <c r="AA106" s="51" t="n">
        <v>0</v>
      </c>
    </row>
    <row r="107" ht="22" customHeight="1">
      <c r="A107" s="49" t="str">
        <v>Share-based compensation</v>
      </c>
      <c r="B107" s="3"/>
      <c r="C107" s="51" t="n">
        <v>0</v>
      </c>
      <c r="D107" s="51" t="n">
        <v>0</v>
      </c>
      <c r="E107" s="51" t="n">
        <v>0</v>
      </c>
      <c r="F107" s="51" t="n">
        <v>0</v>
      </c>
      <c r="G107" s="51" t="n">
        <v>0</v>
      </c>
      <c r="H107" s="51" t="n">
        <v>0</v>
      </c>
      <c r="I107" s="51" t="n">
        <v>0</v>
      </c>
      <c r="J107" s="51" t="n">
        <v>0</v>
      </c>
      <c r="K107" s="51" t="n">
        <v>0</v>
      </c>
      <c r="L107" s="51" t="n">
        <v>0</v>
      </c>
      <c r="M107" s="51"/>
      <c r="N107" s="51" t="n">
        <v>0</v>
      </c>
      <c r="O107" s="51" t="n">
        <v>0</v>
      </c>
      <c r="P107" s="51" t="n">
        <v>0</v>
      </c>
      <c r="Q107" s="51"/>
      <c r="R107" s="51" t="n">
        <v>0</v>
      </c>
      <c r="S107" s="51" t="n">
        <v>0</v>
      </c>
      <c r="T107" s="51" t="n">
        <v>0</v>
      </c>
      <c r="U107" s="51"/>
      <c r="V107" s="51" t="n">
        <v>0</v>
      </c>
      <c r="W107" s="51" t="n">
        <v>0</v>
      </c>
      <c r="X107" s="51" t="n">
        <v>0</v>
      </c>
      <c r="Y107" s="51"/>
      <c r="Z107" s="51" t="n">
        <v>0</v>
      </c>
      <c r="AA107" s="51" t="n">
        <v>0</v>
      </c>
    </row>
    <row r="108" ht="22" customHeight="1">
      <c r="A108" s="49" t="str">
        <v>Temporary equity reclassification</v>
      </c>
      <c r="B108" s="3"/>
      <c r="C108" s="51" t="n">
        <v>0</v>
      </c>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ht="22" customHeight="1">
      <c r="A109" s="49" t="str">
        <v>Temporary equity reduction</v>
      </c>
      <c r="B109" s="3"/>
      <c r="C109" s="51"/>
      <c r="D109" s="51"/>
      <c r="E109" s="51" t="n">
        <v>0</v>
      </c>
      <c r="F109" s="51" t="n">
        <v>0</v>
      </c>
      <c r="G109" s="51" t="n">
        <v>0</v>
      </c>
      <c r="H109" s="51" t="n">
        <v>0</v>
      </c>
      <c r="I109" s="51"/>
      <c r="J109" s="51"/>
      <c r="K109" s="51"/>
      <c r="L109" s="51"/>
      <c r="M109" s="51"/>
      <c r="N109" s="51"/>
      <c r="O109" s="51"/>
      <c r="P109" s="51"/>
      <c r="Q109" s="51"/>
      <c r="R109" s="51"/>
      <c r="S109" s="51"/>
      <c r="T109" s="51"/>
      <c r="U109" s="51"/>
      <c r="V109" s="51"/>
      <c r="W109" s="51"/>
      <c r="X109" s="51"/>
      <c r="Y109" s="51"/>
      <c r="Z109" s="51"/>
      <c r="AA109" s="51"/>
    </row>
    <row r="110" ht="22" customHeight="1">
      <c r="A110" s="49" t="str">
        <v>Convertible debt</v>
      </c>
      <c r="B110" s="3"/>
      <c r="C110" s="51"/>
      <c r="D110" s="51" t="n">
        <v>0</v>
      </c>
      <c r="E110" s="51" t="n">
        <v>0</v>
      </c>
      <c r="F110" s="51" t="n">
        <v>0</v>
      </c>
      <c r="G110" s="51" t="n">
        <v>0</v>
      </c>
      <c r="H110" s="51" t="n">
        <v>0</v>
      </c>
      <c r="I110" s="51"/>
      <c r="J110" s="51"/>
      <c r="K110" s="51"/>
      <c r="L110" s="51"/>
      <c r="M110" s="51"/>
      <c r="N110" s="51"/>
      <c r="O110" s="51"/>
      <c r="P110" s="51"/>
      <c r="Q110" s="51"/>
      <c r="R110" s="51"/>
      <c r="S110" s="51"/>
      <c r="T110" s="51"/>
      <c r="U110" s="51"/>
      <c r="V110" s="51"/>
      <c r="W110" s="51"/>
      <c r="X110" s="51"/>
      <c r="Y110" s="51"/>
      <c r="Z110" s="51"/>
      <c r="AA110" s="51"/>
    </row>
    <row r="111" ht="22" customHeight="1">
      <c r="A111" s="49" t="str">
        <v>Repurchase of common stock</v>
      </c>
      <c r="B111" s="3"/>
      <c r="C111" s="51" t="n">
        <v>0</v>
      </c>
      <c r="D111" s="51" t="n">
        <v>0</v>
      </c>
      <c r="E111" s="51" t="n">
        <v>0</v>
      </c>
      <c r="F111" s="51" t="n">
        <v>0</v>
      </c>
      <c r="G111" s="51" t="n">
        <v>0</v>
      </c>
      <c r="H111" s="51" t="n">
        <v>0</v>
      </c>
      <c r="I111" s="51"/>
      <c r="J111" s="51"/>
      <c r="K111" s="51"/>
      <c r="L111" s="51"/>
      <c r="M111" s="51"/>
      <c r="N111" s="51"/>
      <c r="O111" s="51"/>
      <c r="P111" s="51"/>
      <c r="Q111" s="51"/>
      <c r="R111" s="51"/>
      <c r="S111" s="51"/>
      <c r="T111" s="51"/>
      <c r="U111" s="51"/>
      <c r="V111" s="51"/>
      <c r="W111" s="51"/>
      <c r="X111" s="51"/>
      <c r="Y111" s="51"/>
      <c r="Z111" s="51"/>
      <c r="AA111" s="51"/>
    </row>
    <row r="112" ht="22" customHeight="1">
      <c r="A112" s="49" t="str">
        <v>Restricted stock unit withholdings</v>
      </c>
      <c r="B112" s="3"/>
      <c r="C112" s="51" t="n">
        <v>0</v>
      </c>
      <c r="D112" s="51" t="n">
        <v>0</v>
      </c>
      <c r="E112" s="51" t="n">
        <v>0</v>
      </c>
      <c r="F112" s="51" t="n">
        <v>0</v>
      </c>
      <c r="G112" s="51" t="n">
        <v>0</v>
      </c>
      <c r="H112" s="51" t="n">
        <v>0</v>
      </c>
      <c r="I112" s="51" t="n">
        <v>0</v>
      </c>
      <c r="J112" s="51" t="n">
        <v>0</v>
      </c>
      <c r="K112" s="51" t="n">
        <v>0</v>
      </c>
      <c r="L112" s="51" t="n">
        <v>0</v>
      </c>
      <c r="M112" s="51"/>
      <c r="N112" s="51" t="n">
        <v>0</v>
      </c>
      <c r="O112" s="51" t="n">
        <v>0</v>
      </c>
      <c r="P112" s="51" t="n">
        <v>0</v>
      </c>
      <c r="Q112" s="51"/>
      <c r="R112" s="51" t="n">
        <v>0</v>
      </c>
      <c r="S112" s="51" t="n">
        <v>0</v>
      </c>
      <c r="T112" s="51" t="n">
        <v>0</v>
      </c>
      <c r="U112" s="51"/>
      <c r="V112" s="51" t="n">
        <v>0</v>
      </c>
      <c r="W112" s="51" t="n">
        <v>0</v>
      </c>
      <c r="X112" s="51" t="n">
        <v>0</v>
      </c>
      <c r="Y112" s="51"/>
      <c r="Z112" s="51" t="n">
        <v>0</v>
      </c>
      <c r="AA112" s="51" t="n">
        <v>0</v>
      </c>
    </row>
    <row r="113" ht="36" customHeight="1">
      <c r="A113" s="49" t="str">
        <v>Adjustment to opening balance for change in accounting principle</v>
      </c>
      <c r="B113" s="3"/>
      <c r="C113" s="51"/>
      <c r="D113" s="51"/>
      <c r="E113" s="51" t="n">
        <v>-1790</v>
      </c>
      <c r="F113" s="51"/>
      <c r="G113" s="51"/>
      <c r="H113" s="51"/>
      <c r="I113" s="51"/>
      <c r="J113" s="51"/>
      <c r="K113" s="51"/>
      <c r="L113" s="51"/>
      <c r="M113" s="51"/>
      <c r="N113" s="51"/>
      <c r="O113" s="51"/>
      <c r="P113" s="51"/>
      <c r="Q113" s="51"/>
      <c r="R113" s="51"/>
      <c r="S113" s="51"/>
      <c r="T113" s="51"/>
      <c r="U113" s="51"/>
      <c r="V113" s="51"/>
      <c r="W113" s="51"/>
      <c r="X113" s="51"/>
      <c r="Y113" s="51"/>
      <c r="Z113" s="51"/>
      <c r="AA113" s="51"/>
    </row>
    <row r="114" ht="22" customHeight="1">
      <c r="A114" s="49" t="str">
        <v>Net proceeds from partner contributions</v>
      </c>
      <c r="B114" s="3"/>
      <c r="C114" s="51"/>
      <c r="D114" s="51"/>
      <c r="E114" s="51"/>
      <c r="F114" s="51"/>
      <c r="G114" s="51"/>
      <c r="H114" s="51"/>
      <c r="I114" s="51"/>
      <c r="J114" s="51"/>
      <c r="K114" s="51" t="n">
        <v>0</v>
      </c>
      <c r="L114" s="51"/>
      <c r="M114" s="51"/>
      <c r="N114" s="51" t="n">
        <v>0</v>
      </c>
      <c r="O114" s="51"/>
      <c r="P114" s="51"/>
      <c r="Q114" s="51"/>
      <c r="R114" s="51" t="n">
        <v>0</v>
      </c>
      <c r="S114" s="51" t="n">
        <v>0</v>
      </c>
      <c r="T114" s="51" t="n">
        <v>0</v>
      </c>
      <c r="U114" s="51"/>
      <c r="V114" s="51" t="n">
        <v>0</v>
      </c>
      <c r="W114" s="51" t="n">
        <v>0</v>
      </c>
      <c r="X114" s="51"/>
      <c r="Y114" s="51"/>
      <c r="Z114" s="51"/>
      <c r="AA114" s="51"/>
    </row>
    <row r="115" ht="22" customHeight="1">
      <c r="A115" s="49" t="str">
        <v>Employee equity incentive plans and other</v>
      </c>
      <c r="B115" s="3"/>
      <c r="C115" s="51"/>
      <c r="D115" s="51"/>
      <c r="E115" s="51"/>
      <c r="F115" s="51" t="n">
        <v>0</v>
      </c>
      <c r="G115" s="51" t="n">
        <v>0</v>
      </c>
      <c r="H115" s="51" t="n">
        <v>0</v>
      </c>
      <c r="I115" s="51" t="n">
        <v>0</v>
      </c>
      <c r="J115" s="51" t="n">
        <v>0</v>
      </c>
      <c r="K115" s="51" t="n">
        <v>0</v>
      </c>
      <c r="L115" s="51" t="n">
        <v>0</v>
      </c>
      <c r="M115" s="51"/>
      <c r="N115" s="51" t="n">
        <v>0</v>
      </c>
      <c r="O115" s="51" t="n">
        <v>0</v>
      </c>
      <c r="P115" s="51" t="n">
        <v>0</v>
      </c>
      <c r="Q115" s="51"/>
      <c r="R115" s="51" t="n">
        <v>0</v>
      </c>
      <c r="S115" s="51" t="n">
        <v>0</v>
      </c>
      <c r="T115" s="51" t="n">
        <v>0</v>
      </c>
      <c r="U115" s="51"/>
      <c r="V115" s="51" t="n">
        <v>0</v>
      </c>
      <c r="W115" s="51" t="n">
        <v>0</v>
      </c>
      <c r="X115" s="51" t="n">
        <v>0</v>
      </c>
      <c r="Y115" s="51"/>
      <c r="Z115" s="51"/>
      <c r="AA115" s="51"/>
    </row>
    <row r="116" ht="22" customHeight="1">
      <c r="A116" s="49" t="str">
        <v>Opening balance adjustment1</v>
      </c>
      <c r="B116" s="3"/>
      <c r="C116" s="51"/>
      <c r="D116" s="51"/>
      <c r="E116" s="51"/>
      <c r="F116" s="51"/>
      <c r="G116" s="51"/>
      <c r="H116" s="51"/>
      <c r="I116" s="51"/>
      <c r="J116" s="51"/>
      <c r="K116" s="51"/>
      <c r="L116" s="51" t="n">
        <v>0</v>
      </c>
      <c r="M116" s="51"/>
      <c r="N116" s="51"/>
      <c r="O116" s="51"/>
      <c r="P116" s="51"/>
      <c r="Q116" s="51"/>
      <c r="R116" s="51"/>
      <c r="S116" s="51"/>
      <c r="T116" s="51"/>
      <c r="U116" s="51"/>
      <c r="V116" s="51"/>
      <c r="W116" s="51"/>
      <c r="X116" s="51"/>
      <c r="Y116" s="51"/>
      <c r="Z116" s="51"/>
      <c r="AA116" s="51"/>
    </row>
    <row r="117" ht="22" customHeight="1">
      <c r="A117" s="49" t="str">
        <v>Net proceeds from stock issuances and warrants2</v>
      </c>
      <c r="B117" s="3"/>
      <c r="C117" s="51"/>
      <c r="D117" s="51"/>
      <c r="E117" s="51"/>
      <c r="F117" s="51"/>
      <c r="G117" s="51"/>
      <c r="H117" s="51"/>
      <c r="I117" s="51"/>
      <c r="J117" s="51"/>
      <c r="K117" s="51"/>
      <c r="L117" s="51" t="n">
        <v>0</v>
      </c>
      <c r="M117" s="51"/>
      <c r="N117" s="51"/>
      <c r="O117" s="51"/>
      <c r="P117" s="51"/>
      <c r="Q117" s="51"/>
      <c r="R117" s="51"/>
      <c r="S117" s="51"/>
      <c r="T117" s="51"/>
      <c r="U117" s="51"/>
      <c r="V117" s="51"/>
      <c r="W117" s="51"/>
      <c r="X117" s="51" t="n">
        <v>0</v>
      </c>
      <c r="Y117" s="51"/>
      <c r="Z117" s="51"/>
      <c r="AA117" s="51"/>
    </row>
    <row r="118" ht="36" customHeight="1">
      <c r="A118" s="49" t="str">
        <v>Net proceeds from sales of subsidiary shares and partner contributions</v>
      </c>
      <c r="B118" s="3"/>
      <c r="C118" s="51"/>
      <c r="D118" s="51"/>
      <c r="E118" s="51"/>
      <c r="F118" s="51"/>
      <c r="G118" s="51"/>
      <c r="H118" s="51"/>
      <c r="I118" s="51"/>
      <c r="J118" s="51"/>
      <c r="K118" s="51"/>
      <c r="L118" s="51" t="n">
        <v>0</v>
      </c>
      <c r="M118" s="51"/>
      <c r="N118" s="51"/>
      <c r="O118" s="51" t="n">
        <v>0</v>
      </c>
      <c r="P118" s="51" t="n">
        <v>0</v>
      </c>
      <c r="Q118" s="51"/>
      <c r="R118" s="51"/>
      <c r="S118" s="51"/>
      <c r="T118" s="51"/>
      <c r="U118" s="51"/>
      <c r="V118" s="51"/>
      <c r="W118" s="51"/>
      <c r="X118" s="51" t="n">
        <v>0</v>
      </c>
      <c r="Y118" s="51"/>
      <c r="Z118" s="51"/>
      <c r="AA118" s="51"/>
    </row>
    <row r="119" ht="8"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22" customHeight="1">
      <c r="A120" s="21" t="str">
        <v>Equity movements: Retained earnings</v>
      </c>
      <c r="B120" s="21" t="str">
        <v>Equity movements: Retained earnings</v>
      </c>
      <c r="C120" s="21" t="str">
        <v>Equity movements: Retained earnings</v>
      </c>
      <c r="D120" s="21" t="str">
        <v>Equity movements: Retained earnings</v>
      </c>
      <c r="E120" s="21" t="str">
        <v>Equity movements: Retained earnings</v>
      </c>
      <c r="F120" s="21" t="str">
        <v>Equity movements: Retained earnings</v>
      </c>
      <c r="G120" s="21" t="str">
        <v>Equity movements: Retained earnings</v>
      </c>
      <c r="H120" s="21" t="str">
        <v>Equity movements: Retained earnings</v>
      </c>
      <c r="I120" s="21" t="str">
        <v>Equity movements: Retained earnings</v>
      </c>
      <c r="J120" s="21" t="str">
        <v>Equity movements: Retained earnings</v>
      </c>
      <c r="K120" s="21" t="str">
        <v>Equity movements: Retained earnings</v>
      </c>
      <c r="L120" s="21" t="str">
        <v>Equity movements: Retained earnings</v>
      </c>
      <c r="M120" s="21" t="str">
        <v>Equity movements: Retained earnings</v>
      </c>
      <c r="N120" s="21" t="str">
        <v>Equity movements: Retained earnings</v>
      </c>
      <c r="O120" s="21" t="str">
        <v>Equity movements: Retained earnings</v>
      </c>
      <c r="P120" s="21" t="str">
        <v>Equity movements: Retained earnings</v>
      </c>
      <c r="Q120" s="21" t="str">
        <v>Equity movements: Retained earnings</v>
      </c>
      <c r="R120" s="21" t="str">
        <v>Equity movements: Retained earnings</v>
      </c>
      <c r="S120" s="21" t="str">
        <v>Equity movements: Retained earnings</v>
      </c>
      <c r="T120" s="21" t="str">
        <v>Equity movements: Retained earnings</v>
      </c>
      <c r="U120" s="21" t="str">
        <v>Equity movements: Retained earnings</v>
      </c>
      <c r="V120" s="21" t="str">
        <v>Equity movements: Retained earnings</v>
      </c>
      <c r="W120" s="21" t="str">
        <v>Equity movements: Retained earnings</v>
      </c>
      <c r="X120" s="21" t="str">
        <v>Equity movements: Retained earnings</v>
      </c>
      <c r="Y120" s="21" t="str">
        <v>Equity movements: Retained earnings</v>
      </c>
      <c r="Z120" s="21" t="str">
        <v>Equity movements: Retained earnings</v>
      </c>
      <c r="AA120" s="21" t="str">
        <v>Equity movements: Retained earnings</v>
      </c>
    </row>
    <row r="121" ht="18" customHeight="1">
      <c r="A121" s="22" t="str">
        <v>Date-specific balance captions are consolidated into one period-end balance row; dividend captions are consolidated while source detail is retained.</v>
      </c>
      <c r="B121" s="22" t="str">
        <v>Date-specific balance captions are consolidated into one period-end balance row; dividend captions are consolidated while source detail is retained.</v>
      </c>
      <c r="C121" s="22" t="str">
        <v>Date-specific balance captions are consolidated into one period-end balance row; dividend captions are consolidated while source detail is retained.</v>
      </c>
      <c r="D121" s="22" t="str">
        <v>Date-specific balance captions are consolidated into one period-end balance row; dividend captions are consolidated while source detail is retained.</v>
      </c>
      <c r="E121" s="22" t="str">
        <v>Date-specific balance captions are consolidated into one period-end balance row; dividend captions are consolidated while source detail is retained.</v>
      </c>
      <c r="F121" s="22" t="str">
        <v>Date-specific balance captions are consolidated into one period-end balance row; dividend captions are consolidated while source detail is retained.</v>
      </c>
      <c r="G121" s="22" t="str">
        <v>Date-specific balance captions are consolidated into one period-end balance row; dividend captions are consolidated while source detail is retained.</v>
      </c>
      <c r="H121" s="22" t="str">
        <v>Date-specific balance captions are consolidated into one period-end balance row; dividend captions are consolidated while source detail is retained.</v>
      </c>
      <c r="I121" s="22" t="str">
        <v>Date-specific balance captions are consolidated into one period-end balance row; dividend captions are consolidated while source detail is retained.</v>
      </c>
      <c r="J121" s="22" t="str">
        <v>Date-specific balance captions are consolidated into one period-end balance row; dividend captions are consolidated while source detail is retained.</v>
      </c>
      <c r="K121" s="22" t="str">
        <v>Date-specific balance captions are consolidated into one period-end balance row; dividend captions are consolidated while source detail is retained.</v>
      </c>
      <c r="L121" s="22" t="str">
        <v>Date-specific balance captions are consolidated into one period-end balance row; dividend captions are consolidated while source detail is retained.</v>
      </c>
      <c r="M121" s="22" t="str">
        <v>Date-specific balance captions are consolidated into one period-end balance row; dividend captions are consolidated while source detail is retained.</v>
      </c>
      <c r="N121" s="22" t="str">
        <v>Date-specific balance captions are consolidated into one period-end balance row; dividend captions are consolidated while source detail is retained.</v>
      </c>
      <c r="O121" s="22" t="str">
        <v>Date-specific balance captions are consolidated into one period-end balance row; dividend captions are consolidated while source detail is retained.</v>
      </c>
      <c r="P121" s="22" t="str">
        <v>Date-specific balance captions are consolidated into one period-end balance row; dividend captions are consolidated while source detail is retained.</v>
      </c>
      <c r="Q121" s="22" t="str">
        <v>Date-specific balance captions are consolidated into one period-end balance row; dividend captions are consolidated while source detail is retained.</v>
      </c>
      <c r="R121" s="22" t="str">
        <v>Date-specific balance captions are consolidated into one period-end balance row; dividend captions are consolidated while source detail is retained.</v>
      </c>
      <c r="S121" s="22" t="str">
        <v>Date-specific balance captions are consolidated into one period-end balance row; dividend captions are consolidated while source detail is retained.</v>
      </c>
      <c r="T121" s="22" t="str">
        <v>Date-specific balance captions are consolidated into one period-end balance row; dividend captions are consolidated while source detail is retained.</v>
      </c>
      <c r="U121" s="22" t="str">
        <v>Date-specific balance captions are consolidated into one period-end balance row; dividend captions are consolidated while source detail is retained.</v>
      </c>
      <c r="V121" s="22" t="str">
        <v>Date-specific balance captions are consolidated into one period-end balance row; dividend captions are consolidated while source detail is retained.</v>
      </c>
      <c r="W121" s="22" t="str">
        <v>Date-specific balance captions are consolidated into one period-end balance row; dividend captions are consolidated while source detail is retained.</v>
      </c>
      <c r="X121" s="22" t="str">
        <v>Date-specific balance captions are consolidated into one period-end balance row; dividend captions are consolidated while source detail is retained.</v>
      </c>
      <c r="Y121" s="22" t="str">
        <v>Date-specific balance captions are consolidated into one period-end balance row; dividend captions are consolidated while source detail is retained.</v>
      </c>
      <c r="Z121" s="22" t="str">
        <v>Date-specific balance captions are consolidated into one period-end balance row; dividend captions are consolidated while source detail is retained.</v>
      </c>
      <c r="AA121" s="22" t="str">
        <v>Date-specific balance captions are consolidated into one period-end balance row; dividend captions are consolidated while source detail is retained.</v>
      </c>
    </row>
    <row r="122" ht="24" customHeight="1">
      <c r="A122" s="34" t="str">
        <v>Balance at period end</v>
      </c>
      <c r="B122" s="35"/>
      <c r="C122" s="36" t="n">
        <v>40747</v>
      </c>
      <c r="D122" s="36" t="n">
        <v>42083</v>
      </c>
      <c r="E122" s="36" t="n">
        <v>50172</v>
      </c>
      <c r="F122" s="36" t="n">
        <v>53523</v>
      </c>
      <c r="G122" s="36" t="n">
        <v>56233</v>
      </c>
      <c r="H122" s="36" t="n">
        <v>68265</v>
      </c>
      <c r="I122" s="36" t="n">
        <v>70405</v>
      </c>
      <c r="J122" s="36" t="n">
        <v>69156</v>
      </c>
      <c r="K122" s="36" t="n">
        <v>49032</v>
      </c>
      <c r="L122" s="36" t="n">
        <v>48983</v>
      </c>
      <c r="M122" s="36"/>
      <c r="N122" s="36" t="n">
        <v>65649</v>
      </c>
      <c r="O122" s="36" t="n">
        <v>67231</v>
      </c>
      <c r="P122" s="36" t="n">
        <v>67021</v>
      </c>
      <c r="Q122" s="36"/>
      <c r="R122" s="36" t="n">
        <v>68224</v>
      </c>
      <c r="S122" s="36" t="n">
        <v>66162</v>
      </c>
      <c r="T122" s="36" t="n">
        <v>49052</v>
      </c>
      <c r="U122" s="36"/>
      <c r="V122" s="36" t="n">
        <v>48322</v>
      </c>
      <c r="W122" s="36" t="n">
        <v>45484</v>
      </c>
      <c r="X122" s="36" t="n">
        <v>49602</v>
      </c>
      <c r="Y122" s="36"/>
      <c r="Z122" s="36" t="n">
        <v>45179</v>
      </c>
      <c r="AA122" s="36" t="n">
        <v>33842</v>
      </c>
    </row>
    <row r="123" ht="22" customHeight="1">
      <c r="A123" s="49" t="str">
        <v>Cash dividends declared</v>
      </c>
      <c r="B123" s="3"/>
      <c r="C123" s="51" t="n">
        <v>-4925</v>
      </c>
      <c r="D123" s="51" t="n">
        <v>-5072</v>
      </c>
      <c r="E123" s="51" t="n">
        <v>-5541</v>
      </c>
      <c r="F123" s="51" t="n">
        <v>-5578</v>
      </c>
      <c r="G123" s="51" t="n">
        <v>-5568</v>
      </c>
      <c r="H123" s="51" t="n">
        <v>-5644</v>
      </c>
      <c r="I123" s="51" t="n">
        <v>-5997</v>
      </c>
      <c r="J123" s="51" t="n">
        <v>-3088</v>
      </c>
      <c r="K123" s="51" t="n">
        <v>-1599</v>
      </c>
      <c r="L123" s="51"/>
      <c r="M123" s="51"/>
      <c r="N123" s="51" t="n">
        <v>-2036</v>
      </c>
      <c r="O123" s="51"/>
      <c r="P123" s="51" t="n">
        <v>-525</v>
      </c>
      <c r="Q123" s="51"/>
      <c r="R123" s="51" t="n">
        <v>-529</v>
      </c>
      <c r="S123" s="51" t="n">
        <v>-534</v>
      </c>
      <c r="T123" s="51" t="n">
        <v>-536</v>
      </c>
      <c r="U123" s="51"/>
      <c r="V123" s="51"/>
      <c r="W123" s="51"/>
      <c r="X123" s="51"/>
      <c r="Y123" s="51"/>
      <c r="Z123" s="51"/>
      <c r="AA123" s="51"/>
    </row>
    <row r="124" ht="22" customHeight="1">
      <c r="A124" s="49" t="str">
        <v>Net proceeds received from IPO and partner contributions</v>
      </c>
      <c r="B124" s="3"/>
      <c r="C124" s="51"/>
      <c r="D124" s="51"/>
      <c r="E124" s="51"/>
      <c r="F124" s="51"/>
      <c r="G124" s="51"/>
      <c r="H124" s="51"/>
      <c r="I124" s="51" t="n">
        <v>0</v>
      </c>
      <c r="J124" s="51"/>
      <c r="K124" s="51"/>
      <c r="L124" s="51"/>
      <c r="M124" s="51"/>
      <c r="N124" s="51"/>
      <c r="O124" s="51"/>
      <c r="P124" s="51"/>
      <c r="Q124" s="51"/>
      <c r="R124" s="51"/>
      <c r="S124" s="51"/>
      <c r="T124" s="51"/>
      <c r="U124" s="51"/>
      <c r="V124" s="51"/>
      <c r="W124" s="51"/>
      <c r="X124" s="51"/>
      <c r="Y124" s="51"/>
      <c r="Z124" s="51"/>
      <c r="AA124" s="51"/>
    </row>
    <row r="125" ht="36" customHeight="1">
      <c r="A125" s="49" t="str">
        <v>Proceeds from sales of subsidiary shares and partner contributions</v>
      </c>
      <c r="B125" s="3"/>
      <c r="C125" s="51"/>
      <c r="D125" s="51"/>
      <c r="E125" s="51"/>
      <c r="F125" s="51"/>
      <c r="G125" s="51"/>
      <c r="H125" s="51"/>
      <c r="I125" s="51"/>
      <c r="J125" s="51" t="n">
        <v>0</v>
      </c>
      <c r="K125" s="51"/>
      <c r="L125" s="51"/>
      <c r="M125" s="51"/>
      <c r="N125" s="51"/>
      <c r="O125" s="51"/>
      <c r="P125" s="51"/>
      <c r="Q125" s="51"/>
      <c r="R125" s="51"/>
      <c r="S125" s="51"/>
      <c r="T125" s="51"/>
      <c r="U125" s="51"/>
      <c r="V125" s="51"/>
      <c r="W125" s="51"/>
      <c r="X125" s="51"/>
      <c r="Y125" s="51"/>
      <c r="Z125" s="51"/>
      <c r="AA125" s="51"/>
    </row>
    <row r="126" ht="36" customHeight="1">
      <c r="A126" s="49" t="str">
        <v>Adjustment to opening balance for change in accounting principle</v>
      </c>
      <c r="B126" s="3"/>
      <c r="C126" s="51"/>
      <c r="D126" s="51"/>
      <c r="E126" s="51" t="n">
        <v>2424</v>
      </c>
      <c r="F126" s="51"/>
      <c r="G126" s="51"/>
      <c r="H126" s="51" t="n">
        <v>35</v>
      </c>
      <c r="I126" s="51"/>
      <c r="J126" s="51"/>
      <c r="K126" s="51"/>
      <c r="L126" s="51"/>
      <c r="M126" s="51"/>
      <c r="N126" s="51"/>
      <c r="O126" s="51"/>
      <c r="P126" s="51"/>
      <c r="Q126" s="51"/>
      <c r="R126" s="51"/>
      <c r="S126" s="51"/>
      <c r="T126" s="51"/>
      <c r="U126" s="51"/>
      <c r="V126" s="51"/>
      <c r="W126" s="51"/>
      <c r="X126" s="51"/>
      <c r="Y126" s="51"/>
      <c r="Z126" s="51"/>
      <c r="AA126" s="51"/>
    </row>
    <row r="127" ht="22" customHeight="1">
      <c r="A127" s="49" t="str">
        <v>Net income (loss)</v>
      </c>
      <c r="B127" s="3"/>
      <c r="C127" s="51" t="n">
        <v>10316</v>
      </c>
      <c r="D127" s="51" t="n">
        <v>9601</v>
      </c>
      <c r="E127" s="51" t="n">
        <v>21053</v>
      </c>
      <c r="F127" s="51" t="n">
        <v>21048</v>
      </c>
      <c r="G127" s="51" t="n">
        <v>20899</v>
      </c>
      <c r="H127" s="51" t="n">
        <v>19868</v>
      </c>
      <c r="I127" s="51" t="n">
        <v>8014</v>
      </c>
      <c r="J127" s="51" t="n">
        <v>1689</v>
      </c>
      <c r="K127" s="51" t="n">
        <v>-18756</v>
      </c>
      <c r="L127" s="51" t="n">
        <v>-267</v>
      </c>
      <c r="M127" s="51"/>
      <c r="N127" s="51" t="n">
        <v>-2758</v>
      </c>
      <c r="O127" s="51" t="n">
        <v>1481</v>
      </c>
      <c r="P127" s="51" t="n">
        <v>297</v>
      </c>
      <c r="Q127" s="51"/>
      <c r="R127" s="51" t="n">
        <v>-381</v>
      </c>
      <c r="S127" s="51" t="n">
        <v>-1610</v>
      </c>
      <c r="T127" s="51" t="n">
        <v>-16639</v>
      </c>
      <c r="U127" s="51"/>
      <c r="V127" s="51" t="n">
        <v>-821</v>
      </c>
      <c r="W127" s="51" t="n">
        <v>-2918</v>
      </c>
      <c r="X127" s="51" t="n">
        <v>4063</v>
      </c>
      <c r="Y127" s="51"/>
      <c r="Z127" s="51" t="n">
        <v>-3728</v>
      </c>
      <c r="AA127" s="51" t="n">
        <v>-11033</v>
      </c>
    </row>
    <row r="128" ht="36" customHeight="1">
      <c r="A128" s="49" t="str">
        <v>Proceeds from sales of common stock through employee equity incentive plans, net excess tax benefit, and other</v>
      </c>
      <c r="B128" s="3"/>
      <c r="C128" s="51" t="n">
        <v>0</v>
      </c>
      <c r="D128" s="51" t="n">
        <v>-1</v>
      </c>
      <c r="E128" s="51" t="n">
        <v>0</v>
      </c>
      <c r="F128" s="51"/>
      <c r="G128" s="51"/>
      <c r="H128" s="51"/>
      <c r="I128" s="51"/>
      <c r="J128" s="51"/>
      <c r="K128" s="51"/>
      <c r="L128" s="51"/>
      <c r="M128" s="51"/>
      <c r="N128" s="51"/>
      <c r="O128" s="51"/>
      <c r="P128" s="51"/>
      <c r="Q128" s="51"/>
      <c r="R128" s="51"/>
      <c r="S128" s="51"/>
      <c r="T128" s="51"/>
      <c r="U128" s="51"/>
      <c r="V128" s="51"/>
      <c r="W128" s="51"/>
      <c r="X128" s="51"/>
      <c r="Y128" s="51"/>
      <c r="Z128" s="51"/>
      <c r="AA128" s="51"/>
    </row>
    <row r="129" ht="22" customHeight="1">
      <c r="A129" s="49" t="str">
        <v>Other comprehensive income (loss)</v>
      </c>
      <c r="B129" s="3"/>
      <c r="C129" s="51" t="n">
        <v>0</v>
      </c>
      <c r="D129" s="51" t="n">
        <v>0</v>
      </c>
      <c r="E129" s="51" t="n">
        <v>0</v>
      </c>
      <c r="F129" s="51" t="n">
        <v>0</v>
      </c>
      <c r="G129" s="51" t="n">
        <v>0</v>
      </c>
      <c r="H129" s="51" t="n">
        <v>0</v>
      </c>
      <c r="I129" s="51" t="n">
        <v>0</v>
      </c>
      <c r="J129" s="51" t="n">
        <v>0</v>
      </c>
      <c r="K129" s="51" t="n">
        <v>0</v>
      </c>
      <c r="L129" s="51" t="n">
        <v>0</v>
      </c>
      <c r="M129" s="51"/>
      <c r="N129" s="51" t="n">
        <v>0</v>
      </c>
      <c r="O129" s="51" t="n">
        <v>0</v>
      </c>
      <c r="P129" s="51" t="n">
        <v>0</v>
      </c>
      <c r="Q129" s="51"/>
      <c r="R129" s="51" t="n">
        <v>0</v>
      </c>
      <c r="S129" s="51" t="n">
        <v>0</v>
      </c>
      <c r="T129" s="51" t="n">
        <v>0</v>
      </c>
      <c r="U129" s="51"/>
      <c r="V129" s="51" t="n">
        <v>0</v>
      </c>
      <c r="W129" s="51" t="n">
        <v>0</v>
      </c>
      <c r="X129" s="51" t="n">
        <v>0</v>
      </c>
      <c r="Y129" s="51"/>
      <c r="Z129" s="51" t="n">
        <v>0</v>
      </c>
      <c r="AA129" s="51" t="n">
        <v>0</v>
      </c>
    </row>
    <row r="130" ht="22" customHeight="1">
      <c r="A130" s="49" t="str">
        <v>Net proceeds attributed to Escrowed Shares issued</v>
      </c>
      <c r="B130" s="3"/>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t="n">
        <v>0</v>
      </c>
      <c r="AA130" s="51" t="n">
        <v>0</v>
      </c>
    </row>
    <row r="131" ht="22" customHeight="1">
      <c r="A131" s="49" t="str">
        <v>Partner contributions and issuance of subsidiary shares</v>
      </c>
      <c r="B131" s="3"/>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t="n">
        <v>0</v>
      </c>
      <c r="AA131" s="51"/>
    </row>
    <row r="132" ht="22" customHeight="1">
      <c r="A132" s="49" t="str">
        <v>Partner distributions</v>
      </c>
      <c r="B132" s="3"/>
      <c r="C132" s="51"/>
      <c r="D132" s="51"/>
      <c r="E132" s="51"/>
      <c r="F132" s="51"/>
      <c r="G132" s="51"/>
      <c r="H132" s="51"/>
      <c r="I132" s="51"/>
      <c r="J132" s="51"/>
      <c r="K132" s="51" t="n">
        <v>0</v>
      </c>
      <c r="L132" s="51" t="n">
        <v>0</v>
      </c>
      <c r="M132" s="51"/>
      <c r="N132" s="51"/>
      <c r="O132" s="51"/>
      <c r="P132" s="51"/>
      <c r="Q132" s="51"/>
      <c r="R132" s="51"/>
      <c r="S132" s="51"/>
      <c r="T132" s="51"/>
      <c r="U132" s="51"/>
      <c r="V132" s="51" t="n">
        <v>0</v>
      </c>
      <c r="W132" s="51" t="n">
        <v>0</v>
      </c>
      <c r="X132" s="51" t="n">
        <v>0</v>
      </c>
      <c r="Y132" s="51"/>
      <c r="Z132" s="51" t="n">
        <v>0</v>
      </c>
      <c r="AA132" s="51"/>
    </row>
    <row r="133" ht="22" customHeight="1">
      <c r="A133" s="49" t="str">
        <v>Partner contributions</v>
      </c>
      <c r="B133" s="3"/>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t="n">
        <v>0</v>
      </c>
    </row>
    <row r="134" ht="36" customHeight="1">
      <c r="A134" s="49" t="str">
        <v>Partner distributions declared and repurchase of subsidiary shares</v>
      </c>
      <c r="B134" s="3"/>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t="n">
        <v>0</v>
      </c>
    </row>
    <row r="135" ht="22" customHeight="1">
      <c r="A135" s="49" t="str">
        <v>Employee equity incentive plans</v>
      </c>
      <c r="B135" s="3"/>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t="n">
        <v>0</v>
      </c>
      <c r="AA135" s="51" t="n">
        <v>0</v>
      </c>
    </row>
    <row r="136" ht="22" customHeight="1">
      <c r="A136" s="49" t="str">
        <v>Share-based compensation</v>
      </c>
      <c r="B136" s="3"/>
      <c r="C136" s="51" t="n">
        <v>0</v>
      </c>
      <c r="D136" s="51" t="n">
        <v>0</v>
      </c>
      <c r="E136" s="51" t="n">
        <v>0</v>
      </c>
      <c r="F136" s="51" t="n">
        <v>0</v>
      </c>
      <c r="G136" s="51" t="n">
        <v>0</v>
      </c>
      <c r="H136" s="51" t="n">
        <v>0</v>
      </c>
      <c r="I136" s="51" t="n">
        <v>0</v>
      </c>
      <c r="J136" s="51" t="n">
        <v>0</v>
      </c>
      <c r="K136" s="51" t="n">
        <v>0</v>
      </c>
      <c r="L136" s="51" t="n">
        <v>0</v>
      </c>
      <c r="M136" s="51"/>
      <c r="N136" s="51" t="n">
        <v>0</v>
      </c>
      <c r="O136" s="51" t="n">
        <v>0</v>
      </c>
      <c r="P136" s="51" t="n">
        <v>0</v>
      </c>
      <c r="Q136" s="51"/>
      <c r="R136" s="51" t="n">
        <v>0</v>
      </c>
      <c r="S136" s="51" t="n">
        <v>0</v>
      </c>
      <c r="T136" s="51" t="n">
        <v>0</v>
      </c>
      <c r="U136" s="51"/>
      <c r="V136" s="51" t="n">
        <v>0</v>
      </c>
      <c r="W136" s="51" t="n">
        <v>0</v>
      </c>
      <c r="X136" s="51" t="n">
        <v>0</v>
      </c>
      <c r="Y136" s="51"/>
      <c r="Z136" s="51" t="n">
        <v>0</v>
      </c>
      <c r="AA136" s="51" t="n">
        <v>0</v>
      </c>
    </row>
    <row r="137" ht="22" customHeight="1">
      <c r="A137" s="49" t="str">
        <v>Temporary equity reclassification</v>
      </c>
      <c r="B137" s="3"/>
      <c r="C137" s="51" t="n">
        <v>0</v>
      </c>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ht="22" customHeight="1">
      <c r="A138" s="49" t="str">
        <v>Temporary equity reduction</v>
      </c>
      <c r="B138" s="3"/>
      <c r="C138" s="51"/>
      <c r="D138" s="51"/>
      <c r="E138" s="51" t="n">
        <v>0</v>
      </c>
      <c r="F138" s="51" t="n">
        <v>0</v>
      </c>
      <c r="G138" s="51" t="n">
        <v>0</v>
      </c>
      <c r="H138" s="51" t="n">
        <v>0</v>
      </c>
      <c r="I138" s="51"/>
      <c r="J138" s="51"/>
      <c r="K138" s="51"/>
      <c r="L138" s="51"/>
      <c r="M138" s="51"/>
      <c r="N138" s="51"/>
      <c r="O138" s="51"/>
      <c r="P138" s="51"/>
      <c r="Q138" s="51"/>
      <c r="R138" s="51"/>
      <c r="S138" s="51"/>
      <c r="T138" s="51"/>
      <c r="U138" s="51"/>
      <c r="V138" s="51"/>
      <c r="W138" s="51"/>
      <c r="X138" s="51"/>
      <c r="Y138" s="51"/>
      <c r="Z138" s="51"/>
      <c r="AA138" s="51"/>
    </row>
    <row r="139" ht="22" customHeight="1">
      <c r="A139" s="49" t="str">
        <v>Convertible debt</v>
      </c>
      <c r="B139" s="3"/>
      <c r="C139" s="51"/>
      <c r="D139" s="51" t="n">
        <v>0</v>
      </c>
      <c r="E139" s="51" t="n">
        <v>0</v>
      </c>
      <c r="F139" s="51" t="n">
        <v>0</v>
      </c>
      <c r="G139" s="51" t="n">
        <v>0</v>
      </c>
      <c r="H139" s="51" t="n">
        <v>0</v>
      </c>
      <c r="I139" s="51"/>
      <c r="J139" s="51"/>
      <c r="K139" s="51"/>
      <c r="L139" s="51"/>
      <c r="M139" s="51"/>
      <c r="N139" s="51"/>
      <c r="O139" s="51"/>
      <c r="P139" s="51"/>
      <c r="Q139" s="51"/>
      <c r="R139" s="51"/>
      <c r="S139" s="51"/>
      <c r="T139" s="51"/>
      <c r="U139" s="51"/>
      <c r="V139" s="51"/>
      <c r="W139" s="51"/>
      <c r="X139" s="51"/>
      <c r="Y139" s="51"/>
      <c r="Z139" s="51"/>
      <c r="AA139" s="51"/>
    </row>
    <row r="140" ht="22" customHeight="1">
      <c r="A140" s="49" t="str">
        <v>Repurchase of common stock</v>
      </c>
      <c r="B140" s="3"/>
      <c r="C140" s="51" t="n">
        <v>-2180</v>
      </c>
      <c r="D140" s="51" t="n">
        <v>-3057</v>
      </c>
      <c r="E140" s="51" t="n">
        <v>-9650</v>
      </c>
      <c r="F140" s="51" t="n">
        <v>-11973</v>
      </c>
      <c r="G140" s="51" t="n">
        <v>-12481</v>
      </c>
      <c r="H140" s="51" t="n">
        <v>-2166</v>
      </c>
      <c r="I140" s="51"/>
      <c r="J140" s="51"/>
      <c r="K140" s="51"/>
      <c r="L140" s="51"/>
      <c r="M140" s="51"/>
      <c r="N140" s="51"/>
      <c r="O140" s="51"/>
      <c r="P140" s="51"/>
      <c r="Q140" s="51"/>
      <c r="R140" s="51"/>
      <c r="S140" s="51"/>
      <c r="T140" s="51"/>
      <c r="U140" s="51"/>
      <c r="V140" s="51"/>
      <c r="W140" s="51"/>
      <c r="X140" s="51"/>
      <c r="Y140" s="51"/>
      <c r="Z140" s="51"/>
      <c r="AA140" s="51"/>
    </row>
    <row r="141" ht="22" customHeight="1">
      <c r="A141" s="49" t="str">
        <v>Restricted stock unit withholdings</v>
      </c>
      <c r="B141" s="3"/>
      <c r="C141" s="51" t="n">
        <v>-78</v>
      </c>
      <c r="D141" s="51" t="n">
        <v>-135</v>
      </c>
      <c r="E141" s="51" t="n">
        <v>-197</v>
      </c>
      <c r="F141" s="51" t="n">
        <v>-146</v>
      </c>
      <c r="G141" s="51" t="n">
        <v>-140</v>
      </c>
      <c r="H141" s="51" t="n">
        <v>-61</v>
      </c>
      <c r="I141" s="51" t="n">
        <v>123</v>
      </c>
      <c r="J141" s="51" t="n">
        <v>150</v>
      </c>
      <c r="K141" s="51" t="n">
        <v>231</v>
      </c>
      <c r="L141" s="51" t="n">
        <v>169</v>
      </c>
      <c r="M141" s="51"/>
      <c r="N141" s="51" t="n">
        <v>38</v>
      </c>
      <c r="O141" s="51" t="n">
        <v>101</v>
      </c>
      <c r="P141" s="51" t="n">
        <v>18</v>
      </c>
      <c r="Q141" s="51"/>
      <c r="R141" s="51" t="n">
        <v>-22</v>
      </c>
      <c r="S141" s="51" t="n">
        <v>82</v>
      </c>
      <c r="T141" s="51" t="n">
        <v>65</v>
      </c>
      <c r="U141" s="51"/>
      <c r="V141" s="51" t="n">
        <v>62</v>
      </c>
      <c r="W141" s="51" t="n">
        <v>80</v>
      </c>
      <c r="X141" s="51" t="n">
        <v>55</v>
      </c>
      <c r="Y141" s="51"/>
      <c r="Z141" s="51" t="n">
        <v>-76</v>
      </c>
      <c r="AA141" s="51" t="n">
        <v>-304</v>
      </c>
    </row>
    <row r="142" ht="22" customHeight="1">
      <c r="A142" s="49" t="str">
        <v>Net proceeds from partner contributions</v>
      </c>
      <c r="B142" s="3"/>
      <c r="C142" s="51"/>
      <c r="D142" s="51"/>
      <c r="E142" s="51"/>
      <c r="F142" s="51"/>
      <c r="G142" s="51"/>
      <c r="H142" s="51"/>
      <c r="I142" s="51"/>
      <c r="J142" s="51"/>
      <c r="K142" s="51" t="n">
        <v>0</v>
      </c>
      <c r="L142" s="51"/>
      <c r="M142" s="51"/>
      <c r="N142" s="51" t="n">
        <v>0</v>
      </c>
      <c r="O142" s="51"/>
      <c r="P142" s="51"/>
      <c r="Q142" s="51"/>
      <c r="R142" s="51" t="n">
        <v>0</v>
      </c>
      <c r="S142" s="51" t="n">
        <v>0</v>
      </c>
      <c r="T142" s="51" t="n">
        <v>0</v>
      </c>
      <c r="U142" s="51"/>
      <c r="V142" s="51" t="n">
        <v>0</v>
      </c>
      <c r="W142" s="51" t="n">
        <v>0</v>
      </c>
      <c r="X142" s="51"/>
      <c r="Y142" s="51"/>
      <c r="Z142" s="51"/>
      <c r="AA142" s="51"/>
    </row>
    <row r="143" ht="22" customHeight="1">
      <c r="A143" s="49" t="str">
        <v>Employee equity incentive plans and other</v>
      </c>
      <c r="B143" s="3"/>
      <c r="C143" s="51"/>
      <c r="D143" s="51"/>
      <c r="E143" s="51"/>
      <c r="F143" s="51" t="n">
        <v>0</v>
      </c>
      <c r="G143" s="51" t="n">
        <v>0</v>
      </c>
      <c r="H143" s="51" t="n">
        <v>0</v>
      </c>
      <c r="I143" s="51" t="n">
        <v>0</v>
      </c>
      <c r="J143" s="51" t="n">
        <v>0</v>
      </c>
      <c r="K143" s="51" t="n">
        <v>0</v>
      </c>
      <c r="L143" s="51" t="n">
        <v>0</v>
      </c>
      <c r="M143" s="51"/>
      <c r="N143" s="51" t="n">
        <v>0</v>
      </c>
      <c r="O143" s="51" t="n">
        <v>0</v>
      </c>
      <c r="P143" s="51" t="n">
        <v>0</v>
      </c>
      <c r="Q143" s="51"/>
      <c r="R143" s="51" t="n">
        <v>0</v>
      </c>
      <c r="S143" s="51" t="n">
        <v>0</v>
      </c>
      <c r="T143" s="51" t="n">
        <v>0</v>
      </c>
      <c r="U143" s="51"/>
      <c r="V143" s="51" t="n">
        <v>0</v>
      </c>
      <c r="W143" s="51" t="n">
        <v>0</v>
      </c>
      <c r="X143" s="51" t="n">
        <v>0</v>
      </c>
      <c r="Y143" s="51"/>
      <c r="Z143" s="51"/>
      <c r="AA143" s="51"/>
    </row>
    <row r="144" ht="22" customHeight="1">
      <c r="A144" s="49" t="str">
        <v>Opening balance adjustment1</v>
      </c>
      <c r="B144" s="3"/>
      <c r="C144" s="51"/>
      <c r="D144" s="51"/>
      <c r="E144" s="51"/>
      <c r="F144" s="51"/>
      <c r="G144" s="51"/>
      <c r="H144" s="51"/>
      <c r="I144" s="51"/>
      <c r="J144" s="51"/>
      <c r="K144" s="51"/>
      <c r="L144" s="51" t="n">
        <v>49</v>
      </c>
      <c r="M144" s="51"/>
      <c r="N144" s="51"/>
      <c r="O144" s="51"/>
      <c r="P144" s="51"/>
      <c r="Q144" s="51"/>
      <c r="R144" s="51"/>
      <c r="S144" s="51"/>
      <c r="T144" s="51"/>
      <c r="U144" s="51"/>
      <c r="V144" s="51"/>
      <c r="W144" s="51"/>
      <c r="X144" s="51"/>
      <c r="Y144" s="51"/>
      <c r="Z144" s="51"/>
      <c r="AA144" s="51"/>
    </row>
    <row r="145" ht="22" customHeight="1">
      <c r="A145" s="49" t="str">
        <v>Net proceeds from stock issuances and warrants2</v>
      </c>
      <c r="B145" s="3"/>
      <c r="C145" s="51"/>
      <c r="D145" s="51"/>
      <c r="E145" s="51"/>
      <c r="F145" s="51"/>
      <c r="G145" s="51"/>
      <c r="H145" s="51"/>
      <c r="I145" s="51"/>
      <c r="J145" s="51"/>
      <c r="K145" s="51"/>
      <c r="L145" s="51" t="n">
        <v>0</v>
      </c>
      <c r="M145" s="51"/>
      <c r="N145" s="51"/>
      <c r="O145" s="51"/>
      <c r="P145" s="51"/>
      <c r="Q145" s="51"/>
      <c r="R145" s="51"/>
      <c r="S145" s="51"/>
      <c r="T145" s="51"/>
      <c r="U145" s="51"/>
      <c r="V145" s="51"/>
      <c r="W145" s="51"/>
      <c r="X145" s="51" t="n">
        <v>0</v>
      </c>
      <c r="Y145" s="51"/>
      <c r="Z145" s="51"/>
      <c r="AA145" s="51"/>
    </row>
    <row r="146" ht="36" customHeight="1">
      <c r="A146" s="49" t="str">
        <v>Net proceeds from sales of subsidiary shares and partner contributions</v>
      </c>
      <c r="B146" s="3"/>
      <c r="C146" s="51"/>
      <c r="D146" s="51"/>
      <c r="E146" s="51"/>
      <c r="F146" s="51"/>
      <c r="G146" s="51"/>
      <c r="H146" s="51"/>
      <c r="I146" s="51"/>
      <c r="J146" s="51"/>
      <c r="K146" s="51"/>
      <c r="L146" s="51" t="n">
        <v>0</v>
      </c>
      <c r="M146" s="51"/>
      <c r="N146" s="51"/>
      <c r="O146" s="51" t="n">
        <v>0</v>
      </c>
      <c r="P146" s="51" t="n">
        <v>0</v>
      </c>
      <c r="Q146" s="51"/>
      <c r="R146" s="51"/>
      <c r="S146" s="51"/>
      <c r="T146" s="51"/>
      <c r="U146" s="51"/>
      <c r="V146" s="51"/>
      <c r="W146" s="51"/>
      <c r="X146" s="51" t="n">
        <v>0</v>
      </c>
      <c r="Y146" s="51"/>
      <c r="Z146" s="51"/>
      <c r="AA146" s="51"/>
    </row>
    <row r="147" ht="8"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22" customHeight="1">
      <c r="A148" s="21" t="str">
        <v>Equity movements: Non-controlling interests</v>
      </c>
      <c r="B148" s="21" t="str">
        <v>Equity movements: Non-controlling interests</v>
      </c>
      <c r="C148" s="21" t="str">
        <v>Equity movements: Non-controlling interests</v>
      </c>
      <c r="D148" s="21" t="str">
        <v>Equity movements: Non-controlling interests</v>
      </c>
      <c r="E148" s="21" t="str">
        <v>Equity movements: Non-controlling interests</v>
      </c>
      <c r="F148" s="21" t="str">
        <v>Equity movements: Non-controlling interests</v>
      </c>
      <c r="G148" s="21" t="str">
        <v>Equity movements: Non-controlling interests</v>
      </c>
      <c r="H148" s="21" t="str">
        <v>Equity movements: Non-controlling interests</v>
      </c>
      <c r="I148" s="21" t="str">
        <v>Equity movements: Non-controlling interests</v>
      </c>
      <c r="J148" s="21" t="str">
        <v>Equity movements: Non-controlling interests</v>
      </c>
      <c r="K148" s="21" t="str">
        <v>Equity movements: Non-controlling interests</v>
      </c>
      <c r="L148" s="21" t="str">
        <v>Equity movements: Non-controlling interests</v>
      </c>
      <c r="M148" s="21" t="str">
        <v>Equity movements: Non-controlling interests</v>
      </c>
      <c r="N148" s="21" t="str">
        <v>Equity movements: Non-controlling interests</v>
      </c>
      <c r="O148" s="21" t="str">
        <v>Equity movements: Non-controlling interests</v>
      </c>
      <c r="P148" s="21" t="str">
        <v>Equity movements: Non-controlling interests</v>
      </c>
      <c r="Q148" s="21" t="str">
        <v>Equity movements: Non-controlling interests</v>
      </c>
      <c r="R148" s="21" t="str">
        <v>Equity movements: Non-controlling interests</v>
      </c>
      <c r="S148" s="21" t="str">
        <v>Equity movements: Non-controlling interests</v>
      </c>
      <c r="T148" s="21" t="str">
        <v>Equity movements: Non-controlling interests</v>
      </c>
      <c r="U148" s="21" t="str">
        <v>Equity movements: Non-controlling interests</v>
      </c>
      <c r="V148" s="21" t="str">
        <v>Equity movements: Non-controlling interests</v>
      </c>
      <c r="W148" s="21" t="str">
        <v>Equity movements: Non-controlling interests</v>
      </c>
      <c r="X148" s="21" t="str">
        <v>Equity movements: Non-controlling interests</v>
      </c>
      <c r="Y148" s="21" t="str">
        <v>Equity movements: Non-controlling interests</v>
      </c>
      <c r="Z148" s="21" t="str">
        <v>Equity movements: Non-controlling interests</v>
      </c>
      <c r="AA148" s="21" t="str">
        <v>Equity movements: Non-controlling interests</v>
      </c>
    </row>
    <row r="149" ht="18" customHeight="1">
      <c r="A149" s="22" t="str">
        <v>Date-specific balance captions are consolidated into one period-end balance row; dividend captions are consolidated while source detail is retained.</v>
      </c>
      <c r="B149" s="22" t="str">
        <v>Date-specific balance captions are consolidated into one period-end balance row; dividend captions are consolidated while source detail is retained.</v>
      </c>
      <c r="C149" s="22" t="str">
        <v>Date-specific balance captions are consolidated into one period-end balance row; dividend captions are consolidated while source detail is retained.</v>
      </c>
      <c r="D149" s="22" t="str">
        <v>Date-specific balance captions are consolidated into one period-end balance row; dividend captions are consolidated while source detail is retained.</v>
      </c>
      <c r="E149" s="22" t="str">
        <v>Date-specific balance captions are consolidated into one period-end balance row; dividend captions are consolidated while source detail is retained.</v>
      </c>
      <c r="F149" s="22" t="str">
        <v>Date-specific balance captions are consolidated into one period-end balance row; dividend captions are consolidated while source detail is retained.</v>
      </c>
      <c r="G149" s="22" t="str">
        <v>Date-specific balance captions are consolidated into one period-end balance row; dividend captions are consolidated while source detail is retained.</v>
      </c>
      <c r="H149" s="22" t="str">
        <v>Date-specific balance captions are consolidated into one period-end balance row; dividend captions are consolidated while source detail is retained.</v>
      </c>
      <c r="I149" s="22" t="str">
        <v>Date-specific balance captions are consolidated into one period-end balance row; dividend captions are consolidated while source detail is retained.</v>
      </c>
      <c r="J149" s="22" t="str">
        <v>Date-specific balance captions are consolidated into one period-end balance row; dividend captions are consolidated while source detail is retained.</v>
      </c>
      <c r="K149" s="22" t="str">
        <v>Date-specific balance captions are consolidated into one period-end balance row; dividend captions are consolidated while source detail is retained.</v>
      </c>
      <c r="L149" s="22" t="str">
        <v>Date-specific balance captions are consolidated into one period-end balance row; dividend captions are consolidated while source detail is retained.</v>
      </c>
      <c r="M149" s="22" t="str">
        <v>Date-specific balance captions are consolidated into one period-end balance row; dividend captions are consolidated while source detail is retained.</v>
      </c>
      <c r="N149" s="22" t="str">
        <v>Date-specific balance captions are consolidated into one period-end balance row; dividend captions are consolidated while source detail is retained.</v>
      </c>
      <c r="O149" s="22" t="str">
        <v>Date-specific balance captions are consolidated into one period-end balance row; dividend captions are consolidated while source detail is retained.</v>
      </c>
      <c r="P149" s="22" t="str">
        <v>Date-specific balance captions are consolidated into one period-end balance row; dividend captions are consolidated while source detail is retained.</v>
      </c>
      <c r="Q149" s="22" t="str">
        <v>Date-specific balance captions are consolidated into one period-end balance row; dividend captions are consolidated while source detail is retained.</v>
      </c>
      <c r="R149" s="22" t="str">
        <v>Date-specific balance captions are consolidated into one period-end balance row; dividend captions are consolidated while source detail is retained.</v>
      </c>
      <c r="S149" s="22" t="str">
        <v>Date-specific balance captions are consolidated into one period-end balance row; dividend captions are consolidated while source detail is retained.</v>
      </c>
      <c r="T149" s="22" t="str">
        <v>Date-specific balance captions are consolidated into one period-end balance row; dividend captions are consolidated while source detail is retained.</v>
      </c>
      <c r="U149" s="22" t="str">
        <v>Date-specific balance captions are consolidated into one period-end balance row; dividend captions are consolidated while source detail is retained.</v>
      </c>
      <c r="V149" s="22" t="str">
        <v>Date-specific balance captions are consolidated into one period-end balance row; dividend captions are consolidated while source detail is retained.</v>
      </c>
      <c r="W149" s="22" t="str">
        <v>Date-specific balance captions are consolidated into one period-end balance row; dividend captions are consolidated while source detail is retained.</v>
      </c>
      <c r="X149" s="22" t="str">
        <v>Date-specific balance captions are consolidated into one period-end balance row; dividend captions are consolidated while source detail is retained.</v>
      </c>
      <c r="Y149" s="22" t="str">
        <v>Date-specific balance captions are consolidated into one period-end balance row; dividend captions are consolidated while source detail is retained.</v>
      </c>
      <c r="Z149" s="22" t="str">
        <v>Date-specific balance captions are consolidated into one period-end balance row; dividend captions are consolidated while source detail is retained.</v>
      </c>
      <c r="AA149" s="22" t="str">
        <v>Date-specific balance captions are consolidated into one period-end balance row; dividend captions are consolidated while source detail is retained.</v>
      </c>
    </row>
    <row r="150" ht="24" customHeight="1">
      <c r="A150" s="34" t="str">
        <v>Balance at period end</v>
      </c>
      <c r="B150" s="35"/>
      <c r="C150" s="36"/>
      <c r="D150" s="36"/>
      <c r="E150" s="36"/>
      <c r="F150" s="36" t="n">
        <v>0</v>
      </c>
      <c r="G150" s="36" t="n">
        <v>0</v>
      </c>
      <c r="H150" s="36" t="n">
        <v>0</v>
      </c>
      <c r="I150" s="36" t="n">
        <v>1863</v>
      </c>
      <c r="J150" s="36" t="n">
        <v>4375</v>
      </c>
      <c r="K150" s="36" t="n">
        <v>5762</v>
      </c>
      <c r="L150" s="36" t="n">
        <v>12079</v>
      </c>
      <c r="M150" s="36"/>
      <c r="N150" s="36" t="n">
        <v>2344</v>
      </c>
      <c r="O150" s="36" t="n">
        <v>3454</v>
      </c>
      <c r="P150" s="36" t="n">
        <v>3873</v>
      </c>
      <c r="Q150" s="36"/>
      <c r="R150" s="36" t="n">
        <v>4783</v>
      </c>
      <c r="S150" s="36" t="n">
        <v>5205</v>
      </c>
      <c r="T150" s="36" t="n">
        <v>5332</v>
      </c>
      <c r="U150" s="36"/>
      <c r="V150" s="36" t="n">
        <v>6657</v>
      </c>
      <c r="W150" s="36" t="n">
        <v>7868</v>
      </c>
      <c r="X150" s="36" t="n">
        <v>10354</v>
      </c>
      <c r="Y150" s="36"/>
      <c r="Z150" s="36" t="n">
        <v>13595</v>
      </c>
      <c r="AA150" s="36" t="n">
        <v>15601</v>
      </c>
    </row>
    <row r="151" ht="22" customHeight="1">
      <c r="A151" s="49" t="str">
        <v>Cash dividends declared</v>
      </c>
      <c r="B151" s="3"/>
      <c r="C151" s="51"/>
      <c r="D151" s="51"/>
      <c r="E151" s="51"/>
      <c r="F151" s="51"/>
      <c r="G151" s="51" t="n">
        <v>0</v>
      </c>
      <c r="H151" s="51" t="n">
        <v>0</v>
      </c>
      <c r="I151" s="51" t="n">
        <v>0</v>
      </c>
      <c r="J151" s="51" t="n">
        <v>0</v>
      </c>
      <c r="K151" s="51" t="n">
        <v>0</v>
      </c>
      <c r="L151" s="51"/>
      <c r="M151" s="51"/>
      <c r="N151" s="51" t="n">
        <v>0</v>
      </c>
      <c r="O151" s="51"/>
      <c r="P151" s="51" t="n">
        <v>0</v>
      </c>
      <c r="Q151" s="51"/>
      <c r="R151" s="51" t="n">
        <v>0</v>
      </c>
      <c r="S151" s="51" t="n">
        <v>0</v>
      </c>
      <c r="T151" s="51" t="n">
        <v>0</v>
      </c>
      <c r="U151" s="51"/>
      <c r="V151" s="51"/>
      <c r="W151" s="51"/>
      <c r="X151" s="51"/>
      <c r="Y151" s="51"/>
      <c r="Z151" s="51"/>
      <c r="AA151" s="51"/>
    </row>
    <row r="152" ht="22" customHeight="1">
      <c r="A152" s="49" t="str">
        <v>Net proceeds received from IPO and partner contributions</v>
      </c>
      <c r="B152" s="3"/>
      <c r="C152" s="51"/>
      <c r="D152" s="51"/>
      <c r="E152" s="51"/>
      <c r="F152" s="51"/>
      <c r="G152" s="51"/>
      <c r="H152" s="51"/>
      <c r="I152" s="51" t="n">
        <v>1831</v>
      </c>
      <c r="J152" s="51"/>
      <c r="K152" s="51"/>
      <c r="L152" s="51"/>
      <c r="M152" s="51"/>
      <c r="N152" s="51"/>
      <c r="O152" s="51"/>
      <c r="P152" s="51"/>
      <c r="Q152" s="51"/>
      <c r="R152" s="51"/>
      <c r="S152" s="51"/>
      <c r="T152" s="51"/>
      <c r="U152" s="51"/>
      <c r="V152" s="51"/>
      <c r="W152" s="51"/>
      <c r="X152" s="51"/>
      <c r="Y152" s="51"/>
      <c r="Z152" s="51"/>
      <c r="AA152" s="51"/>
    </row>
    <row r="153" ht="36" customHeight="1">
      <c r="A153" s="49" t="str">
        <v>Proceeds from sales of subsidiary shares and partner contributions</v>
      </c>
      <c r="B153" s="3"/>
      <c r="C153" s="51"/>
      <c r="D153" s="51"/>
      <c r="E153" s="51"/>
      <c r="F153" s="51"/>
      <c r="G153" s="51"/>
      <c r="H153" s="51"/>
      <c r="I153" s="51"/>
      <c r="J153" s="51" t="n">
        <v>2385</v>
      </c>
      <c r="K153" s="51"/>
      <c r="L153" s="51"/>
      <c r="M153" s="51"/>
      <c r="N153" s="51"/>
      <c r="O153" s="51"/>
      <c r="P153" s="51"/>
      <c r="Q153" s="51"/>
      <c r="R153" s="51"/>
      <c r="S153" s="51"/>
      <c r="T153" s="51"/>
      <c r="U153" s="51"/>
      <c r="V153" s="51"/>
      <c r="W153" s="51"/>
      <c r="X153" s="51"/>
      <c r="Y153" s="51"/>
      <c r="Z153" s="51"/>
      <c r="AA153" s="51"/>
    </row>
    <row r="154" ht="22" customHeight="1">
      <c r="A154" s="49" t="str">
        <v>Net income (loss)</v>
      </c>
      <c r="B154" s="3"/>
      <c r="C154" s="51"/>
      <c r="D154" s="51"/>
      <c r="E154" s="51"/>
      <c r="F154" s="51"/>
      <c r="G154" s="51" t="n">
        <v>0</v>
      </c>
      <c r="H154" s="51" t="n">
        <v>0</v>
      </c>
      <c r="I154" s="51" t="n">
        <v>3</v>
      </c>
      <c r="J154" s="51" t="n">
        <v>-14</v>
      </c>
      <c r="K154" s="51" t="n">
        <v>-477</v>
      </c>
      <c r="L154" s="51" t="n">
        <v>293</v>
      </c>
      <c r="M154" s="51"/>
      <c r="N154" s="51" t="n">
        <v>-10</v>
      </c>
      <c r="O154" s="51" t="n">
        <v>-8</v>
      </c>
      <c r="P154" s="51" t="n">
        <v>13</v>
      </c>
      <c r="Q154" s="51"/>
      <c r="R154" s="51" t="n">
        <v>-56</v>
      </c>
      <c r="S154" s="51" t="n">
        <v>-44</v>
      </c>
      <c r="T154" s="51" t="n">
        <v>-350</v>
      </c>
      <c r="U154" s="51"/>
      <c r="V154" s="51" t="n">
        <v>-66</v>
      </c>
      <c r="W154" s="51" t="n">
        <v>-106</v>
      </c>
      <c r="X154" s="51" t="n">
        <v>207</v>
      </c>
      <c r="Y154" s="51"/>
      <c r="Z154" s="51" t="n">
        <v>-553</v>
      </c>
      <c r="AA154" s="51" t="n">
        <v>185</v>
      </c>
    </row>
    <row r="155" ht="22" customHeight="1">
      <c r="A155" s="49" t="str">
        <v>Other comprehensive income (loss)</v>
      </c>
      <c r="B155" s="3"/>
      <c r="C155" s="51"/>
      <c r="D155" s="51"/>
      <c r="E155" s="51"/>
      <c r="F155" s="51"/>
      <c r="G155" s="51" t="n">
        <v>0</v>
      </c>
      <c r="H155" s="51" t="n">
        <v>0</v>
      </c>
      <c r="I155" s="51" t="n">
        <v>0</v>
      </c>
      <c r="J155" s="51" t="n">
        <v>0</v>
      </c>
      <c r="K155" s="51" t="n">
        <v>0</v>
      </c>
      <c r="L155" s="51" t="n">
        <v>0</v>
      </c>
      <c r="M155" s="51"/>
      <c r="N155" s="51" t="n">
        <v>0</v>
      </c>
      <c r="O155" s="51" t="n">
        <v>0</v>
      </c>
      <c r="P155" s="51" t="n">
        <v>0</v>
      </c>
      <c r="Q155" s="51"/>
      <c r="R155" s="51" t="n">
        <v>0</v>
      </c>
      <c r="S155" s="51" t="n">
        <v>0</v>
      </c>
      <c r="T155" s="51" t="n">
        <v>0</v>
      </c>
      <c r="U155" s="51"/>
      <c r="V155" s="51" t="n">
        <v>0</v>
      </c>
      <c r="W155" s="51" t="n">
        <v>0</v>
      </c>
      <c r="X155" s="51" t="n">
        <v>0</v>
      </c>
      <c r="Y155" s="51"/>
      <c r="Z155" s="51" t="n">
        <v>0</v>
      </c>
      <c r="AA155" s="51" t="n">
        <v>0</v>
      </c>
    </row>
    <row r="156" ht="22" customHeight="1">
      <c r="A156" s="49" t="str">
        <v>Net proceeds attributed to Escrowed Shares issued</v>
      </c>
      <c r="B156" s="3"/>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t="n">
        <v>0</v>
      </c>
      <c r="AA156" s="51" t="n">
        <v>0</v>
      </c>
    </row>
    <row r="157" ht="22" customHeight="1">
      <c r="A157" s="49" t="str">
        <v>Partner contributions and issuance of subsidiary shares</v>
      </c>
      <c r="B157" s="3"/>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t="n">
        <v>2090</v>
      </c>
      <c r="AA157" s="51"/>
    </row>
    <row r="158" ht="22" customHeight="1">
      <c r="A158" s="49" t="str">
        <v>Partner distributions</v>
      </c>
      <c r="B158" s="3"/>
      <c r="C158" s="51"/>
      <c r="D158" s="51"/>
      <c r="E158" s="51"/>
      <c r="F158" s="51"/>
      <c r="G158" s="51"/>
      <c r="H158" s="51"/>
      <c r="I158" s="51"/>
      <c r="J158" s="51"/>
      <c r="K158" s="51" t="n">
        <v>-43</v>
      </c>
      <c r="L158" s="51" t="n">
        <v>-217</v>
      </c>
      <c r="M158" s="51"/>
      <c r="N158" s="51"/>
      <c r="O158" s="51"/>
      <c r="P158" s="51"/>
      <c r="Q158" s="51"/>
      <c r="R158" s="51"/>
      <c r="S158" s="51"/>
      <c r="T158" s="51"/>
      <c r="U158" s="51"/>
      <c r="V158" s="51" t="n">
        <v>-58</v>
      </c>
      <c r="W158" s="51" t="n">
        <v>-33</v>
      </c>
      <c r="X158" s="51" t="n">
        <v>-68</v>
      </c>
      <c r="Y158" s="51"/>
      <c r="Z158" s="51" t="n">
        <v>-105</v>
      </c>
      <c r="AA158" s="51"/>
    </row>
    <row r="159" ht="22" customHeight="1">
      <c r="A159" s="49" t="str">
        <v>Partner contributions</v>
      </c>
      <c r="B159" s="3"/>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t="n">
        <v>2019</v>
      </c>
    </row>
    <row r="160" ht="36" customHeight="1">
      <c r="A160" s="49" t="str">
        <v>Partner distributions declared and repurchase of subsidiary shares</v>
      </c>
      <c r="B160" s="3"/>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t="n">
        <v>-285</v>
      </c>
    </row>
    <row r="161" ht="22" customHeight="1">
      <c r="A161" s="49" t="str">
        <v>Employee equity incentive plans</v>
      </c>
      <c r="B161" s="3"/>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t="n">
        <v>0</v>
      </c>
      <c r="AA161" s="51" t="n">
        <v>0</v>
      </c>
    </row>
    <row r="162" ht="22" customHeight="1">
      <c r="A162" s="49" t="str">
        <v>Share-based compensation</v>
      </c>
      <c r="B162" s="3"/>
      <c r="C162" s="51"/>
      <c r="D162" s="51"/>
      <c r="E162" s="51"/>
      <c r="F162" s="51"/>
      <c r="G162" s="51" t="n">
        <v>0</v>
      </c>
      <c r="H162" s="51" t="n">
        <v>0</v>
      </c>
      <c r="I162" s="51" t="n">
        <v>29</v>
      </c>
      <c r="J162" s="51" t="n">
        <v>141</v>
      </c>
      <c r="K162" s="51" t="n">
        <v>205</v>
      </c>
      <c r="L162" s="51" t="n">
        <v>271</v>
      </c>
      <c r="M162" s="51"/>
      <c r="N162" s="51" t="n">
        <v>42</v>
      </c>
      <c r="O162" s="51" t="n">
        <v>26</v>
      </c>
      <c r="P162" s="51" t="n">
        <v>35</v>
      </c>
      <c r="Q162" s="51"/>
      <c r="R162" s="51" t="n">
        <v>41</v>
      </c>
      <c r="S162" s="51" t="n">
        <v>40</v>
      </c>
      <c r="T162" s="51" t="n">
        <v>60</v>
      </c>
      <c r="U162" s="51"/>
      <c r="V162" s="51" t="n">
        <v>62</v>
      </c>
      <c r="W162" s="51" t="n">
        <v>67</v>
      </c>
      <c r="X162" s="51" t="n">
        <v>71</v>
      </c>
      <c r="Y162" s="51"/>
      <c r="Z162" s="51" t="n">
        <v>84</v>
      </c>
      <c r="AA162" s="51" t="n">
        <v>87</v>
      </c>
    </row>
    <row r="163" ht="22" customHeight="1">
      <c r="A163" s="49" t="str">
        <v>Temporary equity reduction</v>
      </c>
      <c r="B163" s="3"/>
      <c r="C163" s="51"/>
      <c r="D163" s="51"/>
      <c r="E163" s="51"/>
      <c r="F163" s="51"/>
      <c r="G163" s="51" t="n">
        <v>0</v>
      </c>
      <c r="H163" s="51"/>
      <c r="I163" s="51"/>
      <c r="J163" s="51"/>
      <c r="K163" s="51"/>
      <c r="L163" s="51"/>
      <c r="M163" s="51"/>
      <c r="N163" s="51"/>
      <c r="O163" s="51"/>
      <c r="P163" s="51"/>
      <c r="Q163" s="51"/>
      <c r="R163" s="51"/>
      <c r="S163" s="51"/>
      <c r="T163" s="51"/>
      <c r="U163" s="51"/>
      <c r="V163" s="51"/>
      <c r="W163" s="51"/>
      <c r="X163" s="51"/>
      <c r="Y163" s="51"/>
      <c r="Z163" s="51"/>
      <c r="AA163" s="51"/>
    </row>
    <row r="164" ht="22" customHeight="1">
      <c r="A164" s="49" t="str">
        <v>Convertible debt</v>
      </c>
      <c r="B164" s="3"/>
      <c r="C164" s="51"/>
      <c r="D164" s="51"/>
      <c r="E164" s="51"/>
      <c r="F164" s="51"/>
      <c r="G164" s="51" t="n">
        <v>0</v>
      </c>
      <c r="H164" s="51"/>
      <c r="I164" s="51"/>
      <c r="J164" s="51"/>
      <c r="K164" s="51"/>
      <c r="L164" s="51"/>
      <c r="M164" s="51"/>
      <c r="N164" s="51"/>
      <c r="O164" s="51"/>
      <c r="P164" s="51"/>
      <c r="Q164" s="51"/>
      <c r="R164" s="51"/>
      <c r="S164" s="51"/>
      <c r="T164" s="51"/>
      <c r="U164" s="51"/>
      <c r="V164" s="51"/>
      <c r="W164" s="51"/>
      <c r="X164" s="51"/>
      <c r="Y164" s="51"/>
      <c r="Z164" s="51"/>
      <c r="AA164" s="51"/>
    </row>
    <row r="165" ht="22" customHeight="1">
      <c r="A165" s="49" t="str">
        <v>Repurchase of common stock</v>
      </c>
      <c r="B165" s="3"/>
      <c r="C165" s="51"/>
      <c r="D165" s="51"/>
      <c r="E165" s="51"/>
      <c r="F165" s="51"/>
      <c r="G165" s="51" t="n">
        <v>0</v>
      </c>
      <c r="H165" s="51" t="n">
        <v>0</v>
      </c>
      <c r="I165" s="51"/>
      <c r="J165" s="51"/>
      <c r="K165" s="51"/>
      <c r="L165" s="51"/>
      <c r="M165" s="51"/>
      <c r="N165" s="51"/>
      <c r="O165" s="51"/>
      <c r="P165" s="51"/>
      <c r="Q165" s="51"/>
      <c r="R165" s="51"/>
      <c r="S165" s="51"/>
      <c r="T165" s="51"/>
      <c r="U165" s="51"/>
      <c r="V165" s="51"/>
      <c r="W165" s="51"/>
      <c r="X165" s="51"/>
      <c r="Y165" s="51"/>
      <c r="Z165" s="51"/>
      <c r="AA165" s="51"/>
    </row>
    <row r="166" ht="22" customHeight="1">
      <c r="A166" s="49" t="str">
        <v>Restricted stock unit withholdings</v>
      </c>
      <c r="B166" s="3"/>
      <c r="C166" s="51"/>
      <c r="D166" s="51"/>
      <c r="E166" s="51"/>
      <c r="F166" s="51"/>
      <c r="G166" s="51" t="n">
        <v>0</v>
      </c>
      <c r="H166" s="51" t="n">
        <v>0</v>
      </c>
      <c r="I166" s="51" t="n">
        <v>0</v>
      </c>
      <c r="J166" s="51" t="n">
        <v>0</v>
      </c>
      <c r="K166" s="51" t="n">
        <v>0</v>
      </c>
      <c r="L166" s="51" t="n">
        <v>0</v>
      </c>
      <c r="M166" s="51"/>
      <c r="N166" s="51" t="n">
        <v>0</v>
      </c>
      <c r="O166" s="51" t="n">
        <v>0</v>
      </c>
      <c r="P166" s="51" t="n">
        <v>0</v>
      </c>
      <c r="Q166" s="51"/>
      <c r="R166" s="51" t="n">
        <v>0</v>
      </c>
      <c r="S166" s="51" t="n">
        <v>0</v>
      </c>
      <c r="T166" s="51" t="n">
        <v>0</v>
      </c>
      <c r="U166" s="51"/>
      <c r="V166" s="51" t="n">
        <v>0</v>
      </c>
      <c r="W166" s="51" t="n">
        <v>0</v>
      </c>
      <c r="X166" s="51" t="n">
        <v>0</v>
      </c>
      <c r="Y166" s="51"/>
      <c r="Z166" s="51" t="n">
        <v>0</v>
      </c>
      <c r="AA166" s="51" t="n">
        <v>0</v>
      </c>
    </row>
    <row r="167" ht="22" customHeight="1">
      <c r="A167" s="49" t="str">
        <v>Net proceeds from partner contributions</v>
      </c>
      <c r="B167" s="3"/>
      <c r="C167" s="51"/>
      <c r="D167" s="51"/>
      <c r="E167" s="51"/>
      <c r="F167" s="51"/>
      <c r="G167" s="51"/>
      <c r="H167" s="51"/>
      <c r="I167" s="51"/>
      <c r="J167" s="51"/>
      <c r="K167" s="51" t="n">
        <v>1702</v>
      </c>
      <c r="L167" s="51"/>
      <c r="M167" s="51"/>
      <c r="N167" s="51" t="n">
        <v>449</v>
      </c>
      <c r="O167" s="51"/>
      <c r="P167" s="51"/>
      <c r="Q167" s="51"/>
      <c r="R167" s="51" t="n">
        <v>423</v>
      </c>
      <c r="S167" s="51" t="n">
        <v>426</v>
      </c>
      <c r="T167" s="51" t="n">
        <v>417</v>
      </c>
      <c r="U167" s="51"/>
      <c r="V167" s="51" t="n">
        <v>957</v>
      </c>
      <c r="W167" s="51" t="n">
        <v>1283</v>
      </c>
      <c r="X167" s="51"/>
      <c r="Y167" s="51"/>
      <c r="Z167" s="51"/>
      <c r="AA167" s="51"/>
    </row>
    <row r="168" ht="22" customHeight="1">
      <c r="A168" s="49" t="str">
        <v>Employee equity incentive plans and other</v>
      </c>
      <c r="B168" s="3"/>
      <c r="C168" s="51"/>
      <c r="D168" s="51"/>
      <c r="E168" s="51"/>
      <c r="F168" s="51"/>
      <c r="G168" s="51" t="n">
        <v>0</v>
      </c>
      <c r="H168" s="51" t="n">
        <v>0</v>
      </c>
      <c r="I168" s="51" t="n">
        <v>0</v>
      </c>
      <c r="J168" s="51" t="n">
        <v>0</v>
      </c>
      <c r="K168" s="51" t="n">
        <v>0</v>
      </c>
      <c r="L168" s="51" t="n">
        <v>0</v>
      </c>
      <c r="M168" s="51"/>
      <c r="N168" s="51" t="n">
        <v>0</v>
      </c>
      <c r="O168" s="51" t="n">
        <v>0</v>
      </c>
      <c r="P168" s="51" t="n">
        <v>0</v>
      </c>
      <c r="Q168" s="51"/>
      <c r="R168" s="51" t="n">
        <v>0</v>
      </c>
      <c r="S168" s="51" t="n">
        <v>0</v>
      </c>
      <c r="T168" s="51" t="n">
        <v>0</v>
      </c>
      <c r="U168" s="51"/>
      <c r="V168" s="51" t="n">
        <v>0</v>
      </c>
      <c r="W168" s="51" t="n">
        <v>0</v>
      </c>
      <c r="X168" s="51" t="n">
        <v>0</v>
      </c>
      <c r="Y168" s="51"/>
      <c r="Z168" s="51"/>
      <c r="AA168" s="51"/>
    </row>
    <row r="169" ht="22" customHeight="1">
      <c r="A169" s="49" t="str">
        <v>Opening balance adjustment1</v>
      </c>
      <c r="B169" s="3"/>
      <c r="C169" s="51"/>
      <c r="D169" s="51"/>
      <c r="E169" s="51"/>
      <c r="F169" s="51"/>
      <c r="G169" s="51"/>
      <c r="H169" s="51"/>
      <c r="I169" s="51"/>
      <c r="J169" s="51"/>
      <c r="K169" s="51"/>
      <c r="L169" s="51" t="n">
        <v>0</v>
      </c>
      <c r="M169" s="51"/>
      <c r="N169" s="51"/>
      <c r="O169" s="51"/>
      <c r="P169" s="51"/>
      <c r="Q169" s="51"/>
      <c r="R169" s="51"/>
      <c r="S169" s="51"/>
      <c r="T169" s="51"/>
      <c r="U169" s="51"/>
      <c r="V169" s="51"/>
      <c r="W169" s="51"/>
      <c r="X169" s="51"/>
      <c r="Y169" s="51"/>
      <c r="Z169" s="51"/>
      <c r="AA169" s="51"/>
    </row>
    <row r="170" ht="22" customHeight="1">
      <c r="A170" s="49" t="str">
        <v>Net proceeds from stock issuances and warrants2</v>
      </c>
      <c r="B170" s="3"/>
      <c r="C170" s="51"/>
      <c r="D170" s="51"/>
      <c r="E170" s="51"/>
      <c r="F170" s="51"/>
      <c r="G170" s="51"/>
      <c r="H170" s="51"/>
      <c r="I170" s="51"/>
      <c r="J170" s="51"/>
      <c r="K170" s="51"/>
      <c r="L170" s="51" t="n">
        <v>0</v>
      </c>
      <c r="M170" s="51"/>
      <c r="N170" s="51"/>
      <c r="O170" s="51"/>
      <c r="P170" s="51"/>
      <c r="Q170" s="51"/>
      <c r="R170" s="51"/>
      <c r="S170" s="51"/>
      <c r="T170" s="51"/>
      <c r="U170" s="51"/>
      <c r="V170" s="51"/>
      <c r="W170" s="51"/>
      <c r="X170" s="51" t="n">
        <v>0</v>
      </c>
      <c r="Y170" s="51"/>
      <c r="Z170" s="51"/>
      <c r="AA170" s="51"/>
    </row>
    <row r="171" ht="36" customHeight="1">
      <c r="A171" s="49" t="str">
        <v>Net proceeds from sales of subsidiary shares and partner contributions</v>
      </c>
      <c r="B171" s="3"/>
      <c r="C171" s="51"/>
      <c r="D171" s="51"/>
      <c r="E171" s="51"/>
      <c r="F171" s="51"/>
      <c r="G171" s="51"/>
      <c r="H171" s="51"/>
      <c r="I171" s="51"/>
      <c r="J171" s="51"/>
      <c r="K171" s="51"/>
      <c r="L171" s="51" t="n">
        <v>5970</v>
      </c>
      <c r="M171" s="51"/>
      <c r="N171" s="51"/>
      <c r="O171" s="51" t="n">
        <v>1092</v>
      </c>
      <c r="P171" s="51" t="n">
        <v>371</v>
      </c>
      <c r="Q171" s="51"/>
      <c r="R171" s="51"/>
      <c r="S171" s="51"/>
      <c r="T171" s="51"/>
      <c r="U171" s="51"/>
      <c r="V171" s="51"/>
      <c r="W171" s="51"/>
      <c r="X171" s="51" t="n">
        <v>2276</v>
      </c>
      <c r="Y171" s="51"/>
      <c r="Z171" s="51"/>
      <c r="AA171" s="51"/>
    </row>
    <row r="172" ht="8"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22" customHeight="1">
      <c r="A173" s="21" t="str">
        <v>Earnings per share and weighted-average shares</v>
      </c>
      <c r="B173" s="21" t="str">
        <v>Earnings per share and weighted-average shares</v>
      </c>
      <c r="C173" s="21" t="str">
        <v>Earnings per share and weighted-average shares</v>
      </c>
      <c r="D173" s="21" t="str">
        <v>Earnings per share and weighted-average shares</v>
      </c>
      <c r="E173" s="21" t="str">
        <v>Earnings per share and weighted-average shares</v>
      </c>
      <c r="F173" s="21" t="str">
        <v>Earnings per share and weighted-average shares</v>
      </c>
      <c r="G173" s="21" t="str">
        <v>Earnings per share and weighted-average shares</v>
      </c>
      <c r="H173" s="21" t="str">
        <v>Earnings per share and weighted-average shares</v>
      </c>
      <c r="I173" s="21" t="str">
        <v>Earnings per share and weighted-average shares</v>
      </c>
      <c r="J173" s="21" t="str">
        <v>Earnings per share and weighted-average shares</v>
      </c>
      <c r="K173" s="21" t="str">
        <v>Earnings per share and weighted-average shares</v>
      </c>
      <c r="L173" s="21" t="str">
        <v>Earnings per share and weighted-average shares</v>
      </c>
      <c r="M173" s="21" t="str">
        <v>Earnings per share and weighted-average shares</v>
      </c>
      <c r="N173" s="21" t="str">
        <v>Earnings per share and weighted-average shares</v>
      </c>
      <c r="O173" s="21" t="str">
        <v>Earnings per share and weighted-average shares</v>
      </c>
      <c r="P173" s="21" t="str">
        <v>Earnings per share and weighted-average shares</v>
      </c>
      <c r="Q173" s="21" t="str">
        <v>Earnings per share and weighted-average shares</v>
      </c>
      <c r="R173" s="21" t="str">
        <v>Earnings per share and weighted-average shares</v>
      </c>
      <c r="S173" s="21" t="str">
        <v>Earnings per share and weighted-average shares</v>
      </c>
      <c r="T173" s="21" t="str">
        <v>Earnings per share and weighted-average shares</v>
      </c>
      <c r="U173" s="21" t="str">
        <v>Earnings per share and weighted-average shares</v>
      </c>
      <c r="V173" s="21" t="str">
        <v>Earnings per share and weighted-average shares</v>
      </c>
      <c r="W173" s="21" t="str">
        <v>Earnings per share and weighted-average shares</v>
      </c>
      <c r="X173" s="21" t="str">
        <v>Earnings per share and weighted-average shares</v>
      </c>
      <c r="Y173" s="21" t="str">
        <v>Earnings per share and weighted-average shares</v>
      </c>
      <c r="Z173" s="21" t="str">
        <v>Earnings per share and weighted-average shares</v>
      </c>
      <c r="AA173" s="21" t="str">
        <v>Earnings per share and weighted-average shares</v>
      </c>
    </row>
    <row r="174" ht="22" customHeight="1">
      <c r="A174" s="49" t="str">
        <v>Net income (loss)</v>
      </c>
      <c r="B174" s="3"/>
      <c r="C174" s="51"/>
      <c r="D174" s="51"/>
      <c r="E174" s="51"/>
      <c r="F174" s="51"/>
      <c r="G174" s="51"/>
      <c r="H174" s="51"/>
      <c r="I174" s="51"/>
      <c r="J174" s="51"/>
      <c r="K174" s="51" t="n">
        <v>-19233</v>
      </c>
      <c r="L174" s="51" t="n">
        <v>26</v>
      </c>
      <c r="M174" s="51"/>
      <c r="N174" s="51" t="n">
        <v>-2768</v>
      </c>
      <c r="O174" s="51" t="n">
        <v>1473</v>
      </c>
      <c r="P174" s="51" t="n">
        <v>310</v>
      </c>
      <c r="Q174" s="51"/>
      <c r="R174" s="51" t="n">
        <v>-437</v>
      </c>
      <c r="S174" s="51" t="n">
        <v>-1654</v>
      </c>
      <c r="T174" s="51" t="n">
        <v>-16989</v>
      </c>
      <c r="U174" s="51"/>
      <c r="V174" s="51" t="n">
        <v>-887</v>
      </c>
      <c r="W174" s="51" t="n">
        <v>-3024</v>
      </c>
      <c r="X174" s="51" t="n">
        <v>4270</v>
      </c>
      <c r="Y174" s="51"/>
      <c r="Z174" s="51" t="n">
        <v>-4281</v>
      </c>
      <c r="AA174" s="51" t="n">
        <v>-10848</v>
      </c>
    </row>
    <row r="175" ht="22" customHeight="1">
      <c r="A175" s="49" t="str">
        <v>Net income</v>
      </c>
      <c r="B175" s="3"/>
      <c r="C175" s="51"/>
      <c r="D175" s="51"/>
      <c r="E175" s="51"/>
      <c r="F175" s="51"/>
      <c r="G175" s="51"/>
      <c r="H175" s="51"/>
      <c r="I175" s="51" t="n">
        <v>8017</v>
      </c>
      <c r="J175" s="51" t="n">
        <v>1675</v>
      </c>
      <c r="K175" s="51"/>
      <c r="L175" s="51"/>
      <c r="M175" s="51"/>
      <c r="N175" s="51"/>
      <c r="O175" s="51"/>
      <c r="P175" s="51"/>
      <c r="Q175" s="51"/>
      <c r="R175" s="51"/>
      <c r="S175" s="51"/>
      <c r="T175" s="51"/>
      <c r="U175" s="51"/>
      <c r="V175" s="51"/>
      <c r="W175" s="51"/>
      <c r="X175" s="51"/>
      <c r="Y175" s="51"/>
      <c r="Z175" s="51"/>
      <c r="AA175" s="51"/>
    </row>
    <row r="176" ht="22" customHeight="1">
      <c r="A176" s="49" t="str">
        <v>Less: Net income attributable to non-controlling interests</v>
      </c>
      <c r="B176" s="3"/>
      <c r="C176" s="51"/>
      <c r="D176" s="51"/>
      <c r="E176" s="51"/>
      <c r="F176" s="51"/>
      <c r="G176" s="51"/>
      <c r="H176" s="51"/>
      <c r="I176" s="51" t="n">
        <v>3</v>
      </c>
      <c r="J176" s="51"/>
      <c r="K176" s="51"/>
      <c r="L176" s="51"/>
      <c r="M176" s="51"/>
      <c r="N176" s="51"/>
      <c r="O176" s="51"/>
      <c r="P176" s="51"/>
      <c r="Q176" s="51"/>
      <c r="R176" s="51"/>
      <c r="S176" s="51"/>
      <c r="T176" s="51"/>
      <c r="U176" s="51"/>
      <c r="V176" s="51"/>
      <c r="W176" s="51"/>
      <c r="X176" s="51"/>
      <c r="Y176" s="51"/>
      <c r="Z176" s="51"/>
      <c r="AA176" s="51"/>
    </row>
    <row r="177" ht="36" customHeight="1">
      <c r="A177" s="49" t="str">
        <v>Less: Net income (loss) attributable to non-controlling interests</v>
      </c>
      <c r="B177" s="3"/>
      <c r="C177" s="51"/>
      <c r="D177" s="51"/>
      <c r="E177" s="51"/>
      <c r="F177" s="51"/>
      <c r="G177" s="51"/>
      <c r="H177" s="51"/>
      <c r="I177" s="51"/>
      <c r="J177" s="51" t="n">
        <v>-14</v>
      </c>
      <c r="K177" s="51"/>
      <c r="L177" s="51"/>
      <c r="M177" s="51"/>
      <c r="N177" s="51" t="n">
        <v>-10</v>
      </c>
      <c r="O177" s="51" t="n">
        <v>-8</v>
      </c>
      <c r="P177" s="51" t="n">
        <v>13</v>
      </c>
      <c r="Q177" s="51"/>
      <c r="R177" s="51" t="n">
        <v>-56</v>
      </c>
      <c r="S177" s="51" t="n">
        <v>-44</v>
      </c>
      <c r="T177" s="51"/>
      <c r="U177" s="51"/>
      <c r="V177" s="51"/>
      <c r="W177" s="51"/>
      <c r="X177" s="51"/>
      <c r="Y177" s="51"/>
      <c r="Z177" s="51"/>
      <c r="AA177" s="51"/>
    </row>
    <row r="178" ht="22" customHeight="1">
      <c r="A178" s="49" t="str">
        <v>Net income attributable to Intel</v>
      </c>
      <c r="B178" s="3"/>
      <c r="C178" s="51"/>
      <c r="D178" s="51"/>
      <c r="E178" s="51"/>
      <c r="F178" s="51"/>
      <c r="G178" s="51"/>
      <c r="H178" s="51"/>
      <c r="I178" s="51" t="n">
        <v>8014</v>
      </c>
      <c r="J178" s="51" t="n">
        <v>1689</v>
      </c>
      <c r="K178" s="51"/>
      <c r="L178" s="51"/>
      <c r="M178" s="51"/>
      <c r="N178" s="51"/>
      <c r="O178" s="51"/>
      <c r="P178" s="51"/>
      <c r="Q178" s="51"/>
      <c r="R178" s="51"/>
      <c r="S178" s="51"/>
      <c r="T178" s="51"/>
      <c r="U178" s="51"/>
      <c r="V178" s="51"/>
      <c r="W178" s="51"/>
      <c r="X178" s="51"/>
      <c r="Y178" s="51"/>
      <c r="Z178" s="51"/>
      <c r="AA178" s="51"/>
    </row>
    <row r="179" ht="36" customHeight="1">
      <c r="A179" s="49" t="str">
        <v>Less: net income (loss) attributable to non-controlling interests</v>
      </c>
      <c r="B179" s="3"/>
      <c r="C179" s="51"/>
      <c r="D179" s="51"/>
      <c r="E179" s="51"/>
      <c r="F179" s="51"/>
      <c r="G179" s="51"/>
      <c r="H179" s="51"/>
      <c r="I179" s="51"/>
      <c r="J179" s="51"/>
      <c r="K179" s="51" t="n">
        <v>-477</v>
      </c>
      <c r="L179" s="51" t="n">
        <v>293</v>
      </c>
      <c r="M179" s="51"/>
      <c r="N179" s="51"/>
      <c r="O179" s="51"/>
      <c r="P179" s="51"/>
      <c r="Q179" s="51"/>
      <c r="R179" s="51"/>
      <c r="S179" s="51"/>
      <c r="T179" s="51" t="n">
        <v>-350</v>
      </c>
      <c r="U179" s="51"/>
      <c r="V179" s="51" t="n">
        <v>-66</v>
      </c>
      <c r="W179" s="51" t="n">
        <v>-106</v>
      </c>
      <c r="X179" s="51" t="n">
        <v>207</v>
      </c>
      <c r="Y179" s="51"/>
      <c r="Z179" s="51" t="n">
        <v>-553</v>
      </c>
      <c r="AA179" s="51" t="n">
        <v>185</v>
      </c>
    </row>
    <row r="180" ht="22" customHeight="1">
      <c r="A180" s="49" t="str">
        <v>Net income (loss) attributable to Intel</v>
      </c>
      <c r="B180" s="3"/>
      <c r="C180" s="51"/>
      <c r="D180" s="51"/>
      <c r="E180" s="51"/>
      <c r="F180" s="51"/>
      <c r="G180" s="51"/>
      <c r="H180" s="51"/>
      <c r="I180" s="51"/>
      <c r="J180" s="51"/>
      <c r="K180" s="51" t="n">
        <v>-18756</v>
      </c>
      <c r="L180" s="51" t="n">
        <v>-267</v>
      </c>
      <c r="M180" s="51"/>
      <c r="N180" s="51" t="n">
        <v>-2758</v>
      </c>
      <c r="O180" s="51" t="n">
        <v>1481</v>
      </c>
      <c r="P180" s="51" t="n">
        <v>297</v>
      </c>
      <c r="Q180" s="51"/>
      <c r="R180" s="51" t="n">
        <v>-381</v>
      </c>
      <c r="S180" s="51" t="n">
        <v>-1610</v>
      </c>
      <c r="T180" s="51" t="n">
        <v>-16639</v>
      </c>
      <c r="U180" s="51"/>
      <c r="V180" s="51" t="n">
        <v>-821</v>
      </c>
      <c r="W180" s="51" t="n">
        <v>-2918</v>
      </c>
      <c r="X180" s="51" t="n">
        <v>4063</v>
      </c>
      <c r="Y180" s="51"/>
      <c r="Z180" s="51" t="n">
        <v>-3728</v>
      </c>
      <c r="AA180" s="51" t="n">
        <v>-11033</v>
      </c>
    </row>
    <row r="181" ht="36" customHeight="1">
      <c r="A181" s="49" t="str">
        <v>Weighted average shares of common stock outstanding—basic1</v>
      </c>
      <c r="B181" s="3"/>
      <c r="C181" s="51"/>
      <c r="D181" s="51"/>
      <c r="E181" s="51"/>
      <c r="F181" s="51"/>
      <c r="G181" s="51"/>
      <c r="H181" s="51"/>
      <c r="I181" s="51"/>
      <c r="J181" s="51"/>
      <c r="K181" s="51"/>
      <c r="L181" s="51" t="n">
        <v>4530</v>
      </c>
      <c r="M181" s="51"/>
      <c r="N181" s="51"/>
      <c r="O181" s="51"/>
      <c r="P181" s="51"/>
      <c r="Q181" s="51"/>
      <c r="R181" s="51"/>
      <c r="S181" s="51"/>
      <c r="T181" s="51"/>
      <c r="U181" s="51"/>
      <c r="V181" s="51"/>
      <c r="W181" s="51"/>
      <c r="X181" s="51" t="n">
        <v>4514</v>
      </c>
      <c r="Y181" s="51"/>
      <c r="Z181" s="51"/>
      <c r="AA181" s="51"/>
    </row>
    <row r="182" ht="36" customHeight="1">
      <c r="A182" s="49" t="str">
        <v>Dilutive effect of employee equity incentive plans and stock issuances</v>
      </c>
      <c r="B182" s="3"/>
      <c r="C182" s="51"/>
      <c r="D182" s="51"/>
      <c r="E182" s="51"/>
      <c r="F182" s="51"/>
      <c r="G182" s="51"/>
      <c r="H182" s="51"/>
      <c r="I182" s="51"/>
      <c r="J182" s="51"/>
      <c r="K182" s="51"/>
      <c r="L182" s="51" t="n">
        <v>0</v>
      </c>
      <c r="M182" s="51"/>
      <c r="N182" s="51"/>
      <c r="O182" s="51"/>
      <c r="P182" s="51"/>
      <c r="Q182" s="51"/>
      <c r="R182" s="51"/>
      <c r="S182" s="51"/>
      <c r="T182" s="51"/>
      <c r="U182" s="51"/>
      <c r="V182" s="51"/>
      <c r="W182" s="51"/>
      <c r="X182" s="51" t="n">
        <v>17</v>
      </c>
      <c r="Y182" s="51"/>
      <c r="Z182" s="51"/>
      <c r="AA182" s="51"/>
    </row>
    <row r="183" ht="22" customHeight="1">
      <c r="A183" s="49" t="str">
        <v>Net income available to common stockholders</v>
      </c>
      <c r="B183" s="3"/>
      <c r="C183" s="51" t="n">
        <v>10316</v>
      </c>
      <c r="D183" s="51" t="n">
        <v>9601</v>
      </c>
      <c r="E183" s="51" t="n">
        <v>21053</v>
      </c>
      <c r="F183" s="51" t="n">
        <v>21048</v>
      </c>
      <c r="G183" s="51" t="n">
        <v>20899</v>
      </c>
      <c r="H183" s="51" t="n">
        <v>19868</v>
      </c>
      <c r="I183" s="51"/>
      <c r="J183" s="51"/>
      <c r="K183" s="51"/>
      <c r="L183" s="51"/>
      <c r="M183" s="51"/>
      <c r="N183" s="51"/>
      <c r="O183" s="51"/>
      <c r="P183" s="51"/>
      <c r="Q183" s="51"/>
      <c r="R183" s="51"/>
      <c r="S183" s="51"/>
      <c r="T183" s="51"/>
      <c r="U183" s="51"/>
      <c r="V183" s="51"/>
      <c r="W183" s="51"/>
      <c r="X183" s="51"/>
      <c r="Y183" s="51"/>
      <c r="Z183" s="51"/>
      <c r="AA183" s="51"/>
    </row>
    <row r="184" ht="22" customHeight="1">
      <c r="A184" s="49" t="str">
        <v>Weighted average shares of common stock outstanding—Basic</v>
      </c>
      <c r="B184" s="3"/>
      <c r="C184" s="51"/>
      <c r="D184" s="51"/>
      <c r="E184" s="51"/>
      <c r="F184" s="51" t="n">
        <v>4417</v>
      </c>
      <c r="G184" s="51"/>
      <c r="H184" s="51"/>
      <c r="I184" s="51"/>
      <c r="J184" s="51"/>
      <c r="K184" s="51"/>
      <c r="L184" s="51"/>
      <c r="M184" s="51"/>
      <c r="N184" s="51"/>
      <c r="O184" s="51"/>
      <c r="P184" s="51"/>
      <c r="Q184" s="51"/>
      <c r="R184" s="51"/>
      <c r="S184" s="51"/>
      <c r="T184" s="51"/>
      <c r="U184" s="51"/>
      <c r="V184" s="51"/>
      <c r="W184" s="51"/>
      <c r="X184" s="51"/>
      <c r="Y184" s="51"/>
      <c r="Z184" s="51"/>
      <c r="AA184" s="51"/>
    </row>
    <row r="185" ht="22" customHeight="1">
      <c r="A185" s="49" t="str">
        <v>Weighted average shares of common stock outstanding—basic</v>
      </c>
      <c r="B185" s="3"/>
      <c r="C185" s="51" t="n">
        <v>4730</v>
      </c>
      <c r="D185" s="51" t="n">
        <v>4701</v>
      </c>
      <c r="E185" s="51" t="n">
        <v>4611</v>
      </c>
      <c r="F185" s="51"/>
      <c r="G185" s="51" t="n">
        <v>4199</v>
      </c>
      <c r="H185" s="51" t="n">
        <v>4059</v>
      </c>
      <c r="I185" s="51" t="n">
        <v>4108</v>
      </c>
      <c r="J185" s="51" t="n">
        <v>4190</v>
      </c>
      <c r="K185" s="51" t="n">
        <v>4280</v>
      </c>
      <c r="L185" s="51"/>
      <c r="M185" s="51"/>
      <c r="N185" s="51" t="n">
        <v>4154</v>
      </c>
      <c r="O185" s="51" t="n">
        <v>4182</v>
      </c>
      <c r="P185" s="51" t="n">
        <v>4202</v>
      </c>
      <c r="Q185" s="51"/>
      <c r="R185" s="51" t="n">
        <v>4242</v>
      </c>
      <c r="S185" s="51" t="n">
        <v>4267</v>
      </c>
      <c r="T185" s="51" t="n">
        <v>4292</v>
      </c>
      <c r="U185" s="51"/>
      <c r="V185" s="51" t="n">
        <v>4343</v>
      </c>
      <c r="W185" s="51" t="n">
        <v>4369</v>
      </c>
      <c r="X185" s="51"/>
      <c r="Y185" s="51"/>
      <c r="Z185" s="51" t="n">
        <v>5083</v>
      </c>
      <c r="AA185" s="51" t="n">
        <v>5104</v>
      </c>
    </row>
    <row r="186" ht="22" customHeight="1">
      <c r="A186" s="49" t="str">
        <v>Dilutive effect of employee incentive plans</v>
      </c>
      <c r="B186" s="3"/>
      <c r="C186" s="51" t="n">
        <v>53</v>
      </c>
      <c r="D186" s="51" t="n">
        <v>47</v>
      </c>
      <c r="E186" s="51" t="n">
        <v>50</v>
      </c>
      <c r="F186" s="51" t="n">
        <v>41</v>
      </c>
      <c r="G186" s="51" t="n">
        <v>33</v>
      </c>
      <c r="H186" s="51" t="n">
        <v>31</v>
      </c>
      <c r="I186" s="51" t="n">
        <v>15</v>
      </c>
      <c r="J186" s="51" t="n">
        <v>22</v>
      </c>
      <c r="K186" s="51"/>
      <c r="L186" s="51"/>
      <c r="M186" s="51"/>
      <c r="N186" s="51"/>
      <c r="O186" s="51"/>
      <c r="P186" s="51"/>
      <c r="Q186" s="51"/>
      <c r="R186" s="51"/>
      <c r="S186" s="51"/>
      <c r="T186" s="51"/>
      <c r="U186" s="51"/>
      <c r="V186" s="51"/>
      <c r="W186" s="51"/>
      <c r="X186" s="51"/>
      <c r="Y186" s="51"/>
      <c r="Z186" s="51"/>
      <c r="AA186" s="51"/>
    </row>
    <row r="187" ht="22" customHeight="1">
      <c r="A187" s="49" t="str">
        <v>Dilutive effect of convertible debt</v>
      </c>
      <c r="B187" s="3"/>
      <c r="C187" s="51" t="n">
        <v>92</v>
      </c>
      <c r="D187" s="51" t="n">
        <v>87</v>
      </c>
      <c r="E187" s="51" t="n">
        <v>40</v>
      </c>
      <c r="F187" s="51" t="n">
        <v>15</v>
      </c>
      <c r="G187" s="51" t="n">
        <v>0</v>
      </c>
      <c r="H187" s="51" t="n">
        <v>0</v>
      </c>
      <c r="I187" s="51"/>
      <c r="J187" s="51"/>
      <c r="K187" s="51"/>
      <c r="L187" s="51"/>
      <c r="M187" s="51"/>
      <c r="N187" s="51"/>
      <c r="O187" s="51"/>
      <c r="P187" s="51"/>
      <c r="Q187" s="51"/>
      <c r="R187" s="51"/>
      <c r="S187" s="51"/>
      <c r="T187" s="51"/>
      <c r="U187" s="51"/>
      <c r="V187" s="51"/>
      <c r="W187" s="51"/>
      <c r="X187" s="51"/>
      <c r="Y187" s="51"/>
      <c r="Z187" s="51"/>
      <c r="AA187" s="51"/>
    </row>
    <row r="188" ht="36" customHeight="1">
      <c r="A188" s="49" t="str">
        <v>Weighted average shares of common stock outstanding—Diluted</v>
      </c>
      <c r="B188" s="3"/>
      <c r="C188" s="51"/>
      <c r="D188" s="51"/>
      <c r="E188" s="51"/>
      <c r="F188" s="51" t="n">
        <v>4473</v>
      </c>
      <c r="G188" s="51"/>
      <c r="H188" s="51"/>
      <c r="I188" s="51"/>
      <c r="J188" s="51"/>
      <c r="K188" s="51"/>
      <c r="L188" s="51"/>
      <c r="M188" s="51"/>
      <c r="N188" s="51"/>
      <c r="O188" s="51"/>
      <c r="P188" s="51"/>
      <c r="Q188" s="51"/>
      <c r="R188" s="51"/>
      <c r="S188" s="51"/>
      <c r="T188" s="51"/>
      <c r="U188" s="51"/>
      <c r="V188" s="51"/>
      <c r="W188" s="51"/>
      <c r="X188" s="51"/>
      <c r="Y188" s="51"/>
      <c r="Z188" s="51"/>
      <c r="AA188" s="51"/>
    </row>
    <row r="189" ht="22" customHeight="1">
      <c r="A189" s="49" t="str">
        <v>Earnings per share—Basic</v>
      </c>
      <c r="B189" s="3"/>
      <c r="C189" s="60"/>
      <c r="D189" s="60"/>
      <c r="E189" s="60"/>
      <c r="F189" s="60" t="n">
        <v>4.77</v>
      </c>
      <c r="G189" s="60"/>
      <c r="H189" s="60"/>
      <c r="I189" s="60"/>
      <c r="J189" s="60"/>
      <c r="K189" s="60"/>
      <c r="L189" s="60"/>
      <c r="M189" s="60"/>
      <c r="N189" s="60"/>
      <c r="O189" s="60"/>
      <c r="P189" s="60"/>
      <c r="Q189" s="60"/>
      <c r="R189" s="60"/>
      <c r="S189" s="60"/>
      <c r="T189" s="60"/>
      <c r="U189" s="60"/>
      <c r="V189" s="60"/>
      <c r="W189" s="60"/>
      <c r="X189" s="60"/>
      <c r="Y189" s="60"/>
      <c r="Z189" s="60"/>
      <c r="AA189" s="60"/>
    </row>
    <row r="190" ht="22" customHeight="1">
      <c r="A190" s="49" t="str">
        <v>Earnings per share—Diluted</v>
      </c>
      <c r="B190" s="3"/>
      <c r="C190" s="60"/>
      <c r="D190" s="60"/>
      <c r="E190" s="60"/>
      <c r="F190" s="60" t="n">
        <v>4.71</v>
      </c>
      <c r="G190" s="60"/>
      <c r="H190" s="60"/>
      <c r="I190" s="60"/>
      <c r="J190" s="60"/>
      <c r="K190" s="60"/>
      <c r="L190" s="60"/>
      <c r="M190" s="60"/>
      <c r="N190" s="60"/>
      <c r="O190" s="60"/>
      <c r="P190" s="60"/>
      <c r="Q190" s="60"/>
      <c r="R190" s="60"/>
      <c r="S190" s="60"/>
      <c r="T190" s="60"/>
      <c r="U190" s="60"/>
      <c r="V190" s="60"/>
      <c r="W190" s="60"/>
      <c r="X190" s="60"/>
      <c r="Y190" s="60"/>
      <c r="Z190" s="60"/>
      <c r="AA190" s="60"/>
    </row>
    <row r="191" ht="22" customHeight="1">
      <c r="A191" s="49" t="str">
        <v>Dilutive effect of employee equity incentive plans</v>
      </c>
      <c r="B191" s="3"/>
      <c r="C191" s="51"/>
      <c r="D191" s="51"/>
      <c r="E191" s="51"/>
      <c r="F191" s="51"/>
      <c r="G191" s="51"/>
      <c r="H191" s="51"/>
      <c r="I191" s="51"/>
      <c r="J191" s="51"/>
      <c r="K191" s="51" t="n">
        <v>0</v>
      </c>
      <c r="L191" s="51"/>
      <c r="M191" s="51"/>
      <c r="N191" s="51"/>
      <c r="O191" s="51" t="n">
        <v>14</v>
      </c>
      <c r="P191" s="51" t="n">
        <v>27</v>
      </c>
      <c r="Q191" s="51"/>
      <c r="R191" s="51"/>
      <c r="S191" s="51" t="n">
        <v>0</v>
      </c>
      <c r="T191" s="51" t="n">
        <v>0</v>
      </c>
      <c r="U191" s="51"/>
      <c r="V191" s="51"/>
      <c r="W191" s="51"/>
      <c r="X191" s="51"/>
      <c r="Y191" s="51"/>
      <c r="Z191" s="51"/>
      <c r="AA191" s="51"/>
    </row>
    <row r="192" ht="36" customHeight="1">
      <c r="A192" s="49" t="str">
        <v>Weighted average shares of common stock outstanding—diluted</v>
      </c>
      <c r="B192" s="3"/>
      <c r="C192" s="51" t="n">
        <v>4875</v>
      </c>
      <c r="D192" s="51" t="n">
        <v>4835</v>
      </c>
      <c r="E192" s="51" t="n">
        <v>4701</v>
      </c>
      <c r="F192" s="51"/>
      <c r="G192" s="51" t="n">
        <v>4232</v>
      </c>
      <c r="H192" s="51" t="n">
        <v>4090</v>
      </c>
      <c r="I192" s="51" t="n">
        <v>4123</v>
      </c>
      <c r="J192" s="51" t="n">
        <v>4212</v>
      </c>
      <c r="K192" s="51" t="n">
        <v>4280</v>
      </c>
      <c r="L192" s="51" t="n">
        <v>4530</v>
      </c>
      <c r="M192" s="51"/>
      <c r="N192" s="51" t="n">
        <v>4154</v>
      </c>
      <c r="O192" s="51" t="n">
        <v>4196</v>
      </c>
      <c r="P192" s="51" t="n">
        <v>4229</v>
      </c>
      <c r="Q192" s="51"/>
      <c r="R192" s="51" t="n">
        <v>4242</v>
      </c>
      <c r="S192" s="51" t="n">
        <v>4267</v>
      </c>
      <c r="T192" s="51" t="n">
        <v>4292</v>
      </c>
      <c r="U192" s="51"/>
      <c r="V192" s="51" t="n">
        <v>4343</v>
      </c>
      <c r="W192" s="51" t="n">
        <v>4369</v>
      </c>
      <c r="X192" s="51" t="n">
        <v>4531</v>
      </c>
      <c r="Y192" s="51"/>
      <c r="Z192" s="51" t="n">
        <v>5083</v>
      </c>
      <c r="AA192" s="51" t="n">
        <v>5104</v>
      </c>
    </row>
    <row r="193" ht="22" customHeight="1">
      <c r="A193" s="49" t="str">
        <v>Basic earnings per share of common stock</v>
      </c>
      <c r="B193" s="3"/>
      <c r="C193" s="60" t="n">
        <v>2.18</v>
      </c>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row>
    <row r="194" ht="22" customHeight="1">
      <c r="A194" s="49" t="str">
        <v>Diluted earnings per share of common stock</v>
      </c>
      <c r="B194" s="3"/>
      <c r="C194" s="60" t="n">
        <v>2.12</v>
      </c>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row>
    <row r="195" ht="22" customHeight="1">
      <c r="A195" s="49" t="str">
        <v>Earnings per share - Basic</v>
      </c>
      <c r="B195" s="3"/>
      <c r="C195" s="60"/>
      <c r="D195" s="60" t="n">
        <v>2.04</v>
      </c>
      <c r="E195" s="60" t="n">
        <v>4.57</v>
      </c>
      <c r="F195" s="60"/>
      <c r="G195" s="60"/>
      <c r="H195" s="60"/>
      <c r="I195" s="60"/>
      <c r="J195" s="60"/>
      <c r="K195" s="60"/>
      <c r="L195" s="60"/>
      <c r="M195" s="60"/>
      <c r="N195" s="60"/>
      <c r="O195" s="60"/>
      <c r="P195" s="60"/>
      <c r="Q195" s="60"/>
      <c r="R195" s="60"/>
      <c r="S195" s="60"/>
      <c r="T195" s="60"/>
      <c r="U195" s="60"/>
      <c r="V195" s="60"/>
      <c r="W195" s="60"/>
      <c r="X195" s="60"/>
      <c r="Y195" s="60"/>
      <c r="Z195" s="60"/>
      <c r="AA195" s="60"/>
    </row>
    <row r="196" ht="22" customHeight="1">
      <c r="A196" s="49" t="str">
        <v>Earnings per share - Diluted</v>
      </c>
      <c r="B196" s="3"/>
      <c r="C196" s="60"/>
      <c r="D196" s="60" t="n">
        <v>1.99</v>
      </c>
      <c r="E196" s="60" t="n">
        <v>4.48</v>
      </c>
      <c r="F196" s="60"/>
      <c r="G196" s="60"/>
      <c r="H196" s="60"/>
      <c r="I196" s="60"/>
      <c r="J196" s="60"/>
      <c r="K196" s="60"/>
      <c r="L196" s="60"/>
      <c r="M196" s="60"/>
      <c r="N196" s="60"/>
      <c r="O196" s="60"/>
      <c r="P196" s="60"/>
      <c r="Q196" s="60"/>
      <c r="R196" s="60"/>
      <c r="S196" s="60"/>
      <c r="T196" s="60"/>
      <c r="U196" s="60"/>
      <c r="V196" s="60"/>
      <c r="W196" s="60"/>
      <c r="X196" s="60"/>
      <c r="Y196" s="60"/>
      <c r="Z196" s="60"/>
      <c r="AA196" s="60"/>
    </row>
    <row r="197" ht="22" customHeight="1">
      <c r="A197" s="49" t="str">
        <v>Earnings per share—basic</v>
      </c>
      <c r="B197" s="3"/>
      <c r="C197" s="60"/>
      <c r="D197" s="60"/>
      <c r="E197" s="60"/>
      <c r="F197" s="60"/>
      <c r="G197" s="60" t="n">
        <v>4.98</v>
      </c>
      <c r="H197" s="60" t="n">
        <v>4.89</v>
      </c>
      <c r="I197" s="60"/>
      <c r="J197" s="60"/>
      <c r="K197" s="60"/>
      <c r="L197" s="60"/>
      <c r="M197" s="60"/>
      <c r="N197" s="60"/>
      <c r="O197" s="60"/>
      <c r="P197" s="60"/>
      <c r="Q197" s="60"/>
      <c r="R197" s="60"/>
      <c r="S197" s="60"/>
      <c r="T197" s="60"/>
      <c r="U197" s="60"/>
      <c r="V197" s="60"/>
      <c r="W197" s="60"/>
      <c r="X197" s="60"/>
      <c r="Y197" s="60"/>
      <c r="Z197" s="60"/>
      <c r="AA197" s="60"/>
    </row>
    <row r="198" ht="22" customHeight="1">
      <c r="A198" s="49" t="str">
        <v>Earnings per share—diluted</v>
      </c>
      <c r="B198" s="3"/>
      <c r="C198" s="60"/>
      <c r="D198" s="60"/>
      <c r="E198" s="60"/>
      <c r="F198" s="60"/>
      <c r="G198" s="60" t="n">
        <v>4.94</v>
      </c>
      <c r="H198" s="60" t="n">
        <v>4.86</v>
      </c>
      <c r="I198" s="60"/>
      <c r="J198" s="60"/>
      <c r="K198" s="60"/>
      <c r="L198" s="60"/>
      <c r="M198" s="60"/>
      <c r="N198" s="60"/>
      <c r="O198" s="60"/>
      <c r="P198" s="60"/>
      <c r="Q198" s="60"/>
      <c r="R198" s="60"/>
      <c r="S198" s="60"/>
      <c r="T198" s="60"/>
      <c r="U198" s="60"/>
      <c r="V198" s="60"/>
      <c r="W198" s="60"/>
      <c r="X198" s="60"/>
      <c r="Y198" s="60"/>
      <c r="Z198" s="60"/>
      <c r="AA198" s="60"/>
    </row>
    <row r="199" ht="22" customHeight="1">
      <c r="A199" s="49" t="str">
        <v>Basic</v>
      </c>
      <c r="B199" s="3"/>
      <c r="C199" s="60" t="n">
        <v>2.18</v>
      </c>
      <c r="D199" s="60" t="n">
        <v>2.04</v>
      </c>
      <c r="E199" s="60" t="n">
        <v>4.57</v>
      </c>
      <c r="F199" s="60" t="n">
        <v>4.77</v>
      </c>
      <c r="G199" s="60" t="n">
        <v>4.98</v>
      </c>
      <c r="H199" s="60"/>
      <c r="I199" s="60"/>
      <c r="J199" s="60"/>
      <c r="K199" s="60"/>
      <c r="L199" s="60"/>
      <c r="M199" s="60"/>
      <c r="N199" s="60"/>
      <c r="O199" s="60"/>
      <c r="P199" s="60"/>
      <c r="Q199" s="60"/>
      <c r="R199" s="60"/>
      <c r="S199" s="60"/>
      <c r="T199" s="60"/>
      <c r="U199" s="60"/>
      <c r="V199" s="60"/>
      <c r="W199" s="60"/>
      <c r="X199" s="60"/>
      <c r="Y199" s="60"/>
      <c r="Z199" s="60"/>
      <c r="AA199" s="60"/>
    </row>
    <row r="200" ht="22" customHeight="1">
      <c r="A200" s="49" t="str">
        <v>Diluted</v>
      </c>
      <c r="B200" s="3"/>
      <c r="C200" s="60" t="n">
        <v>2.12</v>
      </c>
      <c r="D200" s="60" t="n">
        <v>1.99</v>
      </c>
      <c r="E200" s="60" t="n">
        <v>4.48</v>
      </c>
      <c r="F200" s="60" t="n">
        <v>4.71</v>
      </c>
      <c r="G200" s="60" t="n">
        <v>4.94</v>
      </c>
      <c r="H200" s="60"/>
      <c r="I200" s="60"/>
      <c r="J200" s="60"/>
      <c r="K200" s="60"/>
      <c r="L200" s="60"/>
      <c r="M200" s="60"/>
      <c r="N200" s="60"/>
      <c r="O200" s="60"/>
      <c r="P200" s="60"/>
      <c r="Q200" s="60"/>
      <c r="R200" s="60"/>
      <c r="S200" s="60"/>
      <c r="T200" s="60"/>
      <c r="U200" s="60"/>
      <c r="V200" s="60"/>
      <c r="W200" s="60"/>
      <c r="X200" s="60"/>
      <c r="Y200" s="60"/>
      <c r="Z200" s="60"/>
      <c r="AA200" s="60"/>
    </row>
    <row r="201" ht="36" customHeight="1">
      <c r="A201" s="49" t="str">
        <v>Weighted average diluted shares of common stock outstanding</v>
      </c>
      <c r="B201" s="3"/>
      <c r="C201" s="51" t="n">
        <v>4875</v>
      </c>
      <c r="D201" s="51" t="n">
        <v>4835</v>
      </c>
      <c r="E201" s="51" t="n">
        <v>4701</v>
      </c>
      <c r="F201" s="51" t="n">
        <v>4473</v>
      </c>
      <c r="G201" s="51" t="n">
        <v>4232</v>
      </c>
      <c r="H201" s="51"/>
      <c r="I201" s="51"/>
      <c r="J201" s="51"/>
      <c r="K201" s="51"/>
      <c r="L201" s="51"/>
      <c r="M201" s="51"/>
      <c r="N201" s="51"/>
      <c r="O201" s="51"/>
      <c r="P201" s="51"/>
      <c r="Q201" s="51"/>
      <c r="R201" s="51"/>
      <c r="S201" s="51"/>
      <c r="T201" s="51"/>
      <c r="U201" s="51"/>
      <c r="V201" s="51"/>
      <c r="W201" s="51"/>
      <c r="X201" s="51"/>
      <c r="Y201" s="51"/>
      <c r="Z201" s="51"/>
      <c r="AA201" s="51"/>
    </row>
    <row r="202" ht="22" customHeight="1">
      <c r="A202" s="49" t="str">
        <v>Earnings per share attributable to Intel—basic</v>
      </c>
      <c r="B202" s="3"/>
      <c r="C202" s="60"/>
      <c r="D202" s="60"/>
      <c r="E202" s="60"/>
      <c r="F202" s="60"/>
      <c r="G202" s="60"/>
      <c r="H202" s="60"/>
      <c r="I202" s="60" t="n">
        <v>1.95</v>
      </c>
      <c r="J202" s="60" t="n">
        <v>0.4</v>
      </c>
      <c r="K202" s="60"/>
      <c r="L202" s="60"/>
      <c r="M202" s="60"/>
      <c r="N202" s="60"/>
      <c r="O202" s="60"/>
      <c r="P202" s="60"/>
      <c r="Q202" s="60"/>
      <c r="R202" s="60"/>
      <c r="S202" s="60"/>
      <c r="T202" s="60"/>
      <c r="U202" s="60"/>
      <c r="V202" s="60"/>
      <c r="W202" s="60"/>
      <c r="X202" s="60"/>
      <c r="Y202" s="60"/>
      <c r="Z202" s="60"/>
      <c r="AA202" s="60"/>
    </row>
    <row r="203" ht="22" customHeight="1">
      <c r="A203" s="49" t="str">
        <v>Earnings per share attributable to Intel—diluted</v>
      </c>
      <c r="B203" s="3"/>
      <c r="C203" s="60"/>
      <c r="D203" s="60"/>
      <c r="E203" s="60"/>
      <c r="F203" s="60"/>
      <c r="G203" s="60"/>
      <c r="H203" s="60"/>
      <c r="I203" s="60" t="n">
        <v>1.94</v>
      </c>
      <c r="J203" s="60" t="n">
        <v>0.4</v>
      </c>
      <c r="K203" s="60"/>
      <c r="L203" s="60"/>
      <c r="M203" s="60"/>
      <c r="N203" s="60"/>
      <c r="O203" s="60"/>
      <c r="P203" s="60"/>
      <c r="Q203" s="60"/>
      <c r="R203" s="60"/>
      <c r="S203" s="60"/>
      <c r="T203" s="60"/>
      <c r="U203" s="60"/>
      <c r="V203" s="60"/>
      <c r="W203" s="60"/>
      <c r="X203" s="60"/>
      <c r="Y203" s="60"/>
      <c r="Z203" s="60"/>
      <c r="AA203" s="60"/>
    </row>
    <row r="204" ht="22" customHeight="1">
      <c r="A204" s="49" t="str">
        <v>Earnings (loss) per share attributable to Intel—basic</v>
      </c>
      <c r="B204" s="3"/>
      <c r="C204" s="60"/>
      <c r="D204" s="60"/>
      <c r="E204" s="60"/>
      <c r="F204" s="60"/>
      <c r="G204" s="60"/>
      <c r="H204" s="60"/>
      <c r="I204" s="60"/>
      <c r="J204" s="60"/>
      <c r="K204" s="60" t="n">
        <v>-4.38</v>
      </c>
      <c r="L204" s="60" t="n">
        <v>-0.06</v>
      </c>
      <c r="M204" s="60"/>
      <c r="N204" s="60" t="n">
        <v>-0.66</v>
      </c>
      <c r="O204" s="60" t="n">
        <v>0.35</v>
      </c>
      <c r="P204" s="60" t="n">
        <v>0.07</v>
      </c>
      <c r="Q204" s="60"/>
      <c r="R204" s="60" t="n">
        <v>-0.09</v>
      </c>
      <c r="S204" s="60" t="n">
        <v>-0.38</v>
      </c>
      <c r="T204" s="60" t="n">
        <v>-3.88</v>
      </c>
      <c r="U204" s="60"/>
      <c r="V204" s="60" t="n">
        <v>-0.19</v>
      </c>
      <c r="W204" s="60" t="n">
        <v>-0.67</v>
      </c>
      <c r="X204" s="60" t="n">
        <v>0.9</v>
      </c>
      <c r="Y204" s="60"/>
      <c r="Z204" s="60" t="n">
        <v>-0.73</v>
      </c>
      <c r="AA204" s="60" t="n">
        <v>-2.16</v>
      </c>
    </row>
    <row r="205" ht="22" customHeight="1">
      <c r="A205" s="49" t="str">
        <v>Earnings (loss) per share attributable to Intel—diluted2</v>
      </c>
      <c r="B205" s="3"/>
      <c r="C205" s="60"/>
      <c r="D205" s="60"/>
      <c r="E205" s="60"/>
      <c r="F205" s="60"/>
      <c r="G205" s="60"/>
      <c r="H205" s="60"/>
      <c r="I205" s="60"/>
      <c r="J205" s="60"/>
      <c r="K205" s="60"/>
      <c r="L205" s="60"/>
      <c r="M205" s="60"/>
      <c r="N205" s="60"/>
      <c r="O205" s="60"/>
      <c r="P205" s="60"/>
      <c r="Q205" s="60"/>
      <c r="R205" s="60"/>
      <c r="S205" s="60"/>
      <c r="T205" s="60"/>
      <c r="U205" s="60"/>
      <c r="V205" s="60"/>
      <c r="W205" s="60"/>
      <c r="X205" s="60" t="n">
        <v>0.9</v>
      </c>
      <c r="Y205" s="60"/>
      <c r="Z205" s="60"/>
      <c r="AA205" s="60"/>
    </row>
    <row r="206" ht="22" customHeight="1">
      <c r="A206" s="49" t="str">
        <v>Earnings (loss) per share attributable to Intel—diluted</v>
      </c>
      <c r="B206" s="3"/>
      <c r="C206" s="60"/>
      <c r="D206" s="60"/>
      <c r="E206" s="60"/>
      <c r="F206" s="60"/>
      <c r="G206" s="60"/>
      <c r="H206" s="60"/>
      <c r="I206" s="60"/>
      <c r="J206" s="60"/>
      <c r="K206" s="60" t="n">
        <v>-4.38</v>
      </c>
      <c r="L206" s="60" t="n">
        <v>-0.06</v>
      </c>
      <c r="M206" s="60"/>
      <c r="N206" s="60" t="n">
        <v>-0.66</v>
      </c>
      <c r="O206" s="60" t="n">
        <v>0.35</v>
      </c>
      <c r="P206" s="60" t="n">
        <v>0.07</v>
      </c>
      <c r="Q206" s="60"/>
      <c r="R206" s="60" t="n">
        <v>-0.09</v>
      </c>
      <c r="S206" s="60" t="n">
        <v>-0.38</v>
      </c>
      <c r="T206" s="60" t="n">
        <v>-3.88</v>
      </c>
      <c r="U206" s="60"/>
      <c r="V206" s="60" t="n">
        <v>-0.19</v>
      </c>
      <c r="W206" s="60" t="n">
        <v>-0.67</v>
      </c>
      <c r="X206" s="60"/>
      <c r="Y206" s="60"/>
      <c r="Z206" s="60" t="n">
        <v>-0.73</v>
      </c>
      <c r="AA206" s="60" t="n">
        <v>-2.16</v>
      </c>
    </row>
    <row r="207" ht="8"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22" customHeight="1">
      <c r="A208" s="21" t="str">
        <v>Dividends and share repurchases</v>
      </c>
      <c r="B208" s="21" t="str">
        <v>Dividends and share repurchases</v>
      </c>
      <c r="C208" s="21" t="str">
        <v>Dividends and share repurchases</v>
      </c>
      <c r="D208" s="21" t="str">
        <v>Dividends and share repurchases</v>
      </c>
      <c r="E208" s="21" t="str">
        <v>Dividends and share repurchases</v>
      </c>
      <c r="F208" s="21" t="str">
        <v>Dividends and share repurchases</v>
      </c>
      <c r="G208" s="21" t="str">
        <v>Dividends and share repurchases</v>
      </c>
      <c r="H208" s="21" t="str">
        <v>Dividends and share repurchases</v>
      </c>
      <c r="I208" s="21" t="str">
        <v>Dividends and share repurchases</v>
      </c>
      <c r="J208" s="21" t="str">
        <v>Dividends and share repurchases</v>
      </c>
      <c r="K208" s="21" t="str">
        <v>Dividends and share repurchases</v>
      </c>
      <c r="L208" s="21" t="str">
        <v>Dividends and share repurchases</v>
      </c>
      <c r="M208" s="21" t="str">
        <v>Dividends and share repurchases</v>
      </c>
      <c r="N208" s="21" t="str">
        <v>Dividends and share repurchases</v>
      </c>
      <c r="O208" s="21" t="str">
        <v>Dividends and share repurchases</v>
      </c>
      <c r="P208" s="21" t="str">
        <v>Dividends and share repurchases</v>
      </c>
      <c r="Q208" s="21" t="str">
        <v>Dividends and share repurchases</v>
      </c>
      <c r="R208" s="21" t="str">
        <v>Dividends and share repurchases</v>
      </c>
      <c r="S208" s="21" t="str">
        <v>Dividends and share repurchases</v>
      </c>
      <c r="T208" s="21" t="str">
        <v>Dividends and share repurchases</v>
      </c>
      <c r="U208" s="21" t="str">
        <v>Dividends and share repurchases</v>
      </c>
      <c r="V208" s="21" t="str">
        <v>Dividends and share repurchases</v>
      </c>
      <c r="W208" s="21" t="str">
        <v>Dividends and share repurchases</v>
      </c>
      <c r="X208" s="21" t="str">
        <v>Dividends and share repurchases</v>
      </c>
      <c r="Y208" s="21" t="str">
        <v>Dividends and share repurchases</v>
      </c>
      <c r="Z208" s="21" t="str">
        <v>Dividends and share repurchases</v>
      </c>
      <c r="AA208" s="21" t="str">
        <v>Dividends and share repurchases</v>
      </c>
    </row>
    <row r="209" ht="22" customHeight="1">
      <c r="A209" s="49" t="str">
        <v>Dividends per share of common stock, declared and paid</v>
      </c>
      <c r="B209" s="3"/>
      <c r="C209" s="60" t="n">
        <v>1.04</v>
      </c>
      <c r="D209" s="60" t="n">
        <v>1.0775</v>
      </c>
      <c r="E209" s="60" t="n">
        <v>1.2</v>
      </c>
      <c r="F209" s="60" t="n">
        <v>1.26</v>
      </c>
      <c r="G209" s="60" t="n">
        <v>1.32</v>
      </c>
      <c r="H209" s="60"/>
      <c r="I209" s="60"/>
      <c r="J209" s="60"/>
      <c r="K209" s="60"/>
      <c r="L209" s="60"/>
      <c r="M209" s="60"/>
      <c r="N209" s="60"/>
      <c r="O209" s="60"/>
      <c r="P209" s="60"/>
      <c r="Q209" s="60"/>
      <c r="R209" s="60"/>
      <c r="S209" s="60"/>
      <c r="T209" s="60"/>
      <c r="U209" s="60"/>
      <c r="V209" s="60"/>
      <c r="W209" s="60"/>
      <c r="X209" s="60"/>
      <c r="Y209" s="60"/>
      <c r="Z209" s="60"/>
      <c r="AA209" s="60"/>
    </row>
    <row r="210" ht="22" customHeight="1">
      <c r="A210" s="49" t="str">
        <v>Repurchase of common stock</v>
      </c>
      <c r="B210" s="3"/>
      <c r="C210" s="51" t="n">
        <v>2587</v>
      </c>
      <c r="D210" s="51" t="n">
        <v>3615</v>
      </c>
      <c r="E210" s="51" t="n">
        <v>10730</v>
      </c>
      <c r="F210" s="51" t="n">
        <v>13576</v>
      </c>
      <c r="G210" s="51" t="n">
        <v>14229</v>
      </c>
      <c r="H210" s="51"/>
      <c r="I210" s="51"/>
      <c r="J210" s="51"/>
      <c r="K210" s="51"/>
      <c r="L210" s="51"/>
      <c r="M210" s="51"/>
      <c r="N210" s="51"/>
      <c r="O210" s="51"/>
      <c r="P210" s="51"/>
      <c r="Q210" s="51"/>
      <c r="R210" s="51"/>
      <c r="S210" s="51"/>
      <c r="T210" s="51"/>
      <c r="U210" s="51"/>
      <c r="V210" s="51"/>
      <c r="W210" s="51"/>
      <c r="X210" s="51"/>
      <c r="Y210" s="51"/>
      <c r="Z210" s="51"/>
      <c r="AA210" s="51"/>
    </row>
    <row r="211" ht="22" customHeight="1">
      <c r="A211" s="49" t="str">
        <v>Payment of dividends to stockholders</v>
      </c>
      <c r="B211" s="3"/>
      <c r="C211" s="51" t="n">
        <v>4925</v>
      </c>
      <c r="D211" s="51" t="n">
        <v>5072</v>
      </c>
      <c r="E211" s="51" t="n">
        <v>5541</v>
      </c>
      <c r="F211" s="51" t="n">
        <v>5576</v>
      </c>
      <c r="G211" s="51" t="n">
        <v>5568</v>
      </c>
      <c r="H211" s="51"/>
      <c r="I211" s="51"/>
      <c r="J211" s="51"/>
      <c r="K211" s="51"/>
      <c r="L211" s="51"/>
      <c r="M211" s="51"/>
      <c r="N211" s="51"/>
      <c r="O211" s="51"/>
      <c r="P211" s="51"/>
      <c r="Q211" s="51"/>
      <c r="R211" s="51"/>
      <c r="S211" s="51"/>
      <c r="T211" s="51"/>
      <c r="U211" s="51"/>
      <c r="V211" s="51"/>
      <c r="W211" s="51"/>
      <c r="X211" s="51"/>
      <c r="Y211" s="51"/>
      <c r="Z211" s="51"/>
      <c r="AA211" s="51"/>
    </row>
    <row r="212" ht="24" customHeight="1">
      <c r="A212" s="34" t="str">
        <v>Total</v>
      </c>
      <c r="B212" s="35"/>
      <c r="C212" s="36" t="n">
        <v>80.9</v>
      </c>
      <c r="D212" s="36" t="n">
        <v>101.3</v>
      </c>
      <c r="E212" s="36" t="n">
        <v>217.3</v>
      </c>
      <c r="F212" s="36" t="n">
        <v>271.7</v>
      </c>
      <c r="G212" s="36" t="n">
        <v>274.6</v>
      </c>
      <c r="H212" s="36" t="n">
        <v>39.5</v>
      </c>
      <c r="I212" s="36"/>
      <c r="J212" s="36"/>
      <c r="K212" s="36"/>
      <c r="L212" s="36"/>
      <c r="M212" s="36"/>
      <c r="N212" s="36"/>
      <c r="O212" s="36"/>
      <c r="P212" s="36"/>
      <c r="Q212" s="36"/>
      <c r="R212" s="36"/>
      <c r="S212" s="36"/>
      <c r="T212" s="36"/>
      <c r="U212" s="36"/>
      <c r="V212" s="36"/>
      <c r="W212" s="36"/>
      <c r="X212" s="36"/>
      <c r="Y212" s="36"/>
      <c r="Z212" s="36"/>
      <c r="AA212" s="36"/>
    </row>
    <row r="213" ht="24" customHeight="1">
      <c r="A213" s="34" t="str">
        <v>Total</v>
      </c>
      <c r="B213" s="35"/>
      <c r="C213" s="58" t="n">
        <v>32.05</v>
      </c>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row>
    <row r="214" ht="8"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22" customHeight="1">
      <c r="A215" s="21" t="str">
        <v>Share-based compensation: awards, assumptions and expense</v>
      </c>
      <c r="B215" s="21" t="str">
        <v>Share-based compensation: awards, assumptions and expense</v>
      </c>
      <c r="C215" s="21" t="str">
        <v>Share-based compensation: awards, assumptions and expense</v>
      </c>
      <c r="D215" s="21" t="str">
        <v>Share-based compensation: awards, assumptions and expense</v>
      </c>
      <c r="E215" s="21" t="str">
        <v>Share-based compensation: awards, assumptions and expense</v>
      </c>
      <c r="F215" s="21" t="str">
        <v>Share-based compensation: awards, assumptions and expense</v>
      </c>
      <c r="G215" s="21" t="str">
        <v>Share-based compensation: awards, assumptions and expense</v>
      </c>
      <c r="H215" s="21" t="str">
        <v>Share-based compensation: awards, assumptions and expense</v>
      </c>
      <c r="I215" s="21" t="str">
        <v>Share-based compensation: awards, assumptions and expense</v>
      </c>
      <c r="J215" s="21" t="str">
        <v>Share-based compensation: awards, assumptions and expense</v>
      </c>
      <c r="K215" s="21" t="str">
        <v>Share-based compensation: awards, assumptions and expense</v>
      </c>
      <c r="L215" s="21" t="str">
        <v>Share-based compensation: awards, assumptions and expense</v>
      </c>
      <c r="M215" s="21" t="str">
        <v>Share-based compensation: awards, assumptions and expense</v>
      </c>
      <c r="N215" s="21" t="str">
        <v>Share-based compensation: awards, assumptions and expense</v>
      </c>
      <c r="O215" s="21" t="str">
        <v>Share-based compensation: awards, assumptions and expense</v>
      </c>
      <c r="P215" s="21" t="str">
        <v>Share-based compensation: awards, assumptions and expense</v>
      </c>
      <c r="Q215" s="21" t="str">
        <v>Share-based compensation: awards, assumptions and expense</v>
      </c>
      <c r="R215" s="21" t="str">
        <v>Share-based compensation: awards, assumptions and expense</v>
      </c>
      <c r="S215" s="21" t="str">
        <v>Share-based compensation: awards, assumptions and expense</v>
      </c>
      <c r="T215" s="21" t="str">
        <v>Share-based compensation: awards, assumptions and expense</v>
      </c>
      <c r="U215" s="21" t="str">
        <v>Share-based compensation: awards, assumptions and expense</v>
      </c>
      <c r="V215" s="21" t="str">
        <v>Share-based compensation: awards, assumptions and expense</v>
      </c>
      <c r="W215" s="21" t="str">
        <v>Share-based compensation: awards, assumptions and expense</v>
      </c>
      <c r="X215" s="21" t="str">
        <v>Share-based compensation: awards, assumptions and expense</v>
      </c>
      <c r="Y215" s="21" t="str">
        <v>Share-based compensation: awards, assumptions and expense</v>
      </c>
      <c r="Z215" s="21" t="str">
        <v>Share-based compensation: awards, assumptions and expense</v>
      </c>
      <c r="AA215" s="21" t="str">
        <v>Share-based compensation: awards, assumptions and expense</v>
      </c>
    </row>
    <row r="216" ht="22" customHeight="1">
      <c r="A216" s="49" t="str">
        <v>Corporate unallocated: Share-based compensation</v>
      </c>
      <c r="B216" s="3"/>
      <c r="C216" s="51"/>
      <c r="D216" s="51"/>
      <c r="E216" s="51"/>
      <c r="F216" s="51"/>
      <c r="G216" s="51"/>
      <c r="H216" s="51"/>
      <c r="I216" s="51"/>
      <c r="J216" s="51"/>
      <c r="K216" s="51"/>
      <c r="L216" s="51"/>
      <c r="M216" s="51"/>
      <c r="N216" s="51" t="n">
        <v>-739</v>
      </c>
      <c r="O216" s="51" t="n">
        <v>-922</v>
      </c>
      <c r="P216" s="51" t="n">
        <v>-772</v>
      </c>
      <c r="Q216" s="51"/>
      <c r="R216" s="51" t="n">
        <v>-1179</v>
      </c>
      <c r="S216" s="51" t="n">
        <v>-780</v>
      </c>
      <c r="T216" s="51" t="n">
        <v>-800</v>
      </c>
      <c r="U216" s="51"/>
      <c r="V216" s="51" t="n">
        <v>684</v>
      </c>
      <c r="W216" s="51" t="n">
        <v>664</v>
      </c>
      <c r="X216" s="51" t="n">
        <v>548</v>
      </c>
      <c r="Y216" s="51"/>
      <c r="Z216" s="51" t="n">
        <v>621</v>
      </c>
      <c r="AA216" s="51" t="n">
        <v>687</v>
      </c>
    </row>
    <row r="217" ht="22" customHeight="1">
      <c r="A217" s="49" t="str">
        <v>Share-based compensation</v>
      </c>
      <c r="B217" s="3"/>
      <c r="C217" s="51"/>
      <c r="D217" s="51"/>
      <c r="E217" s="51"/>
      <c r="F217" s="51"/>
      <c r="G217" s="51"/>
      <c r="H217" s="51"/>
      <c r="I217" s="51"/>
      <c r="J217" s="51"/>
      <c r="K217" s="51"/>
      <c r="L217" s="51"/>
      <c r="M217" s="51"/>
      <c r="N217" s="51"/>
      <c r="O217" s="51"/>
      <c r="P217" s="51"/>
      <c r="Q217" s="51"/>
      <c r="R217" s="51"/>
      <c r="S217" s="51"/>
      <c r="T217" s="51"/>
      <c r="U217" s="51"/>
      <c r="V217" s="51" t="n">
        <v>175</v>
      </c>
      <c r="W217" s="51"/>
      <c r="X217" s="51"/>
      <c r="Y217" s="51"/>
      <c r="Z217" s="51"/>
      <c r="AA217" s="51"/>
    </row>
    <row r="218" ht="22" customHeight="1">
      <c r="A218" s="49" t="str">
        <v>Share-based compensation</v>
      </c>
      <c r="B218" s="3"/>
      <c r="C218" s="51"/>
      <c r="D218" s="51"/>
      <c r="E218" s="51"/>
      <c r="F218" s="51"/>
      <c r="G218" s="51"/>
      <c r="H218" s="51"/>
      <c r="I218" s="51"/>
      <c r="J218" s="51"/>
      <c r="K218" s="51"/>
      <c r="L218" s="51"/>
      <c r="M218" s="51"/>
      <c r="N218" s="51"/>
      <c r="O218" s="51"/>
      <c r="P218" s="51"/>
      <c r="Q218" s="51"/>
      <c r="R218" s="51"/>
      <c r="S218" s="51"/>
      <c r="T218" s="51"/>
      <c r="U218" s="51"/>
      <c r="V218" s="51" t="n">
        <v>509</v>
      </c>
      <c r="W218" s="51"/>
      <c r="X218" s="51"/>
      <c r="Y218" s="51"/>
      <c r="Z218" s="51"/>
      <c r="AA218" s="51"/>
    </row>
    <row r="219" ht="22" customHeight="1">
      <c r="A219" s="49" t="str">
        <v>Granted</v>
      </c>
      <c r="B219" s="3"/>
      <c r="C219" s="51" t="n">
        <v>53.1</v>
      </c>
      <c r="D219" s="51" t="n">
        <v>45.2</v>
      </c>
      <c r="E219" s="51" t="n">
        <v>36.4</v>
      </c>
      <c r="F219" s="51" t="n">
        <v>37.6</v>
      </c>
      <c r="G219" s="51" t="n">
        <v>40.4</v>
      </c>
      <c r="H219" s="51" t="n">
        <v>76.8</v>
      </c>
      <c r="I219" s="51" t="n">
        <v>104.2</v>
      </c>
      <c r="J219" s="51" t="n">
        <v>98.2</v>
      </c>
      <c r="K219" s="51" t="n">
        <v>64.5</v>
      </c>
      <c r="L219" s="51" t="n">
        <v>104.5</v>
      </c>
      <c r="M219" s="51"/>
      <c r="N219" s="51"/>
      <c r="O219" s="51"/>
      <c r="P219" s="51"/>
      <c r="Q219" s="51"/>
      <c r="R219" s="51"/>
      <c r="S219" s="51"/>
      <c r="T219" s="51"/>
      <c r="U219" s="51"/>
      <c r="V219" s="51"/>
      <c r="W219" s="51"/>
      <c r="X219" s="51"/>
      <c r="Y219" s="51"/>
      <c r="Z219" s="51"/>
      <c r="AA219" s="51"/>
    </row>
    <row r="220" ht="22" customHeight="1">
      <c r="A220" s="49" t="str">
        <v>Granted</v>
      </c>
      <c r="B220" s="3"/>
      <c r="C220" s="60" t="n">
        <v>29.76</v>
      </c>
      <c r="D220" s="60" t="n">
        <v>35.3</v>
      </c>
      <c r="E220" s="60" t="n">
        <v>48.95</v>
      </c>
      <c r="F220" s="60" t="n">
        <v>48.06</v>
      </c>
      <c r="G220" s="60" t="n">
        <v>54.82</v>
      </c>
      <c r="H220" s="60" t="n">
        <v>50.82</v>
      </c>
      <c r="I220" s="60" t="n">
        <v>41.12</v>
      </c>
      <c r="J220" s="60" t="n">
        <v>28.92</v>
      </c>
      <c r="K220" s="60" t="n">
        <v>39.51</v>
      </c>
      <c r="L220" s="60" t="n">
        <v>23.73</v>
      </c>
      <c r="M220" s="60"/>
      <c r="N220" s="60"/>
      <c r="O220" s="60"/>
      <c r="P220" s="60"/>
      <c r="Q220" s="60"/>
      <c r="R220" s="60"/>
      <c r="S220" s="60"/>
      <c r="T220" s="60"/>
      <c r="U220" s="60"/>
      <c r="V220" s="60"/>
      <c r="W220" s="60"/>
      <c r="X220" s="60"/>
      <c r="Y220" s="60"/>
      <c r="Z220" s="60"/>
      <c r="AA220" s="60"/>
    </row>
    <row r="221" ht="22" customHeight="1">
      <c r="A221" s="49" t="str">
        <v>Assumed in acquisition</v>
      </c>
      <c r="B221" s="3"/>
      <c r="C221" s="51" t="n">
        <v>7.3</v>
      </c>
      <c r="D221" s="51" t="n">
        <v>1.1</v>
      </c>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22" customHeight="1">
      <c r="A222" s="49" t="str">
        <v>Assumed in acquisition</v>
      </c>
      <c r="B222" s="3"/>
      <c r="C222" s="60" t="n">
        <v>33.79</v>
      </c>
      <c r="D222" s="60" t="n">
        <v>34.9</v>
      </c>
      <c r="E222" s="60"/>
      <c r="F222" s="60"/>
      <c r="G222" s="60"/>
      <c r="H222" s="60"/>
      <c r="I222" s="60"/>
      <c r="J222" s="60"/>
      <c r="K222" s="60"/>
      <c r="L222" s="60"/>
      <c r="M222" s="60"/>
      <c r="N222" s="60"/>
      <c r="O222" s="60"/>
      <c r="P222" s="60"/>
      <c r="Q222" s="60"/>
      <c r="R222" s="60"/>
      <c r="S222" s="60"/>
      <c r="T222" s="60"/>
      <c r="U222" s="60"/>
      <c r="V222" s="60"/>
      <c r="W222" s="60"/>
      <c r="X222" s="60"/>
      <c r="Y222" s="60"/>
      <c r="Z222" s="60"/>
      <c r="AA222" s="60"/>
    </row>
    <row r="223" ht="22" customHeight="1">
      <c r="A223" s="49" t="str">
        <v>Vested</v>
      </c>
      <c r="B223" s="3"/>
      <c r="C223" s="51" t="n">
        <v>-50</v>
      </c>
      <c r="D223" s="51" t="n">
        <v>-40.5</v>
      </c>
      <c r="E223" s="51" t="n">
        <v>-39.5</v>
      </c>
      <c r="F223" s="51" t="n">
        <v>-35.2</v>
      </c>
      <c r="G223" s="51" t="n">
        <v>-33.3</v>
      </c>
      <c r="H223" s="51" t="n">
        <v>-30.2</v>
      </c>
      <c r="I223" s="51" t="n">
        <v>-50.3</v>
      </c>
      <c r="J223" s="51" t="n">
        <v>-63.6</v>
      </c>
      <c r="K223" s="51" t="n">
        <v>-83.8</v>
      </c>
      <c r="L223" s="51" t="n">
        <v>-65.9</v>
      </c>
      <c r="M223" s="51"/>
      <c r="N223" s="51"/>
      <c r="O223" s="51"/>
      <c r="P223" s="51"/>
      <c r="Q223" s="51"/>
      <c r="R223" s="51"/>
      <c r="S223" s="51"/>
      <c r="T223" s="51"/>
      <c r="U223" s="51"/>
      <c r="V223" s="51"/>
      <c r="W223" s="51"/>
      <c r="X223" s="51"/>
      <c r="Y223" s="51"/>
      <c r="Z223" s="51"/>
      <c r="AA223" s="51"/>
    </row>
    <row r="224" ht="22" customHeight="1">
      <c r="A224" s="49" t="str">
        <v>Vested</v>
      </c>
      <c r="B224" s="3"/>
      <c r="C224" s="60" t="n">
        <v>26.29</v>
      </c>
      <c r="D224" s="60" t="n">
        <v>27.52</v>
      </c>
      <c r="E224" s="60" t="n">
        <v>31.64</v>
      </c>
      <c r="F224" s="60" t="n">
        <v>36.51</v>
      </c>
      <c r="G224" s="60" t="n">
        <v>40.54</v>
      </c>
      <c r="H224" s="60" t="n">
        <v>47.64</v>
      </c>
      <c r="I224" s="60" t="n">
        <v>48.9</v>
      </c>
      <c r="J224" s="60" t="n">
        <v>43.22</v>
      </c>
      <c r="K224" s="60" t="n">
        <v>40.33</v>
      </c>
      <c r="L224" s="60" t="n">
        <v>35.08</v>
      </c>
      <c r="M224" s="60"/>
      <c r="N224" s="60"/>
      <c r="O224" s="60"/>
      <c r="P224" s="60"/>
      <c r="Q224" s="60"/>
      <c r="R224" s="60"/>
      <c r="S224" s="60"/>
      <c r="T224" s="60"/>
      <c r="U224" s="60"/>
      <c r="V224" s="60"/>
      <c r="W224" s="60"/>
      <c r="X224" s="60"/>
      <c r="Y224" s="60"/>
      <c r="Z224" s="60"/>
      <c r="AA224" s="60"/>
    </row>
    <row r="225" ht="22" customHeight="1">
      <c r="A225" s="49" t="str">
        <v>Forfeited</v>
      </c>
      <c r="B225" s="3"/>
      <c r="C225" s="51" t="n">
        <v>-11</v>
      </c>
      <c r="D225" s="51" t="n">
        <v>-12.2</v>
      </c>
      <c r="E225" s="51" t="n">
        <v>-7.4</v>
      </c>
      <c r="F225" s="51" t="n">
        <v>-8.2</v>
      </c>
      <c r="G225" s="51" t="n">
        <v>-8.5</v>
      </c>
      <c r="H225" s="51" t="n">
        <v>-11.3</v>
      </c>
      <c r="I225" s="51" t="n">
        <v>-13.2</v>
      </c>
      <c r="J225" s="51" t="n">
        <v>-20.4</v>
      </c>
      <c r="K225" s="51" t="n">
        <v>-36.2</v>
      </c>
      <c r="L225" s="51" t="n">
        <v>-38.5</v>
      </c>
      <c r="M225" s="51"/>
      <c r="N225" s="51"/>
      <c r="O225" s="51"/>
      <c r="P225" s="51"/>
      <c r="Q225" s="51"/>
      <c r="R225" s="51"/>
      <c r="S225" s="51"/>
      <c r="T225" s="51"/>
      <c r="U225" s="51"/>
      <c r="V225" s="51"/>
      <c r="W225" s="51"/>
      <c r="X225" s="51"/>
      <c r="Y225" s="51"/>
      <c r="Z225" s="51"/>
      <c r="AA225" s="51"/>
    </row>
    <row r="226" ht="22" customHeight="1">
      <c r="A226" s="49" t="str">
        <v>Forfeited</v>
      </c>
      <c r="B226" s="3"/>
      <c r="C226" s="60" t="n">
        <v>28.1</v>
      </c>
      <c r="D226" s="60" t="n">
        <v>30.08</v>
      </c>
      <c r="E226" s="60" t="n">
        <v>36.23</v>
      </c>
      <c r="F226" s="60" t="n">
        <v>42.2</v>
      </c>
      <c r="G226" s="60" t="n">
        <v>47.89</v>
      </c>
      <c r="H226" s="60" t="n">
        <v>49.48</v>
      </c>
      <c r="I226" s="60" t="n">
        <v>48.99</v>
      </c>
      <c r="J226" s="60" t="n">
        <v>44.87</v>
      </c>
      <c r="K226" s="60" t="n">
        <v>35.54</v>
      </c>
      <c r="L226" s="60" t="n">
        <v>29.89</v>
      </c>
      <c r="M226" s="60"/>
      <c r="N226" s="60"/>
      <c r="O226" s="60"/>
      <c r="P226" s="60"/>
      <c r="Q226" s="60"/>
      <c r="R226" s="60"/>
      <c r="S226" s="60"/>
      <c r="T226" s="60"/>
      <c r="U226" s="60"/>
      <c r="V226" s="60"/>
      <c r="W226" s="60"/>
      <c r="X226" s="60"/>
      <c r="Y226" s="60"/>
      <c r="Z226" s="60"/>
      <c r="AA226" s="60"/>
    </row>
    <row r="227" ht="22" customHeight="1">
      <c r="A227" s="49" t="str">
        <v>December 31, 2016</v>
      </c>
      <c r="B227" s="3"/>
      <c r="C227" s="51" t="n">
        <v>106.8</v>
      </c>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22" customHeight="1">
      <c r="A228" s="49" t="str">
        <v>December 31, 2016</v>
      </c>
      <c r="B228" s="3"/>
      <c r="C228" s="60" t="n">
        <v>28.99</v>
      </c>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row>
    <row r="229" ht="22" customHeight="1">
      <c r="A229" s="49" t="str">
        <v>Expected to vest as of December 31, 2016</v>
      </c>
      <c r="B229" s="3"/>
      <c r="C229" s="51" t="n">
        <v>99.9</v>
      </c>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22" customHeight="1">
      <c r="A230" s="49" t="str">
        <v>Expected to vest as of December 31, 2016</v>
      </c>
      <c r="B230" s="3"/>
      <c r="C230" s="60" t="n">
        <v>28.99</v>
      </c>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row>
    <row r="231" ht="22" customHeight="1">
      <c r="A231" s="49" t="str">
        <v>December 30, 2017</v>
      </c>
      <c r="B231" s="3"/>
      <c r="C231" s="51"/>
      <c r="D231" s="51" t="n">
        <v>100.4</v>
      </c>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22" customHeight="1">
      <c r="A232" s="49" t="str">
        <v>December 30, 2017</v>
      </c>
      <c r="B232" s="3"/>
      <c r="C232" s="60"/>
      <c r="D232" s="60" t="n">
        <v>32.36</v>
      </c>
      <c r="E232" s="60"/>
      <c r="F232" s="60"/>
      <c r="G232" s="60"/>
      <c r="H232" s="60"/>
      <c r="I232" s="60"/>
      <c r="J232" s="60"/>
      <c r="K232" s="60"/>
      <c r="L232" s="60"/>
      <c r="M232" s="60"/>
      <c r="N232" s="60"/>
      <c r="O232" s="60"/>
      <c r="P232" s="60"/>
      <c r="Q232" s="60"/>
      <c r="R232" s="60"/>
      <c r="S232" s="60"/>
      <c r="T232" s="60"/>
      <c r="U232" s="60"/>
      <c r="V232" s="60"/>
      <c r="W232" s="60"/>
      <c r="X232" s="60"/>
      <c r="Y232" s="60"/>
      <c r="Z232" s="60"/>
      <c r="AA232" s="60"/>
    </row>
    <row r="233" ht="22" customHeight="1">
      <c r="A233" s="49" t="str">
        <v>Expected to vest as of December 30, 2017</v>
      </c>
      <c r="B233" s="3"/>
      <c r="C233" s="51"/>
      <c r="D233" s="51" t="n">
        <v>96.5</v>
      </c>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22" customHeight="1">
      <c r="A234" s="49" t="str">
        <v>Expected to vest as of December 30, 2017</v>
      </c>
      <c r="B234" s="3"/>
      <c r="C234" s="60"/>
      <c r="D234" s="60" t="n">
        <v>32.36</v>
      </c>
      <c r="E234" s="60"/>
      <c r="F234" s="60"/>
      <c r="G234" s="60"/>
      <c r="H234" s="60"/>
      <c r="I234" s="60"/>
      <c r="J234" s="60"/>
      <c r="K234" s="60"/>
      <c r="L234" s="60"/>
      <c r="M234" s="60"/>
      <c r="N234" s="60"/>
      <c r="O234" s="60"/>
      <c r="P234" s="60"/>
      <c r="Q234" s="60"/>
      <c r="R234" s="60"/>
      <c r="S234" s="60"/>
      <c r="T234" s="60"/>
      <c r="U234" s="60"/>
      <c r="V234" s="60"/>
      <c r="W234" s="60"/>
      <c r="X234" s="60"/>
      <c r="Y234" s="60"/>
      <c r="Z234" s="60"/>
      <c r="AA234" s="60"/>
    </row>
    <row r="235" ht="22" customHeight="1">
      <c r="A235" s="49" t="str">
        <v>December 29, 2018</v>
      </c>
      <c r="B235" s="3"/>
      <c r="C235" s="51"/>
      <c r="D235" s="51"/>
      <c r="E235" s="51" t="n">
        <v>89.9</v>
      </c>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22" customHeight="1">
      <c r="A236" s="49" t="str">
        <v>December 29, 2018</v>
      </c>
      <c r="B236" s="3"/>
      <c r="C236" s="60"/>
      <c r="D236" s="60"/>
      <c r="E236" s="60" t="n">
        <v>39.07</v>
      </c>
      <c r="F236" s="60"/>
      <c r="G236" s="60"/>
      <c r="H236" s="60"/>
      <c r="I236" s="60"/>
      <c r="J236" s="60"/>
      <c r="K236" s="60"/>
      <c r="L236" s="60"/>
      <c r="M236" s="60"/>
      <c r="N236" s="60"/>
      <c r="O236" s="60"/>
      <c r="P236" s="60"/>
      <c r="Q236" s="60"/>
      <c r="R236" s="60"/>
      <c r="S236" s="60"/>
      <c r="T236" s="60"/>
      <c r="U236" s="60"/>
      <c r="V236" s="60"/>
      <c r="W236" s="60"/>
      <c r="X236" s="60"/>
      <c r="Y236" s="60"/>
      <c r="Z236" s="60"/>
      <c r="AA236" s="60"/>
    </row>
    <row r="237" ht="22" customHeight="1">
      <c r="A237" s="49" t="str">
        <v>Expected to vest as of December 29, 2018</v>
      </c>
      <c r="B237" s="3"/>
      <c r="C237" s="51"/>
      <c r="D237" s="51"/>
      <c r="E237" s="51" t="n">
        <v>85.3</v>
      </c>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22" customHeight="1">
      <c r="A238" s="49" t="str">
        <v>Expected to vest as of December 29, 2018</v>
      </c>
      <c r="B238" s="3"/>
      <c r="C238" s="60"/>
      <c r="D238" s="60"/>
      <c r="E238" s="60" t="n">
        <v>38.92</v>
      </c>
      <c r="F238" s="60"/>
      <c r="G238" s="60"/>
      <c r="H238" s="60"/>
      <c r="I238" s="60"/>
      <c r="J238" s="60"/>
      <c r="K238" s="60"/>
      <c r="L238" s="60"/>
      <c r="M238" s="60"/>
      <c r="N238" s="60"/>
      <c r="O238" s="60"/>
      <c r="P238" s="60"/>
      <c r="Q238" s="60"/>
      <c r="R238" s="60"/>
      <c r="S238" s="60"/>
      <c r="T238" s="60"/>
      <c r="U238" s="60"/>
      <c r="V238" s="60"/>
      <c r="W238" s="60"/>
      <c r="X238" s="60"/>
      <c r="Y238" s="60"/>
      <c r="Z238" s="60"/>
      <c r="AA238" s="60"/>
    </row>
    <row r="239" ht="22" customHeight="1">
      <c r="A239" s="49" t="str">
        <v>Estimated values [RSUs and OSUs Dec 31, 2016]</v>
      </c>
      <c r="B239" s="3"/>
      <c r="C239" s="60" t="n">
        <v>29.76</v>
      </c>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row>
    <row r="240" ht="22" customHeight="1">
      <c r="A240" s="49" t="str">
        <v>Estimated values [Stock Purchase Plan Dec 31, 2016]</v>
      </c>
      <c r="B240" s="3"/>
      <c r="C240" s="60" t="n">
        <v>6.7</v>
      </c>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row>
    <row r="241" ht="22" customHeight="1">
      <c r="A241" s="49" t="str">
        <v>Estimated values [RSUs and OSUs Dec 30, 2017]</v>
      </c>
      <c r="B241" s="3"/>
      <c r="C241" s="60"/>
      <c r="D241" s="60" t="n">
        <v>35.3</v>
      </c>
      <c r="E241" s="60"/>
      <c r="F241" s="60"/>
      <c r="G241" s="60"/>
      <c r="H241" s="60"/>
      <c r="I241" s="60"/>
      <c r="J241" s="60"/>
      <c r="K241" s="60"/>
      <c r="L241" s="60"/>
      <c r="M241" s="60"/>
      <c r="N241" s="60"/>
      <c r="O241" s="60"/>
      <c r="P241" s="60"/>
      <c r="Q241" s="60"/>
      <c r="R241" s="60"/>
      <c r="S241" s="60"/>
      <c r="T241" s="60"/>
      <c r="U241" s="60"/>
      <c r="V241" s="60"/>
      <c r="W241" s="60"/>
      <c r="X241" s="60"/>
      <c r="Y241" s="60"/>
      <c r="Z241" s="60"/>
      <c r="AA241" s="60"/>
    </row>
    <row r="242" ht="22" customHeight="1">
      <c r="A242" s="49" t="str">
        <v>Estimated values [Stock Purchase Plan Dec 30, 2017]</v>
      </c>
      <c r="B242" s="3"/>
      <c r="C242" s="60"/>
      <c r="D242" s="60" t="n">
        <v>7.2</v>
      </c>
      <c r="E242" s="60"/>
      <c r="F242" s="60"/>
      <c r="G242" s="60"/>
      <c r="H242" s="60"/>
      <c r="I242" s="60"/>
      <c r="J242" s="60"/>
      <c r="K242" s="60"/>
      <c r="L242" s="60"/>
      <c r="M242" s="60"/>
      <c r="N242" s="60"/>
      <c r="O242" s="60"/>
      <c r="P242" s="60"/>
      <c r="Q242" s="60"/>
      <c r="R242" s="60"/>
      <c r="S242" s="60"/>
      <c r="T242" s="60"/>
      <c r="U242" s="60"/>
      <c r="V242" s="60"/>
      <c r="W242" s="60"/>
      <c r="X242" s="60"/>
      <c r="Y242" s="60"/>
      <c r="Z242" s="60"/>
      <c r="AA242" s="60"/>
    </row>
    <row r="243" ht="22" customHeight="1">
      <c r="A243" s="49" t="str">
        <v>Estimated values [RSUs and OSUs Dec 29, 2018]</v>
      </c>
      <c r="B243" s="3"/>
      <c r="C243" s="60"/>
      <c r="D243" s="60"/>
      <c r="E243" s="60" t="n">
        <v>48.95</v>
      </c>
      <c r="F243" s="60"/>
      <c r="G243" s="60"/>
      <c r="H243" s="60"/>
      <c r="I243" s="60"/>
      <c r="J243" s="60"/>
      <c r="K243" s="60"/>
      <c r="L243" s="60"/>
      <c r="M243" s="60"/>
      <c r="N243" s="60"/>
      <c r="O243" s="60"/>
      <c r="P243" s="60"/>
      <c r="Q243" s="60"/>
      <c r="R243" s="60"/>
      <c r="S243" s="60"/>
      <c r="T243" s="60"/>
      <c r="U243" s="60"/>
      <c r="V243" s="60"/>
      <c r="W243" s="60"/>
      <c r="X243" s="60"/>
      <c r="Y243" s="60"/>
      <c r="Z243" s="60"/>
      <c r="AA243" s="60"/>
    </row>
    <row r="244" ht="20" customHeight="1">
      <c r="A244" s="40" t="str">
        <v>Risk-free interest rate [RSUs and OSUs Dec 31, 2016]</v>
      </c>
      <c r="B244" s="3"/>
      <c r="C244" s="44" t="n">
        <v>0.009000000000000001</v>
      </c>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row>
    <row r="245" ht="20" customHeight="1">
      <c r="A245" s="40" t="str">
        <v>Risk-free interest rate [Stock Purchase Plan Dec 31, 2016]</v>
      </c>
      <c r="B245" s="3"/>
      <c r="C245" s="44" t="n">
        <v>0.005</v>
      </c>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row>
    <row r="246" ht="20" customHeight="1">
      <c r="A246" s="40" t="str">
        <v>Risk-free interest rate [RSUs and OSUs Dec 30, 2017]</v>
      </c>
      <c r="B246" s="3"/>
      <c r="C246" s="44"/>
      <c r="D246" s="44" t="n">
        <v>0.013999999999999999</v>
      </c>
      <c r="E246" s="44"/>
      <c r="F246" s="44"/>
      <c r="G246" s="44"/>
      <c r="H246" s="44"/>
      <c r="I246" s="44"/>
      <c r="J246" s="44"/>
      <c r="K246" s="44"/>
      <c r="L246" s="44"/>
      <c r="M246" s="44"/>
      <c r="N246" s="44"/>
      <c r="O246" s="44"/>
      <c r="P246" s="44"/>
      <c r="Q246" s="44"/>
      <c r="R246" s="44"/>
      <c r="S246" s="44"/>
      <c r="T246" s="44"/>
      <c r="U246" s="44"/>
      <c r="V246" s="44"/>
      <c r="W246" s="44"/>
      <c r="X246" s="44"/>
      <c r="Y246" s="44"/>
      <c r="Z246" s="44"/>
      <c r="AA246" s="44"/>
    </row>
    <row r="247" ht="20" customHeight="1">
      <c r="A247" s="40" t="str">
        <v>Risk-free interest rate [Stock Purchase Plan Dec 30, 2017]</v>
      </c>
      <c r="B247" s="3"/>
      <c r="C247" s="44"/>
      <c r="D247" s="44" t="n">
        <v>0.01</v>
      </c>
      <c r="E247" s="44"/>
      <c r="F247" s="44"/>
      <c r="G247" s="44"/>
      <c r="H247" s="44"/>
      <c r="I247" s="44"/>
      <c r="J247" s="44"/>
      <c r="K247" s="44"/>
      <c r="L247" s="44"/>
      <c r="M247" s="44"/>
      <c r="N247" s="44"/>
      <c r="O247" s="44"/>
      <c r="P247" s="44"/>
      <c r="Q247" s="44"/>
      <c r="R247" s="44"/>
      <c r="S247" s="44"/>
      <c r="T247" s="44"/>
      <c r="U247" s="44"/>
      <c r="V247" s="44"/>
      <c r="W247" s="44"/>
      <c r="X247" s="44"/>
      <c r="Y247" s="44"/>
      <c r="Z247" s="44"/>
      <c r="AA247" s="44"/>
    </row>
    <row r="248" ht="20" customHeight="1">
      <c r="A248" s="40" t="str">
        <v>Risk-free interest rate [RSUs and OSUs Dec 29, 2018]</v>
      </c>
      <c r="B248" s="3"/>
      <c r="C248" s="44"/>
      <c r="D248" s="44"/>
      <c r="E248" s="44" t="n">
        <v>0.024</v>
      </c>
      <c r="F248" s="44"/>
      <c r="G248" s="44"/>
      <c r="H248" s="44"/>
      <c r="I248" s="44"/>
      <c r="J248" s="44"/>
      <c r="K248" s="44"/>
      <c r="L248" s="44"/>
      <c r="M248" s="44"/>
      <c r="N248" s="44"/>
      <c r="O248" s="44"/>
      <c r="P248" s="44"/>
      <c r="Q248" s="44"/>
      <c r="R248" s="44"/>
      <c r="S248" s="44"/>
      <c r="T248" s="44"/>
      <c r="U248" s="44"/>
      <c r="V248" s="44"/>
      <c r="W248" s="44"/>
      <c r="X248" s="44"/>
      <c r="Y248" s="44"/>
      <c r="Z248" s="44"/>
      <c r="AA248" s="44"/>
    </row>
    <row r="249" ht="20" customHeight="1">
      <c r="A249" s="40" t="str">
        <v>Dividend yield [RSUs and OSUs Dec 31, 2016]</v>
      </c>
      <c r="B249" s="3"/>
      <c r="C249" s="44" t="n">
        <v>0.033</v>
      </c>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row>
    <row r="250" ht="20" customHeight="1">
      <c r="A250" s="40" t="str">
        <v>Dividend yield [Stock Purchase Plan Dec 31, 2016]</v>
      </c>
      <c r="B250" s="3"/>
      <c r="C250" s="44" t="n">
        <v>0.032</v>
      </c>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row>
    <row r="251" ht="20" customHeight="1">
      <c r="A251" s="40" t="str">
        <v>Dividend yield [RSUs and OSUs Dec 30, 2017]</v>
      </c>
      <c r="B251" s="3"/>
      <c r="C251" s="44"/>
      <c r="D251" s="44" t="n">
        <v>0.028999999999999998</v>
      </c>
      <c r="E251" s="44"/>
      <c r="F251" s="44"/>
      <c r="G251" s="44"/>
      <c r="H251" s="44"/>
      <c r="I251" s="44"/>
      <c r="J251" s="44"/>
      <c r="K251" s="44"/>
      <c r="L251" s="44"/>
      <c r="M251" s="44"/>
      <c r="N251" s="44"/>
      <c r="O251" s="44"/>
      <c r="P251" s="44"/>
      <c r="Q251" s="44"/>
      <c r="R251" s="44"/>
      <c r="S251" s="44"/>
      <c r="T251" s="44"/>
      <c r="U251" s="44"/>
      <c r="V251" s="44"/>
      <c r="W251" s="44"/>
      <c r="X251" s="44"/>
      <c r="Y251" s="44"/>
      <c r="Z251" s="44"/>
      <c r="AA251" s="44"/>
    </row>
    <row r="252" ht="20" customHeight="1">
      <c r="A252" s="40" t="str">
        <v>Dividend yield [Stock Purchase Plan Dec 30, 2017]</v>
      </c>
      <c r="B252" s="3"/>
      <c r="C252" s="44"/>
      <c r="D252" s="44" t="n">
        <v>0.028999999999999998</v>
      </c>
      <c r="E252" s="44"/>
      <c r="F252" s="44"/>
      <c r="G252" s="44"/>
      <c r="H252" s="44"/>
      <c r="I252" s="44"/>
      <c r="J252" s="44"/>
      <c r="K252" s="44"/>
      <c r="L252" s="44"/>
      <c r="M252" s="44"/>
      <c r="N252" s="44"/>
      <c r="O252" s="44"/>
      <c r="P252" s="44"/>
      <c r="Q252" s="44"/>
      <c r="R252" s="44"/>
      <c r="S252" s="44"/>
      <c r="T252" s="44"/>
      <c r="U252" s="44"/>
      <c r="V252" s="44"/>
      <c r="W252" s="44"/>
      <c r="X252" s="44"/>
      <c r="Y252" s="44"/>
      <c r="Z252" s="44"/>
      <c r="AA252" s="44"/>
    </row>
    <row r="253" ht="20" customHeight="1">
      <c r="A253" s="40" t="str">
        <v>Dividend yield [RSUs and OSUs Dec 29, 2018]</v>
      </c>
      <c r="B253" s="3"/>
      <c r="C253" s="44"/>
      <c r="D253" s="44"/>
      <c r="E253" s="44" t="n">
        <v>0.024</v>
      </c>
      <c r="F253" s="44"/>
      <c r="G253" s="44"/>
      <c r="H253" s="44"/>
      <c r="I253" s="44"/>
      <c r="J253" s="44"/>
      <c r="K253" s="44"/>
      <c r="L253" s="44"/>
      <c r="M253" s="44"/>
      <c r="N253" s="44"/>
      <c r="O253" s="44"/>
      <c r="P253" s="44"/>
      <c r="Q253" s="44"/>
      <c r="R253" s="44"/>
      <c r="S253" s="44"/>
      <c r="T253" s="44"/>
      <c r="U253" s="44"/>
      <c r="V253" s="44"/>
      <c r="W253" s="44"/>
      <c r="X253" s="44"/>
      <c r="Y253" s="44"/>
      <c r="Z253" s="44"/>
      <c r="AA253" s="44"/>
    </row>
    <row r="254" ht="20" customHeight="1">
      <c r="A254" s="40" t="str">
        <v>Volatility [RSUs and OSUs Dec 31, 2016]</v>
      </c>
      <c r="B254" s="3"/>
      <c r="C254" s="44" t="n">
        <v>0.23</v>
      </c>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row>
    <row r="255" ht="20" customHeight="1">
      <c r="A255" s="40" t="str">
        <v>Volatility [Stock Purchase Plan Dec 31, 2016]</v>
      </c>
      <c r="B255" s="3"/>
      <c r="C255" s="44" t="n">
        <v>0.22</v>
      </c>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row>
    <row r="256" ht="20" customHeight="1">
      <c r="A256" s="40" t="str">
        <v>Volatility [RSUs and OSUs Dec 30, 2017]</v>
      </c>
      <c r="B256" s="3"/>
      <c r="C256" s="44"/>
      <c r="D256" s="44" t="n">
        <v>0.23</v>
      </c>
      <c r="E256" s="44"/>
      <c r="F256" s="44"/>
      <c r="G256" s="44"/>
      <c r="H256" s="44"/>
      <c r="I256" s="44"/>
      <c r="J256" s="44"/>
      <c r="K256" s="44"/>
      <c r="L256" s="44"/>
      <c r="M256" s="44"/>
      <c r="N256" s="44"/>
      <c r="O256" s="44"/>
      <c r="P256" s="44"/>
      <c r="Q256" s="44"/>
      <c r="R256" s="44"/>
      <c r="S256" s="44"/>
      <c r="T256" s="44"/>
      <c r="U256" s="44"/>
      <c r="V256" s="44"/>
      <c r="W256" s="44"/>
      <c r="X256" s="44"/>
      <c r="Y256" s="44"/>
      <c r="Z256" s="44"/>
      <c r="AA256" s="44"/>
    </row>
    <row r="257" ht="20" customHeight="1">
      <c r="A257" s="40" t="str">
        <v>Volatility [Stock Purchase Plan Dec 30, 2017]</v>
      </c>
      <c r="B257" s="3"/>
      <c r="C257" s="44"/>
      <c r="D257" s="44" t="n">
        <v>0.19</v>
      </c>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ht="22" customHeight="1">
      <c r="A258" s="49" t="str">
        <v>Expected life (in years)</v>
      </c>
      <c r="B258" s="3"/>
      <c r="C258" s="51" t="n">
        <v>0.5</v>
      </c>
      <c r="D258" s="51" t="n">
        <v>0.5</v>
      </c>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22" customHeight="1">
      <c r="A259" s="49" t="str">
        <v>Restricted stock units</v>
      </c>
      <c r="B259" s="3"/>
      <c r="C259" s="51" t="n">
        <v>1903</v>
      </c>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22" customHeight="1">
      <c r="A260" s="49" t="str">
        <v>Stock Purchase Plan</v>
      </c>
      <c r="B260" s="3"/>
      <c r="C260" s="51" t="n">
        <v>13</v>
      </c>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22" customHeight="1">
      <c r="A261" s="49" t="str">
        <v>Vested</v>
      </c>
      <c r="B261" s="3"/>
      <c r="C261" s="51" t="n">
        <v>16.6</v>
      </c>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22" customHeight="1">
      <c r="A262" s="49" t="str">
        <v>Vested</v>
      </c>
      <c r="B262" s="3"/>
      <c r="C262" s="60" t="n">
        <v>23.81</v>
      </c>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row>
    <row r="263" ht="22" customHeight="1">
      <c r="A263" s="49" t="str">
        <v>Vested</v>
      </c>
      <c r="B263" s="3"/>
      <c r="C263" s="51" t="n">
        <v>2.1</v>
      </c>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22" customHeight="1">
      <c r="A264" s="49" t="str">
        <v>Vested</v>
      </c>
      <c r="B264" s="3"/>
      <c r="C264" s="51" t="n">
        <v>207</v>
      </c>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22" customHeight="1">
      <c r="A265" s="49" t="str">
        <v>Expected to vest</v>
      </c>
      <c r="B265" s="3"/>
      <c r="C265" s="51" t="n">
        <v>2.9</v>
      </c>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22" customHeight="1">
      <c r="A266" s="49" t="str">
        <v>Expected to vest</v>
      </c>
      <c r="B266" s="3"/>
      <c r="C266" s="60" t="n">
        <v>23.33</v>
      </c>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row>
    <row r="267" ht="22" customHeight="1">
      <c r="A267" s="49" t="str">
        <v>Expected to vest</v>
      </c>
      <c r="B267" s="3"/>
      <c r="C267" s="51" t="n">
        <v>3.3</v>
      </c>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22" customHeight="1">
      <c r="A268" s="49" t="str">
        <v>Expected to vest</v>
      </c>
      <c r="B268" s="3"/>
      <c r="C268" s="51" t="n">
        <v>38</v>
      </c>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24" customHeight="1">
      <c r="A269" s="34" t="str">
        <v>Total</v>
      </c>
      <c r="B269" s="35"/>
      <c r="C269" s="36" t="n">
        <v>19.5</v>
      </c>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row>
    <row r="270" ht="24" customHeight="1">
      <c r="A270" s="34" t="str">
        <v>Total</v>
      </c>
      <c r="B270" s="35"/>
      <c r="C270" s="58" t="n">
        <v>23.74</v>
      </c>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row>
    <row r="271" ht="24" customHeight="1">
      <c r="A271" s="34" t="str">
        <v>Total</v>
      </c>
      <c r="B271" s="35"/>
      <c r="C271" s="36" t="n">
        <v>2.3</v>
      </c>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row>
    <row r="272" ht="24" customHeight="1">
      <c r="A272" s="34" t="str">
        <v>Total</v>
      </c>
      <c r="B272" s="35"/>
      <c r="C272" s="36" t="n">
        <v>245</v>
      </c>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row>
    <row r="273" ht="20" customHeight="1">
      <c r="A273" s="40" t="str">
        <v>Volatility [RSUs and OSUs Dec 29, 2018]</v>
      </c>
      <c r="B273" s="3"/>
      <c r="C273" s="44"/>
      <c r="D273" s="44"/>
      <c r="E273" s="44" t="n">
        <v>0.22</v>
      </c>
      <c r="F273" s="44"/>
      <c r="G273" s="44"/>
      <c r="H273" s="44"/>
      <c r="I273" s="44"/>
      <c r="J273" s="44"/>
      <c r="K273" s="44"/>
      <c r="L273" s="44"/>
      <c r="M273" s="44"/>
      <c r="N273" s="44"/>
      <c r="O273" s="44"/>
      <c r="P273" s="44"/>
      <c r="Q273" s="44"/>
      <c r="R273" s="44"/>
      <c r="S273" s="44"/>
      <c r="T273" s="44"/>
      <c r="U273" s="44"/>
      <c r="V273" s="44"/>
      <c r="W273" s="44"/>
      <c r="X273" s="44"/>
      <c r="Y273" s="44"/>
      <c r="Z273" s="44"/>
      <c r="AA273" s="44"/>
    </row>
    <row r="274" ht="22" customHeight="1">
      <c r="A274" s="49" t="str">
        <v>December 28, 2019</v>
      </c>
      <c r="B274" s="3"/>
      <c r="C274" s="51"/>
      <c r="D274" s="51"/>
      <c r="E274" s="51"/>
      <c r="F274" s="51" t="n">
        <v>84.1</v>
      </c>
      <c r="G274" s="51"/>
      <c r="H274" s="51"/>
      <c r="I274" s="51"/>
      <c r="J274" s="51"/>
      <c r="K274" s="51"/>
      <c r="L274" s="51"/>
      <c r="M274" s="51"/>
      <c r="N274" s="51"/>
      <c r="O274" s="51"/>
      <c r="P274" s="51"/>
      <c r="Q274" s="51"/>
      <c r="R274" s="51"/>
      <c r="S274" s="51"/>
      <c r="T274" s="51"/>
      <c r="U274" s="51"/>
      <c r="V274" s="51"/>
      <c r="W274" s="51"/>
      <c r="X274" s="51"/>
      <c r="Y274" s="51"/>
      <c r="Z274" s="51"/>
      <c r="AA274" s="51"/>
    </row>
    <row r="275" ht="22" customHeight="1">
      <c r="A275" s="49" t="str">
        <v>December 28, 2019</v>
      </c>
      <c r="B275" s="3"/>
      <c r="C275" s="60"/>
      <c r="D275" s="60"/>
      <c r="E275" s="60"/>
      <c r="F275" s="60" t="n">
        <v>43.86</v>
      </c>
      <c r="G275" s="60"/>
      <c r="H275" s="60"/>
      <c r="I275" s="60"/>
      <c r="J275" s="60"/>
      <c r="K275" s="60"/>
      <c r="L275" s="60"/>
      <c r="M275" s="60"/>
      <c r="N275" s="60"/>
      <c r="O275" s="60"/>
      <c r="P275" s="60"/>
      <c r="Q275" s="60"/>
      <c r="R275" s="60"/>
      <c r="S275" s="60"/>
      <c r="T275" s="60"/>
      <c r="U275" s="60"/>
      <c r="V275" s="60"/>
      <c r="W275" s="60"/>
      <c r="X275" s="60"/>
      <c r="Y275" s="60"/>
      <c r="Z275" s="60"/>
      <c r="AA275" s="60"/>
    </row>
    <row r="276" ht="22" customHeight="1">
      <c r="A276" s="49" t="str">
        <v>Expected to vest</v>
      </c>
      <c r="B276" s="3"/>
      <c r="C276" s="51"/>
      <c r="D276" s="51"/>
      <c r="E276" s="51"/>
      <c r="F276" s="51" t="n">
        <v>79.8</v>
      </c>
      <c r="G276" s="51" t="n">
        <v>76.7</v>
      </c>
      <c r="H276" s="51" t="n">
        <v>105.9</v>
      </c>
      <c r="I276" s="51" t="n">
        <v>142.7</v>
      </c>
      <c r="J276" s="51" t="n">
        <v>153.9</v>
      </c>
      <c r="K276" s="51" t="n">
        <v>104.3</v>
      </c>
      <c r="L276" s="51" t="n">
        <v>102.3</v>
      </c>
      <c r="M276" s="51"/>
      <c r="N276" s="51"/>
      <c r="O276" s="51"/>
      <c r="P276" s="51"/>
      <c r="Q276" s="51"/>
      <c r="R276" s="51"/>
      <c r="S276" s="51"/>
      <c r="T276" s="51"/>
      <c r="U276" s="51"/>
      <c r="V276" s="51"/>
      <c r="W276" s="51"/>
      <c r="X276" s="51"/>
      <c r="Y276" s="51"/>
      <c r="Z276" s="51"/>
      <c r="AA276" s="51"/>
    </row>
    <row r="277" ht="22" customHeight="1">
      <c r="A277" s="49" t="str">
        <v>Expected to vest</v>
      </c>
      <c r="B277" s="3"/>
      <c r="C277" s="60"/>
      <c r="D277" s="60"/>
      <c r="E277" s="60"/>
      <c r="F277" s="60" t="n">
        <v>43.72</v>
      </c>
      <c r="G277" s="60" t="n">
        <v>50.06</v>
      </c>
      <c r="H277" s="60" t="n">
        <v>51.47</v>
      </c>
      <c r="I277" s="60" t="n">
        <v>45.78</v>
      </c>
      <c r="J277" s="60" t="n">
        <v>37.45</v>
      </c>
      <c r="K277" s="60" t="n">
        <v>36.7</v>
      </c>
      <c r="L277" s="60" t="n">
        <v>28.25</v>
      </c>
      <c r="M277" s="60"/>
      <c r="N277" s="60"/>
      <c r="O277" s="60"/>
      <c r="P277" s="60"/>
      <c r="Q277" s="60"/>
      <c r="R277" s="60"/>
      <c r="S277" s="60"/>
      <c r="T277" s="60"/>
      <c r="U277" s="60"/>
      <c r="V277" s="60"/>
      <c r="W277" s="60"/>
      <c r="X277" s="60"/>
      <c r="Y277" s="60"/>
      <c r="Z277" s="60"/>
      <c r="AA277" s="60"/>
    </row>
    <row r="278" ht="22" customHeight="1">
      <c r="A278" s="49" t="str">
        <v>December 26, 2020</v>
      </c>
      <c r="B278" s="3"/>
      <c r="C278" s="51"/>
      <c r="D278" s="51"/>
      <c r="E278" s="51"/>
      <c r="F278" s="51"/>
      <c r="G278" s="51" t="n">
        <v>82.7</v>
      </c>
      <c r="H278" s="51"/>
      <c r="I278" s="51"/>
      <c r="J278" s="51"/>
      <c r="K278" s="51"/>
      <c r="L278" s="51"/>
      <c r="M278" s="51"/>
      <c r="N278" s="51"/>
      <c r="O278" s="51"/>
      <c r="P278" s="51"/>
      <c r="Q278" s="51"/>
      <c r="R278" s="51"/>
      <c r="S278" s="51"/>
      <c r="T278" s="51"/>
      <c r="U278" s="51"/>
      <c r="V278" s="51"/>
      <c r="W278" s="51"/>
      <c r="X278" s="51"/>
      <c r="Y278" s="51"/>
      <c r="Z278" s="51"/>
      <c r="AA278" s="51"/>
    </row>
    <row r="279" ht="22" customHeight="1">
      <c r="A279" s="49" t="str">
        <v>December 26, 2020</v>
      </c>
      <c r="B279" s="3"/>
      <c r="C279" s="60"/>
      <c r="D279" s="60"/>
      <c r="E279" s="60"/>
      <c r="F279" s="60"/>
      <c r="G279" s="60" t="n">
        <v>50.14</v>
      </c>
      <c r="H279" s="60"/>
      <c r="I279" s="60"/>
      <c r="J279" s="60"/>
      <c r="K279" s="60"/>
      <c r="L279" s="60"/>
      <c r="M279" s="60"/>
      <c r="N279" s="60"/>
      <c r="O279" s="60"/>
      <c r="P279" s="60"/>
      <c r="Q279" s="60"/>
      <c r="R279" s="60"/>
      <c r="S279" s="60"/>
      <c r="T279" s="60"/>
      <c r="U279" s="60"/>
      <c r="V279" s="60"/>
      <c r="W279" s="60"/>
      <c r="X279" s="60"/>
      <c r="Y279" s="60"/>
      <c r="Z279" s="60"/>
      <c r="AA279" s="60"/>
    </row>
    <row r="280" ht="22" customHeight="1">
      <c r="A280" s="49" t="str">
        <v>December 25, 2021</v>
      </c>
      <c r="B280" s="3"/>
      <c r="C280" s="51"/>
      <c r="D280" s="51"/>
      <c r="E280" s="51"/>
      <c r="F280" s="51"/>
      <c r="G280" s="51"/>
      <c r="H280" s="51" t="n">
        <v>118</v>
      </c>
      <c r="I280" s="51"/>
      <c r="J280" s="51"/>
      <c r="K280" s="51"/>
      <c r="L280" s="51"/>
      <c r="M280" s="51"/>
      <c r="N280" s="51"/>
      <c r="O280" s="51"/>
      <c r="P280" s="51"/>
      <c r="Q280" s="51"/>
      <c r="R280" s="51"/>
      <c r="S280" s="51"/>
      <c r="T280" s="51"/>
      <c r="U280" s="51"/>
      <c r="V280" s="51"/>
      <c r="W280" s="51"/>
      <c r="X280" s="51"/>
      <c r="Y280" s="51"/>
      <c r="Z280" s="51"/>
      <c r="AA280" s="51"/>
    </row>
    <row r="281" ht="22" customHeight="1">
      <c r="A281" s="49" t="str">
        <v>December 25, 2021</v>
      </c>
      <c r="B281" s="3"/>
      <c r="C281" s="60"/>
      <c r="D281" s="60"/>
      <c r="E281" s="60"/>
      <c r="F281" s="60"/>
      <c r="G281" s="60"/>
      <c r="H281" s="60" t="n">
        <v>51.29</v>
      </c>
      <c r="I281" s="60"/>
      <c r="J281" s="60"/>
      <c r="K281" s="60"/>
      <c r="L281" s="60"/>
      <c r="M281" s="60"/>
      <c r="N281" s="60"/>
      <c r="O281" s="60"/>
      <c r="P281" s="60"/>
      <c r="Q281" s="60"/>
      <c r="R281" s="60"/>
      <c r="S281" s="60"/>
      <c r="T281" s="60"/>
      <c r="U281" s="60"/>
      <c r="V281" s="60"/>
      <c r="W281" s="60"/>
      <c r="X281" s="60"/>
      <c r="Y281" s="60"/>
      <c r="Z281" s="60"/>
      <c r="AA281" s="60"/>
    </row>
    <row r="282" ht="22" customHeight="1">
      <c r="A282" s="49" t="str">
        <v>December 31, 2022</v>
      </c>
      <c r="B282" s="3"/>
      <c r="C282" s="51"/>
      <c r="D282" s="51"/>
      <c r="E282" s="51"/>
      <c r="F282" s="51"/>
      <c r="G282" s="51"/>
      <c r="H282" s="51"/>
      <c r="I282" s="51" t="n">
        <v>158.7</v>
      </c>
      <c r="J282" s="51"/>
      <c r="K282" s="51"/>
      <c r="L282" s="51"/>
      <c r="M282" s="51"/>
      <c r="N282" s="51"/>
      <c r="O282" s="51"/>
      <c r="P282" s="51"/>
      <c r="Q282" s="51"/>
      <c r="R282" s="51"/>
      <c r="S282" s="51"/>
      <c r="T282" s="51"/>
      <c r="U282" s="51"/>
      <c r="V282" s="51"/>
      <c r="W282" s="51"/>
      <c r="X282" s="51"/>
      <c r="Y282" s="51"/>
      <c r="Z282" s="51"/>
      <c r="AA282" s="51"/>
    </row>
    <row r="283" ht="22" customHeight="1">
      <c r="A283" s="49" t="str">
        <v>December 31, 2022</v>
      </c>
      <c r="B283" s="3"/>
      <c r="C283" s="60"/>
      <c r="D283" s="60"/>
      <c r="E283" s="60"/>
      <c r="F283" s="60"/>
      <c r="G283" s="60"/>
      <c r="H283" s="60"/>
      <c r="I283" s="60" t="n">
        <v>45.56</v>
      </c>
      <c r="J283" s="60"/>
      <c r="K283" s="60"/>
      <c r="L283" s="60"/>
      <c r="M283" s="60"/>
      <c r="N283" s="60"/>
      <c r="O283" s="60"/>
      <c r="P283" s="60"/>
      <c r="Q283" s="60"/>
      <c r="R283" s="60"/>
      <c r="S283" s="60"/>
      <c r="T283" s="60"/>
      <c r="U283" s="60"/>
      <c r="V283" s="60"/>
      <c r="W283" s="60"/>
      <c r="X283" s="60"/>
      <c r="Y283" s="60"/>
      <c r="Z283" s="60"/>
      <c r="AA283" s="60"/>
    </row>
    <row r="284" ht="22" customHeight="1">
      <c r="A284" s="49" t="str">
        <v>December 30, 2023</v>
      </c>
      <c r="B284" s="3"/>
      <c r="C284" s="51"/>
      <c r="D284" s="51"/>
      <c r="E284" s="51"/>
      <c r="F284" s="51"/>
      <c r="G284" s="51"/>
      <c r="H284" s="51"/>
      <c r="I284" s="51"/>
      <c r="J284" s="51" t="n">
        <v>172.9</v>
      </c>
      <c r="K284" s="51"/>
      <c r="L284" s="51"/>
      <c r="M284" s="51"/>
      <c r="N284" s="51"/>
      <c r="O284" s="51"/>
      <c r="P284" s="51"/>
      <c r="Q284" s="51"/>
      <c r="R284" s="51"/>
      <c r="S284" s="51"/>
      <c r="T284" s="51"/>
      <c r="U284" s="51"/>
      <c r="V284" s="51"/>
      <c r="W284" s="51"/>
      <c r="X284" s="51"/>
      <c r="Y284" s="51"/>
      <c r="Z284" s="51"/>
      <c r="AA284" s="51"/>
    </row>
    <row r="285" ht="22" customHeight="1">
      <c r="A285" s="49" t="str">
        <v>December 30, 2023</v>
      </c>
      <c r="B285" s="3"/>
      <c r="C285" s="60"/>
      <c r="D285" s="60"/>
      <c r="E285" s="60"/>
      <c r="F285" s="60"/>
      <c r="G285" s="60"/>
      <c r="H285" s="60"/>
      <c r="I285" s="60"/>
      <c r="J285" s="60" t="n">
        <v>37.05</v>
      </c>
      <c r="K285" s="60"/>
      <c r="L285" s="60"/>
      <c r="M285" s="60"/>
      <c r="N285" s="60"/>
      <c r="O285" s="60"/>
      <c r="P285" s="60"/>
      <c r="Q285" s="60"/>
      <c r="R285" s="60"/>
      <c r="S285" s="60"/>
      <c r="T285" s="60"/>
      <c r="U285" s="60"/>
      <c r="V285" s="60"/>
      <c r="W285" s="60"/>
      <c r="X285" s="60"/>
      <c r="Y285" s="60"/>
      <c r="Z285" s="60"/>
      <c r="AA285" s="60"/>
    </row>
    <row r="286" ht="22" customHeight="1">
      <c r="A286" s="49" t="str">
        <v>Balance as of December 28, 2024</v>
      </c>
      <c r="B286" s="3"/>
      <c r="C286" s="51"/>
      <c r="D286" s="51"/>
      <c r="E286" s="51"/>
      <c r="F286" s="51"/>
      <c r="G286" s="51"/>
      <c r="H286" s="51"/>
      <c r="I286" s="51"/>
      <c r="J286" s="51"/>
      <c r="K286" s="51" t="n">
        <v>117.4</v>
      </c>
      <c r="L286" s="51"/>
      <c r="M286" s="51"/>
      <c r="N286" s="51"/>
      <c r="O286" s="51"/>
      <c r="P286" s="51"/>
      <c r="Q286" s="51"/>
      <c r="R286" s="51"/>
      <c r="S286" s="51"/>
      <c r="T286" s="51"/>
      <c r="U286" s="51"/>
      <c r="V286" s="51"/>
      <c r="W286" s="51"/>
      <c r="X286" s="51"/>
      <c r="Y286" s="51"/>
      <c r="Z286" s="51"/>
      <c r="AA286" s="51"/>
    </row>
    <row r="287" ht="22" customHeight="1">
      <c r="A287" s="49" t="str">
        <v>Balance as of December 28, 2024</v>
      </c>
      <c r="B287" s="3"/>
      <c r="C287" s="60"/>
      <c r="D287" s="60"/>
      <c r="E287" s="60"/>
      <c r="F287" s="60"/>
      <c r="G287" s="60"/>
      <c r="H287" s="60"/>
      <c r="I287" s="60"/>
      <c r="J287" s="60"/>
      <c r="K287" s="60" t="n">
        <v>36.52</v>
      </c>
      <c r="L287" s="60"/>
      <c r="M287" s="60"/>
      <c r="N287" s="60"/>
      <c r="O287" s="60"/>
      <c r="P287" s="60"/>
      <c r="Q287" s="60"/>
      <c r="R287" s="60"/>
      <c r="S287" s="60"/>
      <c r="T287" s="60"/>
      <c r="U287" s="60"/>
      <c r="V287" s="60"/>
      <c r="W287" s="60"/>
      <c r="X287" s="60"/>
      <c r="Y287" s="60"/>
      <c r="Z287" s="60"/>
      <c r="AA287" s="60"/>
    </row>
    <row r="288" ht="22" customHeight="1">
      <c r="A288" s="49" t="str">
        <v>Balance as of December 27, 2025</v>
      </c>
      <c r="B288" s="3"/>
      <c r="C288" s="51"/>
      <c r="D288" s="51"/>
      <c r="E288" s="51"/>
      <c r="F288" s="51"/>
      <c r="G288" s="51"/>
      <c r="H288" s="51"/>
      <c r="I288" s="51"/>
      <c r="J288" s="51"/>
      <c r="K288" s="51"/>
      <c r="L288" s="51" t="n">
        <v>117.5</v>
      </c>
      <c r="M288" s="51"/>
      <c r="N288" s="51"/>
      <c r="O288" s="51"/>
      <c r="P288" s="51"/>
      <c r="Q288" s="51"/>
      <c r="R288" s="51"/>
      <c r="S288" s="51"/>
      <c r="T288" s="51"/>
      <c r="U288" s="51"/>
      <c r="V288" s="51"/>
      <c r="W288" s="51"/>
      <c r="X288" s="51"/>
      <c r="Y288" s="51"/>
      <c r="Z288" s="51"/>
      <c r="AA288" s="51"/>
    </row>
    <row r="289" ht="22" customHeight="1">
      <c r="A289" s="49" t="str">
        <v>Balance as of December 27, 2025</v>
      </c>
      <c r="B289" s="3"/>
      <c r="C289" s="60"/>
      <c r="D289" s="60"/>
      <c r="E289" s="60"/>
      <c r="F289" s="60"/>
      <c r="G289" s="60"/>
      <c r="H289" s="60"/>
      <c r="I289" s="60"/>
      <c r="J289" s="60"/>
      <c r="K289" s="60"/>
      <c r="L289" s="60" t="n">
        <v>28.12</v>
      </c>
      <c r="M289" s="60"/>
      <c r="N289" s="60"/>
      <c r="O289" s="60"/>
      <c r="P289" s="60"/>
      <c r="Q289" s="60"/>
      <c r="R289" s="60"/>
      <c r="S289" s="60"/>
      <c r="T289" s="60"/>
      <c r="U289" s="60"/>
      <c r="V289" s="60"/>
      <c r="W289" s="60"/>
      <c r="X289" s="60"/>
      <c r="Y289" s="60"/>
      <c r="Z289" s="60"/>
      <c r="AA289" s="60"/>
    </row>
    <row r="290" ht="22" customHeight="1">
      <c r="A290" s="49" t="str">
        <v>Estimated values</v>
      </c>
      <c r="B290" s="3"/>
      <c r="C290" s="60"/>
      <c r="D290" s="60"/>
      <c r="E290" s="60"/>
      <c r="F290" s="60" t="n">
        <v>48.06</v>
      </c>
      <c r="G290" s="60" t="n">
        <v>54.82</v>
      </c>
      <c r="H290" s="60" t="n">
        <v>50.82</v>
      </c>
      <c r="I290" s="60" t="n">
        <v>41.12</v>
      </c>
      <c r="J290" s="60" t="n">
        <v>28.92</v>
      </c>
      <c r="K290" s="60" t="n">
        <v>39.51</v>
      </c>
      <c r="L290" s="60" t="n">
        <v>23.73</v>
      </c>
      <c r="M290" s="60"/>
      <c r="N290" s="60"/>
      <c r="O290" s="60"/>
      <c r="P290" s="60"/>
      <c r="Q290" s="60"/>
      <c r="R290" s="60"/>
      <c r="S290" s="60"/>
      <c r="T290" s="60"/>
      <c r="U290" s="60"/>
      <c r="V290" s="60"/>
      <c r="W290" s="60"/>
      <c r="X290" s="60"/>
      <c r="Y290" s="60"/>
      <c r="Z290" s="60"/>
      <c r="AA290" s="60"/>
    </row>
    <row r="291" ht="20" customHeight="1">
      <c r="A291" s="40" t="str">
        <v>Risk-free interest rate</v>
      </c>
      <c r="B291" s="3"/>
      <c r="C291" s="44"/>
      <c r="D291" s="44"/>
      <c r="E291" s="44"/>
      <c r="F291" s="44" t="n">
        <v>0.023</v>
      </c>
      <c r="G291" s="44" t="n">
        <v>0.004</v>
      </c>
      <c r="H291" s="44" t="n">
        <v>0.002</v>
      </c>
      <c r="I291" s="44" t="n">
        <v>0.022000000000000002</v>
      </c>
      <c r="J291" s="44" t="n">
        <v>0.047</v>
      </c>
      <c r="K291" s="44" t="n">
        <v>0.047</v>
      </c>
      <c r="L291" s="44" t="n">
        <v>0.039</v>
      </c>
      <c r="M291" s="44"/>
      <c r="N291" s="44"/>
      <c r="O291" s="44"/>
      <c r="P291" s="44"/>
      <c r="Q291" s="44"/>
      <c r="R291" s="44"/>
      <c r="S291" s="44"/>
      <c r="T291" s="44"/>
      <c r="U291" s="44"/>
      <c r="V291" s="44"/>
      <c r="W291" s="44"/>
      <c r="X291" s="44"/>
      <c r="Y291" s="44"/>
      <c r="Z291" s="44"/>
      <c r="AA291" s="44"/>
    </row>
    <row r="292" ht="20" customHeight="1">
      <c r="A292" s="40" t="str">
        <v>Dividend yield</v>
      </c>
      <c r="B292" s="3"/>
      <c r="C292" s="44"/>
      <c r="D292" s="44"/>
      <c r="E292" s="44"/>
      <c r="F292" s="44" t="n">
        <v>0.025</v>
      </c>
      <c r="G292" s="44" t="n">
        <v>0.023</v>
      </c>
      <c r="H292" s="44" t="n">
        <v>0.026000000000000002</v>
      </c>
      <c r="I292" s="44" t="n">
        <v>0.034</v>
      </c>
      <c r="J292" s="44" t="n">
        <v>0.016</v>
      </c>
      <c r="K292" s="44" t="n">
        <v>0.012</v>
      </c>
      <c r="L292" s="44" t="n">
        <v>0</v>
      </c>
      <c r="M292" s="44"/>
      <c r="N292" s="44"/>
      <c r="O292" s="44"/>
      <c r="P292" s="44"/>
      <c r="Q292" s="44"/>
      <c r="R292" s="44"/>
      <c r="S292" s="44"/>
      <c r="T292" s="44"/>
      <c r="U292" s="44"/>
      <c r="V292" s="44"/>
      <c r="W292" s="44"/>
      <c r="X292" s="44"/>
      <c r="Y292" s="44"/>
      <c r="Z292" s="44"/>
      <c r="AA292" s="44"/>
    </row>
    <row r="293" ht="20" customHeight="1">
      <c r="A293" s="40" t="str">
        <v>Volatility</v>
      </c>
      <c r="B293" s="3"/>
      <c r="C293" s="44"/>
      <c r="D293" s="44"/>
      <c r="E293" s="44"/>
      <c r="F293" s="44" t="n">
        <v>0.25</v>
      </c>
      <c r="G293" s="44" t="n">
        <v>0.3</v>
      </c>
      <c r="H293" s="44" t="n">
        <v>0.37</v>
      </c>
      <c r="I293" s="44" t="n">
        <v>0.4</v>
      </c>
      <c r="J293" s="44" t="n">
        <v>0.36</v>
      </c>
      <c r="K293" s="44" t="n">
        <v>0.36</v>
      </c>
      <c r="L293" s="44" t="n">
        <v>0.47</v>
      </c>
      <c r="M293" s="44"/>
      <c r="N293" s="44"/>
      <c r="O293" s="44"/>
      <c r="P293" s="44"/>
      <c r="Q293" s="44"/>
      <c r="R293" s="44"/>
      <c r="S293" s="44"/>
      <c r="T293" s="44"/>
      <c r="U293" s="44"/>
      <c r="V293" s="44"/>
      <c r="W293" s="44"/>
      <c r="X293" s="44"/>
      <c r="Y293" s="44"/>
      <c r="Z293" s="44"/>
      <c r="AA293" s="44"/>
    </row>
    <row r="294" ht="22" customHeight="1">
      <c r="A294" s="49" t="str">
        <v>Share-based compensation</v>
      </c>
      <c r="B294" s="3"/>
      <c r="C294" s="51"/>
      <c r="D294" s="51"/>
      <c r="E294" s="51"/>
      <c r="F294" s="51"/>
      <c r="G294" s="51"/>
      <c r="H294" s="51"/>
      <c r="I294" s="51"/>
      <c r="J294" s="51"/>
      <c r="K294" s="51" t="n">
        <v>875</v>
      </c>
      <c r="L294" s="51"/>
      <c r="M294" s="51"/>
      <c r="N294" s="51"/>
      <c r="O294" s="51"/>
      <c r="P294" s="51"/>
      <c r="Q294" s="51"/>
      <c r="R294" s="51"/>
      <c r="S294" s="51"/>
      <c r="T294" s="51"/>
      <c r="U294" s="51"/>
      <c r="V294" s="51"/>
      <c r="W294" s="51"/>
      <c r="X294" s="51"/>
      <c r="Y294" s="51"/>
      <c r="Z294" s="51"/>
      <c r="AA294" s="51"/>
    </row>
    <row r="295" ht="22" customHeight="1">
      <c r="A295" s="49" t="str">
        <v>Share-based compensation</v>
      </c>
      <c r="B295" s="3"/>
      <c r="C295" s="51"/>
      <c r="D295" s="51"/>
      <c r="E295" s="51"/>
      <c r="F295" s="51"/>
      <c r="G295" s="51"/>
      <c r="H295" s="51"/>
      <c r="I295" s="51"/>
      <c r="J295" s="51"/>
      <c r="K295" s="51" t="n">
        <v>2535</v>
      </c>
      <c r="L295" s="51"/>
      <c r="M295" s="51"/>
      <c r="N295" s="51"/>
      <c r="O295" s="51"/>
      <c r="P295" s="51"/>
      <c r="Q295" s="51"/>
      <c r="R295" s="51"/>
      <c r="S295" s="51"/>
      <c r="T295" s="51"/>
      <c r="U295" s="51"/>
      <c r="V295" s="51"/>
      <c r="W295" s="51"/>
      <c r="X295" s="51"/>
      <c r="Y295" s="51"/>
      <c r="Z295" s="51"/>
      <c r="AA295" s="51"/>
    </row>
    <row r="296" ht="22" customHeight="1">
      <c r="A296" s="49" t="str">
        <v>Corporate unallocated: Share-based compensation</v>
      </c>
      <c r="B296" s="3"/>
      <c r="C296" s="51"/>
      <c r="D296" s="51"/>
      <c r="E296" s="51"/>
      <c r="F296" s="51"/>
      <c r="G296" s="51"/>
      <c r="H296" s="51"/>
      <c r="I296" s="51"/>
      <c r="J296" s="51"/>
      <c r="K296" s="51" t="n">
        <v>3410</v>
      </c>
      <c r="L296" s="51" t="n">
        <v>2434</v>
      </c>
      <c r="M296" s="51"/>
      <c r="N296" s="51"/>
      <c r="O296" s="51"/>
      <c r="P296" s="51"/>
      <c r="Q296" s="51"/>
      <c r="R296" s="51"/>
      <c r="S296" s="51"/>
      <c r="T296" s="51"/>
      <c r="U296" s="51"/>
      <c r="V296" s="51"/>
      <c r="W296" s="51"/>
      <c r="X296" s="51"/>
      <c r="Y296" s="51"/>
      <c r="Z296" s="51"/>
      <c r="AA296" s="51"/>
    </row>
    <row r="297" ht="8"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22"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sheetData>
  <mergeCells>
    <mergeCell ref="A1:AA1"/>
    <mergeCell ref="A2:AA2"/>
    <mergeCell ref="A7:AA7"/>
    <mergeCell ref="A8:AA8"/>
    <mergeCell ref="A36:AA36"/>
    <mergeCell ref="A37:AA37"/>
    <mergeCell ref="A64:AA64"/>
    <mergeCell ref="A65:AA65"/>
    <mergeCell ref="A92:AA92"/>
    <mergeCell ref="A93:AA93"/>
    <mergeCell ref="A120:AA120"/>
    <mergeCell ref="A121:AA121"/>
    <mergeCell ref="A148:AA148"/>
    <mergeCell ref="A149:AA149"/>
    <mergeCell ref="A173:AA173"/>
    <mergeCell ref="A208:AA208"/>
    <mergeCell ref="A215:AA215"/>
  </mergeCells>
  <pageMargins left="0.7" right="0.7" top="0.75" bottom="0.75" header="0.3" footer="0.3"/>
</worksheet>
</file>

<file path=xl/worksheets/sheet11.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12.199999809265137" hidden="0" customWidth="1"/>
    <col min="26" max="26" width="12.199999809265137" hidden="0" customWidth="1"/>
    <col min="27" max="27" width="12.199999809265137" hidden="0" customWidth="1"/>
  </cols>
  <sheetData>
    <row r="1" ht="28" customHeight="1">
      <c r="A1" s="6" t="str">
        <v>Intel Corporation — Taxes &amp; Adjustments</v>
      </c>
      <c r="B1" s="6" t="str">
        <v>Intel Corporation — Taxes &amp; Adjustments</v>
      </c>
      <c r="C1" s="6" t="str">
        <v>Intel Corporation — Taxes &amp; Adjustments</v>
      </c>
      <c r="D1" s="6" t="str">
        <v>Intel Corporation — Taxes &amp; Adjustments</v>
      </c>
      <c r="E1" s="6" t="str">
        <v>Intel Corporation — Taxes &amp; Adjustments</v>
      </c>
      <c r="F1" s="6" t="str">
        <v>Intel Corporation — Taxes &amp; Adjustments</v>
      </c>
      <c r="G1" s="6" t="str">
        <v>Intel Corporation — Taxes &amp; Adjustments</v>
      </c>
      <c r="H1" s="6" t="str">
        <v>Intel Corporation — Taxes &amp; Adjustments</v>
      </c>
      <c r="I1" s="6" t="str">
        <v>Intel Corporation — Taxes &amp; Adjustments</v>
      </c>
      <c r="J1" s="6" t="str">
        <v>Intel Corporation — Taxes &amp; Adjustments</v>
      </c>
      <c r="K1" s="6" t="str">
        <v>Intel Corporation — Taxes &amp; Adjustments</v>
      </c>
      <c r="L1" s="6" t="str">
        <v>Intel Corporation — Taxes &amp; Adjustments</v>
      </c>
      <c r="M1" s="6" t="str">
        <v>Intel Corporation — Taxes &amp; Adjustments</v>
      </c>
      <c r="N1" s="6" t="str">
        <v>Intel Corporation — Taxes &amp; Adjustments</v>
      </c>
      <c r="O1" s="6" t="str">
        <v>Intel Corporation — Taxes &amp; Adjustments</v>
      </c>
      <c r="P1" s="6" t="str">
        <v>Intel Corporation — Taxes &amp; Adjustments</v>
      </c>
      <c r="Q1" s="6" t="str">
        <v>Intel Corporation — Taxes &amp; Adjustments</v>
      </c>
      <c r="R1" s="6" t="str">
        <v>Intel Corporation — Taxes &amp; Adjustments</v>
      </c>
      <c r="S1" s="6" t="str">
        <v>Intel Corporation — Taxes &amp; Adjustments</v>
      </c>
      <c r="T1" s="6" t="str">
        <v>Intel Corporation — Taxes &amp; Adjustments</v>
      </c>
      <c r="U1" s="6" t="str">
        <v>Intel Corporation — Taxes &amp; Adjustments</v>
      </c>
      <c r="V1" s="6" t="str">
        <v>Intel Corporation — Taxes &amp; Adjustments</v>
      </c>
      <c r="W1" s="6" t="str">
        <v>Intel Corporation — Taxes &amp; Adjustments</v>
      </c>
      <c r="X1" s="6" t="str">
        <v>Intel Corporation — Taxes &amp; Adjustments</v>
      </c>
      <c r="Y1" s="6" t="str">
        <v>Intel Corporation — Taxes &amp; Adjustments</v>
      </c>
      <c r="Z1" s="6" t="str">
        <v>Intel Corporation — Taxes &amp; Adjustments</v>
      </c>
      <c r="AA1" s="6" t="str">
        <v>Intel Corporation — Taxes &amp; Adjustments</v>
      </c>
    </row>
    <row r="2" ht="18" customHeight="1">
      <c r="A2" s="7" t="str">
        <v>USD million unless stated otherwise; annual FY2016–FY2025; latest interim 27 June 2026.</v>
      </c>
      <c r="B2" s="7"/>
      <c r="C2" s="7"/>
      <c r="D2" s="7"/>
      <c r="E2" s="7"/>
      <c r="F2" s="7"/>
      <c r="G2" s="7"/>
      <c r="H2" s="7"/>
      <c r="I2" s="7"/>
      <c r="J2" s="7"/>
      <c r="K2" s="7"/>
      <c r="L2" s="7"/>
      <c r="M2" s="7"/>
      <c r="N2" s="7"/>
      <c r="O2" s="7"/>
      <c r="P2" s="7"/>
      <c r="Q2" s="7"/>
      <c r="R2" s="7"/>
      <c r="S2" s="7"/>
      <c r="T2" s="7"/>
      <c r="U2" s="7"/>
      <c r="V2" s="7"/>
      <c r="W2" s="7"/>
      <c r="X2" s="7"/>
      <c r="Y2" s="7"/>
      <c r="Z2" s="7"/>
      <c r="AA2" s="7"/>
    </row>
    <row r="3" ht="24" customHeight="1">
      <c r="A3" s="8" t="str">
        <v>Metric</v>
      </c>
      <c r="B3" s="3"/>
      <c r="C3" s="11" t="str">
        <v>FY2016</v>
      </c>
      <c r="D3" s="11" t="str">
        <v>FY2017</v>
      </c>
      <c r="E3" s="11" t="str">
        <v>FY2018</v>
      </c>
      <c r="F3" s="11" t="str">
        <v>FY2019</v>
      </c>
      <c r="G3" s="11" t="str">
        <v>FY2020</v>
      </c>
      <c r="H3" s="11" t="str">
        <v>FY2021</v>
      </c>
      <c r="I3" s="11" t="str">
        <v>FY2022</v>
      </c>
      <c r="J3" s="11" t="str">
        <v>FY2023</v>
      </c>
      <c r="K3" s="11" t="str">
        <v>FY2024</v>
      </c>
      <c r="L3" s="11" t="str">
        <v>FY2025</v>
      </c>
      <c r="M3" s="3"/>
      <c r="N3" s="19" t="str">
        <v>1Q2023</v>
      </c>
      <c r="O3" s="19" t="str">
        <v>2Q2023</v>
      </c>
      <c r="P3" s="19" t="str">
        <v>3Q2023</v>
      </c>
      <c r="Q3" s="19" t="str">
        <v>4Q2023</v>
      </c>
      <c r="R3" s="19" t="str">
        <v>1Q2024</v>
      </c>
      <c r="S3" s="19" t="str">
        <v>2Q2024</v>
      </c>
      <c r="T3" s="19" t="str">
        <v>3Q2024</v>
      </c>
      <c r="U3" s="19" t="str">
        <v>4Q2024</v>
      </c>
      <c r="V3" s="19" t="str">
        <v>1Q2025</v>
      </c>
      <c r="W3" s="19" t="str">
        <v>2Q2025</v>
      </c>
      <c r="X3" s="19" t="str">
        <v>3Q2025</v>
      </c>
      <c r="Y3" s="19" t="str">
        <v>4Q2025</v>
      </c>
      <c r="Z3" s="19" t="str">
        <v>1Q2026</v>
      </c>
      <c r="AA3" s="19" t="str">
        <v>2Q2026</v>
      </c>
    </row>
    <row r="4" ht="18" customHeight="1">
      <c r="A4" s="3"/>
      <c r="B4" s="3"/>
      <c r="C4" s="15" t="d">
        <v>2016-12-31T00:00:00.000Z</v>
      </c>
      <c r="D4" s="15" t="d">
        <v>2017-12-30T00:00:00.000Z</v>
      </c>
      <c r="E4" s="15" t="d">
        <v>2018-12-29T00:00:00.000Z</v>
      </c>
      <c r="F4" s="15" t="d">
        <v>2019-12-28T00:00:00.000Z</v>
      </c>
      <c r="G4" s="15" t="d">
        <v>2020-12-26T00:00:00.000Z</v>
      </c>
      <c r="H4" s="15" t="d">
        <v>2021-12-25T00:00:00.000Z</v>
      </c>
      <c r="I4" s="15" t="d">
        <v>2022-12-31T00:00:00.000Z</v>
      </c>
      <c r="J4" s="15" t="d">
        <v>2023-12-30T00:00:00.000Z</v>
      </c>
      <c r="K4" s="15" t="d">
        <v>2024-12-28T00:00:00.000Z</v>
      </c>
      <c r="L4" s="15" t="d">
        <v>2025-12-27T00:00:00.000Z</v>
      </c>
      <c r="M4" s="3"/>
      <c r="N4" s="15" t="d">
        <v>2023-04-01T00:00:00.000Z</v>
      </c>
      <c r="O4" s="15" t="d">
        <v>2023-07-01T00:00:00.000Z</v>
      </c>
      <c r="P4" s="15" t="d">
        <v>2023-09-30T00:00:00.000Z</v>
      </c>
      <c r="Q4" s="15" t="d">
        <v>2023-12-30T00:00:00.000Z</v>
      </c>
      <c r="R4" s="15" t="d">
        <v>2024-03-30T00:00:00.000Z</v>
      </c>
      <c r="S4" s="15" t="d">
        <v>2024-06-29T00:00:00.000Z</v>
      </c>
      <c r="T4" s="15" t="d">
        <v>2024-09-28T00:00:00.000Z</v>
      </c>
      <c r="U4" s="15" t="d">
        <v>2024-12-28T00:00:00.000Z</v>
      </c>
      <c r="V4" s="15" t="d">
        <v>2025-03-29T00:00:00.000Z</v>
      </c>
      <c r="W4" s="15" t="d">
        <v>2025-06-28T00:00:00.000Z</v>
      </c>
      <c r="X4" s="15" t="d">
        <v>2025-09-27T00:00:00.000Z</v>
      </c>
      <c r="Y4" s="15" t="d">
        <v>2025-12-27T00:00:00.000Z</v>
      </c>
      <c r="Z4" s="15" t="d">
        <v>2026-03-28T00:00:00.000Z</v>
      </c>
      <c r="AA4" s="15" t="d">
        <v>2026-06-27T00:00:00.000Z</v>
      </c>
    </row>
    <row r="5" ht="18" customHeight="1">
      <c r="A5" s="7" t="str">
        <v>Annual / discrete-quarter / instant as identified</v>
      </c>
      <c r="B5" s="3"/>
      <c r="C5" s="16" t="str">
        <v>Annual</v>
      </c>
      <c r="D5" s="16" t="str">
        <v>Annual</v>
      </c>
      <c r="E5" s="16" t="str">
        <v>Annual</v>
      </c>
      <c r="F5" s="16" t="str">
        <v>Annual</v>
      </c>
      <c r="G5" s="16" t="str">
        <v>Annual</v>
      </c>
      <c r="H5" s="16" t="str">
        <v>Annual</v>
      </c>
      <c r="I5" s="16" t="str">
        <v>Annual</v>
      </c>
      <c r="J5" s="16" t="str">
        <v>Annual</v>
      </c>
      <c r="K5" s="16" t="str">
        <v>Annual</v>
      </c>
      <c r="L5" s="16" t="str">
        <v>Annual</v>
      </c>
      <c r="M5" s="3"/>
      <c r="N5" s="16" t="str">
        <v>Quarter / note basis</v>
      </c>
      <c r="O5" s="16" t="str">
        <v>Quarter / note basis</v>
      </c>
      <c r="P5" s="16" t="str">
        <v>Quarter / note basis</v>
      </c>
      <c r="Q5" s="16" t="str">
        <v>Quarter / note basis</v>
      </c>
      <c r="R5" s="16" t="str">
        <v>Quarter / note basis</v>
      </c>
      <c r="S5" s="16" t="str">
        <v>Quarter / note basis</v>
      </c>
      <c r="T5" s="16" t="str">
        <v>Quarter / note basis</v>
      </c>
      <c r="U5" s="16" t="str">
        <v>Quarter / note basis</v>
      </c>
      <c r="V5" s="16" t="str">
        <v>Quarter / note basis</v>
      </c>
      <c r="W5" s="16" t="str">
        <v>Quarter / note basis</v>
      </c>
      <c r="X5" s="16" t="str">
        <v>Quarter / note basis</v>
      </c>
      <c r="Y5" s="16" t="str">
        <v>Quarter / note basis</v>
      </c>
      <c r="Z5" s="16" t="str">
        <v>Quarter / note basis</v>
      </c>
      <c r="AA5" s="16" t="str">
        <v>Quarter / note basis</v>
      </c>
    </row>
    <row r="6" ht="22" customHeight="1">
      <c r="A6" s="3"/>
      <c r="B6" s="3"/>
      <c r="C6" s="3"/>
      <c r="D6" s="3"/>
      <c r="E6" s="3"/>
      <c r="F6" s="3"/>
      <c r="G6" s="3"/>
      <c r="H6" s="3"/>
      <c r="I6" s="3"/>
      <c r="J6" s="3"/>
      <c r="K6" s="3"/>
      <c r="L6" s="3"/>
      <c r="M6" s="3"/>
      <c r="N6" s="3"/>
      <c r="O6" s="3"/>
      <c r="P6" s="3"/>
      <c r="Q6" s="3"/>
      <c r="R6" s="3"/>
      <c r="S6" s="3"/>
      <c r="T6" s="3"/>
      <c r="U6" s="3"/>
      <c r="V6" s="3"/>
      <c r="W6" s="3"/>
      <c r="X6" s="3"/>
      <c r="Y6" s="3"/>
      <c r="Z6" s="3"/>
      <c r="AA6" s="3"/>
    </row>
    <row r="7" ht="22" customHeight="1">
      <c r="A7" s="21" t="str">
        <v>Income tax: Pretax income by jurisdiction</v>
      </c>
      <c r="B7" s="21" t="str">
        <v>Income tax: Pretax income by jurisdiction</v>
      </c>
      <c r="C7" s="21" t="str">
        <v>Income tax: Pretax income by jurisdiction</v>
      </c>
      <c r="D7" s="21" t="str">
        <v>Income tax: Pretax income by jurisdiction</v>
      </c>
      <c r="E7" s="21" t="str">
        <v>Income tax: Pretax income by jurisdiction</v>
      </c>
      <c r="F7" s="21" t="str">
        <v>Income tax: Pretax income by jurisdiction</v>
      </c>
      <c r="G7" s="21" t="str">
        <v>Income tax: Pretax income by jurisdiction</v>
      </c>
      <c r="H7" s="21" t="str">
        <v>Income tax: Pretax income by jurisdiction</v>
      </c>
      <c r="I7" s="21" t="str">
        <v>Income tax: Pretax income by jurisdiction</v>
      </c>
      <c r="J7" s="21" t="str">
        <v>Income tax: Pretax income by jurisdiction</v>
      </c>
      <c r="K7" s="21" t="str">
        <v>Income tax: Pretax income by jurisdiction</v>
      </c>
      <c r="L7" s="21" t="str">
        <v>Income tax: Pretax income by jurisdiction</v>
      </c>
      <c r="M7" s="21" t="str">
        <v>Income tax: Pretax income by jurisdiction</v>
      </c>
      <c r="N7" s="21" t="str">
        <v>Income tax: Pretax income by jurisdiction</v>
      </c>
      <c r="O7" s="21" t="str">
        <v>Income tax: Pretax income by jurisdiction</v>
      </c>
      <c r="P7" s="21" t="str">
        <v>Income tax: Pretax income by jurisdiction</v>
      </c>
      <c r="Q7" s="21" t="str">
        <v>Income tax: Pretax income by jurisdiction</v>
      </c>
      <c r="R7" s="21" t="str">
        <v>Income tax: Pretax income by jurisdiction</v>
      </c>
      <c r="S7" s="21" t="str">
        <v>Income tax: Pretax income by jurisdiction</v>
      </c>
      <c r="T7" s="21" t="str">
        <v>Income tax: Pretax income by jurisdiction</v>
      </c>
      <c r="U7" s="21" t="str">
        <v>Income tax: Pretax income by jurisdiction</v>
      </c>
      <c r="V7" s="21" t="str">
        <v>Income tax: Pretax income by jurisdiction</v>
      </c>
      <c r="W7" s="21" t="str">
        <v>Income tax: Pretax income by jurisdiction</v>
      </c>
      <c r="X7" s="21" t="str">
        <v>Income tax: Pretax income by jurisdiction</v>
      </c>
      <c r="Y7" s="21" t="str">
        <v>Income tax: Pretax income by jurisdiction</v>
      </c>
      <c r="Z7" s="21" t="str">
        <v>Income tax: Pretax income by jurisdiction</v>
      </c>
      <c r="AA7" s="21" t="str">
        <v>Income tax: Pretax income by jurisdiction</v>
      </c>
    </row>
    <row r="8" ht="18" customHeight="1">
      <c r="A8" s="22" t="str">
        <v>Original note scope is retained. Jurisdiction names vary by filing; equivalent metric rows are combined only within the same source section.</v>
      </c>
      <c r="B8" s="22" t="str">
        <v>Original note scope is retained. Jurisdiction names vary by filing; equivalent metric rows are combined only within the same source section.</v>
      </c>
      <c r="C8" s="22" t="str">
        <v>Original note scope is retained. Jurisdiction names vary by filing; equivalent metric rows are combined only within the same source section.</v>
      </c>
      <c r="D8" s="22" t="str">
        <v>Original note scope is retained. Jurisdiction names vary by filing; equivalent metric rows are combined only within the same source section.</v>
      </c>
      <c r="E8" s="22" t="str">
        <v>Original note scope is retained. Jurisdiction names vary by filing; equivalent metric rows are combined only within the same source section.</v>
      </c>
      <c r="F8" s="22" t="str">
        <v>Original note scope is retained. Jurisdiction names vary by filing; equivalent metric rows are combined only within the same source section.</v>
      </c>
      <c r="G8" s="22" t="str">
        <v>Original note scope is retained. Jurisdiction names vary by filing; equivalent metric rows are combined only within the same source section.</v>
      </c>
      <c r="H8" s="22" t="str">
        <v>Original note scope is retained. Jurisdiction names vary by filing; equivalent metric rows are combined only within the same source section.</v>
      </c>
      <c r="I8" s="22" t="str">
        <v>Original note scope is retained. Jurisdiction names vary by filing; equivalent metric rows are combined only within the same source section.</v>
      </c>
      <c r="J8" s="22" t="str">
        <v>Original note scope is retained. Jurisdiction names vary by filing; equivalent metric rows are combined only within the same source section.</v>
      </c>
      <c r="K8" s="22" t="str">
        <v>Original note scope is retained. Jurisdiction names vary by filing; equivalent metric rows are combined only within the same source section.</v>
      </c>
      <c r="L8" s="22" t="str">
        <v>Original note scope is retained. Jurisdiction names vary by filing; equivalent metric rows are combined only within the same source section.</v>
      </c>
      <c r="M8" s="22" t="str">
        <v>Original note scope is retained. Jurisdiction names vary by filing; equivalent metric rows are combined only within the same source section.</v>
      </c>
      <c r="N8" s="22" t="str">
        <v>Original note scope is retained. Jurisdiction names vary by filing; equivalent metric rows are combined only within the same source section.</v>
      </c>
      <c r="O8" s="22" t="str">
        <v>Original note scope is retained. Jurisdiction names vary by filing; equivalent metric rows are combined only within the same source section.</v>
      </c>
      <c r="P8" s="22" t="str">
        <v>Original note scope is retained. Jurisdiction names vary by filing; equivalent metric rows are combined only within the same source section.</v>
      </c>
      <c r="Q8" s="22" t="str">
        <v>Original note scope is retained. Jurisdiction names vary by filing; equivalent metric rows are combined only within the same source section.</v>
      </c>
      <c r="R8" s="22" t="str">
        <v>Original note scope is retained. Jurisdiction names vary by filing; equivalent metric rows are combined only within the same source section.</v>
      </c>
      <c r="S8" s="22" t="str">
        <v>Original note scope is retained. Jurisdiction names vary by filing; equivalent metric rows are combined only within the same source section.</v>
      </c>
      <c r="T8" s="22" t="str">
        <v>Original note scope is retained. Jurisdiction names vary by filing; equivalent metric rows are combined only within the same source section.</v>
      </c>
      <c r="U8" s="22" t="str">
        <v>Original note scope is retained. Jurisdiction names vary by filing; equivalent metric rows are combined only within the same source section.</v>
      </c>
      <c r="V8" s="22" t="str">
        <v>Original note scope is retained. Jurisdiction names vary by filing; equivalent metric rows are combined only within the same source section.</v>
      </c>
      <c r="W8" s="22" t="str">
        <v>Original note scope is retained. Jurisdiction names vary by filing; equivalent metric rows are combined only within the same source section.</v>
      </c>
      <c r="X8" s="22" t="str">
        <v>Original note scope is retained. Jurisdiction names vary by filing; equivalent metric rows are combined only within the same source section.</v>
      </c>
      <c r="Y8" s="22" t="str">
        <v>Original note scope is retained. Jurisdiction names vary by filing; equivalent metric rows are combined only within the same source section.</v>
      </c>
      <c r="Z8" s="22" t="str">
        <v>Original note scope is retained. Jurisdiction names vary by filing; equivalent metric rows are combined only within the same source section.</v>
      </c>
      <c r="AA8" s="22" t="str">
        <v>Original note scope is retained. Jurisdiction names vary by filing; equivalent metric rows are combined only within the same source section.</v>
      </c>
    </row>
    <row r="9" ht="22" customHeight="1">
      <c r="A9" s="49" t="str">
        <v>U.S.</v>
      </c>
      <c r="B9" s="3"/>
      <c r="C9" s="51" t="n">
        <v>6957</v>
      </c>
      <c r="D9" s="51" t="n">
        <v>11141</v>
      </c>
      <c r="E9" s="51" t="n">
        <v>14753</v>
      </c>
      <c r="F9" s="51" t="n">
        <v>13729</v>
      </c>
      <c r="G9" s="51" t="n">
        <v>15452</v>
      </c>
      <c r="H9" s="51" t="n">
        <v>9361</v>
      </c>
      <c r="I9" s="51" t="n">
        <v>-1161</v>
      </c>
      <c r="J9" s="51" t="n">
        <v>-4749</v>
      </c>
      <c r="K9" s="51" t="n">
        <v>-13450</v>
      </c>
      <c r="L9" s="51" t="n">
        <v>-3231</v>
      </c>
      <c r="M9" s="51"/>
      <c r="N9" s="51"/>
      <c r="O9" s="51"/>
      <c r="P9" s="51"/>
      <c r="Q9" s="51"/>
      <c r="R9" s="51"/>
      <c r="S9" s="51"/>
      <c r="T9" s="51"/>
      <c r="U9" s="51"/>
      <c r="V9" s="51"/>
      <c r="W9" s="51"/>
      <c r="X9" s="51"/>
      <c r="Y9" s="51"/>
      <c r="Z9" s="51"/>
      <c r="AA9" s="51"/>
    </row>
    <row r="10" ht="22" customHeight="1">
      <c r="A10" s="49" t="str">
        <v>Non-U.S.</v>
      </c>
      <c r="B10" s="3"/>
      <c r="C10" s="51" t="n">
        <v>5979</v>
      </c>
      <c r="D10" s="51" t="n">
        <v>9211</v>
      </c>
      <c r="E10" s="51" t="n">
        <v>8564</v>
      </c>
      <c r="F10" s="51" t="n">
        <v>10329</v>
      </c>
      <c r="G10" s="51" t="n">
        <v>9626</v>
      </c>
      <c r="H10" s="51" t="n">
        <v>12342</v>
      </c>
      <c r="I10" s="51" t="n">
        <v>8929</v>
      </c>
      <c r="J10" s="51" t="n">
        <v>5511</v>
      </c>
      <c r="K10" s="51" t="n">
        <v>2241</v>
      </c>
      <c r="L10" s="51" t="n">
        <v>4788</v>
      </c>
      <c r="M10" s="51"/>
      <c r="N10" s="51"/>
      <c r="O10" s="51"/>
      <c r="P10" s="51"/>
      <c r="Q10" s="51"/>
      <c r="R10" s="51"/>
      <c r="S10" s="51"/>
      <c r="T10" s="51"/>
      <c r="U10" s="51"/>
      <c r="V10" s="51"/>
      <c r="W10" s="51"/>
      <c r="X10" s="51"/>
      <c r="Y10" s="51"/>
      <c r="Z10" s="51"/>
      <c r="AA10" s="51"/>
    </row>
    <row r="11" ht="24" customHeight="1">
      <c r="A11" s="34" t="str">
        <v>Total income before taxes</v>
      </c>
      <c r="B11" s="35"/>
      <c r="C11" s="36" t="n">
        <v>12936</v>
      </c>
      <c r="D11" s="36" t="n">
        <v>20352</v>
      </c>
      <c r="E11" s="36" t="n">
        <v>23317</v>
      </c>
      <c r="F11" s="36" t="n">
        <v>24058</v>
      </c>
      <c r="G11" s="36" t="n">
        <v>25078</v>
      </c>
      <c r="H11" s="36" t="n">
        <v>21703</v>
      </c>
      <c r="I11" s="36" t="n">
        <v>7768</v>
      </c>
      <c r="J11" s="36" t="n">
        <v>762</v>
      </c>
      <c r="K11" s="36" t="n">
        <v>-11210</v>
      </c>
      <c r="L11" s="36" t="n">
        <v>1557</v>
      </c>
      <c r="M11" s="36"/>
      <c r="N11" s="36"/>
      <c r="O11" s="36"/>
      <c r="P11" s="36"/>
      <c r="Q11" s="36"/>
      <c r="R11" s="36"/>
      <c r="S11" s="36"/>
      <c r="T11" s="36"/>
      <c r="U11" s="36"/>
      <c r="V11" s="36"/>
      <c r="W11" s="36"/>
      <c r="X11" s="36"/>
      <c r="Y11" s="36"/>
      <c r="Z11" s="36"/>
      <c r="AA11" s="36"/>
    </row>
    <row r="12" ht="8"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ht="22" customHeight="1">
      <c r="A13" s="21" t="str">
        <v>Income tax: Current</v>
      </c>
      <c r="B13" s="21" t="str">
        <v>Income tax: Current</v>
      </c>
      <c r="C13" s="21" t="str">
        <v>Income tax: Current</v>
      </c>
      <c r="D13" s="21" t="str">
        <v>Income tax: Current</v>
      </c>
      <c r="E13" s="21" t="str">
        <v>Income tax: Current</v>
      </c>
      <c r="F13" s="21" t="str">
        <v>Income tax: Current</v>
      </c>
      <c r="G13" s="21" t="str">
        <v>Income tax: Current</v>
      </c>
      <c r="H13" s="21" t="str">
        <v>Income tax: Current</v>
      </c>
      <c r="I13" s="21" t="str">
        <v>Income tax: Current</v>
      </c>
      <c r="J13" s="21" t="str">
        <v>Income tax: Current</v>
      </c>
      <c r="K13" s="21" t="str">
        <v>Income tax: Current</v>
      </c>
      <c r="L13" s="21" t="str">
        <v>Income tax: Current</v>
      </c>
      <c r="M13" s="21" t="str">
        <v>Income tax: Current</v>
      </c>
      <c r="N13" s="21" t="str">
        <v>Income tax: Current</v>
      </c>
      <c r="O13" s="21" t="str">
        <v>Income tax: Current</v>
      </c>
      <c r="P13" s="21" t="str">
        <v>Income tax: Current</v>
      </c>
      <c r="Q13" s="21" t="str">
        <v>Income tax: Current</v>
      </c>
      <c r="R13" s="21" t="str">
        <v>Income tax: Current</v>
      </c>
      <c r="S13" s="21" t="str">
        <v>Income tax: Current</v>
      </c>
      <c r="T13" s="21" t="str">
        <v>Income tax: Current</v>
      </c>
      <c r="U13" s="21" t="str">
        <v>Income tax: Current</v>
      </c>
      <c r="V13" s="21" t="str">
        <v>Income tax: Current</v>
      </c>
      <c r="W13" s="21" t="str">
        <v>Income tax: Current</v>
      </c>
      <c r="X13" s="21" t="str">
        <v>Income tax: Current</v>
      </c>
      <c r="Y13" s="21" t="str">
        <v>Income tax: Current</v>
      </c>
      <c r="Z13" s="21" t="str">
        <v>Income tax: Current</v>
      </c>
      <c r="AA13" s="21" t="str">
        <v>Income tax: Current</v>
      </c>
    </row>
    <row r="14" ht="18" customHeight="1">
      <c r="A14" s="22" t="str">
        <v>Original note scope is retained. Jurisdiction names vary by filing; equivalent metric rows are combined only within the same source section.</v>
      </c>
      <c r="B14" s="22" t="str">
        <v>Original note scope is retained. Jurisdiction names vary by filing; equivalent metric rows are combined only within the same source section.</v>
      </c>
      <c r="C14" s="22" t="str">
        <v>Original note scope is retained. Jurisdiction names vary by filing; equivalent metric rows are combined only within the same source section.</v>
      </c>
      <c r="D14" s="22" t="str">
        <v>Original note scope is retained. Jurisdiction names vary by filing; equivalent metric rows are combined only within the same source section.</v>
      </c>
      <c r="E14" s="22" t="str">
        <v>Original note scope is retained. Jurisdiction names vary by filing; equivalent metric rows are combined only within the same source section.</v>
      </c>
      <c r="F14" s="22" t="str">
        <v>Original note scope is retained. Jurisdiction names vary by filing; equivalent metric rows are combined only within the same source section.</v>
      </c>
      <c r="G14" s="22" t="str">
        <v>Original note scope is retained. Jurisdiction names vary by filing; equivalent metric rows are combined only within the same source section.</v>
      </c>
      <c r="H14" s="22" t="str">
        <v>Original note scope is retained. Jurisdiction names vary by filing; equivalent metric rows are combined only within the same source section.</v>
      </c>
      <c r="I14" s="22" t="str">
        <v>Original note scope is retained. Jurisdiction names vary by filing; equivalent metric rows are combined only within the same source section.</v>
      </c>
      <c r="J14" s="22" t="str">
        <v>Original note scope is retained. Jurisdiction names vary by filing; equivalent metric rows are combined only within the same source section.</v>
      </c>
      <c r="K14" s="22" t="str">
        <v>Original note scope is retained. Jurisdiction names vary by filing; equivalent metric rows are combined only within the same source section.</v>
      </c>
      <c r="L14" s="22" t="str">
        <v>Original note scope is retained. Jurisdiction names vary by filing; equivalent metric rows are combined only within the same source section.</v>
      </c>
      <c r="M14" s="22" t="str">
        <v>Original note scope is retained. Jurisdiction names vary by filing; equivalent metric rows are combined only within the same source section.</v>
      </c>
      <c r="N14" s="22" t="str">
        <v>Original note scope is retained. Jurisdiction names vary by filing; equivalent metric rows are combined only within the same source section.</v>
      </c>
      <c r="O14" s="22" t="str">
        <v>Original note scope is retained. Jurisdiction names vary by filing; equivalent metric rows are combined only within the same source section.</v>
      </c>
      <c r="P14" s="22" t="str">
        <v>Original note scope is retained. Jurisdiction names vary by filing; equivalent metric rows are combined only within the same source section.</v>
      </c>
      <c r="Q14" s="22" t="str">
        <v>Original note scope is retained. Jurisdiction names vary by filing; equivalent metric rows are combined only within the same source section.</v>
      </c>
      <c r="R14" s="22" t="str">
        <v>Original note scope is retained. Jurisdiction names vary by filing; equivalent metric rows are combined only within the same source section.</v>
      </c>
      <c r="S14" s="22" t="str">
        <v>Original note scope is retained. Jurisdiction names vary by filing; equivalent metric rows are combined only within the same source section.</v>
      </c>
      <c r="T14" s="22" t="str">
        <v>Original note scope is retained. Jurisdiction names vary by filing; equivalent metric rows are combined only within the same source section.</v>
      </c>
      <c r="U14" s="22" t="str">
        <v>Original note scope is retained. Jurisdiction names vary by filing; equivalent metric rows are combined only within the same source section.</v>
      </c>
      <c r="V14" s="22" t="str">
        <v>Original note scope is retained. Jurisdiction names vary by filing; equivalent metric rows are combined only within the same source section.</v>
      </c>
      <c r="W14" s="22" t="str">
        <v>Original note scope is retained. Jurisdiction names vary by filing; equivalent metric rows are combined only within the same source section.</v>
      </c>
      <c r="X14" s="22" t="str">
        <v>Original note scope is retained. Jurisdiction names vary by filing; equivalent metric rows are combined only within the same source section.</v>
      </c>
      <c r="Y14" s="22" t="str">
        <v>Original note scope is retained. Jurisdiction names vary by filing; equivalent metric rows are combined only within the same source section.</v>
      </c>
      <c r="Z14" s="22" t="str">
        <v>Original note scope is retained. Jurisdiction names vary by filing; equivalent metric rows are combined only within the same source section.</v>
      </c>
      <c r="AA14" s="22" t="str">
        <v>Original note scope is retained. Jurisdiction names vary by filing; equivalent metric rows are combined only within the same source section.</v>
      </c>
    </row>
    <row r="15" ht="22" customHeight="1">
      <c r="A15" s="49" t="str">
        <v>Federal</v>
      </c>
      <c r="B15" s="3"/>
      <c r="C15" s="51" t="n">
        <v>1319</v>
      </c>
      <c r="D15" s="51" t="n">
        <v>10207</v>
      </c>
      <c r="E15" s="51" t="n">
        <v>2786</v>
      </c>
      <c r="F15" s="51" t="n">
        <v>1391</v>
      </c>
      <c r="G15" s="51" t="n">
        <v>1120</v>
      </c>
      <c r="H15" s="51" t="n">
        <v>1304</v>
      </c>
      <c r="I15" s="51" t="n">
        <v>4106</v>
      </c>
      <c r="J15" s="51" t="n">
        <v>538</v>
      </c>
      <c r="K15" s="51" t="n">
        <v>600</v>
      </c>
      <c r="L15" s="51" t="n">
        <v>310</v>
      </c>
      <c r="M15" s="51"/>
      <c r="N15" s="51"/>
      <c r="O15" s="51"/>
      <c r="P15" s="51"/>
      <c r="Q15" s="51"/>
      <c r="R15" s="51"/>
      <c r="S15" s="51"/>
      <c r="T15" s="51"/>
      <c r="U15" s="51"/>
      <c r="V15" s="51"/>
      <c r="W15" s="51"/>
      <c r="X15" s="51"/>
      <c r="Y15" s="51"/>
      <c r="Z15" s="51"/>
      <c r="AA15" s="51"/>
    </row>
    <row r="16" ht="22" customHeight="1">
      <c r="A16" s="49" t="str">
        <v>State</v>
      </c>
      <c r="B16" s="3"/>
      <c r="C16" s="51" t="n">
        <v>13</v>
      </c>
      <c r="D16" s="51" t="n">
        <v>27</v>
      </c>
      <c r="E16" s="51" t="n">
        <v>-11</v>
      </c>
      <c r="F16" s="51" t="n">
        <v>37</v>
      </c>
      <c r="G16" s="51" t="n">
        <v>46</v>
      </c>
      <c r="H16" s="51" t="n">
        <v>75</v>
      </c>
      <c r="I16" s="51" t="n">
        <v>68</v>
      </c>
      <c r="J16" s="51" t="n">
        <v>23</v>
      </c>
      <c r="K16" s="51" t="n">
        <v>-8</v>
      </c>
      <c r="L16" s="51" t="n">
        <v>-18</v>
      </c>
      <c r="M16" s="51"/>
      <c r="N16" s="51"/>
      <c r="O16" s="51"/>
      <c r="P16" s="51"/>
      <c r="Q16" s="51"/>
      <c r="R16" s="51"/>
      <c r="S16" s="51"/>
      <c r="T16" s="51"/>
      <c r="U16" s="51"/>
      <c r="V16" s="51"/>
      <c r="W16" s="51"/>
      <c r="X16" s="51"/>
      <c r="Y16" s="51"/>
      <c r="Z16" s="51"/>
      <c r="AA16" s="51"/>
    </row>
    <row r="17" ht="22" customHeight="1">
      <c r="A17" s="49" t="str">
        <v>Non-US</v>
      </c>
      <c r="B17" s="3"/>
      <c r="C17" s="51" t="n">
        <v>756</v>
      </c>
      <c r="D17" s="51" t="n">
        <v>899</v>
      </c>
      <c r="E17" s="51" t="n">
        <v>1097</v>
      </c>
      <c r="F17" s="51" t="n">
        <v>1060</v>
      </c>
      <c r="G17" s="51" t="n">
        <v>1244</v>
      </c>
      <c r="H17" s="51" t="n">
        <v>1198</v>
      </c>
      <c r="I17" s="51" t="n">
        <v>735</v>
      </c>
      <c r="J17" s="51" t="n">
        <v>535</v>
      </c>
      <c r="K17" s="51" t="n">
        <v>1364</v>
      </c>
      <c r="L17" s="51" t="n">
        <v>910</v>
      </c>
      <c r="M17" s="51"/>
      <c r="N17" s="51"/>
      <c r="O17" s="51"/>
      <c r="P17" s="51"/>
      <c r="Q17" s="51"/>
      <c r="R17" s="51"/>
      <c r="S17" s="51"/>
      <c r="T17" s="51"/>
      <c r="U17" s="51"/>
      <c r="V17" s="51"/>
      <c r="W17" s="51"/>
      <c r="X17" s="51"/>
      <c r="Y17" s="51"/>
      <c r="Z17" s="51"/>
      <c r="AA17" s="51"/>
    </row>
    <row r="18" ht="24" customHeight="1">
      <c r="A18" s="34" t="str">
        <v>Total current provision for taxes</v>
      </c>
      <c r="B18" s="35"/>
      <c r="C18" s="36" t="n">
        <v>2088</v>
      </c>
      <c r="D18" s="36" t="n">
        <v>11133</v>
      </c>
      <c r="E18" s="36" t="n">
        <v>3872</v>
      </c>
      <c r="F18" s="36" t="n">
        <v>2488</v>
      </c>
      <c r="G18" s="36" t="n">
        <v>2410</v>
      </c>
      <c r="H18" s="36" t="n">
        <v>2577</v>
      </c>
      <c r="I18" s="36" t="n">
        <v>4909</v>
      </c>
      <c r="J18" s="36" t="n">
        <v>1096</v>
      </c>
      <c r="K18" s="36" t="n">
        <v>1956</v>
      </c>
      <c r="L18" s="36" t="n">
        <v>1202</v>
      </c>
      <c r="M18" s="36"/>
      <c r="N18" s="36"/>
      <c r="O18" s="36"/>
      <c r="P18" s="36"/>
      <c r="Q18" s="36"/>
      <c r="R18" s="36"/>
      <c r="S18" s="36"/>
      <c r="T18" s="36"/>
      <c r="U18" s="36"/>
      <c r="V18" s="36"/>
      <c r="W18" s="36"/>
      <c r="X18" s="36"/>
      <c r="Y18" s="36"/>
      <c r="Z18" s="36"/>
      <c r="AA18" s="36"/>
    </row>
    <row r="19" ht="8"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22" customHeight="1">
      <c r="A20" s="21" t="str">
        <v>Income tax: Deferred</v>
      </c>
      <c r="B20" s="21" t="str">
        <v>Income tax: Deferred</v>
      </c>
      <c r="C20" s="21" t="str">
        <v>Income tax: Deferred</v>
      </c>
      <c r="D20" s="21" t="str">
        <v>Income tax: Deferred</v>
      </c>
      <c r="E20" s="21" t="str">
        <v>Income tax: Deferred</v>
      </c>
      <c r="F20" s="21" t="str">
        <v>Income tax: Deferred</v>
      </c>
      <c r="G20" s="21" t="str">
        <v>Income tax: Deferred</v>
      </c>
      <c r="H20" s="21" t="str">
        <v>Income tax: Deferred</v>
      </c>
      <c r="I20" s="21" t="str">
        <v>Income tax: Deferred</v>
      </c>
      <c r="J20" s="21" t="str">
        <v>Income tax: Deferred</v>
      </c>
      <c r="K20" s="21" t="str">
        <v>Income tax: Deferred</v>
      </c>
      <c r="L20" s="21" t="str">
        <v>Income tax: Deferred</v>
      </c>
      <c r="M20" s="21" t="str">
        <v>Income tax: Deferred</v>
      </c>
      <c r="N20" s="21" t="str">
        <v>Income tax: Deferred</v>
      </c>
      <c r="O20" s="21" t="str">
        <v>Income tax: Deferred</v>
      </c>
      <c r="P20" s="21" t="str">
        <v>Income tax: Deferred</v>
      </c>
      <c r="Q20" s="21" t="str">
        <v>Income tax: Deferred</v>
      </c>
      <c r="R20" s="21" t="str">
        <v>Income tax: Deferred</v>
      </c>
      <c r="S20" s="21" t="str">
        <v>Income tax: Deferred</v>
      </c>
      <c r="T20" s="21" t="str">
        <v>Income tax: Deferred</v>
      </c>
      <c r="U20" s="21" t="str">
        <v>Income tax: Deferred</v>
      </c>
      <c r="V20" s="21" t="str">
        <v>Income tax: Deferred</v>
      </c>
      <c r="W20" s="21" t="str">
        <v>Income tax: Deferred</v>
      </c>
      <c r="X20" s="21" t="str">
        <v>Income tax: Deferred</v>
      </c>
      <c r="Y20" s="21" t="str">
        <v>Income tax: Deferred</v>
      </c>
      <c r="Z20" s="21" t="str">
        <v>Income tax: Deferred</v>
      </c>
      <c r="AA20" s="21" t="str">
        <v>Income tax: Deferred</v>
      </c>
    </row>
    <row r="21" ht="18" customHeight="1">
      <c r="A21" s="22" t="str">
        <v>Original note scope is retained. Jurisdiction names vary by filing; equivalent metric rows are combined only within the same source section.</v>
      </c>
      <c r="B21" s="22" t="str">
        <v>Original note scope is retained. Jurisdiction names vary by filing; equivalent metric rows are combined only within the same source section.</v>
      </c>
      <c r="C21" s="22" t="str">
        <v>Original note scope is retained. Jurisdiction names vary by filing; equivalent metric rows are combined only within the same source section.</v>
      </c>
      <c r="D21" s="22" t="str">
        <v>Original note scope is retained. Jurisdiction names vary by filing; equivalent metric rows are combined only within the same source section.</v>
      </c>
      <c r="E21" s="22" t="str">
        <v>Original note scope is retained. Jurisdiction names vary by filing; equivalent metric rows are combined only within the same source section.</v>
      </c>
      <c r="F21" s="22" t="str">
        <v>Original note scope is retained. Jurisdiction names vary by filing; equivalent metric rows are combined only within the same source section.</v>
      </c>
      <c r="G21" s="22" t="str">
        <v>Original note scope is retained. Jurisdiction names vary by filing; equivalent metric rows are combined only within the same source section.</v>
      </c>
      <c r="H21" s="22" t="str">
        <v>Original note scope is retained. Jurisdiction names vary by filing; equivalent metric rows are combined only within the same source section.</v>
      </c>
      <c r="I21" s="22" t="str">
        <v>Original note scope is retained. Jurisdiction names vary by filing; equivalent metric rows are combined only within the same source section.</v>
      </c>
      <c r="J21" s="22" t="str">
        <v>Original note scope is retained. Jurisdiction names vary by filing; equivalent metric rows are combined only within the same source section.</v>
      </c>
      <c r="K21" s="22" t="str">
        <v>Original note scope is retained. Jurisdiction names vary by filing; equivalent metric rows are combined only within the same source section.</v>
      </c>
      <c r="L21" s="22" t="str">
        <v>Original note scope is retained. Jurisdiction names vary by filing; equivalent metric rows are combined only within the same source section.</v>
      </c>
      <c r="M21" s="22" t="str">
        <v>Original note scope is retained. Jurisdiction names vary by filing; equivalent metric rows are combined only within the same source section.</v>
      </c>
      <c r="N21" s="22" t="str">
        <v>Original note scope is retained. Jurisdiction names vary by filing; equivalent metric rows are combined only within the same source section.</v>
      </c>
      <c r="O21" s="22" t="str">
        <v>Original note scope is retained. Jurisdiction names vary by filing; equivalent metric rows are combined only within the same source section.</v>
      </c>
      <c r="P21" s="22" t="str">
        <v>Original note scope is retained. Jurisdiction names vary by filing; equivalent metric rows are combined only within the same source section.</v>
      </c>
      <c r="Q21" s="22" t="str">
        <v>Original note scope is retained. Jurisdiction names vary by filing; equivalent metric rows are combined only within the same source section.</v>
      </c>
      <c r="R21" s="22" t="str">
        <v>Original note scope is retained. Jurisdiction names vary by filing; equivalent metric rows are combined only within the same source section.</v>
      </c>
      <c r="S21" s="22" t="str">
        <v>Original note scope is retained. Jurisdiction names vary by filing; equivalent metric rows are combined only within the same source section.</v>
      </c>
      <c r="T21" s="22" t="str">
        <v>Original note scope is retained. Jurisdiction names vary by filing; equivalent metric rows are combined only within the same source section.</v>
      </c>
      <c r="U21" s="22" t="str">
        <v>Original note scope is retained. Jurisdiction names vary by filing; equivalent metric rows are combined only within the same source section.</v>
      </c>
      <c r="V21" s="22" t="str">
        <v>Original note scope is retained. Jurisdiction names vary by filing; equivalent metric rows are combined only within the same source section.</v>
      </c>
      <c r="W21" s="22" t="str">
        <v>Original note scope is retained. Jurisdiction names vary by filing; equivalent metric rows are combined only within the same source section.</v>
      </c>
      <c r="X21" s="22" t="str">
        <v>Original note scope is retained. Jurisdiction names vary by filing; equivalent metric rows are combined only within the same source section.</v>
      </c>
      <c r="Y21" s="22" t="str">
        <v>Original note scope is retained. Jurisdiction names vary by filing; equivalent metric rows are combined only within the same source section.</v>
      </c>
      <c r="Z21" s="22" t="str">
        <v>Original note scope is retained. Jurisdiction names vary by filing; equivalent metric rows are combined only within the same source section.</v>
      </c>
      <c r="AA21" s="22" t="str">
        <v>Original note scope is retained. Jurisdiction names vary by filing; equivalent metric rows are combined only within the same source section.</v>
      </c>
    </row>
    <row r="22" ht="22" customHeight="1">
      <c r="A22" s="49" t="str">
        <v>Federal</v>
      </c>
      <c r="B22" s="3"/>
      <c r="C22" s="51" t="n">
        <v>658</v>
      </c>
      <c r="D22" s="51" t="n">
        <v>-220</v>
      </c>
      <c r="E22" s="51" t="n">
        <v>-1389</v>
      </c>
      <c r="F22" s="51" t="n">
        <v>597</v>
      </c>
      <c r="G22" s="51" t="n">
        <v>1369</v>
      </c>
      <c r="H22" s="51" t="n">
        <v>-863</v>
      </c>
      <c r="I22" s="51" t="n">
        <v>-5806</v>
      </c>
      <c r="J22" s="51" t="n">
        <v>-2048</v>
      </c>
      <c r="K22" s="51" t="n">
        <v>6192</v>
      </c>
      <c r="L22" s="51" t="n">
        <v>245</v>
      </c>
      <c r="M22" s="51"/>
      <c r="N22" s="51"/>
      <c r="O22" s="51"/>
      <c r="P22" s="51"/>
      <c r="Q22" s="51"/>
      <c r="R22" s="51"/>
      <c r="S22" s="51"/>
      <c r="T22" s="51"/>
      <c r="U22" s="51"/>
      <c r="V22" s="51"/>
      <c r="W22" s="51"/>
      <c r="X22" s="51"/>
      <c r="Y22" s="51"/>
      <c r="Z22" s="51"/>
      <c r="AA22" s="51"/>
    </row>
    <row r="23" ht="22" customHeight="1">
      <c r="A23" s="49" t="str">
        <v>Other</v>
      </c>
      <c r="B23" s="3"/>
      <c r="C23" s="51" t="n">
        <v>-126</v>
      </c>
      <c r="D23" s="51" t="n">
        <v>-162</v>
      </c>
      <c r="E23" s="51" t="n">
        <v>-219</v>
      </c>
      <c r="F23" s="51" t="n">
        <v>-75</v>
      </c>
      <c r="G23" s="51"/>
      <c r="H23" s="51"/>
      <c r="I23" s="51"/>
      <c r="J23" s="51"/>
      <c r="K23" s="51"/>
      <c r="L23" s="51"/>
      <c r="M23" s="51"/>
      <c r="N23" s="51"/>
      <c r="O23" s="51"/>
      <c r="P23" s="51"/>
      <c r="Q23" s="51"/>
      <c r="R23" s="51"/>
      <c r="S23" s="51"/>
      <c r="T23" s="51"/>
      <c r="U23" s="51"/>
      <c r="V23" s="51"/>
      <c r="W23" s="51"/>
      <c r="X23" s="51"/>
      <c r="Y23" s="51"/>
      <c r="Z23" s="51"/>
      <c r="AA23" s="51"/>
    </row>
    <row r="24" ht="22" customHeight="1">
      <c r="A24" s="49" t="str">
        <v>State</v>
      </c>
      <c r="B24" s="3"/>
      <c r="C24" s="51"/>
      <c r="D24" s="51"/>
      <c r="E24" s="51"/>
      <c r="F24" s="51"/>
      <c r="G24" s="51" t="n">
        <v>25</v>
      </c>
      <c r="H24" s="51" t="n">
        <v>-25</v>
      </c>
      <c r="I24" s="51" t="n">
        <v>-40</v>
      </c>
      <c r="J24" s="51" t="n">
        <v>-21</v>
      </c>
      <c r="K24" s="51" t="n">
        <v>67</v>
      </c>
      <c r="L24" s="51" t="n">
        <v>-11</v>
      </c>
      <c r="M24" s="51"/>
      <c r="N24" s="51"/>
      <c r="O24" s="51"/>
      <c r="P24" s="51"/>
      <c r="Q24" s="51"/>
      <c r="R24" s="51"/>
      <c r="S24" s="51"/>
      <c r="T24" s="51"/>
      <c r="U24" s="51"/>
      <c r="V24" s="51"/>
      <c r="W24" s="51"/>
      <c r="X24" s="51"/>
      <c r="Y24" s="51"/>
      <c r="Z24" s="51"/>
      <c r="AA24" s="51"/>
    </row>
    <row r="25" ht="22" customHeight="1">
      <c r="A25" s="49" t="str">
        <v>Non-US</v>
      </c>
      <c r="B25" s="3"/>
      <c r="C25" s="51"/>
      <c r="D25" s="51"/>
      <c r="E25" s="51"/>
      <c r="F25" s="51"/>
      <c r="G25" s="51" t="n">
        <v>375</v>
      </c>
      <c r="H25" s="51" t="n">
        <v>146</v>
      </c>
      <c r="I25" s="51" t="n">
        <v>688</v>
      </c>
      <c r="J25" s="51" t="n">
        <v>60</v>
      </c>
      <c r="K25" s="51" t="n">
        <v>-192</v>
      </c>
      <c r="L25" s="51" t="n">
        <v>95</v>
      </c>
      <c r="M25" s="51"/>
      <c r="N25" s="51"/>
      <c r="O25" s="51"/>
      <c r="P25" s="51"/>
      <c r="Q25" s="51"/>
      <c r="R25" s="51"/>
      <c r="S25" s="51"/>
      <c r="T25" s="51"/>
      <c r="U25" s="51"/>
      <c r="V25" s="51"/>
      <c r="W25" s="51"/>
      <c r="X25" s="51"/>
      <c r="Y25" s="51"/>
      <c r="Z25" s="51"/>
      <c r="AA25" s="51"/>
    </row>
    <row r="26" ht="24" customHeight="1">
      <c r="A26" s="34" t="str">
        <v>Total deferred provision for taxes</v>
      </c>
      <c r="B26" s="35"/>
      <c r="C26" s="36" t="n">
        <v>532</v>
      </c>
      <c r="D26" s="36" t="n">
        <v>-382</v>
      </c>
      <c r="E26" s="36" t="n">
        <v>-1608</v>
      </c>
      <c r="F26" s="36" t="n">
        <v>522</v>
      </c>
      <c r="G26" s="36" t="n">
        <v>1769</v>
      </c>
      <c r="H26" s="36" t="n">
        <v>-742</v>
      </c>
      <c r="I26" s="36" t="n">
        <v>-5158</v>
      </c>
      <c r="J26" s="36" t="n">
        <v>-2009</v>
      </c>
      <c r="K26" s="36" t="n">
        <v>6067</v>
      </c>
      <c r="L26" s="36" t="n">
        <v>329</v>
      </c>
      <c r="M26" s="36"/>
      <c r="N26" s="36"/>
      <c r="O26" s="36"/>
      <c r="P26" s="36"/>
      <c r="Q26" s="36"/>
      <c r="R26" s="36"/>
      <c r="S26" s="36"/>
      <c r="T26" s="36"/>
      <c r="U26" s="36"/>
      <c r="V26" s="36"/>
      <c r="W26" s="36"/>
      <c r="X26" s="36"/>
      <c r="Y26" s="36"/>
      <c r="Z26" s="36"/>
      <c r="AA26" s="36"/>
    </row>
    <row r="27" ht="8"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22" customHeight="1">
      <c r="A28" s="21" t="str">
        <v>Income tax: summary</v>
      </c>
      <c r="B28" s="21" t="str">
        <v>Income tax: summary</v>
      </c>
      <c r="C28" s="21" t="str">
        <v>Income tax: summary</v>
      </c>
      <c r="D28" s="21" t="str">
        <v>Income tax: summary</v>
      </c>
      <c r="E28" s="21" t="str">
        <v>Income tax: summary</v>
      </c>
      <c r="F28" s="21" t="str">
        <v>Income tax: summary</v>
      </c>
      <c r="G28" s="21" t="str">
        <v>Income tax: summary</v>
      </c>
      <c r="H28" s="21" t="str">
        <v>Income tax: summary</v>
      </c>
      <c r="I28" s="21" t="str">
        <v>Income tax: summary</v>
      </c>
      <c r="J28" s="21" t="str">
        <v>Income tax: summary</v>
      </c>
      <c r="K28" s="21" t="str">
        <v>Income tax: summary</v>
      </c>
      <c r="L28" s="21" t="str">
        <v>Income tax: summary</v>
      </c>
      <c r="M28" s="21" t="str">
        <v>Income tax: summary</v>
      </c>
      <c r="N28" s="21" t="str">
        <v>Income tax: summary</v>
      </c>
      <c r="O28" s="21" t="str">
        <v>Income tax: summary</v>
      </c>
      <c r="P28" s="21" t="str">
        <v>Income tax: summary</v>
      </c>
      <c r="Q28" s="21" t="str">
        <v>Income tax: summary</v>
      </c>
      <c r="R28" s="21" t="str">
        <v>Income tax: summary</v>
      </c>
      <c r="S28" s="21" t="str">
        <v>Income tax: summary</v>
      </c>
      <c r="T28" s="21" t="str">
        <v>Income tax: summary</v>
      </c>
      <c r="U28" s="21" t="str">
        <v>Income tax: summary</v>
      </c>
      <c r="V28" s="21" t="str">
        <v>Income tax: summary</v>
      </c>
      <c r="W28" s="21" t="str">
        <v>Income tax: summary</v>
      </c>
      <c r="X28" s="21" t="str">
        <v>Income tax: summary</v>
      </c>
      <c r="Y28" s="21" t="str">
        <v>Income tax: summary</v>
      </c>
      <c r="Z28" s="21" t="str">
        <v>Income tax: summary</v>
      </c>
      <c r="AA28" s="21" t="str">
        <v>Income tax: summary</v>
      </c>
    </row>
    <row r="29" ht="18" customHeight="1">
      <c r="A29" s="22" t="str">
        <v>Original note scope is retained. Jurisdiction names vary by filing; equivalent metric rows are combined only within the same source section.</v>
      </c>
      <c r="B29" s="22" t="str">
        <v>Original note scope is retained. Jurisdiction names vary by filing; equivalent metric rows are combined only within the same source section.</v>
      </c>
      <c r="C29" s="22" t="str">
        <v>Original note scope is retained. Jurisdiction names vary by filing; equivalent metric rows are combined only within the same source section.</v>
      </c>
      <c r="D29" s="22" t="str">
        <v>Original note scope is retained. Jurisdiction names vary by filing; equivalent metric rows are combined only within the same source section.</v>
      </c>
      <c r="E29" s="22" t="str">
        <v>Original note scope is retained. Jurisdiction names vary by filing; equivalent metric rows are combined only within the same source section.</v>
      </c>
      <c r="F29" s="22" t="str">
        <v>Original note scope is retained. Jurisdiction names vary by filing; equivalent metric rows are combined only within the same source section.</v>
      </c>
      <c r="G29" s="22" t="str">
        <v>Original note scope is retained. Jurisdiction names vary by filing; equivalent metric rows are combined only within the same source section.</v>
      </c>
      <c r="H29" s="22" t="str">
        <v>Original note scope is retained. Jurisdiction names vary by filing; equivalent metric rows are combined only within the same source section.</v>
      </c>
      <c r="I29" s="22" t="str">
        <v>Original note scope is retained. Jurisdiction names vary by filing; equivalent metric rows are combined only within the same source section.</v>
      </c>
      <c r="J29" s="22" t="str">
        <v>Original note scope is retained. Jurisdiction names vary by filing; equivalent metric rows are combined only within the same source section.</v>
      </c>
      <c r="K29" s="22" t="str">
        <v>Original note scope is retained. Jurisdiction names vary by filing; equivalent metric rows are combined only within the same source section.</v>
      </c>
      <c r="L29" s="22" t="str">
        <v>Original note scope is retained. Jurisdiction names vary by filing; equivalent metric rows are combined only within the same source section.</v>
      </c>
      <c r="M29" s="22" t="str">
        <v>Original note scope is retained. Jurisdiction names vary by filing; equivalent metric rows are combined only within the same source section.</v>
      </c>
      <c r="N29" s="22" t="str">
        <v>Original note scope is retained. Jurisdiction names vary by filing; equivalent metric rows are combined only within the same source section.</v>
      </c>
      <c r="O29" s="22" t="str">
        <v>Original note scope is retained. Jurisdiction names vary by filing; equivalent metric rows are combined only within the same source section.</v>
      </c>
      <c r="P29" s="22" t="str">
        <v>Original note scope is retained. Jurisdiction names vary by filing; equivalent metric rows are combined only within the same source section.</v>
      </c>
      <c r="Q29" s="22" t="str">
        <v>Original note scope is retained. Jurisdiction names vary by filing; equivalent metric rows are combined only within the same source section.</v>
      </c>
      <c r="R29" s="22" t="str">
        <v>Original note scope is retained. Jurisdiction names vary by filing; equivalent metric rows are combined only within the same source section.</v>
      </c>
      <c r="S29" s="22" t="str">
        <v>Original note scope is retained. Jurisdiction names vary by filing; equivalent metric rows are combined only within the same source section.</v>
      </c>
      <c r="T29" s="22" t="str">
        <v>Original note scope is retained. Jurisdiction names vary by filing; equivalent metric rows are combined only within the same source section.</v>
      </c>
      <c r="U29" s="22" t="str">
        <v>Original note scope is retained. Jurisdiction names vary by filing; equivalent metric rows are combined only within the same source section.</v>
      </c>
      <c r="V29" s="22" t="str">
        <v>Original note scope is retained. Jurisdiction names vary by filing; equivalent metric rows are combined only within the same source section.</v>
      </c>
      <c r="W29" s="22" t="str">
        <v>Original note scope is retained. Jurisdiction names vary by filing; equivalent metric rows are combined only within the same source section.</v>
      </c>
      <c r="X29" s="22" t="str">
        <v>Original note scope is retained. Jurisdiction names vary by filing; equivalent metric rows are combined only within the same source section.</v>
      </c>
      <c r="Y29" s="22" t="str">
        <v>Original note scope is retained. Jurisdiction names vary by filing; equivalent metric rows are combined only within the same source section.</v>
      </c>
      <c r="Z29" s="22" t="str">
        <v>Original note scope is retained. Jurisdiction names vary by filing; equivalent metric rows are combined only within the same source section.</v>
      </c>
      <c r="AA29" s="22" t="str">
        <v>Original note scope is retained. Jurisdiction names vary by filing; equivalent metric rows are combined only within the same source section.</v>
      </c>
    </row>
    <row r="30" ht="24" customHeight="1">
      <c r="A30" s="34" t="str">
        <v>Total provision for taxes</v>
      </c>
      <c r="B30" s="35"/>
      <c r="C30" s="36" t="n">
        <v>2620</v>
      </c>
      <c r="D30" s="36" t="n">
        <v>10751</v>
      </c>
      <c r="E30" s="36" t="n">
        <v>2264</v>
      </c>
      <c r="F30" s="36" t="n">
        <v>3010</v>
      </c>
      <c r="G30" s="36" t="n">
        <v>4179</v>
      </c>
      <c r="H30" s="36" t="n">
        <v>1835</v>
      </c>
      <c r="I30" s="36" t="n">
        <v>-249</v>
      </c>
      <c r="J30" s="36" t="n">
        <v>-913</v>
      </c>
      <c r="K30" s="36" t="n">
        <v>8023</v>
      </c>
      <c r="L30" s="36" t="n">
        <v>1531</v>
      </c>
      <c r="M30" s="36"/>
      <c r="N30" s="36"/>
      <c r="O30" s="36"/>
      <c r="P30" s="36"/>
      <c r="Q30" s="36"/>
      <c r="R30" s="36"/>
      <c r="S30" s="36"/>
      <c r="T30" s="36"/>
      <c r="U30" s="36"/>
      <c r="V30" s="36"/>
      <c r="W30" s="36"/>
      <c r="X30" s="36"/>
      <c r="Y30" s="36"/>
      <c r="Z30" s="36"/>
      <c r="AA30" s="36"/>
    </row>
    <row r="31" ht="20" customHeight="1">
      <c r="A31" s="40" t="str">
        <v>Effective tax rate</v>
      </c>
      <c r="B31" s="3"/>
      <c r="C31" s="44" t="n">
        <v>0.203</v>
      </c>
      <c r="D31" s="44" t="n">
        <v>0.528</v>
      </c>
      <c r="E31" s="44" t="n">
        <v>0.09699999999999999</v>
      </c>
      <c r="F31" s="44" t="n">
        <v>0.125</v>
      </c>
      <c r="G31" s="44" t="n">
        <v>0.16699999999999998</v>
      </c>
      <c r="H31" s="44" t="n">
        <v>0.085</v>
      </c>
      <c r="I31" s="44" t="n">
        <v>-0.032</v>
      </c>
      <c r="J31" s="44" t="n">
        <v>-1.198</v>
      </c>
      <c r="K31" s="44" t="n">
        <v>0.716</v>
      </c>
      <c r="L31" s="44" t="n">
        <v>0.983</v>
      </c>
      <c r="M31" s="44"/>
      <c r="N31" s="44"/>
      <c r="O31" s="44"/>
      <c r="P31" s="44"/>
      <c r="Q31" s="44"/>
      <c r="R31" s="44"/>
      <c r="S31" s="44"/>
      <c r="T31" s="44"/>
      <c r="U31" s="44"/>
      <c r="V31" s="44"/>
      <c r="W31" s="44"/>
      <c r="X31" s="44"/>
      <c r="Y31" s="44"/>
      <c r="Z31" s="44"/>
      <c r="AA31" s="44"/>
    </row>
    <row r="32" ht="8"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22" customHeight="1">
      <c r="A33" s="21" t="str">
        <v>Income tax note (interim) &gt; Three Months Ended</v>
      </c>
      <c r="B33" s="21" t="str">
        <v>Income tax note (interim) &gt; Three Months Ended</v>
      </c>
      <c r="C33" s="21" t="str">
        <v>Income tax note (interim) &gt; Three Months Ended</v>
      </c>
      <c r="D33" s="21" t="str">
        <v>Income tax note (interim) &gt; Three Months Ended</v>
      </c>
      <c r="E33" s="21" t="str">
        <v>Income tax note (interim) &gt; Three Months Ended</v>
      </c>
      <c r="F33" s="21" t="str">
        <v>Income tax note (interim) &gt; Three Months Ended</v>
      </c>
      <c r="G33" s="21" t="str">
        <v>Income tax note (interim) &gt; Three Months Ended</v>
      </c>
      <c r="H33" s="21" t="str">
        <v>Income tax note (interim) &gt; Three Months Ended</v>
      </c>
      <c r="I33" s="21" t="str">
        <v>Income tax note (interim) &gt; Three Months Ended</v>
      </c>
      <c r="J33" s="21" t="str">
        <v>Income tax note (interim) &gt; Three Months Ended</v>
      </c>
      <c r="K33" s="21" t="str">
        <v>Income tax note (interim) &gt; Three Months Ended</v>
      </c>
      <c r="L33" s="21" t="str">
        <v>Income tax note (interim) &gt; Three Months Ended</v>
      </c>
      <c r="M33" s="21" t="str">
        <v>Income tax note (interim) &gt; Three Months Ended</v>
      </c>
      <c r="N33" s="21" t="str">
        <v>Income tax note (interim) &gt; Three Months Ended</v>
      </c>
      <c r="O33" s="21" t="str">
        <v>Income tax note (interim) &gt; Three Months Ended</v>
      </c>
      <c r="P33" s="21" t="str">
        <v>Income tax note (interim) &gt; Three Months Ended</v>
      </c>
      <c r="Q33" s="21" t="str">
        <v>Income tax note (interim) &gt; Three Months Ended</v>
      </c>
      <c r="R33" s="21" t="str">
        <v>Income tax note (interim) &gt; Three Months Ended</v>
      </c>
      <c r="S33" s="21" t="str">
        <v>Income tax note (interim) &gt; Three Months Ended</v>
      </c>
      <c r="T33" s="21" t="str">
        <v>Income tax note (interim) &gt; Three Months Ended</v>
      </c>
      <c r="U33" s="21" t="str">
        <v>Income tax note (interim) &gt; Three Months Ended</v>
      </c>
      <c r="V33" s="21" t="str">
        <v>Income tax note (interim) &gt; Three Months Ended</v>
      </c>
      <c r="W33" s="21" t="str">
        <v>Income tax note (interim) &gt; Three Months Ended</v>
      </c>
      <c r="X33" s="21" t="str">
        <v>Income tax note (interim) &gt; Three Months Ended</v>
      </c>
      <c r="Y33" s="21" t="str">
        <v>Income tax note (interim) &gt; Three Months Ended</v>
      </c>
      <c r="Z33" s="21" t="str">
        <v>Income tax note (interim) &gt; Three Months Ended</v>
      </c>
      <c r="AA33" s="21" t="str">
        <v>Income tax note (interim) &gt; Three Months Ended</v>
      </c>
    </row>
    <row r="34" ht="18" customHeight="1">
      <c r="A34" s="22" t="str">
        <v>Original note scope is retained. Jurisdiction names vary by filing; equivalent metric rows are combined only within the same source section.</v>
      </c>
      <c r="B34" s="22" t="str">
        <v>Original note scope is retained. Jurisdiction names vary by filing; equivalent metric rows are combined only within the same source section.</v>
      </c>
      <c r="C34" s="22" t="str">
        <v>Original note scope is retained. Jurisdiction names vary by filing; equivalent metric rows are combined only within the same source section.</v>
      </c>
      <c r="D34" s="22" t="str">
        <v>Original note scope is retained. Jurisdiction names vary by filing; equivalent metric rows are combined only within the same source section.</v>
      </c>
      <c r="E34" s="22" t="str">
        <v>Original note scope is retained. Jurisdiction names vary by filing; equivalent metric rows are combined only within the same source section.</v>
      </c>
      <c r="F34" s="22" t="str">
        <v>Original note scope is retained. Jurisdiction names vary by filing; equivalent metric rows are combined only within the same source section.</v>
      </c>
      <c r="G34" s="22" t="str">
        <v>Original note scope is retained. Jurisdiction names vary by filing; equivalent metric rows are combined only within the same source section.</v>
      </c>
      <c r="H34" s="22" t="str">
        <v>Original note scope is retained. Jurisdiction names vary by filing; equivalent metric rows are combined only within the same source section.</v>
      </c>
      <c r="I34" s="22" t="str">
        <v>Original note scope is retained. Jurisdiction names vary by filing; equivalent metric rows are combined only within the same source section.</v>
      </c>
      <c r="J34" s="22" t="str">
        <v>Original note scope is retained. Jurisdiction names vary by filing; equivalent metric rows are combined only within the same source section.</v>
      </c>
      <c r="K34" s="22" t="str">
        <v>Original note scope is retained. Jurisdiction names vary by filing; equivalent metric rows are combined only within the same source section.</v>
      </c>
      <c r="L34" s="22" t="str">
        <v>Original note scope is retained. Jurisdiction names vary by filing; equivalent metric rows are combined only within the same source section.</v>
      </c>
      <c r="M34" s="22" t="str">
        <v>Original note scope is retained. Jurisdiction names vary by filing; equivalent metric rows are combined only within the same source section.</v>
      </c>
      <c r="N34" s="22" t="str">
        <v>Original note scope is retained. Jurisdiction names vary by filing; equivalent metric rows are combined only within the same source section.</v>
      </c>
      <c r="O34" s="22" t="str">
        <v>Original note scope is retained. Jurisdiction names vary by filing; equivalent metric rows are combined only within the same source section.</v>
      </c>
      <c r="P34" s="22" t="str">
        <v>Original note scope is retained. Jurisdiction names vary by filing; equivalent metric rows are combined only within the same source section.</v>
      </c>
      <c r="Q34" s="22" t="str">
        <v>Original note scope is retained. Jurisdiction names vary by filing; equivalent metric rows are combined only within the same source section.</v>
      </c>
      <c r="R34" s="22" t="str">
        <v>Original note scope is retained. Jurisdiction names vary by filing; equivalent metric rows are combined only within the same source section.</v>
      </c>
      <c r="S34" s="22" t="str">
        <v>Original note scope is retained. Jurisdiction names vary by filing; equivalent metric rows are combined only within the same source section.</v>
      </c>
      <c r="T34" s="22" t="str">
        <v>Original note scope is retained. Jurisdiction names vary by filing; equivalent metric rows are combined only within the same source section.</v>
      </c>
      <c r="U34" s="22" t="str">
        <v>Original note scope is retained. Jurisdiction names vary by filing; equivalent metric rows are combined only within the same source section.</v>
      </c>
      <c r="V34" s="22" t="str">
        <v>Original note scope is retained. Jurisdiction names vary by filing; equivalent metric rows are combined only within the same source section.</v>
      </c>
      <c r="W34" s="22" t="str">
        <v>Original note scope is retained. Jurisdiction names vary by filing; equivalent metric rows are combined only within the same source section.</v>
      </c>
      <c r="X34" s="22" t="str">
        <v>Original note scope is retained. Jurisdiction names vary by filing; equivalent metric rows are combined only within the same source section.</v>
      </c>
      <c r="Y34" s="22" t="str">
        <v>Original note scope is retained. Jurisdiction names vary by filing; equivalent metric rows are combined only within the same source section.</v>
      </c>
      <c r="Z34" s="22" t="str">
        <v>Original note scope is retained. Jurisdiction names vary by filing; equivalent metric rows are combined only within the same source section.</v>
      </c>
      <c r="AA34" s="22" t="str">
        <v>Original note scope is retained. Jurisdiction names vary by filing; equivalent metric rows are combined only within the same source section.</v>
      </c>
    </row>
    <row r="35" ht="22" customHeight="1">
      <c r="A35" s="49" t="str">
        <v>Income (loss) before taxes</v>
      </c>
      <c r="B35" s="3"/>
      <c r="C35" s="51"/>
      <c r="D35" s="51"/>
      <c r="E35" s="51"/>
      <c r="F35" s="51"/>
      <c r="G35" s="51"/>
      <c r="H35" s="51"/>
      <c r="I35" s="51"/>
      <c r="J35" s="51"/>
      <c r="K35" s="51"/>
      <c r="L35" s="51"/>
      <c r="M35" s="51"/>
      <c r="N35" s="51" t="n">
        <v>-1158</v>
      </c>
      <c r="O35" s="51" t="n">
        <v>-816</v>
      </c>
      <c r="P35" s="51" t="n">
        <v>-52</v>
      </c>
      <c r="Q35" s="51"/>
      <c r="R35" s="51" t="n">
        <v>-719</v>
      </c>
      <c r="S35" s="51" t="n">
        <v>-2004</v>
      </c>
      <c r="T35" s="51" t="n">
        <v>-9086</v>
      </c>
      <c r="U35" s="51"/>
      <c r="V35" s="51" t="n">
        <v>-586</v>
      </c>
      <c r="W35" s="51" t="n">
        <v>-2769</v>
      </c>
      <c r="X35" s="51" t="n">
        <v>4574</v>
      </c>
      <c r="Y35" s="51"/>
      <c r="Z35" s="51" t="n">
        <v>-3946</v>
      </c>
      <c r="AA35" s="51" t="n">
        <v>-10819</v>
      </c>
    </row>
    <row r="36" ht="22" customHeight="1">
      <c r="A36" s="49" t="str">
        <v>Provision for (benefit from) taxes</v>
      </c>
      <c r="B36" s="3"/>
      <c r="C36" s="51"/>
      <c r="D36" s="51"/>
      <c r="E36" s="51"/>
      <c r="F36" s="51"/>
      <c r="G36" s="51"/>
      <c r="H36" s="51"/>
      <c r="I36" s="51"/>
      <c r="J36" s="51"/>
      <c r="K36" s="51"/>
      <c r="L36" s="51"/>
      <c r="M36" s="51"/>
      <c r="N36" s="51" t="n">
        <v>1610</v>
      </c>
      <c r="O36" s="51" t="n">
        <v>-2289</v>
      </c>
      <c r="P36" s="51" t="n">
        <v>-362</v>
      </c>
      <c r="Q36" s="51"/>
      <c r="R36" s="51" t="n">
        <v>-282</v>
      </c>
      <c r="S36" s="51" t="n">
        <v>-350</v>
      </c>
      <c r="T36" s="51" t="n">
        <v>7903</v>
      </c>
      <c r="U36" s="51"/>
      <c r="V36" s="51" t="n">
        <v>301</v>
      </c>
      <c r="W36" s="51" t="n">
        <v>255</v>
      </c>
      <c r="X36" s="51" t="n">
        <v>304</v>
      </c>
      <c r="Y36" s="51"/>
      <c r="Z36" s="51" t="n">
        <v>335</v>
      </c>
      <c r="AA36" s="51" t="n">
        <v>29</v>
      </c>
    </row>
    <row r="37" ht="20" customHeight="1">
      <c r="A37" s="40" t="str">
        <v>Effective tax rate</v>
      </c>
      <c r="B37" s="3"/>
      <c r="C37" s="44"/>
      <c r="D37" s="44"/>
      <c r="E37" s="44"/>
      <c r="F37" s="44"/>
      <c r="G37" s="44"/>
      <c r="H37" s="44"/>
      <c r="I37" s="44"/>
      <c r="J37" s="44"/>
      <c r="K37" s="44"/>
      <c r="L37" s="44"/>
      <c r="M37" s="44"/>
      <c r="N37" s="44" t="n">
        <v>-1.39</v>
      </c>
      <c r="O37" s="44" t="n">
        <v>2.805</v>
      </c>
      <c r="P37" s="44" t="n">
        <v>6.962000000000001</v>
      </c>
      <c r="Q37" s="44"/>
      <c r="R37" s="44" t="n">
        <v>0.392</v>
      </c>
      <c r="S37" s="44" t="n">
        <v>0.175</v>
      </c>
      <c r="T37" s="44" t="n">
        <v>-0.87</v>
      </c>
      <c r="U37" s="44"/>
      <c r="V37" s="44" t="n">
        <v>-0.514</v>
      </c>
      <c r="W37" s="44" t="n">
        <v>-0.092</v>
      </c>
      <c r="X37" s="44" t="n">
        <v>0.066</v>
      </c>
      <c r="Y37" s="44"/>
      <c r="Z37" s="44" t="n">
        <v>-0.085</v>
      </c>
      <c r="AA37" s="44" t="n">
        <v>-0.003</v>
      </c>
    </row>
    <row r="38" ht="8"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22" customHeight="1">
      <c r="A39" s="21" t="str">
        <v>Effective tax-rate reconciliation</v>
      </c>
      <c r="B39" s="21" t="str">
        <v>Effective tax-rate reconciliation</v>
      </c>
      <c r="C39" s="21" t="str">
        <v>Effective tax-rate reconciliation</v>
      </c>
      <c r="D39" s="21" t="str">
        <v>Effective tax-rate reconciliation</v>
      </c>
      <c r="E39" s="21" t="str">
        <v>Effective tax-rate reconciliation</v>
      </c>
      <c r="F39" s="21" t="str">
        <v>Effective tax-rate reconciliation</v>
      </c>
      <c r="G39" s="21" t="str">
        <v>Effective tax-rate reconciliation</v>
      </c>
      <c r="H39" s="21" t="str">
        <v>Effective tax-rate reconciliation</v>
      </c>
      <c r="I39" s="21" t="str">
        <v>Effective tax-rate reconciliation</v>
      </c>
      <c r="J39" s="21" t="str">
        <v>Effective tax-rate reconciliation</v>
      </c>
      <c r="K39" s="21" t="str">
        <v>Effective tax-rate reconciliation</v>
      </c>
      <c r="L39" s="21" t="str">
        <v>Effective tax-rate reconciliation</v>
      </c>
      <c r="M39" s="21" t="str">
        <v>Effective tax-rate reconciliation</v>
      </c>
      <c r="N39" s="21" t="str">
        <v>Effective tax-rate reconciliation</v>
      </c>
      <c r="O39" s="21" t="str">
        <v>Effective tax-rate reconciliation</v>
      </c>
      <c r="P39" s="21" t="str">
        <v>Effective tax-rate reconciliation</v>
      </c>
      <c r="Q39" s="21" t="str">
        <v>Effective tax-rate reconciliation</v>
      </c>
      <c r="R39" s="21" t="str">
        <v>Effective tax-rate reconciliation</v>
      </c>
      <c r="S39" s="21" t="str">
        <v>Effective tax-rate reconciliation</v>
      </c>
      <c r="T39" s="21" t="str">
        <v>Effective tax-rate reconciliation</v>
      </c>
      <c r="U39" s="21" t="str">
        <v>Effective tax-rate reconciliation</v>
      </c>
      <c r="V39" s="21" t="str">
        <v>Effective tax-rate reconciliation</v>
      </c>
      <c r="W39" s="21" t="str">
        <v>Effective tax-rate reconciliation</v>
      </c>
      <c r="X39" s="21" t="str">
        <v>Effective tax-rate reconciliation</v>
      </c>
      <c r="Y39" s="21" t="str">
        <v>Effective tax-rate reconciliation</v>
      </c>
      <c r="Z39" s="21" t="str">
        <v>Effective tax-rate reconciliation</v>
      </c>
      <c r="AA39" s="21" t="str">
        <v>Effective tax-rate reconciliation</v>
      </c>
    </row>
    <row r="40" ht="36" customHeight="1">
      <c r="A40" s="40" t="str">
        <v>Expected provision (benefit) at statutory federal income tax rate</v>
      </c>
      <c r="B40" s="3"/>
      <c r="C40" s="44"/>
      <c r="D40" s="44"/>
      <c r="E40" s="44"/>
      <c r="F40" s="44"/>
      <c r="G40" s="44"/>
      <c r="H40" s="44"/>
      <c r="I40" s="44"/>
      <c r="J40" s="44"/>
      <c r="K40" s="44" t="n">
        <v>-0.21</v>
      </c>
      <c r="L40" s="44"/>
      <c r="M40" s="44"/>
      <c r="N40" s="44"/>
      <c r="O40" s="44"/>
      <c r="P40" s="44"/>
      <c r="Q40" s="44"/>
      <c r="R40" s="44"/>
      <c r="S40" s="44"/>
      <c r="T40" s="44"/>
      <c r="U40" s="44"/>
      <c r="V40" s="44"/>
      <c r="W40" s="44"/>
      <c r="X40" s="44"/>
      <c r="Y40" s="44"/>
      <c r="Z40" s="44"/>
      <c r="AA40" s="44"/>
    </row>
    <row r="41" ht="20" customHeight="1">
      <c r="A41" s="40" t="str">
        <v>Federal valuation allowance</v>
      </c>
      <c r="B41" s="3"/>
      <c r="C41" s="44"/>
      <c r="D41" s="44"/>
      <c r="E41" s="44"/>
      <c r="F41" s="44"/>
      <c r="G41" s="44"/>
      <c r="H41" s="44"/>
      <c r="I41" s="44"/>
      <c r="J41" s="44"/>
      <c r="K41" s="44" t="n">
        <v>0.932</v>
      </c>
      <c r="L41" s="44"/>
      <c r="M41" s="44"/>
      <c r="N41" s="44"/>
      <c r="O41" s="44"/>
      <c r="P41" s="44"/>
      <c r="Q41" s="44"/>
      <c r="R41" s="44"/>
      <c r="S41" s="44"/>
      <c r="T41" s="44"/>
      <c r="U41" s="44"/>
      <c r="V41" s="44"/>
      <c r="W41" s="44"/>
      <c r="X41" s="44"/>
      <c r="Y41" s="44"/>
      <c r="Z41" s="44"/>
      <c r="AA41" s="44"/>
    </row>
    <row r="42" ht="20" customHeight="1">
      <c r="A42" s="40" t="str">
        <v>Goodwill impairment</v>
      </c>
      <c r="B42" s="3"/>
      <c r="C42" s="44"/>
      <c r="D42" s="44"/>
      <c r="E42" s="44"/>
      <c r="F42" s="44"/>
      <c r="G42" s="44"/>
      <c r="H42" s="44"/>
      <c r="I42" s="44"/>
      <c r="J42" s="44"/>
      <c r="K42" s="44" t="n">
        <v>0.021</v>
      </c>
      <c r="L42" s="44"/>
      <c r="M42" s="44"/>
      <c r="N42" s="44"/>
      <c r="O42" s="44"/>
      <c r="P42" s="44"/>
      <c r="Q42" s="44"/>
      <c r="R42" s="44"/>
      <c r="S42" s="44"/>
      <c r="T42" s="44"/>
      <c r="U42" s="44"/>
      <c r="V42" s="44"/>
      <c r="W42" s="44"/>
      <c r="X42" s="44"/>
      <c r="Y42" s="44"/>
      <c r="Z42" s="44"/>
      <c r="AA42" s="44"/>
    </row>
    <row r="43" ht="20" customHeight="1">
      <c r="A43" s="40" t="str">
        <v>Share-based compensation</v>
      </c>
      <c r="B43" s="3"/>
      <c r="C43" s="44"/>
      <c r="D43" s="44"/>
      <c r="E43" s="44"/>
      <c r="F43" s="44"/>
      <c r="G43" s="44"/>
      <c r="H43" s="44"/>
      <c r="I43" s="44"/>
      <c r="J43" s="44" t="n">
        <v>0.34299999999999997</v>
      </c>
      <c r="K43" s="44" t="n">
        <v>0.042</v>
      </c>
      <c r="L43" s="44"/>
      <c r="M43" s="44"/>
      <c r="N43" s="44"/>
      <c r="O43" s="44"/>
      <c r="P43" s="44"/>
      <c r="Q43" s="44"/>
      <c r="R43" s="44"/>
      <c r="S43" s="44"/>
      <c r="T43" s="44"/>
      <c r="U43" s="44"/>
      <c r="V43" s="44"/>
      <c r="W43" s="44"/>
      <c r="X43" s="44"/>
      <c r="Y43" s="44"/>
      <c r="Z43" s="44"/>
      <c r="AA43" s="44"/>
    </row>
    <row r="44" ht="20" customHeight="1">
      <c r="A44" s="40" t="str">
        <v>Unrecognized tax benefits and settlements</v>
      </c>
      <c r="B44" s="3"/>
      <c r="C44" s="44"/>
      <c r="D44" s="44"/>
      <c r="E44" s="44"/>
      <c r="F44" s="44"/>
      <c r="G44" s="44"/>
      <c r="H44" s="44"/>
      <c r="I44" s="44" t="n">
        <v>0.045</v>
      </c>
      <c r="J44" s="44" t="n">
        <v>0.163</v>
      </c>
      <c r="K44" s="44" t="n">
        <v>0.013000000000000001</v>
      </c>
      <c r="L44" s="44"/>
      <c r="M44" s="44"/>
      <c r="N44" s="44"/>
      <c r="O44" s="44"/>
      <c r="P44" s="44"/>
      <c r="Q44" s="44"/>
      <c r="R44" s="44"/>
      <c r="S44" s="44"/>
      <c r="T44" s="44"/>
      <c r="U44" s="44"/>
      <c r="V44" s="44"/>
      <c r="W44" s="44"/>
      <c r="X44" s="44"/>
      <c r="Y44" s="44"/>
      <c r="Z44" s="44"/>
      <c r="AA44" s="44"/>
    </row>
    <row r="45" ht="20" customHeight="1">
      <c r="A45" s="40" t="str">
        <v>Non-US income taxed at different rates</v>
      </c>
      <c r="B45" s="3"/>
      <c r="C45" s="44"/>
      <c r="D45" s="44"/>
      <c r="E45" s="44"/>
      <c r="F45" s="44"/>
      <c r="G45" s="44"/>
      <c r="H45" s="44" t="n">
        <v>-0.059000000000000004</v>
      </c>
      <c r="I45" s="44" t="n">
        <v>-0.134</v>
      </c>
      <c r="J45" s="44" t="n">
        <v>-0.606</v>
      </c>
      <c r="K45" s="44" t="n">
        <v>-0.053</v>
      </c>
      <c r="L45" s="44"/>
      <c r="M45" s="44"/>
      <c r="N45" s="44"/>
      <c r="O45" s="44"/>
      <c r="P45" s="44"/>
      <c r="Q45" s="44"/>
      <c r="R45" s="44"/>
      <c r="S45" s="44"/>
      <c r="T45" s="44"/>
      <c r="U45" s="44"/>
      <c r="V45" s="44"/>
      <c r="W45" s="44"/>
      <c r="X45" s="44"/>
      <c r="Y45" s="44"/>
      <c r="Z45" s="44"/>
      <c r="AA45" s="44"/>
    </row>
    <row r="46" ht="20" customHeight="1">
      <c r="A46" s="40" t="str">
        <v>Non-U.S. income taxed at different rates</v>
      </c>
      <c r="B46" s="3"/>
      <c r="C46" s="44" t="n">
        <v>-0.11699999999999999</v>
      </c>
      <c r="D46" s="44" t="n">
        <v>-0.076</v>
      </c>
      <c r="E46" s="44" t="n">
        <v>-0.036000000000000004</v>
      </c>
      <c r="F46" s="44" t="n">
        <v>-0.037000000000000005</v>
      </c>
      <c r="G46" s="44" t="n">
        <v>-0.037000000000000005</v>
      </c>
      <c r="H46" s="44"/>
      <c r="I46" s="44"/>
      <c r="J46" s="44"/>
      <c r="K46" s="44"/>
      <c r="L46" s="44"/>
      <c r="M46" s="44"/>
      <c r="N46" s="44"/>
      <c r="O46" s="44"/>
      <c r="P46" s="44"/>
      <c r="Q46" s="44"/>
      <c r="R46" s="44"/>
      <c r="S46" s="44"/>
      <c r="T46" s="44"/>
      <c r="U46" s="44"/>
      <c r="V46" s="44"/>
      <c r="W46" s="44"/>
      <c r="X46" s="44"/>
      <c r="Y46" s="44"/>
      <c r="Z46" s="44"/>
      <c r="AA46" s="44"/>
    </row>
    <row r="47" ht="24" customHeight="1">
      <c r="A47" s="72" t="str">
        <v>Effective tax rate2</v>
      </c>
      <c r="B47" s="35"/>
      <c r="C47" s="74"/>
      <c r="D47" s="74"/>
      <c r="E47" s="74"/>
      <c r="F47" s="74"/>
      <c r="G47" s="74" t="n">
        <v>0.16699999999999998</v>
      </c>
      <c r="H47" s="74"/>
      <c r="I47" s="74"/>
      <c r="J47" s="74"/>
      <c r="K47" s="74"/>
      <c r="L47" s="74"/>
      <c r="M47" s="74"/>
      <c r="N47" s="74"/>
      <c r="O47" s="74"/>
      <c r="P47" s="74"/>
      <c r="Q47" s="74"/>
      <c r="R47" s="74"/>
      <c r="S47" s="74"/>
      <c r="T47" s="74"/>
      <c r="U47" s="74"/>
      <c r="V47" s="74"/>
      <c r="W47" s="74"/>
      <c r="X47" s="74"/>
      <c r="Y47" s="74"/>
      <c r="Z47" s="74"/>
      <c r="AA47" s="74"/>
    </row>
    <row r="48" ht="20" customHeight="1">
      <c r="A48" s="40" t="str">
        <v>Statutory federal income tax rate</v>
      </c>
      <c r="B48" s="3"/>
      <c r="C48" s="44" t="n">
        <v>0.35</v>
      </c>
      <c r="D48" s="44" t="n">
        <v>0.35</v>
      </c>
      <c r="E48" s="44" t="n">
        <v>0.21</v>
      </c>
      <c r="F48" s="44" t="n">
        <v>0.21</v>
      </c>
      <c r="G48" s="44" t="n">
        <v>0.21</v>
      </c>
      <c r="H48" s="44" t="n">
        <v>0.21</v>
      </c>
      <c r="I48" s="44" t="n">
        <v>0.21</v>
      </c>
      <c r="J48" s="44" t="n">
        <v>0.21</v>
      </c>
      <c r="K48" s="44"/>
      <c r="L48" s="44"/>
      <c r="M48" s="44"/>
      <c r="N48" s="44"/>
      <c r="O48" s="44"/>
      <c r="P48" s="44"/>
      <c r="Q48" s="44"/>
      <c r="R48" s="44"/>
      <c r="S48" s="44"/>
      <c r="T48" s="44"/>
      <c r="U48" s="44"/>
      <c r="V48" s="44"/>
      <c r="W48" s="44"/>
      <c r="X48" s="44"/>
      <c r="Y48" s="44"/>
      <c r="Z48" s="44"/>
      <c r="AA48" s="44"/>
    </row>
    <row r="49" ht="20" customHeight="1">
      <c r="A49" s="40" t="str">
        <v>Research and development tax credits</v>
      </c>
      <c r="B49" s="3"/>
      <c r="C49" s="44" t="n">
        <v>-0.023</v>
      </c>
      <c r="D49" s="44" t="n">
        <v>-0.023</v>
      </c>
      <c r="E49" s="44" t="n">
        <v>-0.027000000000000003</v>
      </c>
      <c r="F49" s="44" t="n">
        <v>-0.023</v>
      </c>
      <c r="G49" s="44" t="n">
        <v>-0.021</v>
      </c>
      <c r="H49" s="44" t="n">
        <v>-0.024</v>
      </c>
      <c r="I49" s="44" t="n">
        <v>-0.114</v>
      </c>
      <c r="J49" s="44" t="n">
        <v>-0.99</v>
      </c>
      <c r="K49" s="44" t="n">
        <v>-0.055999999999999994</v>
      </c>
      <c r="L49" s="44"/>
      <c r="M49" s="44"/>
      <c r="N49" s="44"/>
      <c r="O49" s="44"/>
      <c r="P49" s="44"/>
      <c r="Q49" s="44"/>
      <c r="R49" s="44"/>
      <c r="S49" s="44"/>
      <c r="T49" s="44"/>
      <c r="U49" s="44"/>
      <c r="V49" s="44"/>
      <c r="W49" s="44"/>
      <c r="X49" s="44"/>
      <c r="Y49" s="44"/>
      <c r="Z49" s="44"/>
      <c r="AA49" s="44"/>
    </row>
    <row r="50" ht="20" customHeight="1">
      <c r="A50" s="40" t="str">
        <v>Domestic manufacturing deduction benefit</v>
      </c>
      <c r="B50" s="3"/>
      <c r="C50" s="44" t="n">
        <v>-0.013999999999999999</v>
      </c>
      <c r="D50" s="44" t="n">
        <v>-0.013000000000000001</v>
      </c>
      <c r="E50" s="44" t="n">
        <v>0</v>
      </c>
      <c r="F50" s="44" t="n">
        <v>0</v>
      </c>
      <c r="G50" s="44"/>
      <c r="H50" s="44"/>
      <c r="I50" s="44"/>
      <c r="J50" s="44"/>
      <c r="K50" s="44"/>
      <c r="L50" s="44"/>
      <c r="M50" s="44"/>
      <c r="N50" s="44"/>
      <c r="O50" s="44"/>
      <c r="P50" s="44"/>
      <c r="Q50" s="44"/>
      <c r="R50" s="44"/>
      <c r="S50" s="44"/>
      <c r="T50" s="44"/>
      <c r="U50" s="44"/>
      <c r="V50" s="44"/>
      <c r="W50" s="44"/>
      <c r="X50" s="44"/>
      <c r="Y50" s="44"/>
      <c r="Z50" s="44"/>
      <c r="AA50" s="44"/>
    </row>
    <row r="51" ht="36" customHeight="1">
      <c r="A51" s="40" t="str">
        <v>Settlements, effective settlements, and related remeasurements</v>
      </c>
      <c r="B51" s="3"/>
      <c r="C51" s="44" t="n">
        <v>-0.001</v>
      </c>
      <c r="D51" s="44" t="n">
        <v>0</v>
      </c>
      <c r="E51" s="44"/>
      <c r="F51" s="44"/>
      <c r="G51" s="44"/>
      <c r="H51" s="44"/>
      <c r="I51" s="44"/>
      <c r="J51" s="44"/>
      <c r="K51" s="44"/>
      <c r="L51" s="44"/>
      <c r="M51" s="44"/>
      <c r="N51" s="44"/>
      <c r="O51" s="44"/>
      <c r="P51" s="44"/>
      <c r="Q51" s="44"/>
      <c r="R51" s="44"/>
      <c r="S51" s="44"/>
      <c r="T51" s="44"/>
      <c r="U51" s="44"/>
      <c r="V51" s="44"/>
      <c r="W51" s="44"/>
      <c r="X51" s="44"/>
      <c r="Y51" s="44"/>
      <c r="Z51" s="44"/>
      <c r="AA51" s="44"/>
    </row>
    <row r="52" ht="20" customHeight="1">
      <c r="A52" s="40" t="str">
        <v>Foreign derived intangible income benefit</v>
      </c>
      <c r="B52" s="3"/>
      <c r="C52" s="44"/>
      <c r="D52" s="44"/>
      <c r="E52" s="44" t="n">
        <v>-0.037000000000000005</v>
      </c>
      <c r="F52" s="44" t="n">
        <v>-0.032</v>
      </c>
      <c r="G52" s="44" t="n">
        <v>-0.019</v>
      </c>
      <c r="H52" s="44" t="n">
        <v>-0.022000000000000002</v>
      </c>
      <c r="I52" s="44" t="n">
        <v>-0.09699999999999999</v>
      </c>
      <c r="J52" s="44" t="n">
        <v>-0.251</v>
      </c>
      <c r="K52" s="44" t="n">
        <v>0</v>
      </c>
      <c r="L52" s="44"/>
      <c r="M52" s="44"/>
      <c r="N52" s="44"/>
      <c r="O52" s="44"/>
      <c r="P52" s="44"/>
      <c r="Q52" s="44"/>
      <c r="R52" s="44"/>
      <c r="S52" s="44"/>
      <c r="T52" s="44"/>
      <c r="U52" s="44"/>
      <c r="V52" s="44"/>
      <c r="W52" s="44"/>
      <c r="X52" s="44"/>
      <c r="Y52" s="44"/>
      <c r="Z52" s="44"/>
      <c r="AA52" s="44"/>
    </row>
    <row r="53" ht="20" customHeight="1">
      <c r="A53" s="40" t="str">
        <v>Restructuring of certain non-US subsidiaries</v>
      </c>
      <c r="B53" s="3"/>
      <c r="C53" s="44"/>
      <c r="D53" s="44"/>
      <c r="E53" s="44"/>
      <c r="F53" s="44"/>
      <c r="G53" s="44"/>
      <c r="H53" s="44"/>
      <c r="I53" s="44" t="n">
        <v>0</v>
      </c>
      <c r="J53" s="44" t="n">
        <v>-0.158</v>
      </c>
      <c r="K53" s="44" t="n">
        <v>0</v>
      </c>
      <c r="L53" s="44"/>
      <c r="M53" s="44"/>
      <c r="N53" s="44"/>
      <c r="O53" s="44"/>
      <c r="P53" s="44"/>
      <c r="Q53" s="44"/>
      <c r="R53" s="44"/>
      <c r="S53" s="44"/>
      <c r="T53" s="44"/>
      <c r="U53" s="44"/>
      <c r="V53" s="44"/>
      <c r="W53" s="44"/>
      <c r="X53" s="44"/>
      <c r="Y53" s="44"/>
      <c r="Z53" s="44"/>
      <c r="AA53" s="44"/>
    </row>
    <row r="54" ht="20" customHeight="1">
      <c r="A54" s="40" t="str">
        <v>Change in permanent reinvestment assertion</v>
      </c>
      <c r="B54" s="3"/>
      <c r="C54" s="44"/>
      <c r="D54" s="44"/>
      <c r="E54" s="44"/>
      <c r="F54" s="44"/>
      <c r="G54" s="44" t="n">
        <v>0.016</v>
      </c>
      <c r="H54" s="44" t="n">
        <v>0</v>
      </c>
      <c r="I54" s="44" t="n">
        <v>0</v>
      </c>
      <c r="J54" s="44"/>
      <c r="K54" s="44"/>
      <c r="L54" s="44"/>
      <c r="M54" s="44"/>
      <c r="N54" s="44"/>
      <c r="O54" s="44"/>
      <c r="P54" s="44"/>
      <c r="Q54" s="44"/>
      <c r="R54" s="44"/>
      <c r="S54" s="44"/>
      <c r="T54" s="44"/>
      <c r="U54" s="44"/>
      <c r="V54" s="44"/>
      <c r="W54" s="44"/>
      <c r="X54" s="44"/>
      <c r="Y54" s="44"/>
      <c r="Z54" s="44"/>
      <c r="AA54" s="44"/>
    </row>
    <row r="55" ht="20" customHeight="1">
      <c r="A55" s="40" t="str">
        <v>Tax Reform</v>
      </c>
      <c r="B55" s="3"/>
      <c r="C55" s="44"/>
      <c r="D55" s="44" t="n">
        <v>0.268</v>
      </c>
      <c r="E55" s="44" t="n">
        <v>-0.013000000000000001</v>
      </c>
      <c r="F55" s="44" t="n">
        <v>0</v>
      </c>
      <c r="G55" s="44" t="n">
        <v>0</v>
      </c>
      <c r="H55" s="44"/>
      <c r="I55" s="44"/>
      <c r="J55" s="44"/>
      <c r="K55" s="44"/>
      <c r="L55" s="44"/>
      <c r="M55" s="44"/>
      <c r="N55" s="44"/>
      <c r="O55" s="44"/>
      <c r="P55" s="44"/>
      <c r="Q55" s="44"/>
      <c r="R55" s="44"/>
      <c r="S55" s="44"/>
      <c r="T55" s="44"/>
      <c r="U55" s="44"/>
      <c r="V55" s="44"/>
      <c r="W55" s="44"/>
      <c r="X55" s="44"/>
      <c r="Y55" s="44"/>
      <c r="Z55" s="44"/>
      <c r="AA55" s="44"/>
    </row>
    <row r="56" ht="20" customHeight="1">
      <c r="A56" s="40" t="str">
        <v>ISecG divestiture</v>
      </c>
      <c r="B56" s="3"/>
      <c r="C56" s="44"/>
      <c r="D56" s="44" t="n">
        <v>0.033</v>
      </c>
      <c r="E56" s="44" t="n">
        <v>0</v>
      </c>
      <c r="F56" s="44" t="n">
        <v>0</v>
      </c>
      <c r="G56" s="44"/>
      <c r="H56" s="44"/>
      <c r="I56" s="44"/>
      <c r="J56" s="44"/>
      <c r="K56" s="44"/>
      <c r="L56" s="44"/>
      <c r="M56" s="44"/>
      <c r="N56" s="44"/>
      <c r="O56" s="44"/>
      <c r="P56" s="44"/>
      <c r="Q56" s="44"/>
      <c r="R56" s="44"/>
      <c r="S56" s="44"/>
      <c r="T56" s="44"/>
      <c r="U56" s="44"/>
      <c r="V56" s="44"/>
      <c r="W56" s="44"/>
      <c r="X56" s="44"/>
      <c r="Y56" s="44"/>
      <c r="Z56" s="44"/>
      <c r="AA56" s="44"/>
    </row>
    <row r="57" ht="20" customHeight="1">
      <c r="A57" s="40" t="str">
        <v>Restructuring of certain non-U.S. subsidiaries</v>
      </c>
      <c r="B57" s="3"/>
      <c r="C57" s="44"/>
      <c r="D57" s="44"/>
      <c r="E57" s="44"/>
      <c r="F57" s="44"/>
      <c r="G57" s="44"/>
      <c r="H57" s="44" t="n">
        <v>-0.034</v>
      </c>
      <c r="I57" s="44"/>
      <c r="J57" s="44"/>
      <c r="K57" s="44"/>
      <c r="L57" s="44"/>
      <c r="M57" s="44"/>
      <c r="N57" s="44"/>
      <c r="O57" s="44"/>
      <c r="P57" s="44"/>
      <c r="Q57" s="44"/>
      <c r="R57" s="44"/>
      <c r="S57" s="44"/>
      <c r="T57" s="44"/>
      <c r="U57" s="44"/>
      <c r="V57" s="44"/>
      <c r="W57" s="44"/>
      <c r="X57" s="44"/>
      <c r="Y57" s="44"/>
      <c r="Z57" s="44"/>
      <c r="AA57" s="44"/>
    </row>
    <row r="58" ht="20" customHeight="1">
      <c r="A58" s="40" t="str">
        <v>Non-deductibility of European Commission fine</v>
      </c>
      <c r="B58" s="3"/>
      <c r="C58" s="44"/>
      <c r="D58" s="44"/>
      <c r="E58" s="44"/>
      <c r="F58" s="44"/>
      <c r="G58" s="44"/>
      <c r="H58" s="44"/>
      <c r="I58" s="44"/>
      <c r="J58" s="44" t="n">
        <v>0.111</v>
      </c>
      <c r="K58" s="44" t="n">
        <v>0</v>
      </c>
      <c r="L58" s="44"/>
      <c r="M58" s="44"/>
      <c r="N58" s="44"/>
      <c r="O58" s="44"/>
      <c r="P58" s="44"/>
      <c r="Q58" s="44"/>
      <c r="R58" s="44"/>
      <c r="S58" s="44"/>
      <c r="T58" s="44"/>
      <c r="U58" s="44"/>
      <c r="V58" s="44"/>
      <c r="W58" s="44"/>
      <c r="X58" s="44"/>
      <c r="Y58" s="44"/>
      <c r="Z58" s="44"/>
      <c r="AA58" s="44"/>
    </row>
    <row r="59" ht="20" customHeight="1">
      <c r="A59" s="40" t="str">
        <v>Other</v>
      </c>
      <c r="B59" s="3"/>
      <c r="C59" s="44" t="n">
        <v>0.008</v>
      </c>
      <c r="D59" s="44" t="n">
        <v>-0.011000000000000001</v>
      </c>
      <c r="E59" s="44" t="n">
        <v>-0.001</v>
      </c>
      <c r="F59" s="44" t="n">
        <v>0.006999999999999999</v>
      </c>
      <c r="G59" s="44" t="n">
        <v>0.018000000000000002</v>
      </c>
      <c r="H59" s="44" t="n">
        <v>0.013999999999999999</v>
      </c>
      <c r="I59" s="44" t="n">
        <v>0.057999999999999996</v>
      </c>
      <c r="J59" s="44" t="n">
        <v>-0.02</v>
      </c>
      <c r="K59" s="44" t="n">
        <v>0.027000000000000003</v>
      </c>
      <c r="L59" s="44"/>
      <c r="M59" s="44"/>
      <c r="N59" s="44"/>
      <c r="O59" s="44"/>
      <c r="P59" s="44"/>
      <c r="Q59" s="44"/>
      <c r="R59" s="44"/>
      <c r="S59" s="44"/>
      <c r="T59" s="44"/>
      <c r="U59" s="44"/>
      <c r="V59" s="44"/>
      <c r="W59" s="44"/>
      <c r="X59" s="44"/>
      <c r="Y59" s="44"/>
      <c r="Z59" s="44"/>
      <c r="AA59" s="44"/>
    </row>
    <row r="60" ht="24" customHeight="1">
      <c r="A60" s="72" t="str">
        <v>Effective tax rate</v>
      </c>
      <c r="B60" s="35"/>
      <c r="C60" s="74" t="n">
        <v>0.203</v>
      </c>
      <c r="D60" s="74" t="n">
        <v>0.528</v>
      </c>
      <c r="E60" s="74" t="n">
        <v>0.09699999999999999</v>
      </c>
      <c r="F60" s="74" t="n">
        <v>0.125</v>
      </c>
      <c r="G60" s="74" t="n">
        <v>0.16699999999999998</v>
      </c>
      <c r="H60" s="74" t="n">
        <v>0.085</v>
      </c>
      <c r="I60" s="74" t="n">
        <v>-0.032</v>
      </c>
      <c r="J60" s="74" t="n">
        <v>-1.198</v>
      </c>
      <c r="K60" s="74" t="n">
        <v>0.716</v>
      </c>
      <c r="L60" s="74"/>
      <c r="M60" s="74"/>
      <c r="N60" s="74"/>
      <c r="O60" s="74"/>
      <c r="P60" s="74"/>
      <c r="Q60" s="74"/>
      <c r="R60" s="74"/>
      <c r="S60" s="74"/>
      <c r="T60" s="74"/>
      <c r="U60" s="74"/>
      <c r="V60" s="74"/>
      <c r="W60" s="74"/>
      <c r="X60" s="74"/>
      <c r="Y60" s="74"/>
      <c r="Z60" s="74"/>
      <c r="AA60" s="74"/>
    </row>
    <row r="61" ht="8"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22" customHeight="1">
      <c r="A62" s="21" t="str">
        <v>2025 tax reconciliation: amounts and percentage points</v>
      </c>
      <c r="B62" s="21" t="str">
        <v>2025 tax reconciliation: amounts and percentage points</v>
      </c>
      <c r="C62" s="21" t="str">
        <v>2025 tax reconciliation: amounts and percentage points</v>
      </c>
      <c r="D62" s="21" t="str">
        <v>2025 tax reconciliation: amounts and percentage points</v>
      </c>
      <c r="E62" s="21" t="str">
        <v>2025 tax reconciliation: amounts and percentage points</v>
      </c>
      <c r="F62" s="21" t="str">
        <v>2025 tax reconciliation: amounts and percentage points</v>
      </c>
      <c r="G62" s="21" t="str">
        <v>2025 tax reconciliation: amounts and percentage points</v>
      </c>
      <c r="H62" s="21" t="str">
        <v>2025 tax reconciliation: amounts and percentage points</v>
      </c>
      <c r="I62" s="21" t="str">
        <v>2025 tax reconciliation: amounts and percentage points</v>
      </c>
      <c r="J62" s="21" t="str">
        <v>2025 tax reconciliation: amounts and percentage points</v>
      </c>
      <c r="K62" s="21" t="str">
        <v>2025 tax reconciliation: amounts and percentage points</v>
      </c>
      <c r="L62" s="21" t="str">
        <v>2025 tax reconciliation: amounts and percentage points</v>
      </c>
      <c r="M62" s="21" t="str">
        <v>2025 tax reconciliation: amounts and percentage points</v>
      </c>
      <c r="N62" s="21" t="str">
        <v>2025 tax reconciliation: amounts and percentage points</v>
      </c>
      <c r="O62" s="21" t="str">
        <v>2025 tax reconciliation: amounts and percentage points</v>
      </c>
      <c r="P62" s="21" t="str">
        <v>2025 tax reconciliation: amounts and percentage points</v>
      </c>
      <c r="Q62" s="21" t="str">
        <v>2025 tax reconciliation: amounts and percentage points</v>
      </c>
      <c r="R62" s="21" t="str">
        <v>2025 tax reconciliation: amounts and percentage points</v>
      </c>
      <c r="S62" s="21" t="str">
        <v>2025 tax reconciliation: amounts and percentage points</v>
      </c>
      <c r="T62" s="21" t="str">
        <v>2025 tax reconciliation: amounts and percentage points</v>
      </c>
      <c r="U62" s="21" t="str">
        <v>2025 tax reconciliation: amounts and percentage points</v>
      </c>
      <c r="V62" s="21" t="str">
        <v>2025 tax reconciliation: amounts and percentage points</v>
      </c>
      <c r="W62" s="21" t="str">
        <v>2025 tax reconciliation: amounts and percentage points</v>
      </c>
      <c r="X62" s="21" t="str">
        <v>2025 tax reconciliation: amounts and percentage points</v>
      </c>
      <c r="Y62" s="21" t="str">
        <v>2025 tax reconciliation: amounts and percentage points</v>
      </c>
      <c r="Z62" s="21" t="str">
        <v>2025 tax reconciliation: amounts and percentage points</v>
      </c>
      <c r="AA62" s="21" t="str">
        <v>2025 tax reconciliation: amounts and percentage points</v>
      </c>
    </row>
    <row r="63" ht="22" customHeight="1">
      <c r="A63" s="49" t="str">
        <v>U.S. federal statutory tax [amount]</v>
      </c>
      <c r="B63" s="3"/>
      <c r="C63" s="95"/>
      <c r="D63" s="95"/>
      <c r="E63" s="95"/>
      <c r="F63" s="95"/>
      <c r="G63" s="95"/>
      <c r="H63" s="95"/>
      <c r="I63" s="95"/>
      <c r="J63" s="95"/>
      <c r="K63" s="95"/>
      <c r="L63" s="95" t="n">
        <v>327</v>
      </c>
      <c r="M63" s="95"/>
      <c r="N63" s="95"/>
      <c r="O63" s="95"/>
      <c r="P63" s="95"/>
      <c r="Q63" s="95"/>
      <c r="R63" s="95"/>
      <c r="S63" s="95"/>
      <c r="T63" s="95"/>
      <c r="U63" s="95"/>
      <c r="V63" s="95"/>
      <c r="W63" s="95"/>
      <c r="X63" s="95"/>
      <c r="Y63" s="95"/>
      <c r="Z63" s="95"/>
      <c r="AA63" s="95"/>
    </row>
    <row r="64" ht="20" customHeight="1">
      <c r="A64" s="40" t="str">
        <v>U.S. federal statutory tax [percent]</v>
      </c>
      <c r="B64" s="3"/>
      <c r="C64" s="44"/>
      <c r="D64" s="44"/>
      <c r="E64" s="44"/>
      <c r="F64" s="44"/>
      <c r="G64" s="44"/>
      <c r="H64" s="44"/>
      <c r="I64" s="44"/>
      <c r="J64" s="44"/>
      <c r="K64" s="44"/>
      <c r="L64" s="44" t="n">
        <v>0.21</v>
      </c>
      <c r="M64" s="44"/>
      <c r="N64" s="44"/>
      <c r="O64" s="44"/>
      <c r="P64" s="44"/>
      <c r="Q64" s="44"/>
      <c r="R64" s="44"/>
      <c r="S64" s="44"/>
      <c r="T64" s="44"/>
      <c r="U64" s="44"/>
      <c r="V64" s="44"/>
      <c r="W64" s="44"/>
      <c r="X64" s="44"/>
      <c r="Y64" s="44"/>
      <c r="Z64" s="44"/>
      <c r="AA64" s="44"/>
    </row>
    <row r="65" ht="36" customHeight="1">
      <c r="A65" s="49" t="str">
        <v>State and local income tax, net of federal income tax effect [amount]</v>
      </c>
      <c r="B65" s="3"/>
      <c r="C65" s="95"/>
      <c r="D65" s="95"/>
      <c r="E65" s="95"/>
      <c r="F65" s="95"/>
      <c r="G65" s="95"/>
      <c r="H65" s="95"/>
      <c r="I65" s="95"/>
      <c r="J65" s="95"/>
      <c r="K65" s="95"/>
      <c r="L65" s="95" t="n">
        <v>-23</v>
      </c>
      <c r="M65" s="95"/>
      <c r="N65" s="95"/>
      <c r="O65" s="95"/>
      <c r="P65" s="95"/>
      <c r="Q65" s="95"/>
      <c r="R65" s="95"/>
      <c r="S65" s="95"/>
      <c r="T65" s="95"/>
      <c r="U65" s="95"/>
      <c r="V65" s="95"/>
      <c r="W65" s="95"/>
      <c r="X65" s="95"/>
      <c r="Y65" s="95"/>
      <c r="Z65" s="95"/>
      <c r="AA65" s="95"/>
    </row>
    <row r="66" ht="36" customHeight="1">
      <c r="A66" s="40" t="str">
        <v>State and local income tax, net of federal income tax effect [percent]</v>
      </c>
      <c r="B66" s="3"/>
      <c r="C66" s="44"/>
      <c r="D66" s="44"/>
      <c r="E66" s="44"/>
      <c r="F66" s="44"/>
      <c r="G66" s="44"/>
      <c r="H66" s="44"/>
      <c r="I66" s="44"/>
      <c r="J66" s="44"/>
      <c r="K66" s="44"/>
      <c r="L66" s="44" t="n">
        <v>-0.015</v>
      </c>
      <c r="M66" s="44"/>
      <c r="N66" s="44"/>
      <c r="O66" s="44"/>
      <c r="P66" s="44"/>
      <c r="Q66" s="44"/>
      <c r="R66" s="44"/>
      <c r="S66" s="44"/>
      <c r="T66" s="44"/>
      <c r="U66" s="44"/>
      <c r="V66" s="44"/>
      <c r="W66" s="44"/>
      <c r="X66" s="44"/>
      <c r="Y66" s="44"/>
      <c r="Z66" s="44"/>
      <c r="AA66" s="44"/>
    </row>
    <row r="67" ht="22" customHeight="1">
      <c r="A67" s="49" t="str">
        <v>Foreign tax effects — China: Withholding tax [amount]</v>
      </c>
      <c r="B67" s="3"/>
      <c r="C67" s="95"/>
      <c r="D67" s="95"/>
      <c r="E67" s="95"/>
      <c r="F67" s="95"/>
      <c r="G67" s="95"/>
      <c r="H67" s="95"/>
      <c r="I67" s="95"/>
      <c r="J67" s="95"/>
      <c r="K67" s="95"/>
      <c r="L67" s="95" t="n">
        <v>314</v>
      </c>
      <c r="M67" s="95"/>
      <c r="N67" s="95"/>
      <c r="O67" s="95"/>
      <c r="P67" s="95"/>
      <c r="Q67" s="95"/>
      <c r="R67" s="95"/>
      <c r="S67" s="95"/>
      <c r="T67" s="95"/>
      <c r="U67" s="95"/>
      <c r="V67" s="95"/>
      <c r="W67" s="95"/>
      <c r="X67" s="95"/>
      <c r="Y67" s="95"/>
      <c r="Z67" s="95"/>
      <c r="AA67" s="95"/>
    </row>
    <row r="68" ht="20" customHeight="1">
      <c r="A68" s="40" t="str">
        <v>Foreign tax effects — China: Withholding tax [percent]</v>
      </c>
      <c r="B68" s="3"/>
      <c r="C68" s="44"/>
      <c r="D68" s="44"/>
      <c r="E68" s="44"/>
      <c r="F68" s="44"/>
      <c r="G68" s="44"/>
      <c r="H68" s="44"/>
      <c r="I68" s="44"/>
      <c r="J68" s="44"/>
      <c r="K68" s="44"/>
      <c r="L68" s="44" t="n">
        <v>0.20199999999999999</v>
      </c>
      <c r="M68" s="44"/>
      <c r="N68" s="44"/>
      <c r="O68" s="44"/>
      <c r="P68" s="44"/>
      <c r="Q68" s="44"/>
      <c r="R68" s="44"/>
      <c r="S68" s="44"/>
      <c r="T68" s="44"/>
      <c r="U68" s="44"/>
      <c r="V68" s="44"/>
      <c r="W68" s="44"/>
      <c r="X68" s="44"/>
      <c r="Y68" s="44"/>
      <c r="Z68" s="44"/>
      <c r="AA68" s="44"/>
    </row>
    <row r="69" ht="22" customHeight="1">
      <c r="A69" s="49" t="str">
        <v>Foreign tax effects — China: Other adjustments [amount]</v>
      </c>
      <c r="B69" s="3"/>
      <c r="C69" s="95"/>
      <c r="D69" s="95"/>
      <c r="E69" s="95"/>
      <c r="F69" s="95"/>
      <c r="G69" s="95"/>
      <c r="H69" s="95"/>
      <c r="I69" s="95"/>
      <c r="J69" s="95"/>
      <c r="K69" s="95"/>
      <c r="L69" s="95" t="n">
        <v>-51</v>
      </c>
      <c r="M69" s="95"/>
      <c r="N69" s="95"/>
      <c r="O69" s="95"/>
      <c r="P69" s="95"/>
      <c r="Q69" s="95"/>
      <c r="R69" s="95"/>
      <c r="S69" s="95"/>
      <c r="T69" s="95"/>
      <c r="U69" s="95"/>
      <c r="V69" s="95"/>
      <c r="W69" s="95"/>
      <c r="X69" s="95"/>
      <c r="Y69" s="95"/>
      <c r="Z69" s="95"/>
      <c r="AA69" s="95"/>
    </row>
    <row r="70" ht="20" customHeight="1">
      <c r="A70" s="40" t="str">
        <v>Foreign tax effects — China: Other adjustments [percent]</v>
      </c>
      <c r="B70" s="3"/>
      <c r="C70" s="44"/>
      <c r="D70" s="44"/>
      <c r="E70" s="44"/>
      <c r="F70" s="44"/>
      <c r="G70" s="44"/>
      <c r="H70" s="44"/>
      <c r="I70" s="44"/>
      <c r="J70" s="44"/>
      <c r="K70" s="44"/>
      <c r="L70" s="44" t="n">
        <v>-0.033</v>
      </c>
      <c r="M70" s="44"/>
      <c r="N70" s="44"/>
      <c r="O70" s="44"/>
      <c r="P70" s="44"/>
      <c r="Q70" s="44"/>
      <c r="R70" s="44"/>
      <c r="S70" s="44"/>
      <c r="T70" s="44"/>
      <c r="U70" s="44"/>
      <c r="V70" s="44"/>
      <c r="W70" s="44"/>
      <c r="X70" s="44"/>
      <c r="Y70" s="44"/>
      <c r="Z70" s="44"/>
      <c r="AA70" s="44"/>
    </row>
    <row r="71" ht="22" customHeight="1">
      <c r="A71" s="49" t="str">
        <v>Foreign tax effects: Other foreign jurisdictions [amount]</v>
      </c>
      <c r="B71" s="3"/>
      <c r="C71" s="95"/>
      <c r="D71" s="95"/>
      <c r="E71" s="95"/>
      <c r="F71" s="95"/>
      <c r="G71" s="95"/>
      <c r="H71" s="95"/>
      <c r="I71" s="95"/>
      <c r="J71" s="95"/>
      <c r="K71" s="95"/>
      <c r="L71" s="95" t="n">
        <v>-205</v>
      </c>
      <c r="M71" s="95"/>
      <c r="N71" s="95"/>
      <c r="O71" s="95"/>
      <c r="P71" s="95"/>
      <c r="Q71" s="95"/>
      <c r="R71" s="95"/>
      <c r="S71" s="95"/>
      <c r="T71" s="95"/>
      <c r="U71" s="95"/>
      <c r="V71" s="95"/>
      <c r="W71" s="95"/>
      <c r="X71" s="95"/>
      <c r="Y71" s="95"/>
      <c r="Z71" s="95"/>
      <c r="AA71" s="95"/>
    </row>
    <row r="72" ht="20" customHeight="1">
      <c r="A72" s="40" t="str">
        <v>Foreign tax effects: Other foreign jurisdictions [percent]</v>
      </c>
      <c r="B72" s="3"/>
      <c r="C72" s="44"/>
      <c r="D72" s="44"/>
      <c r="E72" s="44"/>
      <c r="F72" s="44"/>
      <c r="G72" s="44"/>
      <c r="H72" s="44"/>
      <c r="I72" s="44"/>
      <c r="J72" s="44"/>
      <c r="K72" s="44"/>
      <c r="L72" s="44" t="n">
        <v>-0.132</v>
      </c>
      <c r="M72" s="44"/>
      <c r="N72" s="44"/>
      <c r="O72" s="44"/>
      <c r="P72" s="44"/>
      <c r="Q72" s="44"/>
      <c r="R72" s="44"/>
      <c r="S72" s="44"/>
      <c r="T72" s="44"/>
      <c r="U72" s="44"/>
      <c r="V72" s="44"/>
      <c r="W72" s="44"/>
      <c r="X72" s="44"/>
      <c r="Y72" s="44"/>
      <c r="Z72" s="44"/>
      <c r="AA72" s="44"/>
    </row>
    <row r="73" ht="36" customHeight="1">
      <c r="A73" s="49" t="str">
        <v>Effects of cross-border tax laws: Subpart F income inclusion [amount]</v>
      </c>
      <c r="B73" s="3"/>
      <c r="C73" s="95"/>
      <c r="D73" s="95"/>
      <c r="E73" s="95"/>
      <c r="F73" s="95"/>
      <c r="G73" s="95"/>
      <c r="H73" s="95"/>
      <c r="I73" s="95"/>
      <c r="J73" s="95"/>
      <c r="K73" s="95"/>
      <c r="L73" s="95" t="n">
        <v>248</v>
      </c>
      <c r="M73" s="95"/>
      <c r="N73" s="95"/>
      <c r="O73" s="95"/>
      <c r="P73" s="95"/>
      <c r="Q73" s="95"/>
      <c r="R73" s="95"/>
      <c r="S73" s="95"/>
      <c r="T73" s="95"/>
      <c r="U73" s="95"/>
      <c r="V73" s="95"/>
      <c r="W73" s="95"/>
      <c r="X73" s="95"/>
      <c r="Y73" s="95"/>
      <c r="Z73" s="95"/>
      <c r="AA73" s="95"/>
    </row>
    <row r="74" ht="36" customHeight="1">
      <c r="A74" s="40" t="str">
        <v>Effects of cross-border tax laws: Subpart F income inclusion [percent]</v>
      </c>
      <c r="B74" s="3"/>
      <c r="C74" s="44"/>
      <c r="D74" s="44"/>
      <c r="E74" s="44"/>
      <c r="F74" s="44"/>
      <c r="G74" s="44"/>
      <c r="H74" s="44"/>
      <c r="I74" s="44"/>
      <c r="J74" s="44"/>
      <c r="K74" s="44"/>
      <c r="L74" s="44" t="n">
        <v>0.159</v>
      </c>
      <c r="M74" s="44"/>
      <c r="N74" s="44"/>
      <c r="O74" s="44"/>
      <c r="P74" s="44"/>
      <c r="Q74" s="44"/>
      <c r="R74" s="44"/>
      <c r="S74" s="44"/>
      <c r="T74" s="44"/>
      <c r="U74" s="44"/>
      <c r="V74" s="44"/>
      <c r="W74" s="44"/>
      <c r="X74" s="44"/>
      <c r="Y74" s="44"/>
      <c r="Z74" s="44"/>
      <c r="AA74" s="44"/>
    </row>
    <row r="75" ht="36" customHeight="1">
      <c r="A75" s="49" t="str">
        <v>Effects of cross-border tax laws: Foreign tax credit [amount]</v>
      </c>
      <c r="B75" s="3"/>
      <c r="C75" s="95"/>
      <c r="D75" s="95"/>
      <c r="E75" s="95"/>
      <c r="F75" s="95"/>
      <c r="G75" s="95"/>
      <c r="H75" s="95"/>
      <c r="I75" s="95"/>
      <c r="J75" s="95"/>
      <c r="K75" s="95"/>
      <c r="L75" s="95" t="n">
        <v>-707</v>
      </c>
      <c r="M75" s="95"/>
      <c r="N75" s="95"/>
      <c r="O75" s="95"/>
      <c r="P75" s="95"/>
      <c r="Q75" s="95"/>
      <c r="R75" s="95"/>
      <c r="S75" s="95"/>
      <c r="T75" s="95"/>
      <c r="U75" s="95"/>
      <c r="V75" s="95"/>
      <c r="W75" s="95"/>
      <c r="X75" s="95"/>
      <c r="Y75" s="95"/>
      <c r="Z75" s="95"/>
      <c r="AA75" s="95"/>
    </row>
    <row r="76" ht="36" customHeight="1">
      <c r="A76" s="40" t="str">
        <v>Effects of cross-border tax laws: Foreign tax credit [percent]</v>
      </c>
      <c r="B76" s="3"/>
      <c r="C76" s="44"/>
      <c r="D76" s="44"/>
      <c r="E76" s="44"/>
      <c r="F76" s="44"/>
      <c r="G76" s="44"/>
      <c r="H76" s="44"/>
      <c r="I76" s="44"/>
      <c r="J76" s="44"/>
      <c r="K76" s="44"/>
      <c r="L76" s="44" t="n">
        <v>-0.45399999999999996</v>
      </c>
      <c r="M76" s="44"/>
      <c r="N76" s="44"/>
      <c r="O76" s="44"/>
      <c r="P76" s="44"/>
      <c r="Q76" s="44"/>
      <c r="R76" s="44"/>
      <c r="S76" s="44"/>
      <c r="T76" s="44"/>
      <c r="U76" s="44"/>
      <c r="V76" s="44"/>
      <c r="W76" s="44"/>
      <c r="X76" s="44"/>
      <c r="Y76" s="44"/>
      <c r="Z76" s="44"/>
      <c r="AA76" s="44"/>
    </row>
    <row r="77" ht="22" customHeight="1">
      <c r="A77" s="49" t="str">
        <v>Effects of cross-border tax laws: Other [amount]</v>
      </c>
      <c r="B77" s="3"/>
      <c r="C77" s="95"/>
      <c r="D77" s="95"/>
      <c r="E77" s="95"/>
      <c r="F77" s="95"/>
      <c r="G77" s="95"/>
      <c r="H77" s="95"/>
      <c r="I77" s="95"/>
      <c r="J77" s="95"/>
      <c r="K77" s="95"/>
      <c r="L77" s="95" t="n">
        <v>145</v>
      </c>
      <c r="M77" s="95"/>
      <c r="N77" s="95"/>
      <c r="O77" s="95"/>
      <c r="P77" s="95"/>
      <c r="Q77" s="95"/>
      <c r="R77" s="95"/>
      <c r="S77" s="95"/>
      <c r="T77" s="95"/>
      <c r="U77" s="95"/>
      <c r="V77" s="95"/>
      <c r="W77" s="95"/>
      <c r="X77" s="95"/>
      <c r="Y77" s="95"/>
      <c r="Z77" s="95"/>
      <c r="AA77" s="95"/>
    </row>
    <row r="78" ht="20" customHeight="1">
      <c r="A78" s="40" t="str">
        <v>Effects of cross-border tax laws: Other [percent]</v>
      </c>
      <c r="B78" s="3"/>
      <c r="C78" s="44"/>
      <c r="D78" s="44"/>
      <c r="E78" s="44"/>
      <c r="F78" s="44"/>
      <c r="G78" s="44"/>
      <c r="H78" s="44"/>
      <c r="I78" s="44"/>
      <c r="J78" s="44"/>
      <c r="K78" s="44"/>
      <c r="L78" s="44" t="n">
        <v>0.09300000000000001</v>
      </c>
      <c r="M78" s="44"/>
      <c r="N78" s="44"/>
      <c r="O78" s="44"/>
      <c r="P78" s="44"/>
      <c r="Q78" s="44"/>
      <c r="R78" s="44"/>
      <c r="S78" s="44"/>
      <c r="T78" s="44"/>
      <c r="U78" s="44"/>
      <c r="V78" s="44"/>
      <c r="W78" s="44"/>
      <c r="X78" s="44"/>
      <c r="Y78" s="44"/>
      <c r="Z78" s="44"/>
      <c r="AA78" s="44"/>
    </row>
    <row r="79" ht="22" customHeight="1">
      <c r="A79" s="49" t="str">
        <v>Tax credits: Research and development credit [amount]</v>
      </c>
      <c r="B79" s="3"/>
      <c r="C79" s="95"/>
      <c r="D79" s="95"/>
      <c r="E79" s="95"/>
      <c r="F79" s="95"/>
      <c r="G79" s="95"/>
      <c r="H79" s="95"/>
      <c r="I79" s="95"/>
      <c r="J79" s="95"/>
      <c r="K79" s="95"/>
      <c r="L79" s="95" t="n">
        <v>-977</v>
      </c>
      <c r="M79" s="95"/>
      <c r="N79" s="95"/>
      <c r="O79" s="95"/>
      <c r="P79" s="95"/>
      <c r="Q79" s="95"/>
      <c r="R79" s="95"/>
      <c r="S79" s="95"/>
      <c r="T79" s="95"/>
      <c r="U79" s="95"/>
      <c r="V79" s="95"/>
      <c r="W79" s="95"/>
      <c r="X79" s="95"/>
      <c r="Y79" s="95"/>
      <c r="Z79" s="95"/>
      <c r="AA79" s="95"/>
    </row>
    <row r="80" ht="20" customHeight="1">
      <c r="A80" s="40" t="str">
        <v>Tax credits: Research and development credit [percent]</v>
      </c>
      <c r="B80" s="3"/>
      <c r="C80" s="44"/>
      <c r="D80" s="44"/>
      <c r="E80" s="44"/>
      <c r="F80" s="44"/>
      <c r="G80" s="44"/>
      <c r="H80" s="44"/>
      <c r="I80" s="44"/>
      <c r="J80" s="44"/>
      <c r="K80" s="44"/>
      <c r="L80" s="44" t="n">
        <v>-0.627</v>
      </c>
      <c r="M80" s="44"/>
      <c r="N80" s="44"/>
      <c r="O80" s="44"/>
      <c r="P80" s="44"/>
      <c r="Q80" s="44"/>
      <c r="R80" s="44"/>
      <c r="S80" s="44"/>
      <c r="T80" s="44"/>
      <c r="U80" s="44"/>
      <c r="V80" s="44"/>
      <c r="W80" s="44"/>
      <c r="X80" s="44"/>
      <c r="Y80" s="44"/>
      <c r="Z80" s="44"/>
      <c r="AA80" s="44"/>
    </row>
    <row r="81" ht="22" customHeight="1">
      <c r="A81" s="49" t="str">
        <v>Tax credits: Changes in valuation allowances [amount]</v>
      </c>
      <c r="B81" s="3"/>
      <c r="C81" s="95"/>
      <c r="D81" s="95"/>
      <c r="E81" s="95"/>
      <c r="F81" s="95"/>
      <c r="G81" s="95"/>
      <c r="H81" s="95"/>
      <c r="I81" s="95"/>
      <c r="J81" s="95"/>
      <c r="K81" s="95"/>
      <c r="L81" s="95" t="n">
        <v>2629</v>
      </c>
      <c r="M81" s="95"/>
      <c r="N81" s="95"/>
      <c r="O81" s="95"/>
      <c r="P81" s="95"/>
      <c r="Q81" s="95"/>
      <c r="R81" s="95"/>
      <c r="S81" s="95"/>
      <c r="T81" s="95"/>
      <c r="U81" s="95"/>
      <c r="V81" s="95"/>
      <c r="W81" s="95"/>
      <c r="X81" s="95"/>
      <c r="Y81" s="95"/>
      <c r="Z81" s="95"/>
      <c r="AA81" s="95"/>
    </row>
    <row r="82" ht="20" customHeight="1">
      <c r="A82" s="40" t="str">
        <v>Tax credits: Changes in valuation allowances [percent]</v>
      </c>
      <c r="B82" s="3"/>
      <c r="C82" s="44"/>
      <c r="D82" s="44"/>
      <c r="E82" s="44"/>
      <c r="F82" s="44"/>
      <c r="G82" s="44"/>
      <c r="H82" s="44"/>
      <c r="I82" s="44"/>
      <c r="J82" s="44"/>
      <c r="K82" s="44"/>
      <c r="L82" s="44" t="n">
        <v>1.689</v>
      </c>
      <c r="M82" s="44"/>
      <c r="N82" s="44"/>
      <c r="O82" s="44"/>
      <c r="P82" s="44"/>
      <c r="Q82" s="44"/>
      <c r="R82" s="44"/>
      <c r="S82" s="44"/>
      <c r="T82" s="44"/>
      <c r="U82" s="44"/>
      <c r="V82" s="44"/>
      <c r="W82" s="44"/>
      <c r="X82" s="44"/>
      <c r="Y82" s="44"/>
      <c r="Z82" s="44"/>
      <c r="AA82" s="44"/>
    </row>
    <row r="83" ht="36" customHeight="1">
      <c r="A83" s="49" t="str">
        <v>Nontaxable or nondeductible items: Share-based compensation [amount]</v>
      </c>
      <c r="B83" s="3"/>
      <c r="C83" s="95"/>
      <c r="D83" s="95"/>
      <c r="E83" s="95"/>
      <c r="F83" s="95"/>
      <c r="G83" s="95"/>
      <c r="H83" s="95"/>
      <c r="I83" s="95"/>
      <c r="J83" s="95"/>
      <c r="K83" s="95"/>
      <c r="L83" s="95" t="n">
        <v>120</v>
      </c>
      <c r="M83" s="95"/>
      <c r="N83" s="95"/>
      <c r="O83" s="95"/>
      <c r="P83" s="95"/>
      <c r="Q83" s="95"/>
      <c r="R83" s="95"/>
      <c r="S83" s="95"/>
      <c r="T83" s="95"/>
      <c r="U83" s="95"/>
      <c r="V83" s="95"/>
      <c r="W83" s="95"/>
      <c r="X83" s="95"/>
      <c r="Y83" s="95"/>
      <c r="Z83" s="95"/>
      <c r="AA83" s="95"/>
    </row>
    <row r="84" ht="36" customHeight="1">
      <c r="A84" s="40" t="str">
        <v>Nontaxable or nondeductible items: Share-based compensation [percent]</v>
      </c>
      <c r="B84" s="3"/>
      <c r="C84" s="44"/>
      <c r="D84" s="44"/>
      <c r="E84" s="44"/>
      <c r="F84" s="44"/>
      <c r="G84" s="44"/>
      <c r="H84" s="44"/>
      <c r="I84" s="44"/>
      <c r="J84" s="44"/>
      <c r="K84" s="44"/>
      <c r="L84" s="44" t="n">
        <v>0.077</v>
      </c>
      <c r="M84" s="44"/>
      <c r="N84" s="44"/>
      <c r="O84" s="44"/>
      <c r="P84" s="44"/>
      <c r="Q84" s="44"/>
      <c r="R84" s="44"/>
      <c r="S84" s="44"/>
      <c r="T84" s="44"/>
      <c r="U84" s="44"/>
      <c r="V84" s="44"/>
      <c r="W84" s="44"/>
      <c r="X84" s="44"/>
      <c r="Y84" s="44"/>
      <c r="Z84" s="44"/>
      <c r="AA84" s="44"/>
    </row>
    <row r="85" ht="36" customHeight="1">
      <c r="A85" s="49" t="str">
        <v>Nontaxable or nondeductible items: Altera divestiture and deconsolidation [amount]</v>
      </c>
      <c r="B85" s="3"/>
      <c r="C85" s="95"/>
      <c r="D85" s="95"/>
      <c r="E85" s="95"/>
      <c r="F85" s="95"/>
      <c r="G85" s="95"/>
      <c r="H85" s="95"/>
      <c r="I85" s="95"/>
      <c r="J85" s="95"/>
      <c r="K85" s="95"/>
      <c r="L85" s="95" t="n">
        <v>-1357</v>
      </c>
      <c r="M85" s="95"/>
      <c r="N85" s="95"/>
      <c r="O85" s="95"/>
      <c r="P85" s="95"/>
      <c r="Q85" s="95"/>
      <c r="R85" s="95"/>
      <c r="S85" s="95"/>
      <c r="T85" s="95"/>
      <c r="U85" s="95"/>
      <c r="V85" s="95"/>
      <c r="W85" s="95"/>
      <c r="X85" s="95"/>
      <c r="Y85" s="95"/>
      <c r="Z85" s="95"/>
      <c r="AA85" s="95"/>
    </row>
    <row r="86" ht="36" customHeight="1">
      <c r="A86" s="40" t="str">
        <v>Nontaxable or nondeductible items: Altera divestiture and deconsolidation [percent]</v>
      </c>
      <c r="B86" s="3"/>
      <c r="C86" s="44"/>
      <c r="D86" s="44"/>
      <c r="E86" s="44"/>
      <c r="F86" s="44"/>
      <c r="G86" s="44"/>
      <c r="H86" s="44"/>
      <c r="I86" s="44"/>
      <c r="J86" s="44"/>
      <c r="K86" s="44"/>
      <c r="L86" s="44" t="n">
        <v>-0.872</v>
      </c>
      <c r="M86" s="44"/>
      <c r="N86" s="44"/>
      <c r="O86" s="44"/>
      <c r="P86" s="44"/>
      <c r="Q86" s="44"/>
      <c r="R86" s="44"/>
      <c r="S86" s="44"/>
      <c r="T86" s="44"/>
      <c r="U86" s="44"/>
      <c r="V86" s="44"/>
      <c r="W86" s="44"/>
      <c r="X86" s="44"/>
      <c r="Y86" s="44"/>
      <c r="Z86" s="44"/>
      <c r="AA86" s="44"/>
    </row>
    <row r="87" ht="36" customHeight="1">
      <c r="A87" s="49" t="str">
        <v>Nontaxable or nondeductible items: Mark to market on equity securities [amount]</v>
      </c>
      <c r="B87" s="3"/>
      <c r="C87" s="95"/>
      <c r="D87" s="95"/>
      <c r="E87" s="95"/>
      <c r="F87" s="95"/>
      <c r="G87" s="95"/>
      <c r="H87" s="95"/>
      <c r="I87" s="95"/>
      <c r="J87" s="95"/>
      <c r="K87" s="95"/>
      <c r="L87" s="95" t="n">
        <v>377</v>
      </c>
      <c r="M87" s="95"/>
      <c r="N87" s="95"/>
      <c r="O87" s="95"/>
      <c r="P87" s="95"/>
      <c r="Q87" s="95"/>
      <c r="R87" s="95"/>
      <c r="S87" s="95"/>
      <c r="T87" s="95"/>
      <c r="U87" s="95"/>
      <c r="V87" s="95"/>
      <c r="W87" s="95"/>
      <c r="X87" s="95"/>
      <c r="Y87" s="95"/>
      <c r="Z87" s="95"/>
      <c r="AA87" s="95"/>
    </row>
    <row r="88" ht="36" customHeight="1">
      <c r="A88" s="40" t="str">
        <v>Nontaxable or nondeductible items: Mark to market on equity securities [percent]</v>
      </c>
      <c r="B88" s="3"/>
      <c r="C88" s="44"/>
      <c r="D88" s="44"/>
      <c r="E88" s="44"/>
      <c r="F88" s="44"/>
      <c r="G88" s="44"/>
      <c r="H88" s="44"/>
      <c r="I88" s="44"/>
      <c r="J88" s="44"/>
      <c r="K88" s="44"/>
      <c r="L88" s="44" t="n">
        <v>0.242</v>
      </c>
      <c r="M88" s="44"/>
      <c r="N88" s="44"/>
      <c r="O88" s="44"/>
      <c r="P88" s="44"/>
      <c r="Q88" s="44"/>
      <c r="R88" s="44"/>
      <c r="S88" s="44"/>
      <c r="T88" s="44"/>
      <c r="U88" s="44"/>
      <c r="V88" s="44"/>
      <c r="W88" s="44"/>
      <c r="X88" s="44"/>
      <c r="Y88" s="44"/>
      <c r="Z88" s="44"/>
      <c r="AA88" s="44"/>
    </row>
    <row r="89" ht="22" customHeight="1">
      <c r="A89" s="49" t="str">
        <v>Nontaxable or nondeductible items: Other [amount]</v>
      </c>
      <c r="B89" s="3"/>
      <c r="C89" s="95"/>
      <c r="D89" s="95"/>
      <c r="E89" s="95"/>
      <c r="F89" s="95"/>
      <c r="G89" s="95"/>
      <c r="H89" s="95"/>
      <c r="I89" s="95"/>
      <c r="J89" s="95"/>
      <c r="K89" s="95"/>
      <c r="L89" s="95" t="n">
        <v>97</v>
      </c>
      <c r="M89" s="95"/>
      <c r="N89" s="95"/>
      <c r="O89" s="95"/>
      <c r="P89" s="95"/>
      <c r="Q89" s="95"/>
      <c r="R89" s="95"/>
      <c r="S89" s="95"/>
      <c r="T89" s="95"/>
      <c r="U89" s="95"/>
      <c r="V89" s="95"/>
      <c r="W89" s="95"/>
      <c r="X89" s="95"/>
      <c r="Y89" s="95"/>
      <c r="Z89" s="95"/>
      <c r="AA89" s="95"/>
    </row>
    <row r="90" ht="20" customHeight="1">
      <c r="A90" s="40" t="str">
        <v>Nontaxable or nondeductible items: Other [percent]</v>
      </c>
      <c r="B90" s="3"/>
      <c r="C90" s="44"/>
      <c r="D90" s="44"/>
      <c r="E90" s="44"/>
      <c r="F90" s="44"/>
      <c r="G90" s="44"/>
      <c r="H90" s="44"/>
      <c r="I90" s="44"/>
      <c r="J90" s="44"/>
      <c r="K90" s="44"/>
      <c r="L90" s="44" t="n">
        <v>0.062</v>
      </c>
      <c r="M90" s="44"/>
      <c r="N90" s="44"/>
      <c r="O90" s="44"/>
      <c r="P90" s="44"/>
      <c r="Q90" s="44"/>
      <c r="R90" s="44"/>
      <c r="S90" s="44"/>
      <c r="T90" s="44"/>
      <c r="U90" s="44"/>
      <c r="V90" s="44"/>
      <c r="W90" s="44"/>
      <c r="X90" s="44"/>
      <c r="Y90" s="44"/>
      <c r="Z90" s="44"/>
      <c r="AA90" s="44"/>
    </row>
    <row r="91" ht="22" customHeight="1">
      <c r="A91" s="49" t="str">
        <v>Changes in unrecognized tax benefits [amount]</v>
      </c>
      <c r="B91" s="3"/>
      <c r="C91" s="95"/>
      <c r="D91" s="95"/>
      <c r="E91" s="95"/>
      <c r="F91" s="95"/>
      <c r="G91" s="95"/>
      <c r="H91" s="95"/>
      <c r="I91" s="95"/>
      <c r="J91" s="95"/>
      <c r="K91" s="95"/>
      <c r="L91" s="95" t="n">
        <v>334</v>
      </c>
      <c r="M91" s="95"/>
      <c r="N91" s="95"/>
      <c r="O91" s="95"/>
      <c r="P91" s="95"/>
      <c r="Q91" s="95"/>
      <c r="R91" s="95"/>
      <c r="S91" s="95"/>
      <c r="T91" s="95"/>
      <c r="U91" s="95"/>
      <c r="V91" s="95"/>
      <c r="W91" s="95"/>
      <c r="X91" s="95"/>
      <c r="Y91" s="95"/>
      <c r="Z91" s="95"/>
      <c r="AA91" s="95"/>
    </row>
    <row r="92" ht="20" customHeight="1">
      <c r="A92" s="40" t="str">
        <v>Changes in unrecognized tax benefits [percent]</v>
      </c>
      <c r="B92" s="3"/>
      <c r="C92" s="44"/>
      <c r="D92" s="44"/>
      <c r="E92" s="44"/>
      <c r="F92" s="44"/>
      <c r="G92" s="44"/>
      <c r="H92" s="44"/>
      <c r="I92" s="44"/>
      <c r="J92" s="44"/>
      <c r="K92" s="44"/>
      <c r="L92" s="44" t="n">
        <v>0.215</v>
      </c>
      <c r="M92" s="44"/>
      <c r="N92" s="44"/>
      <c r="O92" s="44"/>
      <c r="P92" s="44"/>
      <c r="Q92" s="44"/>
      <c r="R92" s="44"/>
      <c r="S92" s="44"/>
      <c r="T92" s="44"/>
      <c r="U92" s="44"/>
      <c r="V92" s="44"/>
      <c r="W92" s="44"/>
      <c r="X92" s="44"/>
      <c r="Y92" s="44"/>
      <c r="Z92" s="44"/>
      <c r="AA92" s="44"/>
    </row>
    <row r="93" ht="22" customHeight="1">
      <c r="A93" s="49" t="str">
        <v>Other adjustments [amount]</v>
      </c>
      <c r="B93" s="3"/>
      <c r="C93" s="95"/>
      <c r="D93" s="95"/>
      <c r="E93" s="95"/>
      <c r="F93" s="95"/>
      <c r="G93" s="95"/>
      <c r="H93" s="95"/>
      <c r="I93" s="95"/>
      <c r="J93" s="95"/>
      <c r="K93" s="95"/>
      <c r="L93" s="95" t="n">
        <v>260</v>
      </c>
      <c r="M93" s="95"/>
      <c r="N93" s="95"/>
      <c r="O93" s="95"/>
      <c r="P93" s="95"/>
      <c r="Q93" s="95"/>
      <c r="R93" s="95"/>
      <c r="S93" s="95"/>
      <c r="T93" s="95"/>
      <c r="U93" s="95"/>
      <c r="V93" s="95"/>
      <c r="W93" s="95"/>
      <c r="X93" s="95"/>
      <c r="Y93" s="95"/>
      <c r="Z93" s="95"/>
      <c r="AA93" s="95"/>
    </row>
    <row r="94" ht="20" customHeight="1">
      <c r="A94" s="40" t="str">
        <v>Other adjustments [percent]</v>
      </c>
      <c r="B94" s="3"/>
      <c r="C94" s="44"/>
      <c r="D94" s="44"/>
      <c r="E94" s="44"/>
      <c r="F94" s="44"/>
      <c r="G94" s="44"/>
      <c r="H94" s="44"/>
      <c r="I94" s="44"/>
      <c r="J94" s="44"/>
      <c r="K94" s="44"/>
      <c r="L94" s="44" t="n">
        <v>0.16699999999999998</v>
      </c>
      <c r="M94" s="44"/>
      <c r="N94" s="44"/>
      <c r="O94" s="44"/>
      <c r="P94" s="44"/>
      <c r="Q94" s="44"/>
      <c r="R94" s="44"/>
      <c r="S94" s="44"/>
      <c r="T94" s="44"/>
      <c r="U94" s="44"/>
      <c r="V94" s="44"/>
      <c r="W94" s="44"/>
      <c r="X94" s="44"/>
      <c r="Y94" s="44"/>
      <c r="Z94" s="44"/>
      <c r="AA94" s="44"/>
    </row>
    <row r="95" ht="22" customHeight="1">
      <c r="A95" s="49" t="str">
        <v>Global effective tax [amount]</v>
      </c>
      <c r="B95" s="3"/>
      <c r="C95" s="95"/>
      <c r="D95" s="95"/>
      <c r="E95" s="95"/>
      <c r="F95" s="95"/>
      <c r="G95" s="95"/>
      <c r="H95" s="95"/>
      <c r="I95" s="95"/>
      <c r="J95" s="95"/>
      <c r="K95" s="95"/>
      <c r="L95" s="95" t="n">
        <v>1531</v>
      </c>
      <c r="M95" s="95"/>
      <c r="N95" s="95"/>
      <c r="O95" s="95"/>
      <c r="P95" s="95"/>
      <c r="Q95" s="95"/>
      <c r="R95" s="95"/>
      <c r="S95" s="95"/>
      <c r="T95" s="95"/>
      <c r="U95" s="95"/>
      <c r="V95" s="95"/>
      <c r="W95" s="95"/>
      <c r="X95" s="95"/>
      <c r="Y95" s="95"/>
      <c r="Z95" s="95"/>
      <c r="AA95" s="95"/>
    </row>
    <row r="96" ht="20" customHeight="1">
      <c r="A96" s="40" t="str">
        <v>Global effective tax [percent]</v>
      </c>
      <c r="B96" s="3"/>
      <c r="C96" s="44"/>
      <c r="D96" s="44"/>
      <c r="E96" s="44"/>
      <c r="F96" s="44"/>
      <c r="G96" s="44"/>
      <c r="H96" s="44"/>
      <c r="I96" s="44"/>
      <c r="J96" s="44"/>
      <c r="K96" s="44"/>
      <c r="L96" s="44" t="n">
        <v>0.983</v>
      </c>
      <c r="M96" s="44"/>
      <c r="N96" s="44"/>
      <c r="O96" s="44"/>
      <c r="P96" s="44"/>
      <c r="Q96" s="44"/>
      <c r="R96" s="44"/>
      <c r="S96" s="44"/>
      <c r="T96" s="44"/>
      <c r="U96" s="44"/>
      <c r="V96" s="44"/>
      <c r="W96" s="44"/>
      <c r="X96" s="44"/>
      <c r="Y96" s="44"/>
      <c r="Z96" s="44"/>
      <c r="AA96" s="44"/>
    </row>
    <row r="97" ht="8"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22" customHeight="1">
      <c r="A98" s="21" t="str">
        <v>Deferred tax assets, valuation allowance and liabilities</v>
      </c>
      <c r="B98" s="21" t="str">
        <v>Deferred tax assets, valuation allowance and liabilities</v>
      </c>
      <c r="C98" s="21" t="str">
        <v>Deferred tax assets, valuation allowance and liabilities</v>
      </c>
      <c r="D98" s="21" t="str">
        <v>Deferred tax assets, valuation allowance and liabilities</v>
      </c>
      <c r="E98" s="21" t="str">
        <v>Deferred tax assets, valuation allowance and liabilities</v>
      </c>
      <c r="F98" s="21" t="str">
        <v>Deferred tax assets, valuation allowance and liabilities</v>
      </c>
      <c r="G98" s="21" t="str">
        <v>Deferred tax assets, valuation allowance and liabilities</v>
      </c>
      <c r="H98" s="21" t="str">
        <v>Deferred tax assets, valuation allowance and liabilities</v>
      </c>
      <c r="I98" s="21" t="str">
        <v>Deferred tax assets, valuation allowance and liabilities</v>
      </c>
      <c r="J98" s="21" t="str">
        <v>Deferred tax assets, valuation allowance and liabilities</v>
      </c>
      <c r="K98" s="21" t="str">
        <v>Deferred tax assets, valuation allowance and liabilities</v>
      </c>
      <c r="L98" s="21" t="str">
        <v>Deferred tax assets, valuation allowance and liabilities</v>
      </c>
      <c r="M98" s="21" t="str">
        <v>Deferred tax assets, valuation allowance and liabilities</v>
      </c>
      <c r="N98" s="21" t="str">
        <v>Deferred tax assets, valuation allowance and liabilities</v>
      </c>
      <c r="O98" s="21" t="str">
        <v>Deferred tax assets, valuation allowance and liabilities</v>
      </c>
      <c r="P98" s="21" t="str">
        <v>Deferred tax assets, valuation allowance and liabilities</v>
      </c>
      <c r="Q98" s="21" t="str">
        <v>Deferred tax assets, valuation allowance and liabilities</v>
      </c>
      <c r="R98" s="21" t="str">
        <v>Deferred tax assets, valuation allowance and liabilities</v>
      </c>
      <c r="S98" s="21" t="str">
        <v>Deferred tax assets, valuation allowance and liabilities</v>
      </c>
      <c r="T98" s="21" t="str">
        <v>Deferred tax assets, valuation allowance and liabilities</v>
      </c>
      <c r="U98" s="21" t="str">
        <v>Deferred tax assets, valuation allowance and liabilities</v>
      </c>
      <c r="V98" s="21" t="str">
        <v>Deferred tax assets, valuation allowance and liabilities</v>
      </c>
      <c r="W98" s="21" t="str">
        <v>Deferred tax assets, valuation allowance and liabilities</v>
      </c>
      <c r="X98" s="21" t="str">
        <v>Deferred tax assets, valuation allowance and liabilities</v>
      </c>
      <c r="Y98" s="21" t="str">
        <v>Deferred tax assets, valuation allowance and liabilities</v>
      </c>
      <c r="Z98" s="21" t="str">
        <v>Deferred tax assets, valuation allowance and liabilities</v>
      </c>
      <c r="AA98" s="21" t="str">
        <v>Deferred tax assets, valuation allowance and liabilities</v>
      </c>
    </row>
    <row r="99" ht="36" customHeight="1">
      <c r="A99" s="49" t="str">
        <v>Deferred tax assets: Accrued compensation and other benefits</v>
      </c>
      <c r="B99" s="3"/>
      <c r="C99" s="51" t="n">
        <v>1182</v>
      </c>
      <c r="D99" s="51" t="n">
        <v>711</v>
      </c>
      <c r="E99" s="51" t="n">
        <v>570</v>
      </c>
      <c r="F99" s="51" t="n">
        <v>740</v>
      </c>
      <c r="G99" s="51" t="n">
        <v>865</v>
      </c>
      <c r="H99" s="51" t="n">
        <v>1019</v>
      </c>
      <c r="I99" s="51" t="n">
        <v>1031</v>
      </c>
      <c r="J99" s="51" t="n">
        <v>931</v>
      </c>
      <c r="K99" s="51" t="n">
        <v>970</v>
      </c>
      <c r="L99" s="51" t="n">
        <v>921</v>
      </c>
      <c r="M99" s="51"/>
      <c r="N99" s="51"/>
      <c r="O99" s="51"/>
      <c r="P99" s="51"/>
      <c r="Q99" s="51"/>
      <c r="R99" s="51"/>
      <c r="S99" s="51"/>
      <c r="T99" s="51"/>
      <c r="U99" s="51"/>
      <c r="V99" s="51"/>
      <c r="W99" s="51"/>
      <c r="X99" s="51"/>
      <c r="Y99" s="51"/>
      <c r="Z99" s="51"/>
      <c r="AA99" s="51"/>
    </row>
    <row r="100" ht="22" customHeight="1">
      <c r="A100" s="49" t="str">
        <v>Deferred tax assets: Share-based compensation</v>
      </c>
      <c r="B100" s="3"/>
      <c r="C100" s="51" t="n">
        <v>373</v>
      </c>
      <c r="D100" s="51" t="n">
        <v>241</v>
      </c>
      <c r="E100" s="51" t="n">
        <v>273</v>
      </c>
      <c r="F100" s="51" t="n">
        <v>294</v>
      </c>
      <c r="G100" s="51" t="n">
        <v>324</v>
      </c>
      <c r="H100" s="51" t="n">
        <v>477</v>
      </c>
      <c r="I100" s="51" t="n">
        <v>557</v>
      </c>
      <c r="J100" s="51" t="n">
        <v>586</v>
      </c>
      <c r="K100" s="51" t="n">
        <v>444</v>
      </c>
      <c r="L100" s="51" t="n">
        <v>481</v>
      </c>
      <c r="M100" s="51"/>
      <c r="N100" s="51"/>
      <c r="O100" s="51"/>
      <c r="P100" s="51"/>
      <c r="Q100" s="51"/>
      <c r="R100" s="51"/>
      <c r="S100" s="51"/>
      <c r="T100" s="51"/>
      <c r="U100" s="51"/>
      <c r="V100" s="51"/>
      <c r="W100" s="51"/>
      <c r="X100" s="51"/>
      <c r="Y100" s="51"/>
      <c r="Z100" s="51"/>
      <c r="AA100" s="51"/>
    </row>
    <row r="101" ht="22" customHeight="1">
      <c r="A101" s="49" t="str">
        <v>Deferred tax assets: Deferred income</v>
      </c>
      <c r="B101" s="3"/>
      <c r="C101" s="51" t="n">
        <v>596</v>
      </c>
      <c r="D101" s="51" t="n">
        <v>211</v>
      </c>
      <c r="E101" s="51" t="n">
        <v>0</v>
      </c>
      <c r="F101" s="51"/>
      <c r="G101" s="51"/>
      <c r="H101" s="51"/>
      <c r="I101" s="51"/>
      <c r="J101" s="51"/>
      <c r="K101" s="51"/>
      <c r="L101" s="51"/>
      <c r="M101" s="51"/>
      <c r="N101" s="51"/>
      <c r="O101" s="51"/>
      <c r="P101" s="51"/>
      <c r="Q101" s="51"/>
      <c r="R101" s="51"/>
      <c r="S101" s="51"/>
      <c r="T101" s="51"/>
      <c r="U101" s="51"/>
      <c r="V101" s="51"/>
      <c r="W101" s="51"/>
      <c r="X101" s="51"/>
      <c r="Y101" s="51"/>
      <c r="Z101" s="51"/>
      <c r="AA101" s="51"/>
    </row>
    <row r="102" ht="22" customHeight="1">
      <c r="A102" s="49" t="str">
        <v>Deferred tax assets: Inventory</v>
      </c>
      <c r="B102" s="3"/>
      <c r="C102" s="51" t="n">
        <v>1044</v>
      </c>
      <c r="D102" s="51" t="n">
        <v>675</v>
      </c>
      <c r="E102" s="51" t="n">
        <v>517</v>
      </c>
      <c r="F102" s="51" t="n">
        <v>760</v>
      </c>
      <c r="G102" s="51" t="n">
        <v>835</v>
      </c>
      <c r="H102" s="51" t="n">
        <v>914</v>
      </c>
      <c r="I102" s="51" t="n">
        <v>1788</v>
      </c>
      <c r="J102" s="51" t="n">
        <v>1430</v>
      </c>
      <c r="K102" s="51" t="n">
        <v>1054</v>
      </c>
      <c r="L102" s="51" t="n">
        <v>628</v>
      </c>
      <c r="M102" s="51"/>
      <c r="N102" s="51"/>
      <c r="O102" s="51"/>
      <c r="P102" s="51"/>
      <c r="Q102" s="51"/>
      <c r="R102" s="51"/>
      <c r="S102" s="51"/>
      <c r="T102" s="51"/>
      <c r="U102" s="51"/>
      <c r="V102" s="51"/>
      <c r="W102" s="51"/>
      <c r="X102" s="51"/>
      <c r="Y102" s="51"/>
      <c r="Z102" s="51"/>
      <c r="AA102" s="51"/>
    </row>
    <row r="103" ht="36" customHeight="1">
      <c r="A103" s="49" t="str">
        <v>Deferred tax assets: State credits and net operating losses</v>
      </c>
      <c r="B103" s="3"/>
      <c r="C103" s="51" t="n">
        <v>846</v>
      </c>
      <c r="D103" s="51" t="n">
        <v>1081</v>
      </c>
      <c r="E103" s="51" t="n">
        <v>1297</v>
      </c>
      <c r="F103" s="51" t="n">
        <v>1511</v>
      </c>
      <c r="G103" s="51" t="n">
        <v>1829</v>
      </c>
      <c r="H103" s="51" t="n">
        <v>2010</v>
      </c>
      <c r="I103" s="51" t="n">
        <v>2259</v>
      </c>
      <c r="J103" s="51" t="n">
        <v>2624</v>
      </c>
      <c r="K103" s="51" t="n">
        <v>2830</v>
      </c>
      <c r="L103" s="51" t="n">
        <v>3165</v>
      </c>
      <c r="M103" s="51"/>
      <c r="N103" s="51"/>
      <c r="O103" s="51"/>
      <c r="P103" s="51"/>
      <c r="Q103" s="51"/>
      <c r="R103" s="51"/>
      <c r="S103" s="51"/>
      <c r="T103" s="51"/>
      <c r="U103" s="51"/>
      <c r="V103" s="51"/>
      <c r="W103" s="51"/>
      <c r="X103" s="51"/>
      <c r="Y103" s="51"/>
      <c r="Z103" s="51"/>
      <c r="AA103" s="51"/>
    </row>
    <row r="104" ht="22" customHeight="1">
      <c r="A104" s="49" t="str">
        <v>Deferred tax assets: Other, net</v>
      </c>
      <c r="B104" s="3"/>
      <c r="C104" s="51" t="n">
        <v>1187</v>
      </c>
      <c r="D104" s="51" t="n">
        <v>887</v>
      </c>
      <c r="E104" s="51" t="n">
        <v>512</v>
      </c>
      <c r="F104" s="51" t="n">
        <v>515</v>
      </c>
      <c r="G104" s="51" t="n">
        <v>617</v>
      </c>
      <c r="H104" s="51" t="n">
        <v>819</v>
      </c>
      <c r="I104" s="51" t="n">
        <v>709</v>
      </c>
      <c r="J104" s="51" t="n">
        <v>926</v>
      </c>
      <c r="K104" s="51" t="n">
        <v>1510</v>
      </c>
      <c r="L104" s="51" t="n">
        <v>1547</v>
      </c>
      <c r="M104" s="51"/>
      <c r="N104" s="51"/>
      <c r="O104" s="51"/>
      <c r="P104" s="51"/>
      <c r="Q104" s="51"/>
      <c r="R104" s="51"/>
      <c r="S104" s="51"/>
      <c r="T104" s="51"/>
      <c r="U104" s="51"/>
      <c r="V104" s="51"/>
      <c r="W104" s="51"/>
      <c r="X104" s="51"/>
      <c r="Y104" s="51"/>
      <c r="Z104" s="51"/>
      <c r="AA104" s="51"/>
    </row>
    <row r="105" ht="22" customHeight="1">
      <c r="A105" s="49" t="str">
        <v>Deferred tax assets: Gross deferred tax assets</v>
      </c>
      <c r="B105" s="3"/>
      <c r="C105" s="51" t="n">
        <v>5228</v>
      </c>
      <c r="D105" s="51" t="n">
        <v>3806</v>
      </c>
      <c r="E105" s="51" t="n">
        <v>3169</v>
      </c>
      <c r="F105" s="51" t="n">
        <v>3820</v>
      </c>
      <c r="G105" s="51" t="n">
        <v>4470</v>
      </c>
      <c r="H105" s="51" t="n">
        <v>6225</v>
      </c>
      <c r="I105" s="51" t="n">
        <v>11881</v>
      </c>
      <c r="J105" s="51" t="n">
        <v>14531</v>
      </c>
      <c r="K105" s="51" t="n">
        <v>17964</v>
      </c>
      <c r="L105" s="51" t="n">
        <v>19265</v>
      </c>
      <c r="M105" s="51"/>
      <c r="N105" s="51"/>
      <c r="O105" s="51"/>
      <c r="P105" s="51"/>
      <c r="Q105" s="51"/>
      <c r="R105" s="51"/>
      <c r="S105" s="51"/>
      <c r="T105" s="51"/>
      <c r="U105" s="51"/>
      <c r="V105" s="51"/>
      <c r="W105" s="51"/>
      <c r="X105" s="51"/>
      <c r="Y105" s="51"/>
      <c r="Z105" s="51"/>
      <c r="AA105" s="51"/>
    </row>
    <row r="106" ht="22" customHeight="1">
      <c r="A106" s="49" t="str">
        <v>Deferred tax assets: Valuation allowance</v>
      </c>
      <c r="B106" s="3"/>
      <c r="C106" s="51" t="n">
        <v>-953</v>
      </c>
      <c r="D106" s="51" t="n">
        <v>-1171</v>
      </c>
      <c r="E106" s="51" t="n">
        <v>-1302</v>
      </c>
      <c r="F106" s="51" t="n">
        <v>-1534</v>
      </c>
      <c r="G106" s="51" t="n">
        <v>-1963</v>
      </c>
      <c r="H106" s="51" t="n">
        <v>-2259</v>
      </c>
      <c r="I106" s="51" t="n">
        <v>-2586</v>
      </c>
      <c r="J106" s="51" t="n">
        <v>-3047</v>
      </c>
      <c r="K106" s="51" t="n">
        <v>-13974</v>
      </c>
      <c r="L106" s="51" t="n">
        <v>-16402</v>
      </c>
      <c r="M106" s="51"/>
      <c r="N106" s="51"/>
      <c r="O106" s="51"/>
      <c r="P106" s="51"/>
      <c r="Q106" s="51"/>
      <c r="R106" s="51"/>
      <c r="S106" s="51"/>
      <c r="T106" s="51"/>
      <c r="U106" s="51"/>
      <c r="V106" s="51"/>
      <c r="W106" s="51"/>
      <c r="X106" s="51"/>
      <c r="Y106" s="51"/>
      <c r="Z106" s="51"/>
      <c r="AA106" s="51"/>
    </row>
    <row r="107" ht="22" customHeight="1">
      <c r="A107" s="49" t="str">
        <v>Deferred tax assets: Total deferred tax assets</v>
      </c>
      <c r="B107" s="3"/>
      <c r="C107" s="51" t="n">
        <v>4275</v>
      </c>
      <c r="D107" s="51" t="n">
        <v>2635</v>
      </c>
      <c r="E107" s="51" t="n">
        <v>1867</v>
      </c>
      <c r="F107" s="51" t="n">
        <v>2286</v>
      </c>
      <c r="G107" s="51" t="n">
        <v>2507</v>
      </c>
      <c r="H107" s="51" t="n">
        <v>3966</v>
      </c>
      <c r="I107" s="51" t="n">
        <v>9295</v>
      </c>
      <c r="J107" s="51" t="n">
        <v>11484</v>
      </c>
      <c r="K107" s="51" t="n">
        <v>3990</v>
      </c>
      <c r="L107" s="51" t="n">
        <v>2863</v>
      </c>
      <c r="M107" s="51"/>
      <c r="N107" s="51"/>
      <c r="O107" s="51"/>
      <c r="P107" s="51"/>
      <c r="Q107" s="51"/>
      <c r="R107" s="51"/>
      <c r="S107" s="51"/>
      <c r="T107" s="51"/>
      <c r="U107" s="51"/>
      <c r="V107" s="51"/>
      <c r="W107" s="51"/>
      <c r="X107" s="51"/>
      <c r="Y107" s="51"/>
      <c r="Z107" s="51"/>
      <c r="AA107" s="51"/>
    </row>
    <row r="108" ht="22" customHeight="1">
      <c r="A108" s="49" t="str">
        <v>Deferred tax liabilities: Property, plant and equipment</v>
      </c>
      <c r="B108" s="3"/>
      <c r="C108" s="51" t="n">
        <v>-1574</v>
      </c>
      <c r="D108" s="51" t="n">
        <v>-943</v>
      </c>
      <c r="E108" s="51" t="n">
        <v>-878</v>
      </c>
      <c r="F108" s="51" t="n">
        <v>-1807</v>
      </c>
      <c r="G108" s="51" t="n">
        <v>-3109</v>
      </c>
      <c r="H108" s="51" t="n">
        <v>-4213</v>
      </c>
      <c r="I108" s="51" t="n">
        <v>-4776</v>
      </c>
      <c r="J108" s="51"/>
      <c r="K108" s="51"/>
      <c r="L108" s="51" t="n">
        <v>-3294</v>
      </c>
      <c r="M108" s="51"/>
      <c r="N108" s="51"/>
      <c r="O108" s="51"/>
      <c r="P108" s="51"/>
      <c r="Q108" s="51"/>
      <c r="R108" s="51"/>
      <c r="S108" s="51"/>
      <c r="T108" s="51"/>
      <c r="U108" s="51"/>
      <c r="V108" s="51"/>
      <c r="W108" s="51"/>
      <c r="X108" s="51"/>
      <c r="Y108" s="51"/>
      <c r="Z108" s="51"/>
      <c r="AA108" s="51"/>
    </row>
    <row r="109" ht="22" customHeight="1">
      <c r="A109" s="49" t="str">
        <v>Deferred tax liabilities: Licenses and intangibles</v>
      </c>
      <c r="B109" s="3"/>
      <c r="C109" s="51" t="n">
        <v>-1036</v>
      </c>
      <c r="D109" s="51" t="n">
        <v>-881</v>
      </c>
      <c r="E109" s="51" t="n">
        <v>-744</v>
      </c>
      <c r="F109" s="51" t="n">
        <v>-720</v>
      </c>
      <c r="G109" s="51" t="n">
        <v>-725</v>
      </c>
      <c r="H109" s="51" t="n">
        <v>-486</v>
      </c>
      <c r="I109" s="51" t="n">
        <v>-386</v>
      </c>
      <c r="J109" s="51" t="n">
        <v>-494</v>
      </c>
      <c r="K109" s="51" t="n">
        <v>-159</v>
      </c>
      <c r="L109" s="51" t="n">
        <v>-466</v>
      </c>
      <c r="M109" s="51"/>
      <c r="N109" s="51"/>
      <c r="O109" s="51"/>
      <c r="P109" s="51"/>
      <c r="Q109" s="51"/>
      <c r="R109" s="51"/>
      <c r="S109" s="51"/>
      <c r="T109" s="51"/>
      <c r="U109" s="51"/>
      <c r="V109" s="51"/>
      <c r="W109" s="51"/>
      <c r="X109" s="51"/>
      <c r="Y109" s="51"/>
      <c r="Z109" s="51"/>
      <c r="AA109" s="51"/>
    </row>
    <row r="110" ht="22" customHeight="1">
      <c r="A110" s="49" t="str">
        <v>Deferred tax liabilities: Convertible debt</v>
      </c>
      <c r="B110" s="3"/>
      <c r="C110" s="51" t="n">
        <v>-1098</v>
      </c>
      <c r="D110" s="51" t="n">
        <v>-374</v>
      </c>
      <c r="E110" s="51" t="n">
        <v>-204</v>
      </c>
      <c r="F110" s="51" t="n">
        <v>-88</v>
      </c>
      <c r="G110" s="51" t="n">
        <v>0</v>
      </c>
      <c r="H110" s="51"/>
      <c r="I110" s="51"/>
      <c r="J110" s="51"/>
      <c r="K110" s="51"/>
      <c r="L110" s="51"/>
      <c r="M110" s="51"/>
      <c r="N110" s="51"/>
      <c r="O110" s="51"/>
      <c r="P110" s="51"/>
      <c r="Q110" s="51"/>
      <c r="R110" s="51"/>
      <c r="S110" s="51"/>
      <c r="T110" s="51"/>
      <c r="U110" s="51"/>
      <c r="V110" s="51"/>
      <c r="W110" s="51"/>
      <c r="X110" s="51"/>
      <c r="Y110" s="51"/>
      <c r="Z110" s="51"/>
      <c r="AA110" s="51"/>
    </row>
    <row r="111" ht="36" customHeight="1">
      <c r="A111" s="49" t="str">
        <v>Deferred tax liabilities: Unrealized gains on investments and derivatives</v>
      </c>
      <c r="B111" s="3"/>
      <c r="C111" s="51" t="n">
        <v>-940</v>
      </c>
      <c r="D111" s="51" t="n">
        <v>-421</v>
      </c>
      <c r="E111" s="51" t="n">
        <v>-266</v>
      </c>
      <c r="F111" s="51" t="n">
        <v>-292</v>
      </c>
      <c r="G111" s="51" t="n">
        <v>-735</v>
      </c>
      <c r="H111" s="51" t="n">
        <v>-819</v>
      </c>
      <c r="I111" s="51" t="n">
        <v>-415</v>
      </c>
      <c r="J111" s="51" t="n">
        <v>-358</v>
      </c>
      <c r="K111" s="51" t="n">
        <v>-224</v>
      </c>
      <c r="L111" s="51" t="n">
        <v>-168</v>
      </c>
      <c r="M111" s="51"/>
      <c r="N111" s="51"/>
      <c r="O111" s="51"/>
      <c r="P111" s="51"/>
      <c r="Q111" s="51"/>
      <c r="R111" s="51"/>
      <c r="S111" s="51"/>
      <c r="T111" s="51"/>
      <c r="U111" s="51"/>
      <c r="V111" s="51"/>
      <c r="W111" s="51"/>
      <c r="X111" s="51"/>
      <c r="Y111" s="51"/>
      <c r="Z111" s="51"/>
      <c r="AA111" s="51"/>
    </row>
    <row r="112" ht="36" customHeight="1">
      <c r="A112" s="49" t="str">
        <v>Deferred tax liabilities: Investment in non-U.S. subsidiaries</v>
      </c>
      <c r="B112" s="3"/>
      <c r="C112" s="51" t="n">
        <v>0</v>
      </c>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ht="22" customHeight="1">
      <c r="A113" s="49" t="str">
        <v>Deferred tax liabilities: Other, net</v>
      </c>
      <c r="B113" s="3"/>
      <c r="C113" s="51" t="n">
        <v>-450</v>
      </c>
      <c r="D113" s="51" t="n">
        <v>-373</v>
      </c>
      <c r="E113" s="51" t="n">
        <v>-318</v>
      </c>
      <c r="F113" s="51" t="n">
        <v>-214</v>
      </c>
      <c r="G113" s="51" t="n">
        <v>-146</v>
      </c>
      <c r="H113" s="51" t="n">
        <v>-241</v>
      </c>
      <c r="I113" s="51" t="n">
        <v>-470</v>
      </c>
      <c r="J113" s="51" t="n">
        <v>-203</v>
      </c>
      <c r="K113" s="51" t="n">
        <v>-403</v>
      </c>
      <c r="L113" s="51" t="n">
        <v>-51</v>
      </c>
      <c r="M113" s="51"/>
      <c r="N113" s="51"/>
      <c r="O113" s="51"/>
      <c r="P113" s="51"/>
      <c r="Q113" s="51"/>
      <c r="R113" s="51"/>
      <c r="S113" s="51"/>
      <c r="T113" s="51"/>
      <c r="U113" s="51"/>
      <c r="V113" s="51"/>
      <c r="W113" s="51"/>
      <c r="X113" s="51"/>
      <c r="Y113" s="51"/>
      <c r="Z113" s="51"/>
      <c r="AA113" s="51"/>
    </row>
    <row r="114" ht="22" customHeight="1">
      <c r="A114" s="49" t="str">
        <v>Deferred tax liabilities: Total deferred tax liabilities</v>
      </c>
      <c r="B114" s="3"/>
      <c r="C114" s="51" t="n">
        <v>-5098</v>
      </c>
      <c r="D114" s="51" t="n">
        <v>-4842</v>
      </c>
      <c r="E114" s="51" t="n">
        <v>-2410</v>
      </c>
      <c r="F114" s="51" t="n">
        <v>-3121</v>
      </c>
      <c r="G114" s="51" t="n">
        <v>-5118</v>
      </c>
      <c r="H114" s="51" t="n">
        <v>-5759</v>
      </c>
      <c r="I114" s="51" t="n">
        <v>-6047</v>
      </c>
      <c r="J114" s="51" t="n">
        <v>-6211</v>
      </c>
      <c r="K114" s="51" t="n">
        <v>-4849</v>
      </c>
      <c r="L114" s="51" t="n">
        <v>-3979</v>
      </c>
      <c r="M114" s="51"/>
      <c r="N114" s="51"/>
      <c r="O114" s="51"/>
      <c r="P114" s="51"/>
      <c r="Q114" s="51"/>
      <c r="R114" s="51"/>
      <c r="S114" s="51"/>
      <c r="T114" s="51"/>
      <c r="U114" s="51"/>
      <c r="V114" s="51"/>
      <c r="W114" s="51"/>
      <c r="X114" s="51"/>
      <c r="Y114" s="51"/>
      <c r="Z114" s="51"/>
      <c r="AA114" s="51"/>
    </row>
    <row r="115" ht="36" customHeight="1">
      <c r="A115" s="49" t="str">
        <v>Deferred tax liabilities: Net deferred tax assets (liabilities)</v>
      </c>
      <c r="B115" s="3"/>
      <c r="C115" s="51" t="n">
        <v>-823</v>
      </c>
      <c r="D115" s="51" t="n">
        <v>-2207</v>
      </c>
      <c r="E115" s="51" t="n">
        <v>-543</v>
      </c>
      <c r="F115" s="51" t="n">
        <v>-835</v>
      </c>
      <c r="G115" s="51" t="n">
        <v>-2611</v>
      </c>
      <c r="H115" s="51" t="n">
        <v>-1793</v>
      </c>
      <c r="I115" s="51" t="n">
        <v>3248</v>
      </c>
      <c r="J115" s="51" t="n">
        <v>5273</v>
      </c>
      <c r="K115" s="51" t="n">
        <v>-859</v>
      </c>
      <c r="L115" s="51" t="n">
        <v>-1116</v>
      </c>
      <c r="M115" s="51"/>
      <c r="N115" s="51"/>
      <c r="O115" s="51"/>
      <c r="P115" s="51"/>
      <c r="Q115" s="51"/>
      <c r="R115" s="51"/>
      <c r="S115" s="51"/>
      <c r="T115" s="51"/>
      <c r="U115" s="51"/>
      <c r="V115" s="51"/>
      <c r="W115" s="51"/>
      <c r="X115" s="51"/>
      <c r="Y115" s="51"/>
      <c r="Z115" s="51"/>
      <c r="AA115" s="51"/>
    </row>
    <row r="116" ht="22" customHeight="1">
      <c r="A116" s="49" t="str">
        <v>Reported as: Deferred tax assets</v>
      </c>
      <c r="B116" s="3"/>
      <c r="C116" s="51" t="n">
        <v>907</v>
      </c>
      <c r="D116" s="51" t="n">
        <v>840</v>
      </c>
      <c r="E116" s="51" t="n">
        <v>1122</v>
      </c>
      <c r="F116" s="51" t="n">
        <v>1209</v>
      </c>
      <c r="G116" s="51" t="n">
        <v>1232</v>
      </c>
      <c r="H116" s="51" t="n">
        <v>874</v>
      </c>
      <c r="I116" s="51" t="n">
        <v>3450</v>
      </c>
      <c r="J116" s="51" t="n">
        <v>5459</v>
      </c>
      <c r="K116" s="51" t="n">
        <v>603</v>
      </c>
      <c r="L116" s="51" t="n">
        <v>570</v>
      </c>
      <c r="M116" s="51"/>
      <c r="N116" s="51"/>
      <c r="O116" s="51"/>
      <c r="P116" s="51"/>
      <c r="Q116" s="51"/>
      <c r="R116" s="51"/>
      <c r="S116" s="51"/>
      <c r="T116" s="51"/>
      <c r="U116" s="51"/>
      <c r="V116" s="51"/>
      <c r="W116" s="51"/>
      <c r="X116" s="51"/>
      <c r="Y116" s="51"/>
      <c r="Z116" s="51"/>
      <c r="AA116" s="51"/>
    </row>
    <row r="117" ht="22" customHeight="1">
      <c r="A117" s="49" t="str">
        <v>Reported as: Deferred tax liabilities</v>
      </c>
      <c r="B117" s="3"/>
      <c r="C117" s="51" t="n">
        <v>-1730</v>
      </c>
      <c r="D117" s="51" t="n">
        <v>-3046</v>
      </c>
      <c r="E117" s="51" t="n">
        <v>-1665</v>
      </c>
      <c r="F117" s="51" t="n">
        <v>-2044</v>
      </c>
      <c r="G117" s="51" t="n">
        <v>-3843</v>
      </c>
      <c r="H117" s="51" t="n">
        <v>-2667</v>
      </c>
      <c r="I117" s="51" t="n">
        <v>-202</v>
      </c>
      <c r="J117" s="51" t="n">
        <v>-186</v>
      </c>
      <c r="K117" s="51" t="n">
        <v>-1462</v>
      </c>
      <c r="L117" s="51" t="n">
        <v>-1686</v>
      </c>
      <c r="M117" s="51"/>
      <c r="N117" s="51"/>
      <c r="O117" s="51"/>
      <c r="P117" s="51"/>
      <c r="Q117" s="51"/>
      <c r="R117" s="51"/>
      <c r="S117" s="51"/>
      <c r="T117" s="51"/>
      <c r="U117" s="51"/>
      <c r="V117" s="51"/>
      <c r="W117" s="51"/>
      <c r="X117" s="51"/>
      <c r="Y117" s="51"/>
      <c r="Z117" s="51"/>
      <c r="AA117" s="51"/>
    </row>
    <row r="118" ht="22" customHeight="1">
      <c r="A118" s="49" t="str">
        <v>Reported as: Net deferred tax assets (liabilities)</v>
      </c>
      <c r="B118" s="3"/>
      <c r="C118" s="51" t="n">
        <v>-823</v>
      </c>
      <c r="D118" s="51" t="n">
        <v>-2207</v>
      </c>
      <c r="E118" s="51" t="n">
        <v>-543</v>
      </c>
      <c r="F118" s="51" t="n">
        <v>-835</v>
      </c>
      <c r="G118" s="51" t="n">
        <v>-2611</v>
      </c>
      <c r="H118" s="51" t="n">
        <v>-1793</v>
      </c>
      <c r="I118" s="51" t="n">
        <v>3248</v>
      </c>
      <c r="J118" s="51" t="n">
        <v>5273</v>
      </c>
      <c r="K118" s="51" t="n">
        <v>-859</v>
      </c>
      <c r="L118" s="51" t="n">
        <v>-1116</v>
      </c>
      <c r="M118" s="51"/>
      <c r="N118" s="51"/>
      <c r="O118" s="51"/>
      <c r="P118" s="51"/>
      <c r="Q118" s="51"/>
      <c r="R118" s="51"/>
      <c r="S118" s="51"/>
      <c r="T118" s="51"/>
      <c r="U118" s="51"/>
      <c r="V118" s="51"/>
      <c r="W118" s="51"/>
      <c r="X118" s="51"/>
      <c r="Y118" s="51"/>
      <c r="Z118" s="51"/>
      <c r="AA118" s="51"/>
    </row>
    <row r="119" ht="22" customHeight="1">
      <c r="A119" s="49" t="str">
        <v>Deferred tax liabilities: Transition tax</v>
      </c>
      <c r="B119" s="3"/>
      <c r="C119" s="51"/>
      <c r="D119" s="51" t="n">
        <v>-1850</v>
      </c>
      <c r="E119" s="51" t="n">
        <v>0</v>
      </c>
      <c r="F119" s="51"/>
      <c r="G119" s="51"/>
      <c r="H119" s="51"/>
      <c r="I119" s="51"/>
      <c r="J119" s="51"/>
      <c r="K119" s="51"/>
      <c r="L119" s="51"/>
      <c r="M119" s="51"/>
      <c r="N119" s="51"/>
      <c r="O119" s="51"/>
      <c r="P119" s="51"/>
      <c r="Q119" s="51"/>
      <c r="R119" s="51"/>
      <c r="S119" s="51"/>
      <c r="T119" s="51"/>
      <c r="U119" s="51"/>
      <c r="V119" s="51"/>
      <c r="W119" s="51"/>
      <c r="X119" s="51"/>
      <c r="Y119" s="51"/>
      <c r="Z119" s="51"/>
      <c r="AA119" s="51"/>
    </row>
    <row r="120" ht="36" customHeight="1">
      <c r="A120" s="49" t="str">
        <v>Deferred tax liabilities: Unremitted earnings of non-U.S. subsidiaries</v>
      </c>
      <c r="B120" s="3"/>
      <c r="C120" s="51"/>
      <c r="D120" s="51"/>
      <c r="E120" s="51"/>
      <c r="F120" s="51"/>
      <c r="G120" s="51" t="n">
        <v>-403</v>
      </c>
      <c r="H120" s="51"/>
      <c r="I120" s="51"/>
      <c r="J120" s="51"/>
      <c r="K120" s="51"/>
      <c r="L120" s="51"/>
      <c r="M120" s="51"/>
      <c r="N120" s="51"/>
      <c r="O120" s="51"/>
      <c r="P120" s="51"/>
      <c r="Q120" s="51"/>
      <c r="R120" s="51"/>
      <c r="S120" s="51"/>
      <c r="T120" s="51"/>
      <c r="U120" s="51"/>
      <c r="V120" s="51"/>
      <c r="W120" s="51"/>
      <c r="X120" s="51"/>
      <c r="Y120" s="51"/>
      <c r="Z120" s="51"/>
      <c r="AA120" s="51"/>
    </row>
    <row r="121" ht="22" customHeight="1">
      <c r="A121" s="49" t="str">
        <v>Deferred tax assets: Litigation charge</v>
      </c>
      <c r="B121" s="3"/>
      <c r="C121" s="51"/>
      <c r="D121" s="51"/>
      <c r="E121" s="51"/>
      <c r="F121" s="51"/>
      <c r="G121" s="51"/>
      <c r="H121" s="51" t="n">
        <v>467</v>
      </c>
      <c r="I121" s="51" t="n">
        <v>470</v>
      </c>
      <c r="J121" s="51" t="n">
        <v>308</v>
      </c>
      <c r="K121" s="51" t="n">
        <v>447</v>
      </c>
      <c r="L121" s="51" t="n">
        <v>320</v>
      </c>
      <c r="M121" s="51"/>
      <c r="N121" s="51"/>
      <c r="O121" s="51"/>
      <c r="P121" s="51"/>
      <c r="Q121" s="51"/>
      <c r="R121" s="51"/>
      <c r="S121" s="51"/>
      <c r="T121" s="51"/>
      <c r="U121" s="51"/>
      <c r="V121" s="51"/>
      <c r="W121" s="51"/>
      <c r="X121" s="51"/>
      <c r="Y121" s="51"/>
      <c r="Z121" s="51"/>
      <c r="AA121" s="51"/>
    </row>
    <row r="122" ht="22" customHeight="1">
      <c r="A122" s="49" t="str">
        <v>Deferred tax assets: R&amp;D expenditures capitalization</v>
      </c>
      <c r="B122" s="3"/>
      <c r="C122" s="51"/>
      <c r="D122" s="51"/>
      <c r="E122" s="51"/>
      <c r="F122" s="51"/>
      <c r="G122" s="51"/>
      <c r="H122" s="51" t="n">
        <v>519</v>
      </c>
      <c r="I122" s="51" t="n">
        <v>5067</v>
      </c>
      <c r="J122" s="51" t="n">
        <v>7726</v>
      </c>
      <c r="K122" s="51" t="n">
        <v>10709</v>
      </c>
      <c r="L122" s="51" t="n">
        <v>12203</v>
      </c>
      <c r="M122" s="51"/>
      <c r="N122" s="51"/>
      <c r="O122" s="51"/>
      <c r="P122" s="51"/>
      <c r="Q122" s="51"/>
      <c r="R122" s="51"/>
      <c r="S122" s="51"/>
      <c r="T122" s="51"/>
      <c r="U122" s="51"/>
      <c r="V122" s="51"/>
      <c r="W122" s="51"/>
      <c r="X122" s="51"/>
      <c r="Y122" s="51"/>
      <c r="Z122" s="51"/>
      <c r="AA122" s="51"/>
    </row>
    <row r="123" ht="36" customHeight="1">
      <c r="A123" s="49" t="str">
        <v>Deferred tax liabilities: Unremitted earnings of non-US subsidiaries</v>
      </c>
      <c r="B123" s="3"/>
      <c r="C123" s="51"/>
      <c r="D123" s="51"/>
      <c r="E123" s="51"/>
      <c r="F123" s="51"/>
      <c r="G123" s="51"/>
      <c r="H123" s="51" t="n">
        <v>0</v>
      </c>
      <c r="I123" s="51"/>
      <c r="J123" s="51"/>
      <c r="K123" s="51"/>
      <c r="L123" s="51"/>
      <c r="M123" s="51"/>
      <c r="N123" s="51"/>
      <c r="O123" s="51"/>
      <c r="P123" s="51"/>
      <c r="Q123" s="51"/>
      <c r="R123" s="51"/>
      <c r="S123" s="51"/>
      <c r="T123" s="51"/>
      <c r="U123" s="51"/>
      <c r="V123" s="51"/>
      <c r="W123" s="51"/>
      <c r="X123" s="51"/>
      <c r="Y123" s="51"/>
      <c r="Z123" s="51"/>
      <c r="AA123" s="51"/>
    </row>
    <row r="124" ht="22" customHeight="1">
      <c r="A124" s="49" t="str">
        <v>Deferred tax liabilities: Property, plant, and equipment</v>
      </c>
      <c r="B124" s="3"/>
      <c r="C124" s="51"/>
      <c r="D124" s="51"/>
      <c r="E124" s="51"/>
      <c r="F124" s="51"/>
      <c r="G124" s="51"/>
      <c r="H124" s="51"/>
      <c r="I124" s="51"/>
      <c r="J124" s="51" t="n">
        <v>-5156</v>
      </c>
      <c r="K124" s="51" t="n">
        <v>-4063</v>
      </c>
      <c r="L124" s="51"/>
      <c r="M124" s="51"/>
      <c r="N124" s="51"/>
      <c r="O124" s="51"/>
      <c r="P124" s="51"/>
      <c r="Q124" s="51"/>
      <c r="R124" s="51"/>
      <c r="S124" s="51"/>
      <c r="T124" s="51"/>
      <c r="U124" s="51"/>
      <c r="V124" s="51"/>
      <c r="W124" s="51"/>
      <c r="X124" s="51"/>
      <c r="Y124" s="51"/>
      <c r="Z124" s="51"/>
      <c r="AA124" s="51"/>
    </row>
    <row r="125" ht="8"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22" customHeight="1">
      <c r="A126" s="21" t="str">
        <v>Restructuring and other charges</v>
      </c>
      <c r="B126" s="21" t="str">
        <v>Restructuring and other charges</v>
      </c>
      <c r="C126" s="21" t="str">
        <v>Restructuring and other charges</v>
      </c>
      <c r="D126" s="21" t="str">
        <v>Restructuring and other charges</v>
      </c>
      <c r="E126" s="21" t="str">
        <v>Restructuring and other charges</v>
      </c>
      <c r="F126" s="21" t="str">
        <v>Restructuring and other charges</v>
      </c>
      <c r="G126" s="21" t="str">
        <v>Restructuring and other charges</v>
      </c>
      <c r="H126" s="21" t="str">
        <v>Restructuring and other charges</v>
      </c>
      <c r="I126" s="21" t="str">
        <v>Restructuring and other charges</v>
      </c>
      <c r="J126" s="21" t="str">
        <v>Restructuring and other charges</v>
      </c>
      <c r="K126" s="21" t="str">
        <v>Restructuring and other charges</v>
      </c>
      <c r="L126" s="21" t="str">
        <v>Restructuring and other charges</v>
      </c>
      <c r="M126" s="21" t="str">
        <v>Restructuring and other charges</v>
      </c>
      <c r="N126" s="21" t="str">
        <v>Restructuring and other charges</v>
      </c>
      <c r="O126" s="21" t="str">
        <v>Restructuring and other charges</v>
      </c>
      <c r="P126" s="21" t="str">
        <v>Restructuring and other charges</v>
      </c>
      <c r="Q126" s="21" t="str">
        <v>Restructuring and other charges</v>
      </c>
      <c r="R126" s="21" t="str">
        <v>Restructuring and other charges</v>
      </c>
      <c r="S126" s="21" t="str">
        <v>Restructuring and other charges</v>
      </c>
      <c r="T126" s="21" t="str">
        <v>Restructuring and other charges</v>
      </c>
      <c r="U126" s="21" t="str">
        <v>Restructuring and other charges</v>
      </c>
      <c r="V126" s="21" t="str">
        <v>Restructuring and other charges</v>
      </c>
      <c r="W126" s="21" t="str">
        <v>Restructuring and other charges</v>
      </c>
      <c r="X126" s="21" t="str">
        <v>Restructuring and other charges</v>
      </c>
      <c r="Y126" s="21" t="str">
        <v>Restructuring and other charges</v>
      </c>
      <c r="Z126" s="21" t="str">
        <v>Restructuring and other charges</v>
      </c>
      <c r="AA126" s="21" t="str">
        <v>Restructuring and other charges</v>
      </c>
    </row>
    <row r="127" ht="36" customHeight="1">
      <c r="A127" s="49" t="str">
        <v>Cash payments [Employee Severance and Benefit Arrangements]</v>
      </c>
      <c r="B127" s="3"/>
      <c r="C127" s="51"/>
      <c r="D127" s="51"/>
      <c r="E127" s="51"/>
      <c r="F127" s="51"/>
      <c r="G127" s="51"/>
      <c r="H127" s="51"/>
      <c r="I127" s="51"/>
      <c r="J127" s="51" t="n">
        <v>-1013</v>
      </c>
      <c r="K127" s="51"/>
      <c r="L127" s="51"/>
      <c r="M127" s="51"/>
      <c r="N127" s="51"/>
      <c r="O127" s="51"/>
      <c r="P127" s="51"/>
      <c r="Q127" s="51"/>
      <c r="R127" s="51"/>
      <c r="S127" s="51"/>
      <c r="T127" s="51"/>
      <c r="U127" s="51"/>
      <c r="V127" s="51"/>
      <c r="W127" s="51"/>
      <c r="X127" s="51"/>
      <c r="Y127" s="51"/>
      <c r="Z127" s="51"/>
      <c r="AA127" s="51"/>
    </row>
    <row r="128" ht="22" customHeight="1">
      <c r="A128" s="49" t="str">
        <v>Employee severance and benefit arrangements</v>
      </c>
      <c r="B128" s="3"/>
      <c r="C128" s="51"/>
      <c r="D128" s="51"/>
      <c r="E128" s="51"/>
      <c r="F128" s="51"/>
      <c r="G128" s="51"/>
      <c r="H128" s="51" t="n">
        <v>48</v>
      </c>
      <c r="I128" s="51" t="n">
        <v>1038</v>
      </c>
      <c r="J128" s="51" t="n">
        <v>222</v>
      </c>
      <c r="K128" s="51" t="n">
        <v>2481</v>
      </c>
      <c r="L128" s="51" t="n">
        <v>1790</v>
      </c>
      <c r="M128" s="51"/>
      <c r="N128" s="51" t="n">
        <v>-39</v>
      </c>
      <c r="O128" s="51" t="n">
        <v>171</v>
      </c>
      <c r="P128" s="51" t="n">
        <v>59</v>
      </c>
      <c r="Q128" s="51"/>
      <c r="R128" s="51" t="n">
        <v>129</v>
      </c>
      <c r="S128" s="51" t="n">
        <v>165</v>
      </c>
      <c r="T128" s="51" t="n">
        <v>2193</v>
      </c>
      <c r="U128" s="51"/>
      <c r="V128" s="51" t="n">
        <v>142</v>
      </c>
      <c r="W128" s="51" t="n">
        <v>1466</v>
      </c>
      <c r="X128" s="51" t="n">
        <v>146</v>
      </c>
      <c r="Y128" s="51"/>
      <c r="Z128" s="51" t="n">
        <v>74</v>
      </c>
      <c r="AA128" s="51" t="n">
        <v>161</v>
      </c>
    </row>
    <row r="129" ht="22" customHeight="1">
      <c r="A129" s="49" t="str">
        <v>Litigation charges and other</v>
      </c>
      <c r="B129" s="3"/>
      <c r="C129" s="51"/>
      <c r="D129" s="51"/>
      <c r="E129" s="51"/>
      <c r="F129" s="51"/>
      <c r="G129" s="51"/>
      <c r="H129" s="51" t="n">
        <v>2291</v>
      </c>
      <c r="I129" s="51" t="n">
        <v>-1187</v>
      </c>
      <c r="J129" s="51" t="n">
        <v>-329</v>
      </c>
      <c r="K129" s="51" t="n">
        <v>858</v>
      </c>
      <c r="L129" s="51" t="n">
        <v>-121</v>
      </c>
      <c r="M129" s="51"/>
      <c r="N129" s="51" t="n">
        <v>77</v>
      </c>
      <c r="O129" s="51" t="n">
        <v>20</v>
      </c>
      <c r="P129" s="51" t="n">
        <v>757</v>
      </c>
      <c r="Q129" s="51"/>
      <c r="R129" s="51" t="n">
        <v>0</v>
      </c>
      <c r="S129" s="51" t="n">
        <v>778</v>
      </c>
      <c r="T129" s="51" t="n">
        <v>36</v>
      </c>
      <c r="U129" s="51"/>
      <c r="V129" s="51" t="n">
        <v>11</v>
      </c>
      <c r="W129" s="51" t="n">
        <v>8</v>
      </c>
      <c r="X129" s="51" t="n">
        <v>33</v>
      </c>
      <c r="Y129" s="51"/>
      <c r="Z129" s="51" t="n">
        <v>31</v>
      </c>
      <c r="AA129" s="51" t="n">
        <v>7</v>
      </c>
    </row>
    <row r="130" ht="22" customHeight="1">
      <c r="A130" s="49" t="str">
        <v>Asset impairment charges</v>
      </c>
      <c r="B130" s="3"/>
      <c r="C130" s="51"/>
      <c r="D130" s="51"/>
      <c r="E130" s="51"/>
      <c r="F130" s="51"/>
      <c r="G130" s="51"/>
      <c r="H130" s="51" t="n">
        <v>287</v>
      </c>
      <c r="I130" s="51" t="n">
        <v>151</v>
      </c>
      <c r="J130" s="51" t="n">
        <v>45</v>
      </c>
      <c r="K130" s="51" t="n">
        <v>3631</v>
      </c>
      <c r="L130" s="51" t="n">
        <v>522</v>
      </c>
      <c r="M130" s="51"/>
      <c r="N130" s="51" t="n">
        <v>26</v>
      </c>
      <c r="O130" s="51" t="n">
        <v>9</v>
      </c>
      <c r="P130" s="51" t="n">
        <v>0</v>
      </c>
      <c r="Q130" s="51"/>
      <c r="R130" s="51" t="n">
        <v>219</v>
      </c>
      <c r="S130" s="51" t="n">
        <v>0</v>
      </c>
      <c r="T130" s="51" t="n">
        <v>3393</v>
      </c>
      <c r="U130" s="51"/>
      <c r="V130" s="51" t="n">
        <v>3</v>
      </c>
      <c r="W130" s="51" t="n">
        <v>416</v>
      </c>
      <c r="X130" s="51" t="n">
        <v>-4</v>
      </c>
      <c r="Y130" s="51"/>
      <c r="Z130" s="51" t="n">
        <v>3965</v>
      </c>
      <c r="AA130" s="51" t="n">
        <v>2</v>
      </c>
    </row>
    <row r="131" ht="24" customHeight="1">
      <c r="A131" s="34" t="str">
        <v>Total restructuring and other charges</v>
      </c>
      <c r="B131" s="35"/>
      <c r="C131" s="36"/>
      <c r="D131" s="36"/>
      <c r="E131" s="36"/>
      <c r="F131" s="36"/>
      <c r="G131" s="36"/>
      <c r="H131" s="36" t="n">
        <v>2626</v>
      </c>
      <c r="I131" s="36" t="n">
        <v>2</v>
      </c>
      <c r="J131" s="36" t="n">
        <v>-62</v>
      </c>
      <c r="K131" s="36" t="n">
        <v>6970</v>
      </c>
      <c r="L131" s="36" t="n">
        <v>2191</v>
      </c>
      <c r="M131" s="36"/>
      <c r="N131" s="36" t="n">
        <v>64</v>
      </c>
      <c r="O131" s="36" t="n">
        <v>200</v>
      </c>
      <c r="P131" s="36" t="n">
        <v>816</v>
      </c>
      <c r="Q131" s="36"/>
      <c r="R131" s="36" t="n">
        <v>348</v>
      </c>
      <c r="S131" s="36" t="n">
        <v>943</v>
      </c>
      <c r="T131" s="36" t="n">
        <v>5622</v>
      </c>
      <c r="U131" s="36"/>
      <c r="V131" s="36" t="n">
        <v>156</v>
      </c>
      <c r="W131" s="36" t="n">
        <v>1890</v>
      </c>
      <c r="X131" s="36" t="n">
        <v>175</v>
      </c>
      <c r="Y131" s="36"/>
      <c r="Z131" s="36" t="n">
        <v>4070</v>
      </c>
      <c r="AA131" s="36" t="n">
        <v>170</v>
      </c>
    </row>
    <row r="132" ht="22" customHeight="1">
      <c r="A132" s="49" t="str">
        <v>Accruals and adjustments</v>
      </c>
      <c r="B132" s="3"/>
      <c r="C132" s="51"/>
      <c r="D132" s="51"/>
      <c r="E132" s="51"/>
      <c r="F132" s="51"/>
      <c r="G132" s="51"/>
      <c r="H132" s="51"/>
      <c r="I132" s="51"/>
      <c r="J132" s="51" t="n">
        <v>222</v>
      </c>
      <c r="K132" s="51"/>
      <c r="L132" s="51"/>
      <c r="M132" s="51"/>
      <c r="N132" s="51"/>
      <c r="O132" s="51"/>
      <c r="P132" s="51"/>
      <c r="Q132" s="51"/>
      <c r="R132" s="51"/>
      <c r="S132" s="51"/>
      <c r="T132" s="51"/>
      <c r="U132" s="51"/>
      <c r="V132" s="51"/>
      <c r="W132" s="51"/>
      <c r="X132" s="51"/>
      <c r="Y132" s="51"/>
      <c r="Z132" s="51"/>
      <c r="AA132" s="51"/>
    </row>
    <row r="133" ht="36" customHeight="1">
      <c r="A133" s="49" t="str">
        <v>Accrued restructuring balance as of September 30, 2023 [balance]</v>
      </c>
      <c r="B133" s="3"/>
      <c r="C133" s="51"/>
      <c r="D133" s="51"/>
      <c r="E133" s="51"/>
      <c r="F133" s="51"/>
      <c r="G133" s="51"/>
      <c r="H133" s="51"/>
      <c r="I133" s="51"/>
      <c r="J133" s="51"/>
      <c r="K133" s="51"/>
      <c r="L133" s="51"/>
      <c r="M133" s="51"/>
      <c r="N133" s="51"/>
      <c r="O133" s="51"/>
      <c r="P133" s="51" t="n">
        <v>136</v>
      </c>
      <c r="Q133" s="51"/>
      <c r="R133" s="51"/>
      <c r="S133" s="51"/>
      <c r="T133" s="51"/>
      <c r="U133" s="51"/>
      <c r="V133" s="51"/>
      <c r="W133" s="51"/>
      <c r="X133" s="51"/>
      <c r="Y133" s="51"/>
      <c r="Z133" s="51"/>
      <c r="AA133" s="51"/>
    </row>
    <row r="134" ht="36" customHeight="1">
      <c r="A134" s="49" t="str">
        <v>Accrued restructuring balance as of December 30, 2023 [balance]</v>
      </c>
      <c r="B134" s="3"/>
      <c r="C134" s="51"/>
      <c r="D134" s="51"/>
      <c r="E134" s="51"/>
      <c r="F134" s="51"/>
      <c r="G134" s="51"/>
      <c r="H134" s="51"/>
      <c r="I134" s="51"/>
      <c r="J134" s="51" t="n">
        <v>82</v>
      </c>
      <c r="K134" s="51"/>
      <c r="L134" s="51"/>
      <c r="M134" s="51"/>
      <c r="N134" s="51"/>
      <c r="O134" s="51"/>
      <c r="P134" s="51"/>
      <c r="Q134" s="51"/>
      <c r="R134" s="51"/>
      <c r="S134" s="51"/>
      <c r="T134" s="51"/>
      <c r="U134" s="51"/>
      <c r="V134" s="51"/>
      <c r="W134" s="51"/>
      <c r="X134" s="51"/>
      <c r="Y134" s="51"/>
      <c r="Z134" s="51"/>
      <c r="AA134" s="51"/>
    </row>
    <row r="135" ht="36" customHeight="1">
      <c r="A135" s="49" t="str">
        <v>Accrued restructuring balance as of March 29, 2025 [balance]</v>
      </c>
      <c r="B135" s="3"/>
      <c r="C135" s="51"/>
      <c r="D135" s="51"/>
      <c r="E135" s="51"/>
      <c r="F135" s="51"/>
      <c r="G135" s="51"/>
      <c r="H135" s="51"/>
      <c r="I135" s="51"/>
      <c r="J135" s="51"/>
      <c r="K135" s="51"/>
      <c r="L135" s="51"/>
      <c r="M135" s="51"/>
      <c r="N135" s="51"/>
      <c r="O135" s="51"/>
      <c r="P135" s="51"/>
      <c r="Q135" s="51"/>
      <c r="R135" s="51"/>
      <c r="S135" s="51"/>
      <c r="T135" s="51"/>
      <c r="U135" s="51"/>
      <c r="V135" s="51" t="n">
        <v>165</v>
      </c>
      <c r="W135" s="51"/>
      <c r="X135" s="51"/>
      <c r="Y135" s="51"/>
      <c r="Z135" s="51"/>
      <c r="AA135" s="51"/>
    </row>
    <row r="136" ht="36" customHeight="1">
      <c r="A136" s="49" t="str">
        <v>Accrued restructuring balance as of June 28, 2025 [balance] [2025 Restructuring Plan]</v>
      </c>
      <c r="B136" s="3"/>
      <c r="C136" s="51"/>
      <c r="D136" s="51"/>
      <c r="E136" s="51"/>
      <c r="F136" s="51"/>
      <c r="G136" s="51"/>
      <c r="H136" s="51"/>
      <c r="I136" s="51"/>
      <c r="J136" s="51"/>
      <c r="K136" s="51"/>
      <c r="L136" s="51"/>
      <c r="M136" s="51"/>
      <c r="N136" s="51"/>
      <c r="O136" s="51"/>
      <c r="P136" s="51"/>
      <c r="Q136" s="51"/>
      <c r="R136" s="51"/>
      <c r="S136" s="51"/>
      <c r="T136" s="51"/>
      <c r="U136" s="51"/>
      <c r="V136" s="51"/>
      <c r="W136" s="51" t="n">
        <v>1350</v>
      </c>
      <c r="X136" s="51"/>
      <c r="Y136" s="51"/>
      <c r="Z136" s="51"/>
      <c r="AA136" s="51"/>
    </row>
    <row r="137" ht="36" customHeight="1">
      <c r="A137" s="49" t="str">
        <v>Accrued restructuring balance as of June 28, 2025 [balance] [2024 Restructuring Plan]</v>
      </c>
      <c r="B137" s="3"/>
      <c r="C137" s="51"/>
      <c r="D137" s="51"/>
      <c r="E137" s="51"/>
      <c r="F137" s="51"/>
      <c r="G137" s="51"/>
      <c r="H137" s="51"/>
      <c r="I137" s="51"/>
      <c r="J137" s="51"/>
      <c r="K137" s="51"/>
      <c r="L137" s="51"/>
      <c r="M137" s="51"/>
      <c r="N137" s="51"/>
      <c r="O137" s="51"/>
      <c r="P137" s="51"/>
      <c r="Q137" s="51"/>
      <c r="R137" s="51"/>
      <c r="S137" s="51"/>
      <c r="T137" s="51"/>
      <c r="U137" s="51"/>
      <c r="V137" s="51"/>
      <c r="W137" s="51" t="n">
        <v>80</v>
      </c>
      <c r="X137" s="51"/>
      <c r="Y137" s="51"/>
      <c r="Z137" s="51"/>
      <c r="AA137" s="51"/>
    </row>
    <row r="138" ht="36" customHeight="1">
      <c r="A138" s="49" t="str">
        <v>Accrued restructuring balance as of September 27, 2025 [balance] [2025 Restructuring Plan]</v>
      </c>
      <c r="B138" s="3"/>
      <c r="C138" s="51"/>
      <c r="D138" s="51"/>
      <c r="E138" s="51"/>
      <c r="F138" s="51"/>
      <c r="G138" s="51"/>
      <c r="H138" s="51"/>
      <c r="I138" s="51"/>
      <c r="J138" s="51"/>
      <c r="K138" s="51"/>
      <c r="L138" s="51"/>
      <c r="M138" s="51"/>
      <c r="N138" s="51"/>
      <c r="O138" s="51"/>
      <c r="P138" s="51"/>
      <c r="Q138" s="51"/>
      <c r="R138" s="51"/>
      <c r="S138" s="51"/>
      <c r="T138" s="51"/>
      <c r="U138" s="51"/>
      <c r="V138" s="51"/>
      <c r="W138" s="51"/>
      <c r="X138" s="51" t="n">
        <v>605</v>
      </c>
      <c r="Y138" s="51"/>
      <c r="Z138" s="51"/>
      <c r="AA138" s="51"/>
    </row>
    <row r="139" ht="36" customHeight="1">
      <c r="A139" s="49" t="str">
        <v>Accrued restructuring balance as of September 27, 2025 [balance] [2024 Restructuring Plan]</v>
      </c>
      <c r="B139" s="3"/>
      <c r="C139" s="51"/>
      <c r="D139" s="51"/>
      <c r="E139" s="51"/>
      <c r="F139" s="51"/>
      <c r="G139" s="51"/>
      <c r="H139" s="51"/>
      <c r="I139" s="51"/>
      <c r="J139" s="51"/>
      <c r="K139" s="51"/>
      <c r="L139" s="51"/>
      <c r="M139" s="51"/>
      <c r="N139" s="51"/>
      <c r="O139" s="51"/>
      <c r="P139" s="51"/>
      <c r="Q139" s="51"/>
      <c r="R139" s="51"/>
      <c r="S139" s="51"/>
      <c r="T139" s="51"/>
      <c r="U139" s="51"/>
      <c r="V139" s="51"/>
      <c r="W139" s="51"/>
      <c r="X139" s="51" t="n">
        <v>36</v>
      </c>
      <c r="Y139" s="51"/>
      <c r="Z139" s="51"/>
      <c r="AA139" s="51"/>
    </row>
    <row r="140" ht="36" customHeight="1">
      <c r="A140" s="49" t="str">
        <v>Accrued restructuring balance as of March 28, 2026 [balance]</v>
      </c>
      <c r="B140" s="3"/>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t="n">
        <v>283</v>
      </c>
      <c r="AA140" s="51"/>
    </row>
    <row r="141" ht="36" customHeight="1">
      <c r="A141" s="49" t="str">
        <v>Accrued restructuring balance as of June 27, 2026 [balance]</v>
      </c>
      <c r="B141" s="3"/>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t="n">
        <v>302</v>
      </c>
    </row>
    <row r="142" ht="22" customHeight="1">
      <c r="A142" s="49" t="str">
        <v>2016 Restructuring Program [2016_restructuring_program]</v>
      </c>
      <c r="B142" s="3"/>
      <c r="C142" s="51" t="n">
        <v>1823</v>
      </c>
      <c r="D142" s="51" t="n">
        <v>135</v>
      </c>
      <c r="E142" s="51" t="n">
        <v>-72</v>
      </c>
      <c r="F142" s="51" t="n">
        <v>0</v>
      </c>
      <c r="G142" s="51" t="n">
        <v>0</v>
      </c>
      <c r="H142" s="51"/>
      <c r="I142" s="51"/>
      <c r="J142" s="51"/>
      <c r="K142" s="51"/>
      <c r="L142" s="51"/>
      <c r="M142" s="51"/>
      <c r="N142" s="51"/>
      <c r="O142" s="51"/>
      <c r="P142" s="51"/>
      <c r="Q142" s="51"/>
      <c r="R142" s="51"/>
      <c r="S142" s="51"/>
      <c r="T142" s="51"/>
      <c r="U142" s="51"/>
      <c r="V142" s="51"/>
      <c r="W142" s="51"/>
      <c r="X142" s="51"/>
      <c r="Y142" s="51"/>
      <c r="Z142" s="51"/>
      <c r="AA142" s="51"/>
    </row>
    <row r="143" ht="22" customHeight="1">
      <c r="A143" s="49" t="str">
        <v>2015 Restructuring Program [2015_restructuring_program]</v>
      </c>
      <c r="B143" s="3"/>
      <c r="C143" s="51" t="n">
        <v>0</v>
      </c>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ht="22" customHeight="1">
      <c r="A144" s="49" t="str">
        <v>2013 Restructuring Program [2013_restructuring_program]</v>
      </c>
      <c r="B144" s="3"/>
      <c r="C144" s="51" t="n">
        <v>0</v>
      </c>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ht="22" customHeight="1">
      <c r="A145" s="49" t="str">
        <v>Other charges</v>
      </c>
      <c r="B145" s="3"/>
      <c r="C145" s="51" t="n">
        <v>63</v>
      </c>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ht="24" customHeight="1">
      <c r="A146" s="34" t="str">
        <v>Total restructuring and other charges</v>
      </c>
      <c r="B146" s="35"/>
      <c r="C146" s="36" t="n">
        <v>1886</v>
      </c>
      <c r="D146" s="36" t="n">
        <v>384</v>
      </c>
      <c r="E146" s="36" t="n">
        <v>-72</v>
      </c>
      <c r="F146" s="36" t="n">
        <v>393</v>
      </c>
      <c r="G146" s="36" t="n">
        <v>198</v>
      </c>
      <c r="H146" s="36"/>
      <c r="I146" s="36"/>
      <c r="J146" s="36"/>
      <c r="K146" s="36"/>
      <c r="L146" s="36"/>
      <c r="M146" s="36"/>
      <c r="N146" s="36"/>
      <c r="O146" s="36"/>
      <c r="P146" s="36"/>
      <c r="Q146" s="36"/>
      <c r="R146" s="36"/>
      <c r="S146" s="36"/>
      <c r="T146" s="36"/>
      <c r="U146" s="36"/>
      <c r="V146" s="36"/>
      <c r="W146" s="36"/>
      <c r="X146" s="36"/>
      <c r="Y146" s="36"/>
      <c r="Z146" s="36"/>
      <c r="AA146" s="36"/>
    </row>
    <row r="147" ht="22" customHeight="1">
      <c r="A147" s="49" t="str">
        <v>Employee severance and benefit arrangements</v>
      </c>
      <c r="B147" s="3"/>
      <c r="C147" s="51" t="n">
        <v>1737</v>
      </c>
      <c r="D147" s="51" t="n">
        <v>70</v>
      </c>
      <c r="E147" s="51" t="n">
        <v>-72</v>
      </c>
      <c r="F147" s="51" t="n">
        <v>280</v>
      </c>
      <c r="G147" s="51" t="n">
        <v>124</v>
      </c>
      <c r="H147" s="51"/>
      <c r="I147" s="51"/>
      <c r="J147" s="51"/>
      <c r="K147" s="51"/>
      <c r="L147" s="51"/>
      <c r="M147" s="51"/>
      <c r="N147" s="51"/>
      <c r="O147" s="51"/>
      <c r="P147" s="51"/>
      <c r="Q147" s="51"/>
      <c r="R147" s="51"/>
      <c r="S147" s="51"/>
      <c r="T147" s="51"/>
      <c r="U147" s="51"/>
      <c r="V147" s="51"/>
      <c r="W147" s="51"/>
      <c r="X147" s="51"/>
      <c r="Y147" s="51"/>
      <c r="Z147" s="51"/>
      <c r="AA147" s="51"/>
    </row>
    <row r="148" ht="22" customHeight="1">
      <c r="A148" s="49" t="str">
        <v>Pension settlement charges</v>
      </c>
      <c r="B148" s="3"/>
      <c r="C148" s="51" t="n">
        <v>57</v>
      </c>
      <c r="D148" s="51" t="n">
        <v>25</v>
      </c>
      <c r="E148" s="51" t="n">
        <v>0</v>
      </c>
      <c r="F148" s="51"/>
      <c r="G148" s="51"/>
      <c r="H148" s="51"/>
      <c r="I148" s="51"/>
      <c r="J148" s="51"/>
      <c r="K148" s="51"/>
      <c r="L148" s="51"/>
      <c r="M148" s="51"/>
      <c r="N148" s="51"/>
      <c r="O148" s="51"/>
      <c r="P148" s="51"/>
      <c r="Q148" s="51"/>
      <c r="R148" s="51"/>
      <c r="S148" s="51"/>
      <c r="T148" s="51"/>
      <c r="U148" s="51"/>
      <c r="V148" s="51"/>
      <c r="W148" s="51"/>
      <c r="X148" s="51"/>
      <c r="Y148" s="51"/>
      <c r="Z148" s="51"/>
      <c r="AA148" s="51"/>
    </row>
    <row r="149" ht="22" customHeight="1">
      <c r="A149" s="49" t="str">
        <v>Asset impairment and other charges</v>
      </c>
      <c r="B149" s="3"/>
      <c r="C149" s="51" t="n">
        <v>29</v>
      </c>
      <c r="D149" s="51" t="n">
        <v>40</v>
      </c>
      <c r="E149" s="51" t="n">
        <v>0</v>
      </c>
      <c r="F149" s="51" t="n">
        <v>113</v>
      </c>
      <c r="G149" s="51" t="n">
        <v>74</v>
      </c>
      <c r="H149" s="51"/>
      <c r="I149" s="51"/>
      <c r="J149" s="51"/>
      <c r="K149" s="51"/>
      <c r="L149" s="51"/>
      <c r="M149" s="51"/>
      <c r="N149" s="51"/>
      <c r="O149" s="51"/>
      <c r="P149" s="51"/>
      <c r="Q149" s="51"/>
      <c r="R149" s="51"/>
      <c r="S149" s="51"/>
      <c r="T149" s="51"/>
      <c r="U149" s="51"/>
      <c r="V149" s="51"/>
      <c r="W149" s="51"/>
      <c r="X149" s="51"/>
      <c r="Y149" s="51"/>
      <c r="Z149" s="51"/>
      <c r="AA149" s="51"/>
    </row>
    <row r="150" ht="24" customHeight="1">
      <c r="A150" s="34" t="str">
        <v>Total restructuring and other charges</v>
      </c>
      <c r="B150" s="35"/>
      <c r="C150" s="36" t="n">
        <v>1823</v>
      </c>
      <c r="D150" s="36" t="n">
        <v>135</v>
      </c>
      <c r="E150" s="36" t="n">
        <v>-72</v>
      </c>
      <c r="F150" s="36" t="n">
        <v>393</v>
      </c>
      <c r="G150" s="36" t="n">
        <v>198</v>
      </c>
      <c r="H150" s="36"/>
      <c r="I150" s="36"/>
      <c r="J150" s="36"/>
      <c r="K150" s="36"/>
      <c r="L150" s="36"/>
      <c r="M150" s="36"/>
      <c r="N150" s="36"/>
      <c r="O150" s="36"/>
      <c r="P150" s="36"/>
      <c r="Q150" s="36"/>
      <c r="R150" s="36"/>
      <c r="S150" s="36"/>
      <c r="T150" s="36"/>
      <c r="U150" s="36"/>
      <c r="V150" s="36"/>
      <c r="W150" s="36"/>
      <c r="X150" s="36"/>
      <c r="Y150" s="36"/>
      <c r="Z150" s="36"/>
      <c r="AA150" s="36"/>
    </row>
    <row r="151" ht="22" customHeight="1">
      <c r="A151" s="49" t="str">
        <v>Additional accruals [Employee Severance and Benefits]</v>
      </c>
      <c r="B151" s="3"/>
      <c r="C151" s="51" t="n">
        <v>1556</v>
      </c>
      <c r="D151" s="51" t="n">
        <v>0</v>
      </c>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ht="22" customHeight="1">
      <c r="A152" s="49" t="str">
        <v>Additional accruals [Asset Impairments and Other]</v>
      </c>
      <c r="B152" s="3"/>
      <c r="C152" s="51" t="n">
        <v>29</v>
      </c>
      <c r="D152" s="51" t="n">
        <v>40</v>
      </c>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ht="22" customHeight="1">
      <c r="A153" s="49" t="str">
        <v>Additional accruals [Total]</v>
      </c>
      <c r="B153" s="3"/>
      <c r="C153" s="51" t="n">
        <v>1585</v>
      </c>
      <c r="D153" s="51" t="n">
        <v>40</v>
      </c>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ht="36" customHeight="1">
      <c r="A154" s="49" t="str">
        <v>Adjustments [adjustments] [Employee Severance and Benefits]</v>
      </c>
      <c r="B154" s="3"/>
      <c r="C154" s="51" t="n">
        <v>92</v>
      </c>
      <c r="D154" s="51" t="n">
        <v>70</v>
      </c>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ht="22" customHeight="1">
      <c r="A155" s="49" t="str">
        <v>Adjustments [adjustments] [Asset Impairments and Other]</v>
      </c>
      <c r="B155" s="3"/>
      <c r="C155" s="51" t="n">
        <v>0</v>
      </c>
      <c r="D155" s="51" t="n">
        <v>0</v>
      </c>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ht="22" customHeight="1">
      <c r="A156" s="49" t="str">
        <v>Adjustments [adjustments] [Total]</v>
      </c>
      <c r="B156" s="3"/>
      <c r="C156" s="51" t="n">
        <v>92</v>
      </c>
      <c r="D156" s="51" t="n">
        <v>70</v>
      </c>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ht="22" customHeight="1">
      <c r="A157" s="49" t="str">
        <v>Cash payments [Employee Severance and Benefits]</v>
      </c>
      <c r="B157" s="3"/>
      <c r="C157" s="51" t="n">
        <v>-1063</v>
      </c>
      <c r="D157" s="51" t="n">
        <v>-352</v>
      </c>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ht="22" customHeight="1">
      <c r="A158" s="49" t="str">
        <v>Cash payments [Asset Impairments and Other]</v>
      </c>
      <c r="B158" s="3"/>
      <c r="C158" s="51" t="n">
        <v>0</v>
      </c>
      <c r="D158" s="51" t="n">
        <v>-25</v>
      </c>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ht="22" customHeight="1">
      <c r="A159" s="49" t="str">
        <v>Cash payments [Total]</v>
      </c>
      <c r="B159" s="3"/>
      <c r="C159" s="51" t="n">
        <v>-1063</v>
      </c>
      <c r="D159" s="51" t="n">
        <v>-377</v>
      </c>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ht="22" customHeight="1">
      <c r="A160" s="49" t="str">
        <v>Non-cash settlements [Employee Severance and Benefits]</v>
      </c>
      <c r="B160" s="3"/>
      <c r="C160" s="51" t="n">
        <v>0</v>
      </c>
      <c r="D160" s="51" t="n">
        <v>0</v>
      </c>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ht="22" customHeight="1">
      <c r="A161" s="49" t="str">
        <v>Non-cash settlements [Asset Impairments and Other]</v>
      </c>
      <c r="B161" s="3"/>
      <c r="C161" s="51" t="n">
        <v>-19</v>
      </c>
      <c r="D161" s="51" t="n">
        <v>-3</v>
      </c>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ht="22" customHeight="1">
      <c r="A162" s="49" t="str">
        <v>Non-cash settlements [Total]</v>
      </c>
      <c r="B162" s="3"/>
      <c r="C162" s="51" t="n">
        <v>-19</v>
      </c>
      <c r="D162" s="51" t="n">
        <v>-3</v>
      </c>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ht="36" customHeight="1">
      <c r="A163" s="49" t="str">
        <v>Accrued restructuring balance as of December 31, 2016 [balance] [Employee Severance and Benefits]</v>
      </c>
      <c r="B163" s="3"/>
      <c r="C163" s="51" t="n">
        <v>585</v>
      </c>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ht="36" customHeight="1">
      <c r="A164" s="49" t="str">
        <v>Accrued restructuring balance as of December 31, 2016 [balance] [Asset Impairments and Other]</v>
      </c>
      <c r="B164" s="3"/>
      <c r="C164" s="51" t="n">
        <v>10</v>
      </c>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ht="36" customHeight="1">
      <c r="A165" s="49" t="str">
        <v>Accrued restructuring balance as of December 31, 2016 [balance] [Total]</v>
      </c>
      <c r="B165" s="3"/>
      <c r="C165" s="51" t="n">
        <v>595</v>
      </c>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ht="36" customHeight="1">
      <c r="A166" s="49" t="str">
        <v>2015 and 2013 Restructuring Programs [2015_and_2013_restructuring_programs]</v>
      </c>
      <c r="B166" s="3"/>
      <c r="C166" s="51"/>
      <c r="D166" s="51" t="n">
        <v>0</v>
      </c>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ht="22" customHeight="1">
      <c r="A167" s="49" t="str">
        <v>ISecG separation costs and other charges</v>
      </c>
      <c r="B167" s="3"/>
      <c r="C167" s="51"/>
      <c r="D167" s="51" t="n">
        <v>249</v>
      </c>
      <c r="E167" s="51" t="n">
        <v>0</v>
      </c>
      <c r="F167" s="51" t="n">
        <v>0</v>
      </c>
      <c r="G167" s="51"/>
      <c r="H167" s="51"/>
      <c r="I167" s="51"/>
      <c r="J167" s="51"/>
      <c r="K167" s="51"/>
      <c r="L167" s="51"/>
      <c r="M167" s="51"/>
      <c r="N167" s="51"/>
      <c r="O167" s="51"/>
      <c r="P167" s="51"/>
      <c r="Q167" s="51"/>
      <c r="R167" s="51"/>
      <c r="S167" s="51"/>
      <c r="T167" s="51"/>
      <c r="U167" s="51"/>
      <c r="V167" s="51"/>
      <c r="W167" s="51"/>
      <c r="X167" s="51"/>
      <c r="Y167" s="51"/>
      <c r="Z167" s="51"/>
      <c r="AA167" s="51"/>
    </row>
    <row r="168" ht="36" customHeight="1">
      <c r="A168" s="49" t="str">
        <v>Accrued restructuring balance as of December 30, 2017 [balance] [Employee Severance and Benefits]</v>
      </c>
      <c r="B168" s="3"/>
      <c r="C168" s="51"/>
      <c r="D168" s="51" t="n">
        <v>303</v>
      </c>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ht="36" customHeight="1">
      <c r="A169" s="49" t="str">
        <v>Accrued restructuring balance as of December 30, 2017 [balance] [Asset Impairments and Other]</v>
      </c>
      <c r="B169" s="3"/>
      <c r="C169" s="51"/>
      <c r="D169" s="51" t="n">
        <v>22</v>
      </c>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ht="36" customHeight="1">
      <c r="A170" s="49" t="str">
        <v>Accrued restructuring balance as of December 30, 2017 [balance] [Total]</v>
      </c>
      <c r="B170" s="3"/>
      <c r="C170" s="51"/>
      <c r="D170" s="51" t="n">
        <v>325</v>
      </c>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ht="22" customHeight="1">
      <c r="A171" s="49" t="str">
        <v>2019 Restructuring Program [2019_restructuring_program]</v>
      </c>
      <c r="B171" s="3"/>
      <c r="C171" s="51"/>
      <c r="D171" s="51"/>
      <c r="E171" s="51"/>
      <c r="F171" s="51" t="n">
        <v>393</v>
      </c>
      <c r="G171" s="51" t="n">
        <v>0</v>
      </c>
      <c r="H171" s="51"/>
      <c r="I171" s="51"/>
      <c r="J171" s="51"/>
      <c r="K171" s="51"/>
      <c r="L171" s="51"/>
      <c r="M171" s="51"/>
      <c r="N171" s="51"/>
      <c r="O171" s="51"/>
      <c r="P171" s="51"/>
      <c r="Q171" s="51"/>
      <c r="R171" s="51"/>
      <c r="S171" s="51"/>
      <c r="T171" s="51"/>
      <c r="U171" s="51"/>
      <c r="V171" s="51"/>
      <c r="W171" s="51"/>
      <c r="X171" s="51"/>
      <c r="Y171" s="51"/>
      <c r="Z171" s="51"/>
      <c r="AA171" s="51"/>
    </row>
    <row r="172" ht="22" customHeight="1">
      <c r="A172" s="49" t="str">
        <v>2020 Restructuring Program [2020_restructuring_program]</v>
      </c>
      <c r="B172" s="3"/>
      <c r="C172" s="51"/>
      <c r="D172" s="51"/>
      <c r="E172" s="51"/>
      <c r="F172" s="51"/>
      <c r="G172" s="51" t="n">
        <v>198</v>
      </c>
      <c r="H172" s="51"/>
      <c r="I172" s="51"/>
      <c r="J172" s="51"/>
      <c r="K172" s="51"/>
      <c r="L172" s="51"/>
      <c r="M172" s="51"/>
      <c r="N172" s="51"/>
      <c r="O172" s="51"/>
      <c r="P172" s="51"/>
      <c r="Q172" s="51"/>
      <c r="R172" s="51"/>
      <c r="S172" s="51"/>
      <c r="T172" s="51"/>
      <c r="U172" s="51"/>
      <c r="V172" s="51"/>
      <c r="W172" s="51"/>
      <c r="X172" s="51"/>
      <c r="Y172" s="51"/>
      <c r="Z172" s="51"/>
      <c r="AA172" s="51"/>
    </row>
    <row r="173" ht="8"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22" customHeight="1">
      <c r="A174" s="21" t="str">
        <v>Equity investment gains</v>
      </c>
      <c r="B174" s="21" t="str">
        <v>Equity investment gains</v>
      </c>
      <c r="C174" s="21" t="str">
        <v>Equity investment gains</v>
      </c>
      <c r="D174" s="21" t="str">
        <v>Equity investment gains</v>
      </c>
      <c r="E174" s="21" t="str">
        <v>Equity investment gains</v>
      </c>
      <c r="F174" s="21" t="str">
        <v>Equity investment gains</v>
      </c>
      <c r="G174" s="21" t="str">
        <v>Equity investment gains</v>
      </c>
      <c r="H174" s="21" t="str">
        <v>Equity investment gains</v>
      </c>
      <c r="I174" s="21" t="str">
        <v>Equity investment gains</v>
      </c>
      <c r="J174" s="21" t="str">
        <v>Equity investment gains</v>
      </c>
      <c r="K174" s="21" t="str">
        <v>Equity investment gains</v>
      </c>
      <c r="L174" s="21" t="str">
        <v>Equity investment gains</v>
      </c>
      <c r="M174" s="21" t="str">
        <v>Equity investment gains</v>
      </c>
      <c r="N174" s="21" t="str">
        <v>Equity investment gains</v>
      </c>
      <c r="O174" s="21" t="str">
        <v>Equity investment gains</v>
      </c>
      <c r="P174" s="21" t="str">
        <v>Equity investment gains</v>
      </c>
      <c r="Q174" s="21" t="str">
        <v>Equity investment gains</v>
      </c>
      <c r="R174" s="21" t="str">
        <v>Equity investment gains</v>
      </c>
      <c r="S174" s="21" t="str">
        <v>Equity investment gains</v>
      </c>
      <c r="T174" s="21" t="str">
        <v>Equity investment gains</v>
      </c>
      <c r="U174" s="21" t="str">
        <v>Equity investment gains</v>
      </c>
      <c r="V174" s="21" t="str">
        <v>Equity investment gains</v>
      </c>
      <c r="W174" s="21" t="str">
        <v>Equity investment gains</v>
      </c>
      <c r="X174" s="21" t="str">
        <v>Equity investment gains</v>
      </c>
      <c r="Y174" s="21" t="str">
        <v>Equity investment gains</v>
      </c>
      <c r="Z174" s="21" t="str">
        <v>Equity investment gains</v>
      </c>
      <c r="AA174" s="21" t="str">
        <v>Equity investment gains</v>
      </c>
    </row>
    <row r="175" ht="36" customHeight="1">
      <c r="A175" s="49" t="str">
        <v>Unrealized gains (losses) on marketable equity investments, net</v>
      </c>
      <c r="B175" s="3"/>
      <c r="C175" s="51"/>
      <c r="D175" s="51"/>
      <c r="E175" s="51"/>
      <c r="F175" s="51"/>
      <c r="G175" s="51"/>
      <c r="H175" s="51"/>
      <c r="I175" s="51"/>
      <c r="J175" s="51"/>
      <c r="K175" s="51"/>
      <c r="L175" s="51" t="n">
        <v>-311</v>
      </c>
      <c r="M175" s="51"/>
      <c r="N175" s="51"/>
      <c r="O175" s="51"/>
      <c r="P175" s="51"/>
      <c r="Q175" s="51"/>
      <c r="R175" s="51"/>
      <c r="S175" s="51"/>
      <c r="T175" s="51"/>
      <c r="U175" s="51"/>
      <c r="V175" s="51"/>
      <c r="W175" s="51"/>
      <c r="X175" s="51"/>
      <c r="Y175" s="51"/>
      <c r="Z175" s="51" t="n">
        <v>-156</v>
      </c>
      <c r="AA175" s="51" t="n">
        <v>-60</v>
      </c>
    </row>
    <row r="176" ht="36" customHeight="1">
      <c r="A176" s="49" t="str">
        <v>Unrealized gains (losses) on non-marketable equity investments, net1</v>
      </c>
      <c r="B176" s="3"/>
      <c r="C176" s="51"/>
      <c r="D176" s="51"/>
      <c r="E176" s="51"/>
      <c r="F176" s="51"/>
      <c r="G176" s="51"/>
      <c r="H176" s="51"/>
      <c r="I176" s="51"/>
      <c r="J176" s="51"/>
      <c r="K176" s="51"/>
      <c r="L176" s="51" t="n">
        <v>490</v>
      </c>
      <c r="M176" s="51"/>
      <c r="N176" s="51"/>
      <c r="O176" s="51"/>
      <c r="P176" s="51"/>
      <c r="Q176" s="51"/>
      <c r="R176" s="51"/>
      <c r="S176" s="51"/>
      <c r="T176" s="51"/>
      <c r="U176" s="51"/>
      <c r="V176" s="51"/>
      <c r="W176" s="51"/>
      <c r="X176" s="51"/>
      <c r="Y176" s="51"/>
      <c r="Z176" s="51" t="n">
        <v>102</v>
      </c>
      <c r="AA176" s="51" t="n">
        <v>10</v>
      </c>
    </row>
    <row r="177" ht="22" customHeight="1">
      <c r="A177" s="49" t="str">
        <v>Unrealized gains (losses) on marketable equity investments</v>
      </c>
      <c r="B177" s="3"/>
      <c r="C177" s="51"/>
      <c r="D177" s="51"/>
      <c r="E177" s="51"/>
      <c r="F177" s="51"/>
      <c r="G177" s="51"/>
      <c r="H177" s="51"/>
      <c r="I177" s="51"/>
      <c r="J177" s="51"/>
      <c r="K177" s="51" t="n">
        <v>-218</v>
      </c>
      <c r="L177" s="51"/>
      <c r="M177" s="51"/>
      <c r="N177" s="51"/>
      <c r="O177" s="51"/>
      <c r="P177" s="51"/>
      <c r="Q177" s="51"/>
      <c r="R177" s="51"/>
      <c r="S177" s="51"/>
      <c r="T177" s="51"/>
      <c r="U177" s="51"/>
      <c r="V177" s="51" t="n">
        <v>-292</v>
      </c>
      <c r="W177" s="51" t="n">
        <v>-58</v>
      </c>
      <c r="X177" s="51" t="n">
        <v>116</v>
      </c>
      <c r="Y177" s="51"/>
      <c r="Z177" s="51"/>
      <c r="AA177" s="51"/>
    </row>
    <row r="178" ht="36" customHeight="1">
      <c r="A178" s="49" t="str">
        <v>Unrealized gains (losses) on non-marketable equity investments1</v>
      </c>
      <c r="B178" s="3"/>
      <c r="C178" s="51"/>
      <c r="D178" s="51"/>
      <c r="E178" s="51"/>
      <c r="F178" s="51"/>
      <c r="G178" s="51"/>
      <c r="H178" s="51"/>
      <c r="I178" s="51"/>
      <c r="J178" s="51"/>
      <c r="K178" s="51" t="n">
        <v>92</v>
      </c>
      <c r="L178" s="51"/>
      <c r="M178" s="51"/>
      <c r="N178" s="51"/>
      <c r="O178" s="51"/>
      <c r="P178" s="51"/>
      <c r="Q178" s="51"/>
      <c r="R178" s="51"/>
      <c r="S178" s="51"/>
      <c r="T178" s="51"/>
      <c r="U178" s="51"/>
      <c r="V178" s="51" t="n">
        <v>0</v>
      </c>
      <c r="W178" s="51" t="n">
        <v>473</v>
      </c>
      <c r="X178" s="51" t="n">
        <v>17</v>
      </c>
      <c r="Y178" s="51"/>
      <c r="Z178" s="51"/>
      <c r="AA178" s="51"/>
    </row>
    <row r="179" ht="22" customHeight="1">
      <c r="A179" s="49" t="str">
        <v>Impairment charges</v>
      </c>
      <c r="B179" s="3"/>
      <c r="C179" s="51"/>
      <c r="D179" s="51"/>
      <c r="E179" s="51"/>
      <c r="F179" s="51"/>
      <c r="G179" s="51"/>
      <c r="H179" s="51"/>
      <c r="I179" s="51"/>
      <c r="J179" s="51"/>
      <c r="K179" s="51" t="n">
        <v>-347</v>
      </c>
      <c r="L179" s="51"/>
      <c r="M179" s="51"/>
      <c r="N179" s="51"/>
      <c r="O179" s="51"/>
      <c r="P179" s="51"/>
      <c r="Q179" s="51"/>
      <c r="R179" s="51"/>
      <c r="S179" s="51"/>
      <c r="T179" s="51"/>
      <c r="U179" s="51"/>
      <c r="V179" s="51" t="n">
        <v>-105</v>
      </c>
      <c r="W179" s="51" t="n">
        <v>-51</v>
      </c>
      <c r="X179" s="51"/>
      <c r="Y179" s="51"/>
      <c r="Z179" s="51"/>
      <c r="AA179" s="51"/>
    </row>
    <row r="180" ht="22" customHeight="1">
      <c r="A180" s="49" t="str">
        <v>Impairment charges on non-marketable equity investments</v>
      </c>
      <c r="B180" s="3"/>
      <c r="C180" s="51"/>
      <c r="D180" s="51"/>
      <c r="E180" s="51"/>
      <c r="F180" s="51"/>
      <c r="G180" s="51"/>
      <c r="H180" s="51"/>
      <c r="I180" s="51"/>
      <c r="J180" s="51"/>
      <c r="K180" s="51"/>
      <c r="L180" s="51" t="n">
        <v>-300</v>
      </c>
      <c r="M180" s="51"/>
      <c r="N180" s="51"/>
      <c r="O180" s="51"/>
      <c r="P180" s="51"/>
      <c r="Q180" s="51"/>
      <c r="R180" s="51"/>
      <c r="S180" s="51"/>
      <c r="T180" s="51"/>
      <c r="U180" s="51"/>
      <c r="V180" s="51"/>
      <c r="W180" s="51"/>
      <c r="X180" s="51" t="n">
        <v>-76</v>
      </c>
      <c r="Y180" s="51"/>
      <c r="Z180" s="51" t="n">
        <v>-62</v>
      </c>
      <c r="AA180" s="51" t="n">
        <v>-92</v>
      </c>
    </row>
    <row r="181" ht="22" customHeight="1">
      <c r="A181" s="49" t="str">
        <v>Unrealized gains (losses) on equity investments, net</v>
      </c>
      <c r="B181" s="3"/>
      <c r="C181" s="51"/>
      <c r="D181" s="51"/>
      <c r="E181" s="51"/>
      <c r="F181" s="51"/>
      <c r="G181" s="51"/>
      <c r="H181" s="51"/>
      <c r="I181" s="51"/>
      <c r="J181" s="51"/>
      <c r="K181" s="51" t="n">
        <v>-473</v>
      </c>
      <c r="L181" s="51" t="n">
        <v>-121</v>
      </c>
      <c r="M181" s="51"/>
      <c r="N181" s="51"/>
      <c r="O181" s="51"/>
      <c r="P181" s="51"/>
      <c r="Q181" s="51"/>
      <c r="R181" s="51"/>
      <c r="S181" s="51"/>
      <c r="T181" s="51"/>
      <c r="U181" s="51"/>
      <c r="V181" s="51" t="n">
        <v>-397</v>
      </c>
      <c r="W181" s="51" t="n">
        <v>364</v>
      </c>
      <c r="X181" s="51" t="n">
        <v>57</v>
      </c>
      <c r="Y181" s="51"/>
      <c r="Z181" s="51" t="n">
        <v>-116</v>
      </c>
      <c r="AA181" s="51" t="n">
        <v>-142</v>
      </c>
    </row>
    <row r="182" ht="36" customHeight="1">
      <c r="A182" s="49" t="str">
        <v>Realized gains (losses) on sales of equity investments, net</v>
      </c>
      <c r="B182" s="3"/>
      <c r="C182" s="51"/>
      <c r="D182" s="51"/>
      <c r="E182" s="51"/>
      <c r="F182" s="51"/>
      <c r="G182" s="51"/>
      <c r="H182" s="51"/>
      <c r="I182" s="51"/>
      <c r="J182" s="51"/>
      <c r="K182" s="51" t="n">
        <v>715</v>
      </c>
      <c r="L182" s="51" t="n">
        <v>635</v>
      </c>
      <c r="M182" s="51"/>
      <c r="N182" s="51"/>
      <c r="O182" s="51"/>
      <c r="P182" s="51"/>
      <c r="Q182" s="51"/>
      <c r="R182" s="51"/>
      <c r="S182" s="51"/>
      <c r="T182" s="51"/>
      <c r="U182" s="51"/>
      <c r="V182" s="51" t="n">
        <v>285</v>
      </c>
      <c r="W182" s="51" t="n">
        <v>138</v>
      </c>
      <c r="X182" s="51" t="n">
        <v>164</v>
      </c>
      <c r="Y182" s="51"/>
      <c r="Z182" s="51" t="n">
        <v>44</v>
      </c>
      <c r="AA182" s="51" t="n">
        <v>103</v>
      </c>
    </row>
    <row r="183" ht="22" customHeight="1">
      <c r="A183" s="49" t="str">
        <v>Gains (losses) on equity investments, net</v>
      </c>
      <c r="B183" s="3"/>
      <c r="C183" s="51"/>
      <c r="D183" s="51"/>
      <c r="E183" s="51"/>
      <c r="F183" s="51"/>
      <c r="G183" s="51"/>
      <c r="H183" s="51"/>
      <c r="I183" s="51"/>
      <c r="J183" s="51"/>
      <c r="K183" s="51" t="n">
        <v>242</v>
      </c>
      <c r="L183" s="51" t="n">
        <v>514</v>
      </c>
      <c r="M183" s="51"/>
      <c r="N183" s="51"/>
      <c r="O183" s="51"/>
      <c r="P183" s="51"/>
      <c r="Q183" s="51"/>
      <c r="R183" s="51"/>
      <c r="S183" s="51"/>
      <c r="T183" s="51"/>
      <c r="U183" s="51"/>
      <c r="V183" s="51" t="n">
        <v>-112</v>
      </c>
      <c r="W183" s="51" t="n">
        <v>502</v>
      </c>
      <c r="X183" s="51" t="n">
        <v>221</v>
      </c>
      <c r="Y183" s="51"/>
      <c r="Z183" s="51" t="n">
        <v>-72</v>
      </c>
      <c r="AA183" s="51" t="n">
        <v>-39</v>
      </c>
    </row>
    <row r="184" ht="22" customHeight="1">
      <c r="A184" s="49" t="str">
        <v>Interest and other, net</v>
      </c>
      <c r="B184" s="3"/>
      <c r="C184" s="51"/>
      <c r="D184" s="51"/>
      <c r="E184" s="51"/>
      <c r="F184" s="51"/>
      <c r="G184" s="51"/>
      <c r="H184" s="51"/>
      <c r="I184" s="51"/>
      <c r="J184" s="51"/>
      <c r="K184" s="51" t="n">
        <v>226</v>
      </c>
      <c r="L184" s="51" t="n">
        <v>3257</v>
      </c>
      <c r="M184" s="51"/>
      <c r="N184" s="51"/>
      <c r="O184" s="51"/>
      <c r="P184" s="51"/>
      <c r="Q184" s="51"/>
      <c r="R184" s="51"/>
      <c r="S184" s="51"/>
      <c r="T184" s="51"/>
      <c r="U184" s="51"/>
      <c r="V184" s="51" t="n">
        <v>-173</v>
      </c>
      <c r="W184" s="51" t="n">
        <v>-95</v>
      </c>
      <c r="X184" s="51" t="n">
        <v>3670</v>
      </c>
      <c r="Y184" s="51"/>
      <c r="Z184" s="51" t="n">
        <v>-738</v>
      </c>
      <c r="AA184" s="51" t="n">
        <v>-12576</v>
      </c>
    </row>
    <row r="185" ht="36" customHeight="1">
      <c r="A185" s="49" t="str">
        <v>Ongoing mark-to-market adjustments on marketable equity securities</v>
      </c>
      <c r="B185" s="3"/>
      <c r="C185" s="51"/>
      <c r="D185" s="51"/>
      <c r="E185" s="51"/>
      <c r="F185" s="51" t="n">
        <v>277</v>
      </c>
      <c r="G185" s="51" t="n">
        <v>-133</v>
      </c>
      <c r="H185" s="51" t="n">
        <v>-130</v>
      </c>
      <c r="I185" s="51" t="n">
        <v>-787</v>
      </c>
      <c r="J185" s="51" t="n">
        <v>-36</v>
      </c>
      <c r="K185" s="51"/>
      <c r="L185" s="51"/>
      <c r="M185" s="51"/>
      <c r="N185" s="51" t="n">
        <v>188</v>
      </c>
      <c r="O185" s="51" t="n">
        <v>-85</v>
      </c>
      <c r="P185" s="51" t="n">
        <v>-267</v>
      </c>
      <c r="Q185" s="51"/>
      <c r="R185" s="51" t="n">
        <v>-91</v>
      </c>
      <c r="S185" s="51" t="n">
        <v>-43</v>
      </c>
      <c r="T185" s="51" t="n">
        <v>-51</v>
      </c>
      <c r="U185" s="51"/>
      <c r="V185" s="51"/>
      <c r="W185" s="51"/>
      <c r="X185" s="51"/>
      <c r="Y185" s="51"/>
      <c r="Z185" s="51"/>
      <c r="AA185" s="51"/>
    </row>
    <row r="186" ht="36" customHeight="1">
      <c r="A186" s="49" t="str">
        <v>Observable price adjustments on non-marketable equity securities</v>
      </c>
      <c r="B186" s="3"/>
      <c r="C186" s="51"/>
      <c r="D186" s="51"/>
      <c r="E186" s="51"/>
      <c r="F186" s="51" t="n">
        <v>293</v>
      </c>
      <c r="G186" s="51" t="n">
        <v>176</v>
      </c>
      <c r="H186" s="51" t="n">
        <v>750</v>
      </c>
      <c r="I186" s="51" t="n">
        <v>299</v>
      </c>
      <c r="J186" s="51" t="n">
        <v>17</v>
      </c>
      <c r="K186" s="51"/>
      <c r="L186" s="51"/>
      <c r="M186" s="51"/>
      <c r="N186" s="51" t="n">
        <v>10</v>
      </c>
      <c r="O186" s="51" t="n">
        <v>0</v>
      </c>
      <c r="P186" s="51" t="n">
        <v>7</v>
      </c>
      <c r="Q186" s="51"/>
      <c r="R186" s="51" t="n">
        <v>24</v>
      </c>
      <c r="S186" s="51" t="n">
        <v>25</v>
      </c>
      <c r="T186" s="51" t="n">
        <v>0</v>
      </c>
      <c r="U186" s="51"/>
      <c r="V186" s="51"/>
      <c r="W186" s="51"/>
      <c r="X186" s="51"/>
      <c r="Y186" s="51"/>
      <c r="Z186" s="51"/>
      <c r="AA186" s="51"/>
    </row>
    <row r="187" ht="22" customHeight="1">
      <c r="A187" s="49" t="str">
        <v>Impairment charges</v>
      </c>
      <c r="B187" s="3"/>
      <c r="C187" s="51"/>
      <c r="D187" s="51"/>
      <c r="E187" s="51"/>
      <c r="F187" s="51" t="n">
        <v>-122</v>
      </c>
      <c r="G187" s="51" t="n">
        <v>-303</v>
      </c>
      <c r="H187" s="51" t="n">
        <v>-154</v>
      </c>
      <c r="I187" s="51" t="n">
        <v>-190</v>
      </c>
      <c r="J187" s="51" t="n">
        <v>-214</v>
      </c>
      <c r="K187" s="51"/>
      <c r="L187" s="51"/>
      <c r="M187" s="51"/>
      <c r="N187" s="51" t="n">
        <v>-36</v>
      </c>
      <c r="O187" s="51" t="n">
        <v>-38</v>
      </c>
      <c r="P187" s="51" t="n">
        <v>-53</v>
      </c>
      <c r="Q187" s="51"/>
      <c r="R187" s="51" t="n">
        <v>-69</v>
      </c>
      <c r="S187" s="51" t="n">
        <v>-91</v>
      </c>
      <c r="T187" s="51" t="n">
        <v>-110</v>
      </c>
      <c r="U187" s="51"/>
      <c r="V187" s="51"/>
      <c r="W187" s="51"/>
      <c r="X187" s="51"/>
      <c r="Y187" s="51"/>
      <c r="Z187" s="51"/>
      <c r="AA187" s="51"/>
    </row>
    <row r="188" ht="22" customHeight="1">
      <c r="A188" s="49" t="str">
        <v>Sale of equity investments and other</v>
      </c>
      <c r="B188" s="3"/>
      <c r="C188" s="51"/>
      <c r="D188" s="51"/>
      <c r="E188" s="51"/>
      <c r="F188" s="51" t="n">
        <v>1091</v>
      </c>
      <c r="G188" s="51" t="n">
        <v>2164</v>
      </c>
      <c r="H188" s="51" t="n">
        <v>2263</v>
      </c>
      <c r="I188" s="51" t="n">
        <v>4946</v>
      </c>
      <c r="J188" s="51" t="n">
        <v>273</v>
      </c>
      <c r="K188" s="51"/>
      <c r="L188" s="51"/>
      <c r="M188" s="51"/>
      <c r="N188" s="51" t="n">
        <v>7</v>
      </c>
      <c r="O188" s="51" t="n">
        <v>99</v>
      </c>
      <c r="P188" s="51" t="n">
        <v>122</v>
      </c>
      <c r="Q188" s="51"/>
      <c r="R188" s="51" t="n">
        <v>341</v>
      </c>
      <c r="S188" s="51" t="n">
        <v>-11</v>
      </c>
      <c r="T188" s="51" t="n">
        <v>2</v>
      </c>
      <c r="U188" s="51"/>
      <c r="V188" s="51"/>
      <c r="W188" s="51"/>
      <c r="X188" s="51"/>
      <c r="Y188" s="51"/>
      <c r="Z188" s="51"/>
      <c r="AA188" s="51"/>
    </row>
    <row r="189" ht="22" customHeight="1">
      <c r="A189" s="49" t="str">
        <v>Gains (losses) on equity investments, net</v>
      </c>
      <c r="B189" s="3"/>
      <c r="C189" s="51"/>
      <c r="D189" s="51"/>
      <c r="E189" s="51"/>
      <c r="F189" s="51" t="n">
        <v>1539</v>
      </c>
      <c r="G189" s="51" t="n">
        <v>1904</v>
      </c>
      <c r="H189" s="51" t="n">
        <v>2729</v>
      </c>
      <c r="I189" s="51" t="n">
        <v>4268</v>
      </c>
      <c r="J189" s="51" t="n">
        <v>40</v>
      </c>
      <c r="K189" s="51"/>
      <c r="L189" s="51"/>
      <c r="M189" s="51"/>
      <c r="N189" s="51"/>
      <c r="O189" s="51"/>
      <c r="P189" s="51"/>
      <c r="Q189" s="51"/>
      <c r="R189" s="51"/>
      <c r="S189" s="51"/>
      <c r="T189" s="51"/>
      <c r="U189" s="51"/>
      <c r="V189" s="51"/>
      <c r="W189" s="51"/>
      <c r="X189" s="51"/>
      <c r="Y189" s="51"/>
      <c r="Z189" s="51"/>
      <c r="AA189" s="51"/>
    </row>
    <row r="190" ht="24" customHeight="1">
      <c r="A190" s="34" t="str">
        <v>Total gains (losses) on equity investments, net</v>
      </c>
      <c r="B190" s="35"/>
      <c r="C190" s="36"/>
      <c r="D190" s="36"/>
      <c r="E190" s="36"/>
      <c r="F190" s="36"/>
      <c r="G190" s="36"/>
      <c r="H190" s="36"/>
      <c r="I190" s="36"/>
      <c r="J190" s="36"/>
      <c r="K190" s="36"/>
      <c r="L190" s="36"/>
      <c r="M190" s="36"/>
      <c r="N190" s="36" t="n">
        <v>169</v>
      </c>
      <c r="O190" s="36" t="n">
        <v>-24</v>
      </c>
      <c r="P190" s="36" t="n">
        <v>-191</v>
      </c>
      <c r="Q190" s="36"/>
      <c r="R190" s="36" t="n">
        <v>205</v>
      </c>
      <c r="S190" s="36" t="n">
        <v>-120</v>
      </c>
      <c r="T190" s="36" t="n">
        <v>-159</v>
      </c>
      <c r="U190" s="36"/>
      <c r="V190" s="36"/>
      <c r="W190" s="36"/>
      <c r="X190" s="36"/>
      <c r="Y190" s="36"/>
      <c r="Z190" s="36"/>
      <c r="AA190" s="36"/>
    </row>
    <row r="191" ht="22" customHeight="1">
      <c r="A191" s="49" t="str">
        <v>Interest and other, net</v>
      </c>
      <c r="B191" s="3"/>
      <c r="C191" s="51"/>
      <c r="D191" s="51"/>
      <c r="E191" s="51"/>
      <c r="F191" s="51" t="n">
        <v>484</v>
      </c>
      <c r="G191" s="51" t="n">
        <v>-504</v>
      </c>
      <c r="H191" s="51" t="n">
        <v>-482</v>
      </c>
      <c r="I191" s="51" t="n">
        <v>1166</v>
      </c>
      <c r="J191" s="51" t="n">
        <v>629</v>
      </c>
      <c r="K191" s="51"/>
      <c r="L191" s="51"/>
      <c r="M191" s="51"/>
      <c r="N191" s="51" t="n">
        <v>141</v>
      </c>
      <c r="O191" s="51" t="n">
        <v>224</v>
      </c>
      <c r="P191" s="51" t="n">
        <v>147</v>
      </c>
      <c r="Q191" s="51"/>
      <c r="R191" s="51" t="n">
        <v>145</v>
      </c>
      <c r="S191" s="51" t="n">
        <v>80</v>
      </c>
      <c r="T191" s="51" t="n">
        <v>130</v>
      </c>
      <c r="U191" s="51"/>
      <c r="V191" s="51"/>
      <c r="W191" s="51"/>
      <c r="X191" s="51"/>
      <c r="Y191" s="51"/>
      <c r="Z191" s="51"/>
      <c r="AA191" s="51"/>
    </row>
    <row r="192" ht="36" customHeight="1">
      <c r="A192" s="49" t="str">
        <v>Ongoing mark-to-market adjustments on marketable equitysecurities</v>
      </c>
      <c r="B192" s="3"/>
      <c r="C192" s="51"/>
      <c r="D192" s="51"/>
      <c r="E192" s="51" t="n">
        <v>-129</v>
      </c>
      <c r="F192" s="51"/>
      <c r="G192" s="51"/>
      <c r="H192" s="51"/>
      <c r="I192" s="51"/>
      <c r="J192" s="51"/>
      <c r="K192" s="51"/>
      <c r="L192" s="51"/>
      <c r="M192" s="51"/>
      <c r="N192" s="51"/>
      <c r="O192" s="51"/>
      <c r="P192" s="51"/>
      <c r="Q192" s="51"/>
      <c r="R192" s="51"/>
      <c r="S192" s="51"/>
      <c r="T192" s="51"/>
      <c r="U192" s="51"/>
      <c r="V192" s="51"/>
      <c r="W192" s="51"/>
      <c r="X192" s="51"/>
      <c r="Y192" s="51"/>
      <c r="Z192" s="51"/>
      <c r="AA192" s="51"/>
    </row>
    <row r="193" ht="36" customHeight="1">
      <c r="A193" s="49" t="str">
        <v>Observable price adjustments on non-marketable equity securities</v>
      </c>
      <c r="B193" s="3"/>
      <c r="C193" s="51"/>
      <c r="D193" s="51"/>
      <c r="E193" s="51" t="n">
        <v>202</v>
      </c>
      <c r="F193" s="51"/>
      <c r="G193" s="51"/>
      <c r="H193" s="51"/>
      <c r="I193" s="51"/>
      <c r="J193" s="51"/>
      <c r="K193" s="51"/>
      <c r="L193" s="51"/>
      <c r="M193" s="51"/>
      <c r="N193" s="51"/>
      <c r="O193" s="51"/>
      <c r="P193" s="51"/>
      <c r="Q193" s="51"/>
      <c r="R193" s="51"/>
      <c r="S193" s="51"/>
      <c r="T193" s="51"/>
      <c r="U193" s="51"/>
      <c r="V193" s="51"/>
      <c r="W193" s="51"/>
      <c r="X193" s="51"/>
      <c r="Y193" s="51"/>
      <c r="Z193" s="51"/>
      <c r="AA193" s="51"/>
    </row>
    <row r="194" ht="22" customHeight="1">
      <c r="A194" s="49" t="str">
        <v>Impairment charges</v>
      </c>
      <c r="B194" s="3"/>
      <c r="C194" s="51"/>
      <c r="D194" s="51"/>
      <c r="E194" s="51" t="n">
        <v>-424</v>
      </c>
      <c r="F194" s="51"/>
      <c r="G194" s="51"/>
      <c r="H194" s="51"/>
      <c r="I194" s="51"/>
      <c r="J194" s="51"/>
      <c r="K194" s="51"/>
      <c r="L194" s="51"/>
      <c r="M194" s="51"/>
      <c r="N194" s="51"/>
      <c r="O194" s="51"/>
      <c r="P194" s="51"/>
      <c r="Q194" s="51"/>
      <c r="R194" s="51"/>
      <c r="S194" s="51"/>
      <c r="T194" s="51"/>
      <c r="U194" s="51"/>
      <c r="V194" s="51"/>
      <c r="W194" s="51"/>
      <c r="X194" s="51"/>
      <c r="Y194" s="51"/>
      <c r="Z194" s="51"/>
      <c r="AA194" s="51"/>
    </row>
    <row r="195" ht="22" customHeight="1">
      <c r="A195" s="49" t="str">
        <v>Sale of equity investments and other</v>
      </c>
      <c r="B195" s="3"/>
      <c r="C195" s="51"/>
      <c r="D195" s="51"/>
      <c r="E195" s="51" t="n">
        <v>226</v>
      </c>
      <c r="F195" s="51"/>
      <c r="G195" s="51"/>
      <c r="H195" s="51"/>
      <c r="I195" s="51"/>
      <c r="J195" s="51"/>
      <c r="K195" s="51"/>
      <c r="L195" s="51"/>
      <c r="M195" s="51"/>
      <c r="N195" s="51"/>
      <c r="O195" s="51"/>
      <c r="P195" s="51"/>
      <c r="Q195" s="51"/>
      <c r="R195" s="51"/>
      <c r="S195" s="51"/>
      <c r="T195" s="51"/>
      <c r="U195" s="51"/>
      <c r="V195" s="51"/>
      <c r="W195" s="51"/>
      <c r="X195" s="51"/>
      <c r="Y195" s="51"/>
      <c r="Z195" s="51"/>
      <c r="AA195" s="51"/>
    </row>
    <row r="196" ht="24" customHeight="1">
      <c r="A196" s="34" t="str">
        <v>Total gains (losses) on equity investments, net</v>
      </c>
      <c r="B196" s="35"/>
      <c r="C196" s="36"/>
      <c r="D196" s="36"/>
      <c r="E196" s="36" t="n">
        <v>-125</v>
      </c>
      <c r="F196" s="36"/>
      <c r="G196" s="36"/>
      <c r="H196" s="36"/>
      <c r="I196" s="36"/>
      <c r="J196" s="36"/>
      <c r="K196" s="36"/>
      <c r="L196" s="36"/>
      <c r="M196" s="36"/>
      <c r="N196" s="36"/>
      <c r="O196" s="36"/>
      <c r="P196" s="36"/>
      <c r="Q196" s="36"/>
      <c r="R196" s="36"/>
      <c r="S196" s="36"/>
      <c r="T196" s="36"/>
      <c r="U196" s="36"/>
      <c r="V196" s="36"/>
      <c r="W196" s="36"/>
      <c r="X196" s="36"/>
      <c r="Y196" s="36"/>
      <c r="Z196" s="36"/>
      <c r="AA196" s="36"/>
    </row>
    <row r="197" ht="22" customHeight="1">
      <c r="A197" s="49" t="str">
        <v>Share of equity method investee losses, net</v>
      </c>
      <c r="B197" s="3"/>
      <c r="C197" s="51" t="n">
        <v>-38</v>
      </c>
      <c r="D197" s="51" t="n">
        <v>-232</v>
      </c>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ht="22" customHeight="1">
      <c r="A198" s="49" t="str">
        <v>Impairments [impairments]</v>
      </c>
      <c r="B198" s="3"/>
      <c r="C198" s="51" t="n">
        <v>-187</v>
      </c>
      <c r="D198" s="51" t="n">
        <v>-833</v>
      </c>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ht="22" customHeight="1">
      <c r="A199" s="49" t="str">
        <v>Gains on sales, net</v>
      </c>
      <c r="B199" s="3"/>
      <c r="C199" s="51" t="n">
        <v>562</v>
      </c>
      <c r="D199" s="51" t="n">
        <v>3499</v>
      </c>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ht="22" customHeight="1">
      <c r="A200" s="49" t="str">
        <v>Dividends [dividends]</v>
      </c>
      <c r="B200" s="3"/>
      <c r="C200" s="51" t="n">
        <v>74</v>
      </c>
      <c r="D200" s="51" t="n">
        <v>68</v>
      </c>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ht="22" customHeight="1">
      <c r="A201" s="49" t="str">
        <v>Other, net</v>
      </c>
      <c r="B201" s="3"/>
      <c r="C201" s="51" t="n">
        <v>95</v>
      </c>
      <c r="D201" s="51" t="n">
        <v>149</v>
      </c>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ht="24" customHeight="1">
      <c r="A202" s="34" t="str">
        <v>Total gains (losses) on equity investments, net</v>
      </c>
      <c r="B202" s="35"/>
      <c r="C202" s="36" t="n">
        <v>506</v>
      </c>
      <c r="D202" s="36" t="n">
        <v>2651</v>
      </c>
      <c r="E202" s="36"/>
      <c r="F202" s="36"/>
      <c r="G202" s="36"/>
      <c r="H202" s="36"/>
      <c r="I202" s="36"/>
      <c r="J202" s="36"/>
      <c r="K202" s="36"/>
      <c r="L202" s="36"/>
      <c r="M202" s="36"/>
      <c r="N202" s="36"/>
      <c r="O202" s="36"/>
      <c r="P202" s="36"/>
      <c r="Q202" s="36"/>
      <c r="R202" s="36"/>
      <c r="S202" s="36"/>
      <c r="T202" s="36"/>
      <c r="U202" s="36"/>
      <c r="V202" s="36"/>
      <c r="W202" s="36"/>
      <c r="X202" s="36"/>
      <c r="Y202" s="36"/>
      <c r="Z202" s="36"/>
      <c r="AA202" s="36"/>
    </row>
    <row r="203" ht="8"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22" customHeight="1">
      <c r="A204" s="21" t="str">
        <v>Non-GAAP operating income reconciliation</v>
      </c>
      <c r="B204" s="21" t="str">
        <v>Non-GAAP operating income reconciliation</v>
      </c>
      <c r="C204" s="21" t="str">
        <v>Non-GAAP operating income reconciliation</v>
      </c>
      <c r="D204" s="21" t="str">
        <v>Non-GAAP operating income reconciliation</v>
      </c>
      <c r="E204" s="21" t="str">
        <v>Non-GAAP operating income reconciliation</v>
      </c>
      <c r="F204" s="21" t="str">
        <v>Non-GAAP operating income reconciliation</v>
      </c>
      <c r="G204" s="21" t="str">
        <v>Non-GAAP operating income reconciliation</v>
      </c>
      <c r="H204" s="21" t="str">
        <v>Non-GAAP operating income reconciliation</v>
      </c>
      <c r="I204" s="21" t="str">
        <v>Non-GAAP operating income reconciliation</v>
      </c>
      <c r="J204" s="21" t="str">
        <v>Non-GAAP operating income reconciliation</v>
      </c>
      <c r="K204" s="21" t="str">
        <v>Non-GAAP operating income reconciliation</v>
      </c>
      <c r="L204" s="21" t="str">
        <v>Non-GAAP operating income reconciliation</v>
      </c>
      <c r="M204" s="21" t="str">
        <v>Non-GAAP operating income reconciliation</v>
      </c>
      <c r="N204" s="21" t="str">
        <v>Non-GAAP operating income reconciliation</v>
      </c>
      <c r="O204" s="21" t="str">
        <v>Non-GAAP operating income reconciliation</v>
      </c>
      <c r="P204" s="21" t="str">
        <v>Non-GAAP operating income reconciliation</v>
      </c>
      <c r="Q204" s="21" t="str">
        <v>Non-GAAP operating income reconciliation</v>
      </c>
      <c r="R204" s="21" t="str">
        <v>Non-GAAP operating income reconciliation</v>
      </c>
      <c r="S204" s="21" t="str">
        <v>Non-GAAP operating income reconciliation</v>
      </c>
      <c r="T204" s="21" t="str">
        <v>Non-GAAP operating income reconciliation</v>
      </c>
      <c r="U204" s="21" t="str">
        <v>Non-GAAP operating income reconciliation</v>
      </c>
      <c r="V204" s="21" t="str">
        <v>Non-GAAP operating income reconciliation</v>
      </c>
      <c r="W204" s="21" t="str">
        <v>Non-GAAP operating income reconciliation</v>
      </c>
      <c r="X204" s="21" t="str">
        <v>Non-GAAP operating income reconciliation</v>
      </c>
      <c r="Y204" s="21" t="str">
        <v>Non-GAAP operating income reconciliation</v>
      </c>
      <c r="Z204" s="21" t="str">
        <v>Non-GAAP operating income reconciliation</v>
      </c>
      <c r="AA204" s="21" t="str">
        <v>Non-GAAP operating income reconciliation</v>
      </c>
    </row>
    <row r="205" ht="18" customHeight="1">
      <c r="A205" s="22" t="str">
        <v>Company-disclosed reconciliation. Dollars, margin effects and EPS adjustments remain in their own original bridge; omitted adjustments are not assumed to be zero.</v>
      </c>
      <c r="B205" s="22" t="str">
        <v>Company-disclosed reconciliation. Dollars, margin effects and EPS adjustments remain in their own original bridge; omitted adjustments are not assumed to be zero.</v>
      </c>
      <c r="C205" s="22" t="str">
        <v>Company-disclosed reconciliation. Dollars, margin effects and EPS adjustments remain in their own original bridge; omitted adjustments are not assumed to be zero.</v>
      </c>
      <c r="D205" s="22" t="str">
        <v>Company-disclosed reconciliation. Dollars, margin effects and EPS adjustments remain in their own original bridge; omitted adjustments are not assumed to be zero.</v>
      </c>
      <c r="E205" s="22" t="str">
        <v>Company-disclosed reconciliation. Dollars, margin effects and EPS adjustments remain in their own original bridge; omitted adjustments are not assumed to be zero.</v>
      </c>
      <c r="F205" s="22" t="str">
        <v>Company-disclosed reconciliation. Dollars, margin effects and EPS adjustments remain in their own original bridge; omitted adjustments are not assumed to be zero.</v>
      </c>
      <c r="G205" s="22" t="str">
        <v>Company-disclosed reconciliation. Dollars, margin effects and EPS adjustments remain in their own original bridge; omitted adjustments are not assumed to be zero.</v>
      </c>
      <c r="H205" s="22" t="str">
        <v>Company-disclosed reconciliation. Dollars, margin effects and EPS adjustments remain in their own original bridge; omitted adjustments are not assumed to be zero.</v>
      </c>
      <c r="I205" s="22" t="str">
        <v>Company-disclosed reconciliation. Dollars, margin effects and EPS adjustments remain in their own original bridge; omitted adjustments are not assumed to be zero.</v>
      </c>
      <c r="J205" s="22" t="str">
        <v>Company-disclosed reconciliation. Dollars, margin effects and EPS adjustments remain in their own original bridge; omitted adjustments are not assumed to be zero.</v>
      </c>
      <c r="K205" s="22" t="str">
        <v>Company-disclosed reconciliation. Dollars, margin effects and EPS adjustments remain in their own original bridge; omitted adjustments are not assumed to be zero.</v>
      </c>
      <c r="L205" s="22" t="str">
        <v>Company-disclosed reconciliation. Dollars, margin effects and EPS adjustments remain in their own original bridge; omitted adjustments are not assumed to be zero.</v>
      </c>
      <c r="M205" s="22" t="str">
        <v>Company-disclosed reconciliation. Dollars, margin effects and EPS adjustments remain in their own original bridge; omitted adjustments are not assumed to be zero.</v>
      </c>
      <c r="N205" s="22" t="str">
        <v>Company-disclosed reconciliation. Dollars, margin effects and EPS adjustments remain in their own original bridge; omitted adjustments are not assumed to be zero.</v>
      </c>
      <c r="O205" s="22" t="str">
        <v>Company-disclosed reconciliation. Dollars, margin effects and EPS adjustments remain in their own original bridge; omitted adjustments are not assumed to be zero.</v>
      </c>
      <c r="P205" s="22" t="str">
        <v>Company-disclosed reconciliation. Dollars, margin effects and EPS adjustments remain in their own original bridge; omitted adjustments are not assumed to be zero.</v>
      </c>
      <c r="Q205" s="22" t="str">
        <v>Company-disclosed reconciliation. Dollars, margin effects and EPS adjustments remain in their own original bridge; omitted adjustments are not assumed to be zero.</v>
      </c>
      <c r="R205" s="22" t="str">
        <v>Company-disclosed reconciliation. Dollars, margin effects and EPS adjustments remain in their own original bridge; omitted adjustments are not assumed to be zero.</v>
      </c>
      <c r="S205" s="22" t="str">
        <v>Company-disclosed reconciliation. Dollars, margin effects and EPS adjustments remain in their own original bridge; omitted adjustments are not assumed to be zero.</v>
      </c>
      <c r="T205" s="22" t="str">
        <v>Company-disclosed reconciliation. Dollars, margin effects and EPS adjustments remain in their own original bridge; omitted adjustments are not assumed to be zero.</v>
      </c>
      <c r="U205" s="22" t="str">
        <v>Company-disclosed reconciliation. Dollars, margin effects and EPS adjustments remain in their own original bridge; omitted adjustments are not assumed to be zero.</v>
      </c>
      <c r="V205" s="22" t="str">
        <v>Company-disclosed reconciliation. Dollars, margin effects and EPS adjustments remain in their own original bridge; omitted adjustments are not assumed to be zero.</v>
      </c>
      <c r="W205" s="22" t="str">
        <v>Company-disclosed reconciliation. Dollars, margin effects and EPS adjustments remain in their own original bridge; omitted adjustments are not assumed to be zero.</v>
      </c>
      <c r="X205" s="22" t="str">
        <v>Company-disclosed reconciliation. Dollars, margin effects and EPS adjustments remain in their own original bridge; omitted adjustments are not assumed to be zero.</v>
      </c>
      <c r="Y205" s="22" t="str">
        <v>Company-disclosed reconciliation. Dollars, margin effects and EPS adjustments remain in their own original bridge; omitted adjustments are not assumed to be zero.</v>
      </c>
      <c r="Z205" s="22" t="str">
        <v>Company-disclosed reconciliation. Dollars, margin effects and EPS adjustments remain in their own original bridge; omitted adjustments are not assumed to be zero.</v>
      </c>
      <c r="AA205" s="22" t="str">
        <v>Company-disclosed reconciliation. Dollars, margin effects and EPS adjustments remain in their own original bridge; omitted adjustments are not assumed to be zero.</v>
      </c>
    </row>
    <row r="206" ht="22" customHeight="1">
      <c r="A206" s="49" t="str">
        <v>Operating income</v>
      </c>
      <c r="B206" s="3"/>
      <c r="C206" s="51" t="n">
        <v>12874</v>
      </c>
      <c r="D206" s="51" t="n">
        <v>17936</v>
      </c>
      <c r="E206" s="51" t="n">
        <v>23316</v>
      </c>
      <c r="F206" s="51" t="n">
        <v>22035</v>
      </c>
      <c r="G206" s="51" t="n">
        <v>23678</v>
      </c>
      <c r="H206" s="51" t="n">
        <v>19456</v>
      </c>
      <c r="I206" s="51"/>
      <c r="J206" s="51"/>
      <c r="K206" s="51"/>
      <c r="L206" s="51"/>
      <c r="M206" s="51"/>
      <c r="N206" s="51"/>
      <c r="O206" s="51"/>
      <c r="P206" s="51"/>
      <c r="Q206" s="51"/>
      <c r="R206" s="51"/>
      <c r="S206" s="51"/>
      <c r="T206" s="51"/>
      <c r="U206" s="51"/>
      <c r="V206" s="51"/>
      <c r="W206" s="51"/>
      <c r="X206" s="51"/>
      <c r="Y206" s="51"/>
      <c r="Z206" s="51"/>
      <c r="AA206" s="51"/>
    </row>
    <row r="207" ht="22" customHeight="1">
      <c r="A207" s="49" t="str">
        <v>Deferred revenue write-down, net of cost of sales</v>
      </c>
      <c r="B207" s="3"/>
      <c r="C207" s="51" t="n">
        <v>64</v>
      </c>
      <c r="D207" s="51" t="n">
        <v>0</v>
      </c>
      <c r="E207" s="51" t="n">
        <v>0</v>
      </c>
      <c r="F207" s="51"/>
      <c r="G207" s="51"/>
      <c r="H207" s="51"/>
      <c r="I207" s="51"/>
      <c r="J207" s="51"/>
      <c r="K207" s="51"/>
      <c r="L207" s="51"/>
      <c r="M207" s="51"/>
      <c r="N207" s="51"/>
      <c r="O207" s="51"/>
      <c r="P207" s="51"/>
      <c r="Q207" s="51"/>
      <c r="R207" s="51"/>
      <c r="S207" s="51"/>
      <c r="T207" s="51"/>
      <c r="U207" s="51"/>
      <c r="V207" s="51"/>
      <c r="W207" s="51"/>
      <c r="X207" s="51"/>
      <c r="Y207" s="51"/>
      <c r="Z207" s="51"/>
      <c r="AA207" s="51"/>
    </row>
    <row r="208" ht="22" customHeight="1">
      <c r="A208" s="49" t="str">
        <v>Inventory valuation</v>
      </c>
      <c r="B208" s="3"/>
      <c r="C208" s="51" t="n">
        <v>387</v>
      </c>
      <c r="D208" s="51" t="n">
        <v>55</v>
      </c>
      <c r="E208" s="51" t="n">
        <v>0</v>
      </c>
      <c r="F208" s="51"/>
      <c r="G208" s="51"/>
      <c r="H208" s="51"/>
      <c r="I208" s="51"/>
      <c r="J208" s="51"/>
      <c r="K208" s="51"/>
      <c r="L208" s="51"/>
      <c r="M208" s="51"/>
      <c r="N208" s="51"/>
      <c r="O208" s="51"/>
      <c r="P208" s="51"/>
      <c r="Q208" s="51"/>
      <c r="R208" s="51"/>
      <c r="S208" s="51"/>
      <c r="T208" s="51"/>
      <c r="U208" s="51"/>
      <c r="V208" s="51"/>
      <c r="W208" s="51"/>
      <c r="X208" s="51"/>
      <c r="Y208" s="51"/>
      <c r="Z208" s="51"/>
      <c r="AA208" s="51"/>
    </row>
    <row r="209" ht="22" customHeight="1">
      <c r="A209" s="49" t="str">
        <v>Amortization of acquisition-related intangibles</v>
      </c>
      <c r="B209" s="3"/>
      <c r="C209" s="51" t="n">
        <v>1231</v>
      </c>
      <c r="D209" s="51" t="n">
        <v>1089</v>
      </c>
      <c r="E209" s="51" t="n">
        <v>1305</v>
      </c>
      <c r="F209" s="51"/>
      <c r="G209" s="51"/>
      <c r="H209" s="51"/>
      <c r="I209" s="51"/>
      <c r="J209" s="51"/>
      <c r="K209" s="51"/>
      <c r="L209" s="51"/>
      <c r="M209" s="51"/>
      <c r="N209" s="51"/>
      <c r="O209" s="51"/>
      <c r="P209" s="51"/>
      <c r="Q209" s="51"/>
      <c r="R209" s="51"/>
      <c r="S209" s="51"/>
      <c r="T209" s="51"/>
      <c r="U209" s="51"/>
      <c r="V209" s="51"/>
      <c r="W209" s="51"/>
      <c r="X209" s="51"/>
      <c r="Y209" s="51"/>
      <c r="Z209" s="51"/>
      <c r="AA209" s="51"/>
    </row>
    <row r="210" ht="22" customHeight="1">
      <c r="A210" s="49" t="str">
        <v>Restructuring and other charges</v>
      </c>
      <c r="B210" s="3"/>
      <c r="C210" s="51" t="n">
        <v>1886</v>
      </c>
      <c r="D210" s="51" t="n">
        <v>384</v>
      </c>
      <c r="E210" s="51" t="n">
        <v>-72</v>
      </c>
      <c r="F210" s="51" t="n">
        <v>393</v>
      </c>
      <c r="G210" s="51" t="n">
        <v>198</v>
      </c>
      <c r="H210" s="51" t="n">
        <v>2626</v>
      </c>
      <c r="I210" s="51"/>
      <c r="J210" s="51"/>
      <c r="K210" s="51"/>
      <c r="L210" s="51"/>
      <c r="M210" s="51"/>
      <c r="N210" s="51"/>
      <c r="O210" s="51"/>
      <c r="P210" s="51"/>
      <c r="Q210" s="51"/>
      <c r="R210" s="51"/>
      <c r="S210" s="51"/>
      <c r="T210" s="51"/>
      <c r="U210" s="51"/>
      <c r="V210" s="51"/>
      <c r="W210" s="51"/>
      <c r="X210" s="51"/>
      <c r="Y210" s="51"/>
      <c r="Z210" s="51"/>
      <c r="AA210" s="51"/>
    </row>
    <row r="211" ht="22" customHeight="1">
      <c r="A211" s="49" t="str">
        <v>Other acquisition-related charges</v>
      </c>
      <c r="B211" s="3"/>
      <c r="C211" s="51" t="n">
        <v>100</v>
      </c>
      <c r="D211" s="51" t="n">
        <v>113</v>
      </c>
      <c r="E211" s="51" t="n">
        <v>0</v>
      </c>
      <c r="F211" s="51"/>
      <c r="G211" s="51"/>
      <c r="H211" s="51"/>
      <c r="I211" s="51"/>
      <c r="J211" s="51"/>
      <c r="K211" s="51"/>
      <c r="L211" s="51"/>
      <c r="M211" s="51"/>
      <c r="N211" s="51"/>
      <c r="O211" s="51"/>
      <c r="P211" s="51"/>
      <c r="Q211" s="51"/>
      <c r="R211" s="51"/>
      <c r="S211" s="51"/>
      <c r="T211" s="51"/>
      <c r="U211" s="51"/>
      <c r="V211" s="51"/>
      <c r="W211" s="51"/>
      <c r="X211" s="51"/>
      <c r="Y211" s="51"/>
      <c r="Z211" s="51"/>
      <c r="AA211" s="51"/>
    </row>
    <row r="212" ht="22" customHeight="1">
      <c r="A212" s="49" t="str">
        <v>Acquisition-related adjustments</v>
      </c>
      <c r="B212" s="3"/>
      <c r="C212" s="51"/>
      <c r="D212" s="51"/>
      <c r="E212" s="51"/>
      <c r="F212" s="51" t="n">
        <v>1324</v>
      </c>
      <c r="G212" s="51" t="n">
        <v>1416</v>
      </c>
      <c r="H212" s="51" t="n">
        <v>1492</v>
      </c>
      <c r="I212" s="51"/>
      <c r="J212" s="51"/>
      <c r="K212" s="51"/>
      <c r="L212" s="51"/>
      <c r="M212" s="51"/>
      <c r="N212" s="51"/>
      <c r="O212" s="51"/>
      <c r="P212" s="51"/>
      <c r="Q212" s="51"/>
      <c r="R212" s="51"/>
      <c r="S212" s="51"/>
      <c r="T212" s="51"/>
      <c r="U212" s="51"/>
      <c r="V212" s="51"/>
      <c r="W212" s="51"/>
      <c r="X212" s="51"/>
      <c r="Y212" s="51"/>
      <c r="Z212" s="51"/>
      <c r="AA212" s="51"/>
    </row>
    <row r="213" ht="22" customHeight="1">
      <c r="A213" s="49" t="str">
        <v>NAND memory business</v>
      </c>
      <c r="B213" s="3"/>
      <c r="C213" s="51"/>
      <c r="D213" s="51"/>
      <c r="E213" s="51"/>
      <c r="F213" s="51"/>
      <c r="G213" s="51"/>
      <c r="H213" s="51" t="n">
        <v>-1369</v>
      </c>
      <c r="I213" s="51"/>
      <c r="J213" s="51"/>
      <c r="K213" s="51"/>
      <c r="L213" s="51"/>
      <c r="M213" s="51"/>
      <c r="N213" s="51"/>
      <c r="O213" s="51"/>
      <c r="P213" s="51"/>
      <c r="Q213" s="51"/>
      <c r="R213" s="51"/>
      <c r="S213" s="51"/>
      <c r="T213" s="51"/>
      <c r="U213" s="51"/>
      <c r="V213" s="51"/>
      <c r="W213" s="51"/>
      <c r="X213" s="51"/>
      <c r="Y213" s="51"/>
      <c r="Z213" s="51"/>
      <c r="AA213" s="51"/>
    </row>
    <row r="214" ht="24" customHeight="1">
      <c r="A214" s="34" t="str">
        <v>Non-GAAP operating income</v>
      </c>
      <c r="B214" s="35"/>
      <c r="C214" s="36" t="n">
        <v>16542</v>
      </c>
      <c r="D214" s="36" t="n">
        <v>19577</v>
      </c>
      <c r="E214" s="36" t="n">
        <v>24549</v>
      </c>
      <c r="F214" s="36" t="n">
        <v>23752</v>
      </c>
      <c r="G214" s="36" t="n">
        <v>25292</v>
      </c>
      <c r="H214" s="36" t="n">
        <v>22205</v>
      </c>
      <c r="I214" s="36"/>
      <c r="J214" s="36"/>
      <c r="K214" s="36"/>
      <c r="L214" s="36"/>
      <c r="M214" s="36"/>
      <c r="N214" s="36"/>
      <c r="O214" s="36"/>
      <c r="P214" s="36"/>
      <c r="Q214" s="36"/>
      <c r="R214" s="36"/>
      <c r="S214" s="36"/>
      <c r="T214" s="36"/>
      <c r="U214" s="36"/>
      <c r="V214" s="36"/>
      <c r="W214" s="36"/>
      <c r="X214" s="36"/>
      <c r="Y214" s="36"/>
      <c r="Z214" s="36"/>
      <c r="AA214" s="36"/>
    </row>
    <row r="215" ht="8"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22" customHeight="1">
      <c r="A216" s="21" t="str">
        <v>Non-GAAP EPS reconciliation (USD per share)</v>
      </c>
      <c r="B216" s="21" t="str">
        <v>Non-GAAP EPS reconciliation (USD per share)</v>
      </c>
      <c r="C216" s="21" t="str">
        <v>Non-GAAP EPS reconciliation (USD per share)</v>
      </c>
      <c r="D216" s="21" t="str">
        <v>Non-GAAP EPS reconciliation (USD per share)</v>
      </c>
      <c r="E216" s="21" t="str">
        <v>Non-GAAP EPS reconciliation (USD per share)</v>
      </c>
      <c r="F216" s="21" t="str">
        <v>Non-GAAP EPS reconciliation (USD per share)</v>
      </c>
      <c r="G216" s="21" t="str">
        <v>Non-GAAP EPS reconciliation (USD per share)</v>
      </c>
      <c r="H216" s="21" t="str">
        <v>Non-GAAP EPS reconciliation (USD per share)</v>
      </c>
      <c r="I216" s="21" t="str">
        <v>Non-GAAP EPS reconciliation (USD per share)</v>
      </c>
      <c r="J216" s="21" t="str">
        <v>Non-GAAP EPS reconciliation (USD per share)</v>
      </c>
      <c r="K216" s="21" t="str">
        <v>Non-GAAP EPS reconciliation (USD per share)</v>
      </c>
      <c r="L216" s="21" t="str">
        <v>Non-GAAP EPS reconciliation (USD per share)</v>
      </c>
      <c r="M216" s="21" t="str">
        <v>Non-GAAP EPS reconciliation (USD per share)</v>
      </c>
      <c r="N216" s="21" t="str">
        <v>Non-GAAP EPS reconciliation (USD per share)</v>
      </c>
      <c r="O216" s="21" t="str">
        <v>Non-GAAP EPS reconciliation (USD per share)</v>
      </c>
      <c r="P216" s="21" t="str">
        <v>Non-GAAP EPS reconciliation (USD per share)</v>
      </c>
      <c r="Q216" s="21" t="str">
        <v>Non-GAAP EPS reconciliation (USD per share)</v>
      </c>
      <c r="R216" s="21" t="str">
        <v>Non-GAAP EPS reconciliation (USD per share)</v>
      </c>
      <c r="S216" s="21" t="str">
        <v>Non-GAAP EPS reconciliation (USD per share)</v>
      </c>
      <c r="T216" s="21" t="str">
        <v>Non-GAAP EPS reconciliation (USD per share)</v>
      </c>
      <c r="U216" s="21" t="str">
        <v>Non-GAAP EPS reconciliation (USD per share)</v>
      </c>
      <c r="V216" s="21" t="str">
        <v>Non-GAAP EPS reconciliation (USD per share)</v>
      </c>
      <c r="W216" s="21" t="str">
        <v>Non-GAAP EPS reconciliation (USD per share)</v>
      </c>
      <c r="X216" s="21" t="str">
        <v>Non-GAAP EPS reconciliation (USD per share)</v>
      </c>
      <c r="Y216" s="21" t="str">
        <v>Non-GAAP EPS reconciliation (USD per share)</v>
      </c>
      <c r="Z216" s="21" t="str">
        <v>Non-GAAP EPS reconciliation (USD per share)</v>
      </c>
      <c r="AA216" s="21" t="str">
        <v>Non-GAAP EPS reconciliation (USD per share)</v>
      </c>
    </row>
    <row r="217" ht="18" customHeight="1">
      <c r="A217" s="22" t="str">
        <v>Company-disclosed reconciliation. Dollars, margin effects and EPS adjustments remain in their own original bridge; omitted adjustments are not assumed to be zero.</v>
      </c>
      <c r="B217" s="22" t="str">
        <v>Company-disclosed reconciliation. Dollars, margin effects and EPS adjustments remain in their own original bridge; omitted adjustments are not assumed to be zero.</v>
      </c>
      <c r="C217" s="22" t="str">
        <v>Company-disclosed reconciliation. Dollars, margin effects and EPS adjustments remain in their own original bridge; omitted adjustments are not assumed to be zero.</v>
      </c>
      <c r="D217" s="22" t="str">
        <v>Company-disclosed reconciliation. Dollars, margin effects and EPS adjustments remain in their own original bridge; omitted adjustments are not assumed to be zero.</v>
      </c>
      <c r="E217" s="22" t="str">
        <v>Company-disclosed reconciliation. Dollars, margin effects and EPS adjustments remain in their own original bridge; omitted adjustments are not assumed to be zero.</v>
      </c>
      <c r="F217" s="22" t="str">
        <v>Company-disclosed reconciliation. Dollars, margin effects and EPS adjustments remain in their own original bridge; omitted adjustments are not assumed to be zero.</v>
      </c>
      <c r="G217" s="22" t="str">
        <v>Company-disclosed reconciliation. Dollars, margin effects and EPS adjustments remain in their own original bridge; omitted adjustments are not assumed to be zero.</v>
      </c>
      <c r="H217" s="22" t="str">
        <v>Company-disclosed reconciliation. Dollars, margin effects and EPS adjustments remain in their own original bridge; omitted adjustments are not assumed to be zero.</v>
      </c>
      <c r="I217" s="22" t="str">
        <v>Company-disclosed reconciliation. Dollars, margin effects and EPS adjustments remain in their own original bridge; omitted adjustments are not assumed to be zero.</v>
      </c>
      <c r="J217" s="22" t="str">
        <v>Company-disclosed reconciliation. Dollars, margin effects and EPS adjustments remain in their own original bridge; omitted adjustments are not assumed to be zero.</v>
      </c>
      <c r="K217" s="22" t="str">
        <v>Company-disclosed reconciliation. Dollars, margin effects and EPS adjustments remain in their own original bridge; omitted adjustments are not assumed to be zero.</v>
      </c>
      <c r="L217" s="22" t="str">
        <v>Company-disclosed reconciliation. Dollars, margin effects and EPS adjustments remain in their own original bridge; omitted adjustments are not assumed to be zero.</v>
      </c>
      <c r="M217" s="22" t="str">
        <v>Company-disclosed reconciliation. Dollars, margin effects and EPS adjustments remain in their own original bridge; omitted adjustments are not assumed to be zero.</v>
      </c>
      <c r="N217" s="22" t="str">
        <v>Company-disclosed reconciliation. Dollars, margin effects and EPS adjustments remain in their own original bridge; omitted adjustments are not assumed to be zero.</v>
      </c>
      <c r="O217" s="22" t="str">
        <v>Company-disclosed reconciliation. Dollars, margin effects and EPS adjustments remain in their own original bridge; omitted adjustments are not assumed to be zero.</v>
      </c>
      <c r="P217" s="22" t="str">
        <v>Company-disclosed reconciliation. Dollars, margin effects and EPS adjustments remain in their own original bridge; omitted adjustments are not assumed to be zero.</v>
      </c>
      <c r="Q217" s="22" t="str">
        <v>Company-disclosed reconciliation. Dollars, margin effects and EPS adjustments remain in their own original bridge; omitted adjustments are not assumed to be zero.</v>
      </c>
      <c r="R217" s="22" t="str">
        <v>Company-disclosed reconciliation. Dollars, margin effects and EPS adjustments remain in their own original bridge; omitted adjustments are not assumed to be zero.</v>
      </c>
      <c r="S217" s="22" t="str">
        <v>Company-disclosed reconciliation. Dollars, margin effects and EPS adjustments remain in their own original bridge; omitted adjustments are not assumed to be zero.</v>
      </c>
      <c r="T217" s="22" t="str">
        <v>Company-disclosed reconciliation. Dollars, margin effects and EPS adjustments remain in their own original bridge; omitted adjustments are not assumed to be zero.</v>
      </c>
      <c r="U217" s="22" t="str">
        <v>Company-disclosed reconciliation. Dollars, margin effects and EPS adjustments remain in their own original bridge; omitted adjustments are not assumed to be zero.</v>
      </c>
      <c r="V217" s="22" t="str">
        <v>Company-disclosed reconciliation. Dollars, margin effects and EPS adjustments remain in their own original bridge; omitted adjustments are not assumed to be zero.</v>
      </c>
      <c r="W217" s="22" t="str">
        <v>Company-disclosed reconciliation. Dollars, margin effects and EPS adjustments remain in their own original bridge; omitted adjustments are not assumed to be zero.</v>
      </c>
      <c r="X217" s="22" t="str">
        <v>Company-disclosed reconciliation. Dollars, margin effects and EPS adjustments remain in their own original bridge; omitted adjustments are not assumed to be zero.</v>
      </c>
      <c r="Y217" s="22" t="str">
        <v>Company-disclosed reconciliation. Dollars, margin effects and EPS adjustments remain in their own original bridge; omitted adjustments are not assumed to be zero.</v>
      </c>
      <c r="Z217" s="22" t="str">
        <v>Company-disclosed reconciliation. Dollars, margin effects and EPS adjustments remain in their own original bridge; omitted adjustments are not assumed to be zero.</v>
      </c>
      <c r="AA217" s="22" t="str">
        <v>Company-disclosed reconciliation. Dollars, margin effects and EPS adjustments remain in their own original bridge; omitted adjustments are not assumed to be zero.</v>
      </c>
    </row>
    <row r="218" ht="22" customHeight="1">
      <c r="A218" s="49" t="str">
        <v>Earnings per share - Diluted</v>
      </c>
      <c r="B218" s="3"/>
      <c r="C218" s="60" t="n">
        <v>2.12</v>
      </c>
      <c r="D218" s="60" t="n">
        <v>1.99</v>
      </c>
      <c r="E218" s="60" t="n">
        <v>4.48</v>
      </c>
      <c r="F218" s="60" t="n">
        <v>4.71</v>
      </c>
      <c r="G218" s="60" t="n">
        <v>4.94</v>
      </c>
      <c r="H218" s="60" t="n">
        <v>4.86</v>
      </c>
      <c r="I218" s="60" t="n">
        <v>1.94</v>
      </c>
      <c r="J218" s="60"/>
      <c r="K218" s="60"/>
      <c r="L218" s="60"/>
      <c r="M218" s="60"/>
      <c r="N218" s="60"/>
      <c r="O218" s="60"/>
      <c r="P218" s="60"/>
      <c r="Q218" s="60"/>
      <c r="R218" s="60"/>
      <c r="S218" s="60"/>
      <c r="T218" s="60"/>
      <c r="U218" s="60"/>
      <c r="V218" s="60"/>
      <c r="W218" s="60"/>
      <c r="X218" s="60"/>
      <c r="Y218" s="60"/>
      <c r="Z218" s="60"/>
      <c r="AA218" s="60"/>
    </row>
    <row r="219" ht="22" customHeight="1">
      <c r="A219" s="49" t="str">
        <v>Earnings per share attributable to Intel—diluted</v>
      </c>
      <c r="B219" s="3"/>
      <c r="C219" s="60"/>
      <c r="D219" s="60"/>
      <c r="E219" s="60"/>
      <c r="F219" s="60"/>
      <c r="G219" s="60"/>
      <c r="H219" s="60"/>
      <c r="I219" s="60"/>
      <c r="J219" s="60" t="n">
        <v>0.4</v>
      </c>
      <c r="K219" s="60"/>
      <c r="L219" s="60"/>
      <c r="M219" s="60"/>
      <c r="N219" s="60"/>
      <c r="O219" s="60"/>
      <c r="P219" s="60"/>
      <c r="Q219" s="60"/>
      <c r="R219" s="60"/>
      <c r="S219" s="60"/>
      <c r="T219" s="60"/>
      <c r="U219" s="60"/>
      <c r="V219" s="60"/>
      <c r="W219" s="60"/>
      <c r="X219" s="60"/>
      <c r="Y219" s="60"/>
      <c r="Z219" s="60"/>
      <c r="AA219" s="60"/>
    </row>
    <row r="220" ht="22" customHeight="1">
      <c r="A220" s="49" t="str">
        <v>Earnings (loss) per share attributable to Intel—diluted</v>
      </c>
      <c r="B220" s="3"/>
      <c r="C220" s="60"/>
      <c r="D220" s="60"/>
      <c r="E220" s="60"/>
      <c r="F220" s="60"/>
      <c r="G220" s="60"/>
      <c r="H220" s="60"/>
      <c r="I220" s="60"/>
      <c r="J220" s="60"/>
      <c r="K220" s="60"/>
      <c r="L220" s="60"/>
      <c r="M220" s="60"/>
      <c r="N220" s="60" t="n">
        <v>-0.66</v>
      </c>
      <c r="O220" s="60" t="n">
        <v>0.35</v>
      </c>
      <c r="P220" s="60" t="n">
        <v>0.07</v>
      </c>
      <c r="Q220" s="60"/>
      <c r="R220" s="60" t="n">
        <v>-0.09</v>
      </c>
      <c r="S220" s="60" t="n">
        <v>-0.38</v>
      </c>
      <c r="T220" s="60" t="n">
        <v>-3.88</v>
      </c>
      <c r="U220" s="60"/>
      <c r="V220" s="60"/>
      <c r="W220" s="60"/>
      <c r="X220" s="60"/>
      <c r="Y220" s="60"/>
      <c r="Z220" s="60"/>
      <c r="AA220" s="60"/>
    </row>
    <row r="221" ht="22" customHeight="1">
      <c r="A221" s="49" t="str">
        <v>Deferred revenue write-down, net of cost of sales</v>
      </c>
      <c r="B221" s="3"/>
      <c r="C221" s="60" t="n">
        <v>0.01</v>
      </c>
      <c r="D221" s="60" t="n">
        <v>0</v>
      </c>
      <c r="E221" s="60" t="n">
        <v>0</v>
      </c>
      <c r="F221" s="60"/>
      <c r="G221" s="60"/>
      <c r="H221" s="60"/>
      <c r="I221" s="60"/>
      <c r="J221" s="60"/>
      <c r="K221" s="60"/>
      <c r="L221" s="60"/>
      <c r="M221" s="60"/>
      <c r="N221" s="60"/>
      <c r="O221" s="60"/>
      <c r="P221" s="60"/>
      <c r="Q221" s="60"/>
      <c r="R221" s="60"/>
      <c r="S221" s="60"/>
      <c r="T221" s="60"/>
      <c r="U221" s="60"/>
      <c r="V221" s="60"/>
      <c r="W221" s="60"/>
      <c r="X221" s="60"/>
      <c r="Y221" s="60"/>
      <c r="Z221" s="60"/>
      <c r="AA221" s="60"/>
    </row>
    <row r="222" ht="22" customHeight="1">
      <c r="A222" s="49" t="str">
        <v>Inventory valuation</v>
      </c>
      <c r="B222" s="3"/>
      <c r="C222" s="60" t="n">
        <v>0.08</v>
      </c>
      <c r="D222" s="60" t="n">
        <v>0.01</v>
      </c>
      <c r="E222" s="60" t="n">
        <v>0</v>
      </c>
      <c r="F222" s="60"/>
      <c r="G222" s="60"/>
      <c r="H222" s="60"/>
      <c r="I222" s="60"/>
      <c r="J222" s="60"/>
      <c r="K222" s="60"/>
      <c r="L222" s="60"/>
      <c r="M222" s="60"/>
      <c r="N222" s="60"/>
      <c r="O222" s="60"/>
      <c r="P222" s="60"/>
      <c r="Q222" s="60"/>
      <c r="R222" s="60"/>
      <c r="S222" s="60"/>
      <c r="T222" s="60"/>
      <c r="U222" s="60"/>
      <c r="V222" s="60"/>
      <c r="W222" s="60"/>
      <c r="X222" s="60"/>
      <c r="Y222" s="60"/>
      <c r="Z222" s="60"/>
      <c r="AA222" s="60"/>
    </row>
    <row r="223" ht="22" customHeight="1">
      <c r="A223" s="49" t="str">
        <v>Amortization of acquisition-related intangibles</v>
      </c>
      <c r="B223" s="3"/>
      <c r="C223" s="60" t="n">
        <v>0.25</v>
      </c>
      <c r="D223" s="60" t="n">
        <v>0.22</v>
      </c>
      <c r="E223" s="60" t="n">
        <v>0.28</v>
      </c>
      <c r="F223" s="60"/>
      <c r="G223" s="60"/>
      <c r="H223" s="60"/>
      <c r="I223" s="60"/>
      <c r="J223" s="60"/>
      <c r="K223" s="60"/>
      <c r="L223" s="60"/>
      <c r="M223" s="60"/>
      <c r="N223" s="60"/>
      <c r="O223" s="60"/>
      <c r="P223" s="60"/>
      <c r="Q223" s="60"/>
      <c r="R223" s="60"/>
      <c r="S223" s="60"/>
      <c r="T223" s="60"/>
      <c r="U223" s="60"/>
      <c r="V223" s="60"/>
      <c r="W223" s="60"/>
      <c r="X223" s="60"/>
      <c r="Y223" s="60"/>
      <c r="Z223" s="60"/>
      <c r="AA223" s="60"/>
    </row>
    <row r="224" ht="22" customHeight="1">
      <c r="A224" s="49" t="str">
        <v>Restructuring and other charges</v>
      </c>
      <c r="B224" s="3"/>
      <c r="C224" s="60" t="n">
        <v>0.39</v>
      </c>
      <c r="D224" s="60" t="n">
        <v>0.08</v>
      </c>
      <c r="E224" s="60" t="n">
        <v>-0.02</v>
      </c>
      <c r="F224" s="60" t="n">
        <v>0.09</v>
      </c>
      <c r="G224" s="60" t="n">
        <v>0.05</v>
      </c>
      <c r="H224" s="60" t="n">
        <v>0.65</v>
      </c>
      <c r="I224" s="60" t="n">
        <v>0</v>
      </c>
      <c r="J224" s="60" t="n">
        <v>-0.01</v>
      </c>
      <c r="K224" s="60"/>
      <c r="L224" s="60"/>
      <c r="M224" s="60"/>
      <c r="N224" s="60" t="n">
        <v>0.01</v>
      </c>
      <c r="O224" s="60" t="n">
        <v>0.05</v>
      </c>
      <c r="P224" s="60" t="n">
        <v>0.19</v>
      </c>
      <c r="Q224" s="60"/>
      <c r="R224" s="60" t="n">
        <v>0.08</v>
      </c>
      <c r="S224" s="60" t="n">
        <v>0.22</v>
      </c>
      <c r="T224" s="60" t="n">
        <v>1.31</v>
      </c>
      <c r="U224" s="60"/>
      <c r="V224" s="60"/>
      <c r="W224" s="60"/>
      <c r="X224" s="60"/>
      <c r="Y224" s="60"/>
      <c r="Z224" s="60"/>
      <c r="AA224" s="60"/>
    </row>
    <row r="225" ht="22" customHeight="1">
      <c r="A225" s="49" t="str">
        <v>Other acquisition-related charges</v>
      </c>
      <c r="B225" s="3"/>
      <c r="C225" s="60" t="n">
        <v>0.02</v>
      </c>
      <c r="D225" s="60" t="n">
        <v>0.02</v>
      </c>
      <c r="E225" s="60" t="n">
        <v>0</v>
      </c>
      <c r="F225" s="60"/>
      <c r="G225" s="60"/>
      <c r="H225" s="60"/>
      <c r="I225" s="60"/>
      <c r="J225" s="60"/>
      <c r="K225" s="60"/>
      <c r="L225" s="60"/>
      <c r="M225" s="60"/>
      <c r="N225" s="60"/>
      <c r="O225" s="60"/>
      <c r="P225" s="60"/>
      <c r="Q225" s="60"/>
      <c r="R225" s="60"/>
      <c r="S225" s="60"/>
      <c r="T225" s="60"/>
      <c r="U225" s="60"/>
      <c r="V225" s="60"/>
      <c r="W225" s="60"/>
      <c r="X225" s="60"/>
      <c r="Y225" s="60"/>
      <c r="Z225" s="60"/>
      <c r="AA225" s="60"/>
    </row>
    <row r="226" ht="22" customHeight="1">
      <c r="A226" s="49" t="str">
        <v>(Gains)/Losses from divestiture</v>
      </c>
      <c r="B226" s="3"/>
      <c r="C226" s="60" t="n">
        <v>0</v>
      </c>
      <c r="D226" s="60" t="n">
        <v>-0.08</v>
      </c>
      <c r="E226" s="60"/>
      <c r="F226" s="60" t="n">
        <v>-0.16</v>
      </c>
      <c r="G226" s="60" t="n">
        <v>0</v>
      </c>
      <c r="H226" s="60" t="n">
        <v>0</v>
      </c>
      <c r="I226" s="60" t="n">
        <v>-0.28</v>
      </c>
      <c r="J226" s="60" t="n">
        <v>-0.04</v>
      </c>
      <c r="K226" s="60"/>
      <c r="L226" s="60"/>
      <c r="M226" s="60"/>
      <c r="N226" s="60" t="n">
        <v>-0.01</v>
      </c>
      <c r="O226" s="60" t="n">
        <v>-0.01</v>
      </c>
      <c r="P226" s="60" t="n">
        <v>-0.01</v>
      </c>
      <c r="Q226" s="60"/>
      <c r="R226" s="60" t="n">
        <v>-0.01</v>
      </c>
      <c r="S226" s="60" t="n">
        <v>-0.01</v>
      </c>
      <c r="T226" s="60" t="n">
        <v>-0.01</v>
      </c>
      <c r="U226" s="60"/>
      <c r="V226" s="60"/>
      <c r="W226" s="60"/>
      <c r="X226" s="60"/>
      <c r="Y226" s="60"/>
      <c r="Z226" s="60"/>
      <c r="AA226" s="60"/>
    </row>
    <row r="227" ht="22" customHeight="1">
      <c r="A227" s="49" t="str">
        <v>Tax Reform</v>
      </c>
      <c r="B227" s="3"/>
      <c r="C227" s="60" t="n">
        <v>0</v>
      </c>
      <c r="D227" s="60" t="n">
        <v>1.13</v>
      </c>
      <c r="E227" s="60" t="n">
        <v>-0.06</v>
      </c>
      <c r="F227" s="60" t="n">
        <v>0</v>
      </c>
      <c r="G227" s="60" t="n">
        <v>0</v>
      </c>
      <c r="H227" s="60"/>
      <c r="I227" s="60" t="n">
        <v>-0.2</v>
      </c>
      <c r="J227" s="60"/>
      <c r="K227" s="60"/>
      <c r="L227" s="60"/>
      <c r="M227" s="60"/>
      <c r="N227" s="60"/>
      <c r="O227" s="60"/>
      <c r="P227" s="60"/>
      <c r="Q227" s="60"/>
      <c r="R227" s="60"/>
      <c r="S227" s="60"/>
      <c r="T227" s="60"/>
      <c r="U227" s="60"/>
      <c r="V227" s="60"/>
      <c r="W227" s="60"/>
      <c r="X227" s="60"/>
      <c r="Y227" s="60"/>
      <c r="Z227" s="60"/>
      <c r="AA227" s="60"/>
    </row>
    <row r="228" ht="22" customHeight="1">
      <c r="A228" s="49" t="str">
        <v>Income tax effect</v>
      </c>
      <c r="B228" s="3"/>
      <c r="C228" s="60" t="n">
        <v>-0.15</v>
      </c>
      <c r="D228" s="60" t="n">
        <v>0.09</v>
      </c>
      <c r="E228" s="60" t="n">
        <v>-0.02</v>
      </c>
      <c r="F228" s="60" t="n">
        <v>0</v>
      </c>
      <c r="G228" s="60"/>
      <c r="H228" s="60"/>
      <c r="I228" s="60"/>
      <c r="J228" s="60"/>
      <c r="K228" s="60"/>
      <c r="L228" s="60"/>
      <c r="M228" s="60"/>
      <c r="N228" s="60"/>
      <c r="O228" s="60"/>
      <c r="P228" s="60"/>
      <c r="Q228" s="60"/>
      <c r="R228" s="60"/>
      <c r="S228" s="60"/>
      <c r="T228" s="60"/>
      <c r="U228" s="60"/>
      <c r="V228" s="60"/>
      <c r="W228" s="60"/>
      <c r="X228" s="60"/>
      <c r="Y228" s="60"/>
      <c r="Z228" s="60"/>
      <c r="AA228" s="60"/>
    </row>
    <row r="229" ht="22" customHeight="1">
      <c r="A229" s="49" t="str">
        <v>(Gains) losses from divestitures</v>
      </c>
      <c r="B229" s="3"/>
      <c r="C229" s="60"/>
      <c r="D229" s="60"/>
      <c r="E229" s="60" t="n">
        <v>-0.11</v>
      </c>
      <c r="F229" s="60"/>
      <c r="G229" s="60"/>
      <c r="H229" s="60"/>
      <c r="I229" s="60"/>
      <c r="J229" s="60"/>
      <c r="K229" s="60"/>
      <c r="L229" s="60"/>
      <c r="M229" s="60"/>
      <c r="N229" s="60"/>
      <c r="O229" s="60"/>
      <c r="P229" s="60"/>
      <c r="Q229" s="60"/>
      <c r="R229" s="60"/>
      <c r="S229" s="60"/>
      <c r="T229" s="60"/>
      <c r="U229" s="60"/>
      <c r="V229" s="60"/>
      <c r="W229" s="60"/>
      <c r="X229" s="60"/>
      <c r="Y229" s="60"/>
      <c r="Z229" s="60"/>
      <c r="AA229" s="60"/>
    </row>
    <row r="230" ht="22" customHeight="1">
      <c r="A230" s="49" t="str">
        <v>Ongoing mark-to-market on marketable equity securities</v>
      </c>
      <c r="B230" s="3"/>
      <c r="C230" s="60"/>
      <c r="D230" s="60"/>
      <c r="E230" s="60" t="n">
        <v>0.03</v>
      </c>
      <c r="F230" s="60" t="n">
        <v>-0.06</v>
      </c>
      <c r="G230" s="60" t="n">
        <v>0.03</v>
      </c>
      <c r="H230" s="60" t="n">
        <v>0.03</v>
      </c>
      <c r="I230" s="60"/>
      <c r="J230" s="60"/>
      <c r="K230" s="60"/>
      <c r="L230" s="60"/>
      <c r="M230" s="60"/>
      <c r="N230" s="60"/>
      <c r="O230" s="60"/>
      <c r="P230" s="60"/>
      <c r="Q230" s="60"/>
      <c r="R230" s="60"/>
      <c r="S230" s="60"/>
      <c r="T230" s="60"/>
      <c r="U230" s="60"/>
      <c r="V230" s="60"/>
      <c r="W230" s="60"/>
      <c r="X230" s="60"/>
      <c r="Y230" s="60"/>
      <c r="Z230" s="60"/>
      <c r="AA230" s="60"/>
    </row>
    <row r="231" ht="22" customHeight="1">
      <c r="A231" s="49" t="str">
        <v>Acquisition-related adjustments</v>
      </c>
      <c r="B231" s="3"/>
      <c r="C231" s="60"/>
      <c r="D231" s="60"/>
      <c r="E231" s="60"/>
      <c r="F231" s="60" t="n">
        <v>0.29</v>
      </c>
      <c r="G231" s="60" t="n">
        <v>0.33</v>
      </c>
      <c r="H231" s="60" t="n">
        <v>0.36</v>
      </c>
      <c r="I231" s="60" t="n">
        <v>0.37</v>
      </c>
      <c r="J231" s="60" t="n">
        <v>0.33</v>
      </c>
      <c r="K231" s="60"/>
      <c r="L231" s="60"/>
      <c r="M231" s="60"/>
      <c r="N231" s="60" t="n">
        <v>0.09</v>
      </c>
      <c r="O231" s="60" t="n">
        <v>0.08</v>
      </c>
      <c r="P231" s="60" t="n">
        <v>0.08</v>
      </c>
      <c r="Q231" s="60"/>
      <c r="R231" s="60" t="n">
        <v>0.06</v>
      </c>
      <c r="S231" s="60" t="n">
        <v>0.06</v>
      </c>
      <c r="T231" s="60" t="n">
        <v>0.06</v>
      </c>
      <c r="U231" s="60"/>
      <c r="V231" s="60"/>
      <c r="W231" s="60"/>
      <c r="X231" s="60"/>
      <c r="Y231" s="60"/>
      <c r="Z231" s="60"/>
      <c r="AA231" s="60"/>
    </row>
    <row r="232" ht="22" customHeight="1">
      <c r="A232" s="49" t="str">
        <v>Income tax effects</v>
      </c>
      <c r="B232" s="3"/>
      <c r="C232" s="60"/>
      <c r="D232" s="60"/>
      <c r="E232" s="60"/>
      <c r="F232" s="60"/>
      <c r="G232" s="60" t="n">
        <v>-0.05</v>
      </c>
      <c r="H232" s="60" t="n">
        <v>-0.1</v>
      </c>
      <c r="I232" s="60" t="n">
        <v>0.06</v>
      </c>
      <c r="J232" s="60" t="n">
        <v>-0.37</v>
      </c>
      <c r="K232" s="60"/>
      <c r="L232" s="60"/>
      <c r="M232" s="60"/>
      <c r="N232" s="60" t="n">
        <v>0.39</v>
      </c>
      <c r="O232" s="60" t="n">
        <v>-0.57</v>
      </c>
      <c r="P232" s="60" t="n">
        <v>-0.15</v>
      </c>
      <c r="Q232" s="60"/>
      <c r="R232" s="60" t="n">
        <v>-0.09</v>
      </c>
      <c r="S232" s="60" t="n">
        <v>-0.08</v>
      </c>
      <c r="T232" s="60" t="n">
        <v>-0.4</v>
      </c>
      <c r="U232" s="60"/>
      <c r="V232" s="60"/>
      <c r="W232" s="60"/>
      <c r="X232" s="60"/>
      <c r="Y232" s="60"/>
      <c r="Z232" s="60"/>
      <c r="AA232" s="60"/>
    </row>
    <row r="233" ht="22" customHeight="1">
      <c r="A233" s="49" t="str">
        <v>NAND memory business</v>
      </c>
      <c r="B233" s="3"/>
      <c r="C233" s="60"/>
      <c r="D233" s="60"/>
      <c r="E233" s="60"/>
      <c r="F233" s="60"/>
      <c r="G233" s="60"/>
      <c r="H233" s="60" t="n">
        <v>-0.33</v>
      </c>
      <c r="I233" s="60" t="n">
        <v>0</v>
      </c>
      <c r="J233" s="60" t="n">
        <v>0</v>
      </c>
      <c r="K233" s="60"/>
      <c r="L233" s="60"/>
      <c r="M233" s="60"/>
      <c r="N233" s="60"/>
      <c r="O233" s="60"/>
      <c r="P233" s="60"/>
      <c r="Q233" s="60"/>
      <c r="R233" s="60"/>
      <c r="S233" s="60"/>
      <c r="T233" s="60"/>
      <c r="U233" s="60"/>
      <c r="V233" s="60"/>
      <c r="W233" s="60"/>
      <c r="X233" s="60"/>
      <c r="Y233" s="60"/>
      <c r="Z233" s="60"/>
      <c r="AA233" s="60"/>
    </row>
    <row r="234" ht="22" customHeight="1">
      <c r="A234" s="49" t="str">
        <v>Share-based compensation</v>
      </c>
      <c r="B234" s="3"/>
      <c r="C234" s="60"/>
      <c r="D234" s="60"/>
      <c r="E234" s="60"/>
      <c r="F234" s="60"/>
      <c r="G234" s="60"/>
      <c r="H234" s="60"/>
      <c r="I234" s="60" t="n">
        <v>0.76</v>
      </c>
      <c r="J234" s="60" t="n">
        <v>0.77</v>
      </c>
      <c r="K234" s="60"/>
      <c r="L234" s="60"/>
      <c r="M234" s="60"/>
      <c r="N234" s="60" t="n">
        <v>0.18</v>
      </c>
      <c r="O234" s="60" t="n">
        <v>0.22</v>
      </c>
      <c r="P234" s="60" t="n">
        <v>0.18</v>
      </c>
      <c r="Q234" s="60"/>
      <c r="R234" s="60" t="n">
        <v>0.28</v>
      </c>
      <c r="S234" s="60" t="n">
        <v>0.18</v>
      </c>
      <c r="T234" s="60" t="n">
        <v>0.19</v>
      </c>
      <c r="U234" s="60"/>
      <c r="V234" s="60"/>
      <c r="W234" s="60"/>
      <c r="X234" s="60"/>
      <c r="Y234" s="60"/>
      <c r="Z234" s="60"/>
      <c r="AA234" s="60"/>
    </row>
    <row r="235" ht="22" customHeight="1">
      <c r="A235" s="49" t="str">
        <v>Patent settlement</v>
      </c>
      <c r="B235" s="3"/>
      <c r="C235" s="60"/>
      <c r="D235" s="60"/>
      <c r="E235" s="60"/>
      <c r="F235" s="60"/>
      <c r="G235" s="60"/>
      <c r="H235" s="60"/>
      <c r="I235" s="60" t="n">
        <v>0.05</v>
      </c>
      <c r="J235" s="60" t="n">
        <v>0</v>
      </c>
      <c r="K235" s="60"/>
      <c r="L235" s="60"/>
      <c r="M235" s="60"/>
      <c r="N235" s="60"/>
      <c r="O235" s="60"/>
      <c r="P235" s="60"/>
      <c r="Q235" s="60"/>
      <c r="R235" s="60"/>
      <c r="S235" s="60"/>
      <c r="T235" s="60"/>
      <c r="U235" s="60"/>
      <c r="V235" s="60"/>
      <c r="W235" s="60"/>
      <c r="X235" s="60"/>
      <c r="Y235" s="60"/>
      <c r="Z235" s="60"/>
      <c r="AA235" s="60"/>
    </row>
    <row r="236" ht="22" customHeight="1">
      <c r="A236" s="49" t="str">
        <v>Optane inventory impairment</v>
      </c>
      <c r="B236" s="3"/>
      <c r="C236" s="60"/>
      <c r="D236" s="60"/>
      <c r="E236" s="60"/>
      <c r="F236" s="60"/>
      <c r="G236" s="60"/>
      <c r="H236" s="60"/>
      <c r="I236" s="60" t="n">
        <v>0.18</v>
      </c>
      <c r="J236" s="60" t="n">
        <v>0</v>
      </c>
      <c r="K236" s="60"/>
      <c r="L236" s="60"/>
      <c r="M236" s="60"/>
      <c r="N236" s="60"/>
      <c r="O236" s="60"/>
      <c r="P236" s="60"/>
      <c r="Q236" s="60"/>
      <c r="R236" s="60"/>
      <c r="S236" s="60"/>
      <c r="T236" s="60"/>
      <c r="U236" s="60"/>
      <c r="V236" s="60"/>
      <c r="W236" s="60"/>
      <c r="X236" s="60"/>
      <c r="Y236" s="60"/>
      <c r="Z236" s="60"/>
      <c r="AA236" s="60"/>
    </row>
    <row r="237" ht="22" customHeight="1">
      <c r="A237" s="49" t="str">
        <v>(Gains) losses on equity investments, net</v>
      </c>
      <c r="B237" s="3"/>
      <c r="C237" s="60"/>
      <c r="D237" s="60"/>
      <c r="E237" s="60"/>
      <c r="F237" s="60"/>
      <c r="G237" s="60"/>
      <c r="H237" s="60"/>
      <c r="I237" s="60" t="n">
        <v>-1.04</v>
      </c>
      <c r="J237" s="60" t="n">
        <v>-0.01</v>
      </c>
      <c r="K237" s="60"/>
      <c r="L237" s="60"/>
      <c r="M237" s="60"/>
      <c r="N237" s="60" t="n">
        <v>-0.04</v>
      </c>
      <c r="O237" s="60" t="n">
        <v>0.01</v>
      </c>
      <c r="P237" s="60" t="n">
        <v>0.05</v>
      </c>
      <c r="Q237" s="60"/>
      <c r="R237" s="60" t="n">
        <v>-0.05</v>
      </c>
      <c r="S237" s="60" t="n">
        <v>0.03</v>
      </c>
      <c r="T237" s="60" t="n">
        <v>0.04</v>
      </c>
      <c r="U237" s="60"/>
      <c r="V237" s="60"/>
      <c r="W237" s="60"/>
      <c r="X237" s="60"/>
      <c r="Y237" s="60"/>
      <c r="Z237" s="60"/>
      <c r="AA237" s="60"/>
    </row>
    <row r="238" ht="22" customHeight="1">
      <c r="A238" s="49" t="str">
        <v>Adjustments attributable to non-controlling interest</v>
      </c>
      <c r="B238" s="3"/>
      <c r="C238" s="60"/>
      <c r="D238" s="60"/>
      <c r="E238" s="60"/>
      <c r="F238" s="60"/>
      <c r="G238" s="60"/>
      <c r="H238" s="60"/>
      <c r="I238" s="60"/>
      <c r="J238" s="60" t="n">
        <v>-0.02</v>
      </c>
      <c r="K238" s="60"/>
      <c r="L238" s="60"/>
      <c r="M238" s="60"/>
      <c r="N238" s="60" t="n">
        <v>0</v>
      </c>
      <c r="O238" s="60" t="n">
        <v>0</v>
      </c>
      <c r="P238" s="60" t="n">
        <v>0</v>
      </c>
      <c r="Q238" s="60"/>
      <c r="R238" s="60" t="n">
        <v>0</v>
      </c>
      <c r="S238" s="60" t="n">
        <v>0</v>
      </c>
      <c r="T238" s="60" t="n">
        <v>-0.08</v>
      </c>
      <c r="U238" s="60"/>
      <c r="V238" s="60"/>
      <c r="W238" s="60"/>
      <c r="X238" s="60"/>
      <c r="Y238" s="60"/>
      <c r="Z238" s="60"/>
      <c r="AA238" s="60"/>
    </row>
    <row r="239" ht="22" customHeight="1">
      <c r="A239" s="49" t="str">
        <v>Deferred tax assets valuation allowances</v>
      </c>
      <c r="B239" s="3"/>
      <c r="C239" s="60"/>
      <c r="D239" s="60"/>
      <c r="E239" s="60"/>
      <c r="F239" s="60"/>
      <c r="G239" s="60"/>
      <c r="H239" s="60"/>
      <c r="I239" s="60"/>
      <c r="J239" s="60"/>
      <c r="K239" s="60"/>
      <c r="L239" s="60"/>
      <c r="M239" s="60"/>
      <c r="N239" s="60"/>
      <c r="O239" s="60"/>
      <c r="P239" s="60"/>
      <c r="Q239" s="60"/>
      <c r="R239" s="60"/>
      <c r="S239" s="60"/>
      <c r="T239" s="60" t="n">
        <v>2.31</v>
      </c>
      <c r="U239" s="60"/>
      <c r="V239" s="60"/>
      <c r="W239" s="60"/>
      <c r="X239" s="60"/>
      <c r="Y239" s="60"/>
      <c r="Z239" s="60"/>
      <c r="AA239" s="60"/>
    </row>
    <row r="240" ht="24" customHeight="1">
      <c r="A240" s="34" t="str">
        <v>Non-GAAP Earnings per share - Diluted</v>
      </c>
      <c r="B240" s="35"/>
      <c r="C240" s="58" t="n">
        <v>2.72</v>
      </c>
      <c r="D240" s="58" t="n">
        <v>3.46</v>
      </c>
      <c r="E240" s="58" t="n">
        <v>4.58</v>
      </c>
      <c r="F240" s="58" t="n">
        <v>4.87</v>
      </c>
      <c r="G240" s="58" t="n">
        <v>5.3</v>
      </c>
      <c r="H240" s="58" t="n">
        <v>5.47</v>
      </c>
      <c r="I240" s="58" t="n">
        <v>1.84</v>
      </c>
      <c r="J240" s="58"/>
      <c r="K240" s="58"/>
      <c r="L240" s="58"/>
      <c r="M240" s="58"/>
      <c r="N240" s="58"/>
      <c r="O240" s="58"/>
      <c r="P240" s="58"/>
      <c r="Q240" s="58"/>
      <c r="R240" s="58"/>
      <c r="S240" s="58"/>
      <c r="T240" s="58"/>
      <c r="U240" s="58"/>
      <c r="V240" s="58"/>
      <c r="W240" s="58"/>
      <c r="X240" s="58"/>
      <c r="Y240" s="58"/>
      <c r="Z240" s="58"/>
      <c r="AA240" s="58"/>
    </row>
    <row r="241" ht="24" customHeight="1">
      <c r="A241" s="34" t="str">
        <v>Non-GAAP earnings per share attributable to Intel—diluted</v>
      </c>
      <c r="B241" s="35"/>
      <c r="C241" s="58"/>
      <c r="D241" s="58"/>
      <c r="E241" s="58"/>
      <c r="F241" s="58"/>
      <c r="G241" s="58"/>
      <c r="H241" s="58"/>
      <c r="I241" s="58"/>
      <c r="J241" s="58" t="n">
        <v>1.05</v>
      </c>
      <c r="K241" s="58"/>
      <c r="L241" s="58"/>
      <c r="M241" s="58"/>
      <c r="N241" s="58"/>
      <c r="O241" s="58" t="n">
        <v>0.13</v>
      </c>
      <c r="P241" s="58"/>
      <c r="Q241" s="58"/>
      <c r="R241" s="58"/>
      <c r="S241" s="58" t="n">
        <v>0.02</v>
      </c>
      <c r="T241" s="58" t="n">
        <v>-0.46</v>
      </c>
      <c r="U241" s="58"/>
      <c r="V241" s="58"/>
      <c r="W241" s="58"/>
      <c r="X241" s="58"/>
      <c r="Y241" s="58"/>
      <c r="Z241" s="58"/>
      <c r="AA241" s="58"/>
    </row>
    <row r="242" ht="36" customHeight="1">
      <c r="A242" s="34" t="str">
        <v>Non-GAAP earnings (loss) per share attributable to Intel—diluted</v>
      </c>
      <c r="B242" s="35"/>
      <c r="C242" s="58"/>
      <c r="D242" s="58"/>
      <c r="E242" s="58"/>
      <c r="F242" s="58"/>
      <c r="G242" s="58"/>
      <c r="H242" s="58"/>
      <c r="I242" s="58"/>
      <c r="J242" s="58"/>
      <c r="K242" s="58"/>
      <c r="L242" s="58"/>
      <c r="M242" s="58"/>
      <c r="N242" s="58" t="n">
        <v>-0.04</v>
      </c>
      <c r="O242" s="58"/>
      <c r="P242" s="58" t="n">
        <v>0.41</v>
      </c>
      <c r="Q242" s="58"/>
      <c r="R242" s="58" t="n">
        <v>0.18</v>
      </c>
      <c r="S242" s="58"/>
      <c r="T242" s="58"/>
      <c r="U242" s="58"/>
      <c r="V242" s="58"/>
      <c r="W242" s="58"/>
      <c r="X242" s="58"/>
      <c r="Y242" s="58"/>
      <c r="Z242" s="58"/>
      <c r="AA242" s="58"/>
    </row>
    <row r="243" ht="8"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22" customHeight="1">
      <c r="A244" s="21" t="str">
        <v>Non-GAAP operating margin reconciliation</v>
      </c>
      <c r="B244" s="21" t="str">
        <v>Non-GAAP operating margin reconciliation</v>
      </c>
      <c r="C244" s="21" t="str">
        <v>Non-GAAP operating margin reconciliation</v>
      </c>
      <c r="D244" s="21" t="str">
        <v>Non-GAAP operating margin reconciliation</v>
      </c>
      <c r="E244" s="21" t="str">
        <v>Non-GAAP operating margin reconciliation</v>
      </c>
      <c r="F244" s="21" t="str">
        <v>Non-GAAP operating margin reconciliation</v>
      </c>
      <c r="G244" s="21" t="str">
        <v>Non-GAAP operating margin reconciliation</v>
      </c>
      <c r="H244" s="21" t="str">
        <v>Non-GAAP operating margin reconciliation</v>
      </c>
      <c r="I244" s="21" t="str">
        <v>Non-GAAP operating margin reconciliation</v>
      </c>
      <c r="J244" s="21" t="str">
        <v>Non-GAAP operating margin reconciliation</v>
      </c>
      <c r="K244" s="21" t="str">
        <v>Non-GAAP operating margin reconciliation</v>
      </c>
      <c r="L244" s="21" t="str">
        <v>Non-GAAP operating margin reconciliation</v>
      </c>
      <c r="M244" s="21" t="str">
        <v>Non-GAAP operating margin reconciliation</v>
      </c>
      <c r="N244" s="21" t="str">
        <v>Non-GAAP operating margin reconciliation</v>
      </c>
      <c r="O244" s="21" t="str">
        <v>Non-GAAP operating margin reconciliation</v>
      </c>
      <c r="P244" s="21" t="str">
        <v>Non-GAAP operating margin reconciliation</v>
      </c>
      <c r="Q244" s="21" t="str">
        <v>Non-GAAP operating margin reconciliation</v>
      </c>
      <c r="R244" s="21" t="str">
        <v>Non-GAAP operating margin reconciliation</v>
      </c>
      <c r="S244" s="21" t="str">
        <v>Non-GAAP operating margin reconciliation</v>
      </c>
      <c r="T244" s="21" t="str">
        <v>Non-GAAP operating margin reconciliation</v>
      </c>
      <c r="U244" s="21" t="str">
        <v>Non-GAAP operating margin reconciliation</v>
      </c>
      <c r="V244" s="21" t="str">
        <v>Non-GAAP operating margin reconciliation</v>
      </c>
      <c r="W244" s="21" t="str">
        <v>Non-GAAP operating margin reconciliation</v>
      </c>
      <c r="X244" s="21" t="str">
        <v>Non-GAAP operating margin reconciliation</v>
      </c>
      <c r="Y244" s="21" t="str">
        <v>Non-GAAP operating margin reconciliation</v>
      </c>
      <c r="Z244" s="21" t="str">
        <v>Non-GAAP operating margin reconciliation</v>
      </c>
      <c r="AA244" s="21" t="str">
        <v>Non-GAAP operating margin reconciliation</v>
      </c>
    </row>
    <row r="245" ht="18" customHeight="1">
      <c r="A245" s="22" t="str">
        <v>Company-disclosed reconciliation. Dollars, margin effects and EPS adjustments remain in their own original bridge; omitted adjustments are not assumed to be zero.</v>
      </c>
      <c r="B245" s="22" t="str">
        <v>Company-disclosed reconciliation. Dollars, margin effects and EPS adjustments remain in their own original bridge; omitted adjustments are not assumed to be zero.</v>
      </c>
      <c r="C245" s="22" t="str">
        <v>Company-disclosed reconciliation. Dollars, margin effects and EPS adjustments remain in their own original bridge; omitted adjustments are not assumed to be zero.</v>
      </c>
      <c r="D245" s="22" t="str">
        <v>Company-disclosed reconciliation. Dollars, margin effects and EPS adjustments remain in their own original bridge; omitted adjustments are not assumed to be zero.</v>
      </c>
      <c r="E245" s="22" t="str">
        <v>Company-disclosed reconciliation. Dollars, margin effects and EPS adjustments remain in their own original bridge; omitted adjustments are not assumed to be zero.</v>
      </c>
      <c r="F245" s="22" t="str">
        <v>Company-disclosed reconciliation. Dollars, margin effects and EPS adjustments remain in their own original bridge; omitted adjustments are not assumed to be zero.</v>
      </c>
      <c r="G245" s="22" t="str">
        <v>Company-disclosed reconciliation. Dollars, margin effects and EPS adjustments remain in their own original bridge; omitted adjustments are not assumed to be zero.</v>
      </c>
      <c r="H245" s="22" t="str">
        <v>Company-disclosed reconciliation. Dollars, margin effects and EPS adjustments remain in their own original bridge; omitted adjustments are not assumed to be zero.</v>
      </c>
      <c r="I245" s="22" t="str">
        <v>Company-disclosed reconciliation. Dollars, margin effects and EPS adjustments remain in their own original bridge; omitted adjustments are not assumed to be zero.</v>
      </c>
      <c r="J245" s="22" t="str">
        <v>Company-disclosed reconciliation. Dollars, margin effects and EPS adjustments remain in their own original bridge; omitted adjustments are not assumed to be zero.</v>
      </c>
      <c r="K245" s="22" t="str">
        <v>Company-disclosed reconciliation. Dollars, margin effects and EPS adjustments remain in their own original bridge; omitted adjustments are not assumed to be zero.</v>
      </c>
      <c r="L245" s="22" t="str">
        <v>Company-disclosed reconciliation. Dollars, margin effects and EPS adjustments remain in their own original bridge; omitted adjustments are not assumed to be zero.</v>
      </c>
      <c r="M245" s="22" t="str">
        <v>Company-disclosed reconciliation. Dollars, margin effects and EPS adjustments remain in their own original bridge; omitted adjustments are not assumed to be zero.</v>
      </c>
      <c r="N245" s="22" t="str">
        <v>Company-disclosed reconciliation. Dollars, margin effects and EPS adjustments remain in their own original bridge; omitted adjustments are not assumed to be zero.</v>
      </c>
      <c r="O245" s="22" t="str">
        <v>Company-disclosed reconciliation. Dollars, margin effects and EPS adjustments remain in their own original bridge; omitted adjustments are not assumed to be zero.</v>
      </c>
      <c r="P245" s="22" t="str">
        <v>Company-disclosed reconciliation. Dollars, margin effects and EPS adjustments remain in their own original bridge; omitted adjustments are not assumed to be zero.</v>
      </c>
      <c r="Q245" s="22" t="str">
        <v>Company-disclosed reconciliation. Dollars, margin effects and EPS adjustments remain in their own original bridge; omitted adjustments are not assumed to be zero.</v>
      </c>
      <c r="R245" s="22" t="str">
        <v>Company-disclosed reconciliation. Dollars, margin effects and EPS adjustments remain in their own original bridge; omitted adjustments are not assumed to be zero.</v>
      </c>
      <c r="S245" s="22" t="str">
        <v>Company-disclosed reconciliation. Dollars, margin effects and EPS adjustments remain in their own original bridge; omitted adjustments are not assumed to be zero.</v>
      </c>
      <c r="T245" s="22" t="str">
        <v>Company-disclosed reconciliation. Dollars, margin effects and EPS adjustments remain in their own original bridge; omitted adjustments are not assumed to be zero.</v>
      </c>
      <c r="U245" s="22" t="str">
        <v>Company-disclosed reconciliation. Dollars, margin effects and EPS adjustments remain in their own original bridge; omitted adjustments are not assumed to be zero.</v>
      </c>
      <c r="V245" s="22" t="str">
        <v>Company-disclosed reconciliation. Dollars, margin effects and EPS adjustments remain in their own original bridge; omitted adjustments are not assumed to be zero.</v>
      </c>
      <c r="W245" s="22" t="str">
        <v>Company-disclosed reconciliation. Dollars, margin effects and EPS adjustments remain in their own original bridge; omitted adjustments are not assumed to be zero.</v>
      </c>
      <c r="X245" s="22" t="str">
        <v>Company-disclosed reconciliation. Dollars, margin effects and EPS adjustments remain in their own original bridge; omitted adjustments are not assumed to be zero.</v>
      </c>
      <c r="Y245" s="22" t="str">
        <v>Company-disclosed reconciliation. Dollars, margin effects and EPS adjustments remain in their own original bridge; omitted adjustments are not assumed to be zero.</v>
      </c>
      <c r="Z245" s="22" t="str">
        <v>Company-disclosed reconciliation. Dollars, margin effects and EPS adjustments remain in their own original bridge; omitted adjustments are not assumed to be zero.</v>
      </c>
      <c r="AA245" s="22" t="str">
        <v>Company-disclosed reconciliation. Dollars, margin effects and EPS adjustments remain in their own original bridge; omitted adjustments are not assumed to be zero.</v>
      </c>
    </row>
    <row r="246" ht="20" customHeight="1">
      <c r="A246" s="40" t="str">
        <v>Operating margin</v>
      </c>
      <c r="B246" s="3"/>
      <c r="C246" s="44"/>
      <c r="D246" s="44" t="n">
        <v>0.28800000000000003</v>
      </c>
      <c r="E246" s="44" t="n">
        <v>0.32899999999999996</v>
      </c>
      <c r="F246" s="44" t="n">
        <v>0.306</v>
      </c>
      <c r="G246" s="44" t="n">
        <v>0.304</v>
      </c>
      <c r="H246" s="44" t="n">
        <v>0.24600000000000002</v>
      </c>
      <c r="I246" s="44"/>
      <c r="J246" s="44"/>
      <c r="K246" s="44"/>
      <c r="L246" s="44"/>
      <c r="M246" s="44"/>
      <c r="N246" s="44"/>
      <c r="O246" s="44"/>
      <c r="P246" s="44"/>
      <c r="Q246" s="44"/>
      <c r="R246" s="44"/>
      <c r="S246" s="44"/>
      <c r="T246" s="44"/>
      <c r="U246" s="44"/>
      <c r="V246" s="44"/>
      <c r="W246" s="44"/>
      <c r="X246" s="44"/>
      <c r="Y246" s="44"/>
      <c r="Z246" s="44"/>
      <c r="AA246" s="44"/>
    </row>
    <row r="247" ht="20" customHeight="1">
      <c r="A247" s="40" t="str">
        <v>Acquisition-related adjustments</v>
      </c>
      <c r="B247" s="3"/>
      <c r="C247" s="44"/>
      <c r="D247" s="44" t="n">
        <v>0.02</v>
      </c>
      <c r="E247" s="44" t="n">
        <v>0.018000000000000002</v>
      </c>
      <c r="F247" s="44" t="n">
        <v>0.018000000000000002</v>
      </c>
      <c r="G247" s="44" t="n">
        <v>0.018000000000000002</v>
      </c>
      <c r="H247" s="44" t="n">
        <v>0.019</v>
      </c>
      <c r="I247" s="44"/>
      <c r="J247" s="44"/>
      <c r="K247" s="44"/>
      <c r="L247" s="44"/>
      <c r="M247" s="44"/>
      <c r="N247" s="44"/>
      <c r="O247" s="44"/>
      <c r="P247" s="44"/>
      <c r="Q247" s="44"/>
      <c r="R247" s="44"/>
      <c r="S247" s="44"/>
      <c r="T247" s="44"/>
      <c r="U247" s="44"/>
      <c r="V247" s="44"/>
      <c r="W247" s="44"/>
      <c r="X247" s="44"/>
      <c r="Y247" s="44"/>
      <c r="Z247" s="44"/>
      <c r="AA247" s="44"/>
    </row>
    <row r="248" ht="20" customHeight="1">
      <c r="A248" s="40" t="str">
        <v>Restructuring and other charges</v>
      </c>
      <c r="B248" s="3"/>
      <c r="C248" s="44"/>
      <c r="D248" s="44" t="n">
        <v>0.006</v>
      </c>
      <c r="E248" s="44" t="n">
        <v>-0.001</v>
      </c>
      <c r="F248" s="44" t="n">
        <v>0.005</v>
      </c>
      <c r="G248" s="44" t="n">
        <v>0.003</v>
      </c>
      <c r="H248" s="44" t="n">
        <v>0.033</v>
      </c>
      <c r="I248" s="44"/>
      <c r="J248" s="44"/>
      <c r="K248" s="44"/>
      <c r="L248" s="44"/>
      <c r="M248" s="44"/>
      <c r="N248" s="44"/>
      <c r="O248" s="44"/>
      <c r="P248" s="44"/>
      <c r="Q248" s="44"/>
      <c r="R248" s="44"/>
      <c r="S248" s="44"/>
      <c r="T248" s="44"/>
      <c r="U248" s="44"/>
      <c r="V248" s="44"/>
      <c r="W248" s="44"/>
      <c r="X248" s="44"/>
      <c r="Y248" s="44"/>
      <c r="Z248" s="44"/>
      <c r="AA248" s="44"/>
    </row>
    <row r="249" ht="20" customHeight="1">
      <c r="A249" s="40" t="str">
        <v>NAND memory business</v>
      </c>
      <c r="B249" s="3"/>
      <c r="C249" s="44"/>
      <c r="D249" s="44"/>
      <c r="E249" s="44"/>
      <c r="F249" s="44"/>
      <c r="G249" s="44"/>
      <c r="H249" s="44" t="n">
        <v>-0.001</v>
      </c>
      <c r="I249" s="44"/>
      <c r="J249" s="44"/>
      <c r="K249" s="44"/>
      <c r="L249" s="44"/>
      <c r="M249" s="44"/>
      <c r="N249" s="44"/>
      <c r="O249" s="44"/>
      <c r="P249" s="44"/>
      <c r="Q249" s="44"/>
      <c r="R249" s="44"/>
      <c r="S249" s="44"/>
      <c r="T249" s="44"/>
      <c r="U249" s="44"/>
      <c r="V249" s="44"/>
      <c r="W249" s="44"/>
      <c r="X249" s="44"/>
      <c r="Y249" s="44"/>
      <c r="Z249" s="44"/>
      <c r="AA249" s="44"/>
    </row>
    <row r="250" ht="24" customHeight="1">
      <c r="A250" s="72" t="str">
        <v>Non-GAAP operating margin</v>
      </c>
      <c r="B250" s="35"/>
      <c r="C250" s="74"/>
      <c r="D250" s="74" t="n">
        <v>0.314</v>
      </c>
      <c r="E250" s="74" t="n">
        <v>0.34700000000000003</v>
      </c>
      <c r="F250" s="74" t="n">
        <v>0.33</v>
      </c>
      <c r="G250" s="74" t="n">
        <v>0.325</v>
      </c>
      <c r="H250" s="74" t="n">
        <v>0.297</v>
      </c>
      <c r="I250" s="74"/>
      <c r="J250" s="74"/>
      <c r="K250" s="74"/>
      <c r="L250" s="74"/>
      <c r="M250" s="74"/>
      <c r="N250" s="74"/>
      <c r="O250" s="74"/>
      <c r="P250" s="74"/>
      <c r="Q250" s="74"/>
      <c r="R250" s="74"/>
      <c r="S250" s="74"/>
      <c r="T250" s="74"/>
      <c r="U250" s="74"/>
      <c r="V250" s="74"/>
      <c r="W250" s="74"/>
      <c r="X250" s="74"/>
      <c r="Y250" s="74"/>
      <c r="Z250" s="74"/>
      <c r="AA250" s="74"/>
    </row>
    <row r="251" ht="8"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22" customHeight="1">
      <c r="A252" s="21" t="str">
        <v>Non-GAAP net income reconciliation</v>
      </c>
      <c r="B252" s="21" t="str">
        <v>Non-GAAP net income reconciliation</v>
      </c>
      <c r="C252" s="21" t="str">
        <v>Non-GAAP net income reconciliation</v>
      </c>
      <c r="D252" s="21" t="str">
        <v>Non-GAAP net income reconciliation</v>
      </c>
      <c r="E252" s="21" t="str">
        <v>Non-GAAP net income reconciliation</v>
      </c>
      <c r="F252" s="21" t="str">
        <v>Non-GAAP net income reconciliation</v>
      </c>
      <c r="G252" s="21" t="str">
        <v>Non-GAAP net income reconciliation</v>
      </c>
      <c r="H252" s="21" t="str">
        <v>Non-GAAP net income reconciliation</v>
      </c>
      <c r="I252" s="21" t="str">
        <v>Non-GAAP net income reconciliation</v>
      </c>
      <c r="J252" s="21" t="str">
        <v>Non-GAAP net income reconciliation</v>
      </c>
      <c r="K252" s="21" t="str">
        <v>Non-GAAP net income reconciliation</v>
      </c>
      <c r="L252" s="21" t="str">
        <v>Non-GAAP net income reconciliation</v>
      </c>
      <c r="M252" s="21" t="str">
        <v>Non-GAAP net income reconciliation</v>
      </c>
      <c r="N252" s="21" t="str">
        <v>Non-GAAP net income reconciliation</v>
      </c>
      <c r="O252" s="21" t="str">
        <v>Non-GAAP net income reconciliation</v>
      </c>
      <c r="P252" s="21" t="str">
        <v>Non-GAAP net income reconciliation</v>
      </c>
      <c r="Q252" s="21" t="str">
        <v>Non-GAAP net income reconciliation</v>
      </c>
      <c r="R252" s="21" t="str">
        <v>Non-GAAP net income reconciliation</v>
      </c>
      <c r="S252" s="21" t="str">
        <v>Non-GAAP net income reconciliation</v>
      </c>
      <c r="T252" s="21" t="str">
        <v>Non-GAAP net income reconciliation</v>
      </c>
      <c r="U252" s="21" t="str">
        <v>Non-GAAP net income reconciliation</v>
      </c>
      <c r="V252" s="21" t="str">
        <v>Non-GAAP net income reconciliation</v>
      </c>
      <c r="W252" s="21" t="str">
        <v>Non-GAAP net income reconciliation</v>
      </c>
      <c r="X252" s="21" t="str">
        <v>Non-GAAP net income reconciliation</v>
      </c>
      <c r="Y252" s="21" t="str">
        <v>Non-GAAP net income reconciliation</v>
      </c>
      <c r="Z252" s="21" t="str">
        <v>Non-GAAP net income reconciliation</v>
      </c>
      <c r="AA252" s="21" t="str">
        <v>Non-GAAP net income reconciliation</v>
      </c>
    </row>
    <row r="253" ht="18" customHeight="1">
      <c r="A253" s="22" t="str">
        <v>Company-disclosed reconciliation. Dollars, margin effects and EPS adjustments remain in their own original bridge; omitted adjustments are not assumed to be zero.</v>
      </c>
      <c r="B253" s="22" t="str">
        <v>Company-disclosed reconciliation. Dollars, margin effects and EPS adjustments remain in their own original bridge; omitted adjustments are not assumed to be zero.</v>
      </c>
      <c r="C253" s="22" t="str">
        <v>Company-disclosed reconciliation. Dollars, margin effects and EPS adjustments remain in their own original bridge; omitted adjustments are not assumed to be zero.</v>
      </c>
      <c r="D253" s="22" t="str">
        <v>Company-disclosed reconciliation. Dollars, margin effects and EPS adjustments remain in their own original bridge; omitted adjustments are not assumed to be zero.</v>
      </c>
      <c r="E253" s="22" t="str">
        <v>Company-disclosed reconciliation. Dollars, margin effects and EPS adjustments remain in their own original bridge; omitted adjustments are not assumed to be zero.</v>
      </c>
      <c r="F253" s="22" t="str">
        <v>Company-disclosed reconciliation. Dollars, margin effects and EPS adjustments remain in their own original bridge; omitted adjustments are not assumed to be zero.</v>
      </c>
      <c r="G253" s="22" t="str">
        <v>Company-disclosed reconciliation. Dollars, margin effects and EPS adjustments remain in their own original bridge; omitted adjustments are not assumed to be zero.</v>
      </c>
      <c r="H253" s="22" t="str">
        <v>Company-disclosed reconciliation. Dollars, margin effects and EPS adjustments remain in their own original bridge; omitted adjustments are not assumed to be zero.</v>
      </c>
      <c r="I253" s="22" t="str">
        <v>Company-disclosed reconciliation. Dollars, margin effects and EPS adjustments remain in their own original bridge; omitted adjustments are not assumed to be zero.</v>
      </c>
      <c r="J253" s="22" t="str">
        <v>Company-disclosed reconciliation. Dollars, margin effects and EPS adjustments remain in their own original bridge; omitted adjustments are not assumed to be zero.</v>
      </c>
      <c r="K253" s="22" t="str">
        <v>Company-disclosed reconciliation. Dollars, margin effects and EPS adjustments remain in their own original bridge; omitted adjustments are not assumed to be zero.</v>
      </c>
      <c r="L253" s="22" t="str">
        <v>Company-disclosed reconciliation. Dollars, margin effects and EPS adjustments remain in their own original bridge; omitted adjustments are not assumed to be zero.</v>
      </c>
      <c r="M253" s="22" t="str">
        <v>Company-disclosed reconciliation. Dollars, margin effects and EPS adjustments remain in their own original bridge; omitted adjustments are not assumed to be zero.</v>
      </c>
      <c r="N253" s="22" t="str">
        <v>Company-disclosed reconciliation. Dollars, margin effects and EPS adjustments remain in their own original bridge; omitted adjustments are not assumed to be zero.</v>
      </c>
      <c r="O253" s="22" t="str">
        <v>Company-disclosed reconciliation. Dollars, margin effects and EPS adjustments remain in their own original bridge; omitted adjustments are not assumed to be zero.</v>
      </c>
      <c r="P253" s="22" t="str">
        <v>Company-disclosed reconciliation. Dollars, margin effects and EPS adjustments remain in their own original bridge; omitted adjustments are not assumed to be zero.</v>
      </c>
      <c r="Q253" s="22" t="str">
        <v>Company-disclosed reconciliation. Dollars, margin effects and EPS adjustments remain in their own original bridge; omitted adjustments are not assumed to be zero.</v>
      </c>
      <c r="R253" s="22" t="str">
        <v>Company-disclosed reconciliation. Dollars, margin effects and EPS adjustments remain in their own original bridge; omitted adjustments are not assumed to be zero.</v>
      </c>
      <c r="S253" s="22" t="str">
        <v>Company-disclosed reconciliation. Dollars, margin effects and EPS adjustments remain in their own original bridge; omitted adjustments are not assumed to be zero.</v>
      </c>
      <c r="T253" s="22" t="str">
        <v>Company-disclosed reconciliation. Dollars, margin effects and EPS adjustments remain in their own original bridge; omitted adjustments are not assumed to be zero.</v>
      </c>
      <c r="U253" s="22" t="str">
        <v>Company-disclosed reconciliation. Dollars, margin effects and EPS adjustments remain in their own original bridge; omitted adjustments are not assumed to be zero.</v>
      </c>
      <c r="V253" s="22" t="str">
        <v>Company-disclosed reconciliation. Dollars, margin effects and EPS adjustments remain in their own original bridge; omitted adjustments are not assumed to be zero.</v>
      </c>
      <c r="W253" s="22" t="str">
        <v>Company-disclosed reconciliation. Dollars, margin effects and EPS adjustments remain in their own original bridge; omitted adjustments are not assumed to be zero.</v>
      </c>
      <c r="X253" s="22" t="str">
        <v>Company-disclosed reconciliation. Dollars, margin effects and EPS adjustments remain in their own original bridge; omitted adjustments are not assumed to be zero.</v>
      </c>
      <c r="Y253" s="22" t="str">
        <v>Company-disclosed reconciliation. Dollars, margin effects and EPS adjustments remain in their own original bridge; omitted adjustments are not assumed to be zero.</v>
      </c>
      <c r="Z253" s="22" t="str">
        <v>Company-disclosed reconciliation. Dollars, margin effects and EPS adjustments remain in their own original bridge; omitted adjustments are not assumed to be zero.</v>
      </c>
      <c r="AA253" s="22" t="str">
        <v>Company-disclosed reconciliation. Dollars, margin effects and EPS adjustments remain in their own original bridge; omitted adjustments are not assumed to be zero.</v>
      </c>
    </row>
    <row r="254" ht="22" customHeight="1">
      <c r="A254" s="49" t="str">
        <v>Net income</v>
      </c>
      <c r="B254" s="3"/>
      <c r="C254" s="51"/>
      <c r="D254" s="51" t="n">
        <v>9601</v>
      </c>
      <c r="E254" s="51" t="n">
        <v>21053</v>
      </c>
      <c r="F254" s="51" t="n">
        <v>21048</v>
      </c>
      <c r="G254" s="51" t="n">
        <v>20899</v>
      </c>
      <c r="H254" s="51"/>
      <c r="I254" s="51"/>
      <c r="J254" s="51"/>
      <c r="K254" s="51"/>
      <c r="L254" s="51"/>
      <c r="M254" s="51"/>
      <c r="N254" s="51"/>
      <c r="O254" s="51"/>
      <c r="P254" s="51"/>
      <c r="Q254" s="51"/>
      <c r="R254" s="51"/>
      <c r="S254" s="51"/>
      <c r="T254" s="51"/>
      <c r="U254" s="51"/>
      <c r="V254" s="51"/>
      <c r="W254" s="51"/>
      <c r="X254" s="51"/>
      <c r="Y254" s="51"/>
      <c r="Z254" s="51"/>
      <c r="AA254" s="51"/>
    </row>
    <row r="255" ht="22" customHeight="1">
      <c r="A255" s="49" t="str">
        <v>Acquisition-related adjustments</v>
      </c>
      <c r="B255" s="3"/>
      <c r="C255" s="51"/>
      <c r="D255" s="51" t="n">
        <v>1257</v>
      </c>
      <c r="E255" s="51" t="n">
        <v>1305</v>
      </c>
      <c r="F255" s="51" t="n">
        <v>1324</v>
      </c>
      <c r="G255" s="51" t="n">
        <v>1416</v>
      </c>
      <c r="H255" s="51"/>
      <c r="I255" s="51"/>
      <c r="J255" s="51"/>
      <c r="K255" s="51"/>
      <c r="L255" s="51"/>
      <c r="M255" s="51"/>
      <c r="N255" s="51"/>
      <c r="O255" s="51"/>
      <c r="P255" s="51"/>
      <c r="Q255" s="51"/>
      <c r="R255" s="51"/>
      <c r="S255" s="51"/>
      <c r="T255" s="51"/>
      <c r="U255" s="51"/>
      <c r="V255" s="51"/>
      <c r="W255" s="51"/>
      <c r="X255" s="51"/>
      <c r="Y255" s="51"/>
      <c r="Z255" s="51"/>
      <c r="AA255" s="51"/>
    </row>
    <row r="256" ht="22" customHeight="1">
      <c r="A256" s="49" t="str">
        <v>Restructuring and other charges</v>
      </c>
      <c r="B256" s="3"/>
      <c r="C256" s="51"/>
      <c r="D256" s="51" t="n">
        <v>384</v>
      </c>
      <c r="E256" s="51" t="n">
        <v>-72</v>
      </c>
      <c r="F256" s="51" t="n">
        <v>393</v>
      </c>
      <c r="G256" s="51" t="n">
        <v>198</v>
      </c>
      <c r="H256" s="51"/>
      <c r="I256" s="51"/>
      <c r="J256" s="51"/>
      <c r="K256" s="51"/>
      <c r="L256" s="51"/>
      <c r="M256" s="51"/>
      <c r="N256" s="51"/>
      <c r="O256" s="51"/>
      <c r="P256" s="51"/>
      <c r="Q256" s="51"/>
      <c r="R256" s="51"/>
      <c r="S256" s="51"/>
      <c r="T256" s="51"/>
      <c r="U256" s="51"/>
      <c r="V256" s="51"/>
      <c r="W256" s="51"/>
      <c r="X256" s="51"/>
      <c r="Y256" s="51"/>
      <c r="Z256" s="51"/>
      <c r="AA256" s="51"/>
    </row>
    <row r="257" ht="22" customHeight="1">
      <c r="A257" s="49" t="str">
        <v>(Gains) losses from divestiture</v>
      </c>
      <c r="B257" s="3"/>
      <c r="C257" s="51"/>
      <c r="D257" s="51" t="n">
        <v>-387</v>
      </c>
      <c r="E257" s="51" t="n">
        <v>-494</v>
      </c>
      <c r="F257" s="51" t="n">
        <v>-690</v>
      </c>
      <c r="G257" s="51" t="n">
        <v>-6</v>
      </c>
      <c r="H257" s="51"/>
      <c r="I257" s="51"/>
      <c r="J257" s="51"/>
      <c r="K257" s="51"/>
      <c r="L257" s="51"/>
      <c r="M257" s="51"/>
      <c r="N257" s="51"/>
      <c r="O257" s="51"/>
      <c r="P257" s="51"/>
      <c r="Q257" s="51"/>
      <c r="R257" s="51"/>
      <c r="S257" s="51"/>
      <c r="T257" s="51"/>
      <c r="U257" s="51"/>
      <c r="V257" s="51"/>
      <c r="W257" s="51"/>
      <c r="X257" s="51"/>
      <c r="Y257" s="51"/>
      <c r="Z257" s="51"/>
      <c r="AA257" s="51"/>
    </row>
    <row r="258" ht="22" customHeight="1">
      <c r="A258" s="49" t="str">
        <v>Ongoing mark-to-market on marketable equity securities</v>
      </c>
      <c r="B258" s="3"/>
      <c r="C258" s="51"/>
      <c r="D258" s="51" t="n">
        <v>0</v>
      </c>
      <c r="E258" s="51" t="n">
        <v>129</v>
      </c>
      <c r="F258" s="51" t="n">
        <v>-277</v>
      </c>
      <c r="G258" s="51" t="n">
        <v>133</v>
      </c>
      <c r="H258" s="51"/>
      <c r="I258" s="51"/>
      <c r="J258" s="51"/>
      <c r="K258" s="51"/>
      <c r="L258" s="51"/>
      <c r="M258" s="51"/>
      <c r="N258" s="51"/>
      <c r="O258" s="51"/>
      <c r="P258" s="51"/>
      <c r="Q258" s="51"/>
      <c r="R258" s="51"/>
      <c r="S258" s="51"/>
      <c r="T258" s="51"/>
      <c r="U258" s="51"/>
      <c r="V258" s="51"/>
      <c r="W258" s="51"/>
      <c r="X258" s="51"/>
      <c r="Y258" s="51"/>
      <c r="Z258" s="51"/>
      <c r="AA258" s="51"/>
    </row>
    <row r="259" ht="22" customHeight="1">
      <c r="A259" s="49" t="str">
        <v>Tax Reform</v>
      </c>
      <c r="B259" s="3"/>
      <c r="C259" s="51"/>
      <c r="D259" s="51" t="n">
        <v>5444</v>
      </c>
      <c r="E259" s="51" t="n">
        <v>-294</v>
      </c>
      <c r="F259" s="51" t="n">
        <v>0</v>
      </c>
      <c r="G259" s="51" t="n">
        <v>0</v>
      </c>
      <c r="H259" s="51"/>
      <c r="I259" s="51"/>
      <c r="J259" s="51"/>
      <c r="K259" s="51"/>
      <c r="L259" s="51"/>
      <c r="M259" s="51"/>
      <c r="N259" s="51"/>
      <c r="O259" s="51"/>
      <c r="P259" s="51"/>
      <c r="Q259" s="51"/>
      <c r="R259" s="51"/>
      <c r="S259" s="51"/>
      <c r="T259" s="51"/>
      <c r="U259" s="51"/>
      <c r="V259" s="51"/>
      <c r="W259" s="51"/>
      <c r="X259" s="51"/>
      <c r="Y259" s="51"/>
      <c r="Z259" s="51"/>
      <c r="AA259" s="51"/>
    </row>
    <row r="260" ht="22" customHeight="1">
      <c r="A260" s="49" t="str">
        <v>Income tax effect</v>
      </c>
      <c r="B260" s="3"/>
      <c r="C260" s="51"/>
      <c r="D260" s="51" t="n">
        <v>454</v>
      </c>
      <c r="E260" s="51" t="n">
        <v>-102</v>
      </c>
      <c r="F260" s="51" t="n">
        <v>-14</v>
      </c>
      <c r="G260" s="51"/>
      <c r="H260" s="51"/>
      <c r="I260" s="51"/>
      <c r="J260" s="51"/>
      <c r="K260" s="51"/>
      <c r="L260" s="51"/>
      <c r="M260" s="51"/>
      <c r="N260" s="51"/>
      <c r="O260" s="51"/>
      <c r="P260" s="51"/>
      <c r="Q260" s="51"/>
      <c r="R260" s="51"/>
      <c r="S260" s="51"/>
      <c r="T260" s="51"/>
      <c r="U260" s="51"/>
      <c r="V260" s="51"/>
      <c r="W260" s="51"/>
      <c r="X260" s="51"/>
      <c r="Y260" s="51"/>
      <c r="Z260" s="51"/>
      <c r="AA260" s="51"/>
    </row>
    <row r="261" ht="22" customHeight="1">
      <c r="A261" s="49" t="str">
        <v>Income tax effects</v>
      </c>
      <c r="B261" s="3"/>
      <c r="C261" s="51"/>
      <c r="D261" s="51"/>
      <c r="E261" s="51"/>
      <c r="F261" s="51"/>
      <c r="G261" s="51" t="n">
        <v>-209</v>
      </c>
      <c r="H261" s="51"/>
      <c r="I261" s="51"/>
      <c r="J261" s="51"/>
      <c r="K261" s="51"/>
      <c r="L261" s="51"/>
      <c r="M261" s="51"/>
      <c r="N261" s="51"/>
      <c r="O261" s="51"/>
      <c r="P261" s="51"/>
      <c r="Q261" s="51"/>
      <c r="R261" s="51"/>
      <c r="S261" s="51"/>
      <c r="T261" s="51"/>
      <c r="U261" s="51"/>
      <c r="V261" s="51"/>
      <c r="W261" s="51"/>
      <c r="X261" s="51"/>
      <c r="Y261" s="51"/>
      <c r="Z261" s="51"/>
      <c r="AA261" s="51"/>
    </row>
    <row r="262" ht="24" customHeight="1">
      <c r="A262" s="34" t="str">
        <v>Non-GAAP net income</v>
      </c>
      <c r="B262" s="35"/>
      <c r="C262" s="36"/>
      <c r="D262" s="36" t="n">
        <v>16753</v>
      </c>
      <c r="E262" s="36" t="n">
        <v>21525</v>
      </c>
      <c r="F262" s="36" t="n">
        <v>21784</v>
      </c>
      <c r="G262" s="36" t="n">
        <v>22431</v>
      </c>
      <c r="H262" s="36"/>
      <c r="I262" s="36"/>
      <c r="J262" s="36"/>
      <c r="K262" s="36"/>
      <c r="L262" s="36"/>
      <c r="M262" s="36"/>
      <c r="N262" s="36"/>
      <c r="O262" s="36"/>
      <c r="P262" s="36"/>
      <c r="Q262" s="36"/>
      <c r="R262" s="36"/>
      <c r="S262" s="36"/>
      <c r="T262" s="36"/>
      <c r="U262" s="36"/>
      <c r="V262" s="36"/>
      <c r="W262" s="36"/>
      <c r="X262" s="36"/>
      <c r="Y262" s="36"/>
      <c r="Z262" s="36"/>
      <c r="AA262" s="36"/>
    </row>
    <row r="263" ht="8"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22" customHeight="1">
      <c r="A264" s="21" t="str">
        <v>Non-GAAP net revenue reconciliation</v>
      </c>
      <c r="B264" s="21" t="str">
        <v>Non-GAAP net revenue reconciliation</v>
      </c>
      <c r="C264" s="21" t="str">
        <v>Non-GAAP net revenue reconciliation</v>
      </c>
      <c r="D264" s="21" t="str">
        <v>Non-GAAP net revenue reconciliation</v>
      </c>
      <c r="E264" s="21" t="str">
        <v>Non-GAAP net revenue reconciliation</v>
      </c>
      <c r="F264" s="21" t="str">
        <v>Non-GAAP net revenue reconciliation</v>
      </c>
      <c r="G264" s="21" t="str">
        <v>Non-GAAP net revenue reconciliation</v>
      </c>
      <c r="H264" s="21" t="str">
        <v>Non-GAAP net revenue reconciliation</v>
      </c>
      <c r="I264" s="21" t="str">
        <v>Non-GAAP net revenue reconciliation</v>
      </c>
      <c r="J264" s="21" t="str">
        <v>Non-GAAP net revenue reconciliation</v>
      </c>
      <c r="K264" s="21" t="str">
        <v>Non-GAAP net revenue reconciliation</v>
      </c>
      <c r="L264" s="21" t="str">
        <v>Non-GAAP net revenue reconciliation</v>
      </c>
      <c r="M264" s="21" t="str">
        <v>Non-GAAP net revenue reconciliation</v>
      </c>
      <c r="N264" s="21" t="str">
        <v>Non-GAAP net revenue reconciliation</v>
      </c>
      <c r="O264" s="21" t="str">
        <v>Non-GAAP net revenue reconciliation</v>
      </c>
      <c r="P264" s="21" t="str">
        <v>Non-GAAP net revenue reconciliation</v>
      </c>
      <c r="Q264" s="21" t="str">
        <v>Non-GAAP net revenue reconciliation</v>
      </c>
      <c r="R264" s="21" t="str">
        <v>Non-GAAP net revenue reconciliation</v>
      </c>
      <c r="S264" s="21" t="str">
        <v>Non-GAAP net revenue reconciliation</v>
      </c>
      <c r="T264" s="21" t="str">
        <v>Non-GAAP net revenue reconciliation</v>
      </c>
      <c r="U264" s="21" t="str">
        <v>Non-GAAP net revenue reconciliation</v>
      </c>
      <c r="V264" s="21" t="str">
        <v>Non-GAAP net revenue reconciliation</v>
      </c>
      <c r="W264" s="21" t="str">
        <v>Non-GAAP net revenue reconciliation</v>
      </c>
      <c r="X264" s="21" t="str">
        <v>Non-GAAP net revenue reconciliation</v>
      </c>
      <c r="Y264" s="21" t="str">
        <v>Non-GAAP net revenue reconciliation</v>
      </c>
      <c r="Z264" s="21" t="str">
        <v>Non-GAAP net revenue reconciliation</v>
      </c>
      <c r="AA264" s="21" t="str">
        <v>Non-GAAP net revenue reconciliation</v>
      </c>
    </row>
    <row r="265" ht="18" customHeight="1">
      <c r="A265" s="22" t="str">
        <v>Company-disclosed reconciliation. Dollars, margin effects and EPS adjustments remain in their own original bridge; omitted adjustments are not assumed to be zero.</v>
      </c>
      <c r="B265" s="22" t="str">
        <v>Company-disclosed reconciliation. Dollars, margin effects and EPS adjustments remain in their own original bridge; omitted adjustments are not assumed to be zero.</v>
      </c>
      <c r="C265" s="22" t="str">
        <v>Company-disclosed reconciliation. Dollars, margin effects and EPS adjustments remain in their own original bridge; omitted adjustments are not assumed to be zero.</v>
      </c>
      <c r="D265" s="22" t="str">
        <v>Company-disclosed reconciliation. Dollars, margin effects and EPS adjustments remain in their own original bridge; omitted adjustments are not assumed to be zero.</v>
      </c>
      <c r="E265" s="22" t="str">
        <v>Company-disclosed reconciliation. Dollars, margin effects and EPS adjustments remain in their own original bridge; omitted adjustments are not assumed to be zero.</v>
      </c>
      <c r="F265" s="22" t="str">
        <v>Company-disclosed reconciliation. Dollars, margin effects and EPS adjustments remain in their own original bridge; omitted adjustments are not assumed to be zero.</v>
      </c>
      <c r="G265" s="22" t="str">
        <v>Company-disclosed reconciliation. Dollars, margin effects and EPS adjustments remain in their own original bridge; omitted adjustments are not assumed to be zero.</v>
      </c>
      <c r="H265" s="22" t="str">
        <v>Company-disclosed reconciliation. Dollars, margin effects and EPS adjustments remain in their own original bridge; omitted adjustments are not assumed to be zero.</v>
      </c>
      <c r="I265" s="22" t="str">
        <v>Company-disclosed reconciliation. Dollars, margin effects and EPS adjustments remain in their own original bridge; omitted adjustments are not assumed to be zero.</v>
      </c>
      <c r="J265" s="22" t="str">
        <v>Company-disclosed reconciliation. Dollars, margin effects and EPS adjustments remain in their own original bridge; omitted adjustments are not assumed to be zero.</v>
      </c>
      <c r="K265" s="22" t="str">
        <v>Company-disclosed reconciliation. Dollars, margin effects and EPS adjustments remain in their own original bridge; omitted adjustments are not assumed to be zero.</v>
      </c>
      <c r="L265" s="22" t="str">
        <v>Company-disclosed reconciliation. Dollars, margin effects and EPS adjustments remain in their own original bridge; omitted adjustments are not assumed to be zero.</v>
      </c>
      <c r="M265" s="22" t="str">
        <v>Company-disclosed reconciliation. Dollars, margin effects and EPS adjustments remain in their own original bridge; omitted adjustments are not assumed to be zero.</v>
      </c>
      <c r="N265" s="22" t="str">
        <v>Company-disclosed reconciliation. Dollars, margin effects and EPS adjustments remain in their own original bridge; omitted adjustments are not assumed to be zero.</v>
      </c>
      <c r="O265" s="22" t="str">
        <v>Company-disclosed reconciliation. Dollars, margin effects and EPS adjustments remain in their own original bridge; omitted adjustments are not assumed to be zero.</v>
      </c>
      <c r="P265" s="22" t="str">
        <v>Company-disclosed reconciliation. Dollars, margin effects and EPS adjustments remain in their own original bridge; omitted adjustments are not assumed to be zero.</v>
      </c>
      <c r="Q265" s="22" t="str">
        <v>Company-disclosed reconciliation. Dollars, margin effects and EPS adjustments remain in their own original bridge; omitted adjustments are not assumed to be zero.</v>
      </c>
      <c r="R265" s="22" t="str">
        <v>Company-disclosed reconciliation. Dollars, margin effects and EPS adjustments remain in their own original bridge; omitted adjustments are not assumed to be zero.</v>
      </c>
      <c r="S265" s="22" t="str">
        <v>Company-disclosed reconciliation. Dollars, margin effects and EPS adjustments remain in their own original bridge; omitted adjustments are not assumed to be zero.</v>
      </c>
      <c r="T265" s="22" t="str">
        <v>Company-disclosed reconciliation. Dollars, margin effects and EPS adjustments remain in their own original bridge; omitted adjustments are not assumed to be zero.</v>
      </c>
      <c r="U265" s="22" t="str">
        <v>Company-disclosed reconciliation. Dollars, margin effects and EPS adjustments remain in their own original bridge; omitted adjustments are not assumed to be zero.</v>
      </c>
      <c r="V265" s="22" t="str">
        <v>Company-disclosed reconciliation. Dollars, margin effects and EPS adjustments remain in their own original bridge; omitted adjustments are not assumed to be zero.</v>
      </c>
      <c r="W265" s="22" t="str">
        <v>Company-disclosed reconciliation. Dollars, margin effects and EPS adjustments remain in their own original bridge; omitted adjustments are not assumed to be zero.</v>
      </c>
      <c r="X265" s="22" t="str">
        <v>Company-disclosed reconciliation. Dollars, margin effects and EPS adjustments remain in their own original bridge; omitted adjustments are not assumed to be zero.</v>
      </c>
      <c r="Y265" s="22" t="str">
        <v>Company-disclosed reconciliation. Dollars, margin effects and EPS adjustments remain in their own original bridge; omitted adjustments are not assumed to be zero.</v>
      </c>
      <c r="Z265" s="22" t="str">
        <v>Company-disclosed reconciliation. Dollars, margin effects and EPS adjustments remain in their own original bridge; omitted adjustments are not assumed to be zero.</v>
      </c>
      <c r="AA265" s="22" t="str">
        <v>Company-disclosed reconciliation. Dollars, margin effects and EPS adjustments remain in their own original bridge; omitted adjustments are not assumed to be zero.</v>
      </c>
    </row>
    <row r="266" ht="22" customHeight="1">
      <c r="A266" s="49" t="str">
        <v>Net revenue</v>
      </c>
      <c r="B266" s="3"/>
      <c r="C266" s="51"/>
      <c r="D266" s="51"/>
      <c r="E266" s="51"/>
      <c r="F266" s="51" t="n">
        <v>71965</v>
      </c>
      <c r="G266" s="51" t="n">
        <v>77867</v>
      </c>
      <c r="H266" s="51" t="n">
        <v>79024</v>
      </c>
      <c r="I266" s="51" t="n">
        <v>63054</v>
      </c>
      <c r="J266" s="51" t="n">
        <v>54228</v>
      </c>
      <c r="K266" s="51"/>
      <c r="L266" s="51"/>
      <c r="M266" s="51"/>
      <c r="N266" s="51"/>
      <c r="O266" s="51"/>
      <c r="P266" s="51"/>
      <c r="Q266" s="51"/>
      <c r="R266" s="51"/>
      <c r="S266" s="51"/>
      <c r="T266" s="51"/>
      <c r="U266" s="51"/>
      <c r="V266" s="51"/>
      <c r="W266" s="51"/>
      <c r="X266" s="51"/>
      <c r="Y266" s="51"/>
      <c r="Z266" s="51"/>
      <c r="AA266" s="51"/>
    </row>
    <row r="267" ht="22" customHeight="1">
      <c r="A267" s="49" t="str">
        <v>NAND memory business</v>
      </c>
      <c r="B267" s="3"/>
      <c r="C267" s="51"/>
      <c r="D267" s="51"/>
      <c r="E267" s="51"/>
      <c r="F267" s="51" t="n">
        <v>-4059</v>
      </c>
      <c r="G267" s="51" t="n">
        <v>-4967</v>
      </c>
      <c r="H267" s="51" t="n">
        <v>-4306</v>
      </c>
      <c r="I267" s="51" t="n">
        <v>0</v>
      </c>
      <c r="J267" s="51" t="n">
        <v>0</v>
      </c>
      <c r="K267" s="51"/>
      <c r="L267" s="51"/>
      <c r="M267" s="51"/>
      <c r="N267" s="51"/>
      <c r="O267" s="51"/>
      <c r="P267" s="51"/>
      <c r="Q267" s="51"/>
      <c r="R267" s="51"/>
      <c r="S267" s="51"/>
      <c r="T267" s="51"/>
      <c r="U267" s="51"/>
      <c r="V267" s="51"/>
      <c r="W267" s="51"/>
      <c r="X267" s="51"/>
      <c r="Y267" s="51"/>
      <c r="Z267" s="51"/>
      <c r="AA267" s="51"/>
    </row>
    <row r="268" ht="24" customHeight="1">
      <c r="A268" s="34" t="str">
        <v>Non-GAAP net revenue</v>
      </c>
      <c r="B268" s="35"/>
      <c r="C268" s="36"/>
      <c r="D268" s="36"/>
      <c r="E268" s="36"/>
      <c r="F268" s="36" t="n">
        <v>67906</v>
      </c>
      <c r="G268" s="36" t="n">
        <v>72900</v>
      </c>
      <c r="H268" s="36" t="n">
        <v>74718</v>
      </c>
      <c r="I268" s="36" t="n">
        <v>63054</v>
      </c>
      <c r="J268" s="36" t="n">
        <v>54228</v>
      </c>
      <c r="K268" s="36"/>
      <c r="L268" s="36"/>
      <c r="M268" s="36"/>
      <c r="N268" s="36"/>
      <c r="O268" s="36"/>
      <c r="P268" s="36"/>
      <c r="Q268" s="36"/>
      <c r="R268" s="36"/>
      <c r="S268" s="36"/>
      <c r="T268" s="36"/>
      <c r="U268" s="36"/>
      <c r="V268" s="36"/>
      <c r="W268" s="36"/>
      <c r="X268" s="36"/>
      <c r="Y268" s="36"/>
      <c r="Z268" s="36"/>
      <c r="AA268" s="36"/>
    </row>
    <row r="269" ht="8"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22" customHeight="1">
      <c r="A270" s="21" t="str">
        <v>Non-GAAP gross margin percentage reconciliation</v>
      </c>
      <c r="B270" s="21" t="str">
        <v>Non-GAAP gross margin percentage reconciliation</v>
      </c>
      <c r="C270" s="21" t="str">
        <v>Non-GAAP gross margin percentage reconciliation</v>
      </c>
      <c r="D270" s="21" t="str">
        <v>Non-GAAP gross margin percentage reconciliation</v>
      </c>
      <c r="E270" s="21" t="str">
        <v>Non-GAAP gross margin percentage reconciliation</v>
      </c>
      <c r="F270" s="21" t="str">
        <v>Non-GAAP gross margin percentage reconciliation</v>
      </c>
      <c r="G270" s="21" t="str">
        <v>Non-GAAP gross margin percentage reconciliation</v>
      </c>
      <c r="H270" s="21" t="str">
        <v>Non-GAAP gross margin percentage reconciliation</v>
      </c>
      <c r="I270" s="21" t="str">
        <v>Non-GAAP gross margin percentage reconciliation</v>
      </c>
      <c r="J270" s="21" t="str">
        <v>Non-GAAP gross margin percentage reconciliation</v>
      </c>
      <c r="K270" s="21" t="str">
        <v>Non-GAAP gross margin percentage reconciliation</v>
      </c>
      <c r="L270" s="21" t="str">
        <v>Non-GAAP gross margin percentage reconciliation</v>
      </c>
      <c r="M270" s="21" t="str">
        <v>Non-GAAP gross margin percentage reconciliation</v>
      </c>
      <c r="N270" s="21" t="str">
        <v>Non-GAAP gross margin percentage reconciliation</v>
      </c>
      <c r="O270" s="21" t="str">
        <v>Non-GAAP gross margin percentage reconciliation</v>
      </c>
      <c r="P270" s="21" t="str">
        <v>Non-GAAP gross margin percentage reconciliation</v>
      </c>
      <c r="Q270" s="21" t="str">
        <v>Non-GAAP gross margin percentage reconciliation</v>
      </c>
      <c r="R270" s="21" t="str">
        <v>Non-GAAP gross margin percentage reconciliation</v>
      </c>
      <c r="S270" s="21" t="str">
        <v>Non-GAAP gross margin percentage reconciliation</v>
      </c>
      <c r="T270" s="21" t="str">
        <v>Non-GAAP gross margin percentage reconciliation</v>
      </c>
      <c r="U270" s="21" t="str">
        <v>Non-GAAP gross margin percentage reconciliation</v>
      </c>
      <c r="V270" s="21" t="str">
        <v>Non-GAAP gross margin percentage reconciliation</v>
      </c>
      <c r="W270" s="21" t="str">
        <v>Non-GAAP gross margin percentage reconciliation</v>
      </c>
      <c r="X270" s="21" t="str">
        <v>Non-GAAP gross margin percentage reconciliation</v>
      </c>
      <c r="Y270" s="21" t="str">
        <v>Non-GAAP gross margin percentage reconciliation</v>
      </c>
      <c r="Z270" s="21" t="str">
        <v>Non-GAAP gross margin percentage reconciliation</v>
      </c>
      <c r="AA270" s="21" t="str">
        <v>Non-GAAP gross margin percentage reconciliation</v>
      </c>
    </row>
    <row r="271" ht="18" customHeight="1">
      <c r="A271" s="22" t="str">
        <v>Company-disclosed reconciliation. Dollars, margin effects and EPS adjustments remain in their own original bridge; omitted adjustments are not assumed to be zero.</v>
      </c>
      <c r="B271" s="22" t="str">
        <v>Company-disclosed reconciliation. Dollars, margin effects and EPS adjustments remain in their own original bridge; omitted adjustments are not assumed to be zero.</v>
      </c>
      <c r="C271" s="22" t="str">
        <v>Company-disclosed reconciliation. Dollars, margin effects and EPS adjustments remain in their own original bridge; omitted adjustments are not assumed to be zero.</v>
      </c>
      <c r="D271" s="22" t="str">
        <v>Company-disclosed reconciliation. Dollars, margin effects and EPS adjustments remain in their own original bridge; omitted adjustments are not assumed to be zero.</v>
      </c>
      <c r="E271" s="22" t="str">
        <v>Company-disclosed reconciliation. Dollars, margin effects and EPS adjustments remain in their own original bridge; omitted adjustments are not assumed to be zero.</v>
      </c>
      <c r="F271" s="22" t="str">
        <v>Company-disclosed reconciliation. Dollars, margin effects and EPS adjustments remain in their own original bridge; omitted adjustments are not assumed to be zero.</v>
      </c>
      <c r="G271" s="22" t="str">
        <v>Company-disclosed reconciliation. Dollars, margin effects and EPS adjustments remain in their own original bridge; omitted adjustments are not assumed to be zero.</v>
      </c>
      <c r="H271" s="22" t="str">
        <v>Company-disclosed reconciliation. Dollars, margin effects and EPS adjustments remain in their own original bridge; omitted adjustments are not assumed to be zero.</v>
      </c>
      <c r="I271" s="22" t="str">
        <v>Company-disclosed reconciliation. Dollars, margin effects and EPS adjustments remain in their own original bridge; omitted adjustments are not assumed to be zero.</v>
      </c>
      <c r="J271" s="22" t="str">
        <v>Company-disclosed reconciliation. Dollars, margin effects and EPS adjustments remain in their own original bridge; omitted adjustments are not assumed to be zero.</v>
      </c>
      <c r="K271" s="22" t="str">
        <v>Company-disclosed reconciliation. Dollars, margin effects and EPS adjustments remain in their own original bridge; omitted adjustments are not assumed to be zero.</v>
      </c>
      <c r="L271" s="22" t="str">
        <v>Company-disclosed reconciliation. Dollars, margin effects and EPS adjustments remain in their own original bridge; omitted adjustments are not assumed to be zero.</v>
      </c>
      <c r="M271" s="22" t="str">
        <v>Company-disclosed reconciliation. Dollars, margin effects and EPS adjustments remain in their own original bridge; omitted adjustments are not assumed to be zero.</v>
      </c>
      <c r="N271" s="22" t="str">
        <v>Company-disclosed reconciliation. Dollars, margin effects and EPS adjustments remain in their own original bridge; omitted adjustments are not assumed to be zero.</v>
      </c>
      <c r="O271" s="22" t="str">
        <v>Company-disclosed reconciliation. Dollars, margin effects and EPS adjustments remain in their own original bridge; omitted adjustments are not assumed to be zero.</v>
      </c>
      <c r="P271" s="22" t="str">
        <v>Company-disclosed reconciliation. Dollars, margin effects and EPS adjustments remain in their own original bridge; omitted adjustments are not assumed to be zero.</v>
      </c>
      <c r="Q271" s="22" t="str">
        <v>Company-disclosed reconciliation. Dollars, margin effects and EPS adjustments remain in their own original bridge; omitted adjustments are not assumed to be zero.</v>
      </c>
      <c r="R271" s="22" t="str">
        <v>Company-disclosed reconciliation. Dollars, margin effects and EPS adjustments remain in their own original bridge; omitted adjustments are not assumed to be zero.</v>
      </c>
      <c r="S271" s="22" t="str">
        <v>Company-disclosed reconciliation. Dollars, margin effects and EPS adjustments remain in their own original bridge; omitted adjustments are not assumed to be zero.</v>
      </c>
      <c r="T271" s="22" t="str">
        <v>Company-disclosed reconciliation. Dollars, margin effects and EPS adjustments remain in their own original bridge; omitted adjustments are not assumed to be zero.</v>
      </c>
      <c r="U271" s="22" t="str">
        <v>Company-disclosed reconciliation. Dollars, margin effects and EPS adjustments remain in their own original bridge; omitted adjustments are not assumed to be zero.</v>
      </c>
      <c r="V271" s="22" t="str">
        <v>Company-disclosed reconciliation. Dollars, margin effects and EPS adjustments remain in their own original bridge; omitted adjustments are not assumed to be zero.</v>
      </c>
      <c r="W271" s="22" t="str">
        <v>Company-disclosed reconciliation. Dollars, margin effects and EPS adjustments remain in their own original bridge; omitted adjustments are not assumed to be zero.</v>
      </c>
      <c r="X271" s="22" t="str">
        <v>Company-disclosed reconciliation. Dollars, margin effects and EPS adjustments remain in their own original bridge; omitted adjustments are not assumed to be zero.</v>
      </c>
      <c r="Y271" s="22" t="str">
        <v>Company-disclosed reconciliation. Dollars, margin effects and EPS adjustments remain in their own original bridge; omitted adjustments are not assumed to be zero.</v>
      </c>
      <c r="Z271" s="22" t="str">
        <v>Company-disclosed reconciliation. Dollars, margin effects and EPS adjustments remain in their own original bridge; omitted adjustments are not assumed to be zero.</v>
      </c>
      <c r="AA271" s="22" t="str">
        <v>Company-disclosed reconciliation. Dollars, margin effects and EPS adjustments remain in their own original bridge; omitted adjustments are not assumed to be zero.</v>
      </c>
    </row>
    <row r="272" ht="20" customHeight="1">
      <c r="A272" s="40" t="str">
        <v>Gross margin percentage</v>
      </c>
      <c r="B272" s="3"/>
      <c r="C272" s="44"/>
      <c r="D272" s="44"/>
      <c r="E272" s="44"/>
      <c r="F272" s="44"/>
      <c r="G272" s="44" t="n">
        <v>0.56</v>
      </c>
      <c r="H272" s="44" t="n">
        <v>0.5539999999999999</v>
      </c>
      <c r="I272" s="44" t="n">
        <v>0.426</v>
      </c>
      <c r="J272" s="44" t="n">
        <v>0.4</v>
      </c>
      <c r="K272" s="44"/>
      <c r="L272" s="44"/>
      <c r="M272" s="44"/>
      <c r="N272" s="44" t="n">
        <v>0.342</v>
      </c>
      <c r="O272" s="44" t="n">
        <v>0.358</v>
      </c>
      <c r="P272" s="44" t="n">
        <v>0.425</v>
      </c>
      <c r="Q272" s="44"/>
      <c r="R272" s="44" t="n">
        <v>0.41</v>
      </c>
      <c r="S272" s="44" t="n">
        <v>0.354</v>
      </c>
      <c r="T272" s="44" t="n">
        <v>0.15</v>
      </c>
      <c r="U272" s="44"/>
      <c r="V272" s="44"/>
      <c r="W272" s="44"/>
      <c r="X272" s="44"/>
      <c r="Y272" s="44"/>
      <c r="Z272" s="44"/>
      <c r="AA272" s="44"/>
    </row>
    <row r="273" ht="20" customHeight="1">
      <c r="A273" s="40" t="str">
        <v>Acquisition-related adjustments</v>
      </c>
      <c r="B273" s="3"/>
      <c r="C273" s="44"/>
      <c r="D273" s="44"/>
      <c r="E273" s="44"/>
      <c r="F273" s="44"/>
      <c r="G273" s="44" t="n">
        <v>0.016</v>
      </c>
      <c r="H273" s="44" t="n">
        <v>0.016</v>
      </c>
      <c r="I273" s="44" t="n">
        <v>0.021</v>
      </c>
      <c r="J273" s="44" t="n">
        <v>0.023</v>
      </c>
      <c r="K273" s="44"/>
      <c r="L273" s="44"/>
      <c r="M273" s="44"/>
      <c r="N273" s="44" t="n">
        <v>0.027999999999999997</v>
      </c>
      <c r="O273" s="44" t="n">
        <v>0.024</v>
      </c>
      <c r="P273" s="44" t="n">
        <v>0.021</v>
      </c>
      <c r="Q273" s="44"/>
      <c r="R273" s="44" t="n">
        <v>0.018000000000000002</v>
      </c>
      <c r="S273" s="44" t="n">
        <v>0.017</v>
      </c>
      <c r="T273" s="44" t="n">
        <v>0.017</v>
      </c>
      <c r="U273" s="44"/>
      <c r="V273" s="44"/>
      <c r="W273" s="44"/>
      <c r="X273" s="44"/>
      <c r="Y273" s="44"/>
      <c r="Z273" s="44"/>
      <c r="AA273" s="44"/>
    </row>
    <row r="274" ht="20" customHeight="1">
      <c r="A274" s="40" t="str">
        <v>Share-based compensation</v>
      </c>
      <c r="B274" s="3"/>
      <c r="C274" s="44"/>
      <c r="D274" s="44"/>
      <c r="E274" s="44"/>
      <c r="F274" s="44"/>
      <c r="G274" s="44" t="n">
        <v>0.004</v>
      </c>
      <c r="H274" s="44" t="n">
        <v>0.004</v>
      </c>
      <c r="I274" s="44" t="n">
        <v>0.01</v>
      </c>
      <c r="J274" s="44" t="n">
        <v>0.013000000000000001</v>
      </c>
      <c r="K274" s="44"/>
      <c r="L274" s="44"/>
      <c r="M274" s="44"/>
      <c r="N274" s="44" t="n">
        <v>0.013999999999999999</v>
      </c>
      <c r="O274" s="44" t="n">
        <v>0.016</v>
      </c>
      <c r="P274" s="44" t="n">
        <v>0.012</v>
      </c>
      <c r="Q274" s="44"/>
      <c r="R274" s="44" t="n">
        <v>0.023</v>
      </c>
      <c r="S274" s="44" t="n">
        <v>0.015</v>
      </c>
      <c r="T274" s="44" t="n">
        <v>0.013000000000000001</v>
      </c>
      <c r="U274" s="44"/>
      <c r="V274" s="44"/>
      <c r="W274" s="44"/>
      <c r="X274" s="44"/>
      <c r="Y274" s="44"/>
      <c r="Z274" s="44"/>
      <c r="AA274" s="44"/>
    </row>
    <row r="275" ht="20" customHeight="1">
      <c r="A275" s="40" t="str">
        <v>Patent settlement</v>
      </c>
      <c r="B275" s="3"/>
      <c r="C275" s="44"/>
      <c r="D275" s="44"/>
      <c r="E275" s="44"/>
      <c r="F275" s="44"/>
      <c r="G275" s="44" t="n">
        <v>0</v>
      </c>
      <c r="H275" s="44" t="n">
        <v>0</v>
      </c>
      <c r="I275" s="44" t="n">
        <v>0.003</v>
      </c>
      <c r="J275" s="44" t="n">
        <v>0</v>
      </c>
      <c r="K275" s="44"/>
      <c r="L275" s="44"/>
      <c r="M275" s="44"/>
      <c r="N275" s="44"/>
      <c r="O275" s="44"/>
      <c r="P275" s="44"/>
      <c r="Q275" s="44"/>
      <c r="R275" s="44"/>
      <c r="S275" s="44"/>
      <c r="T275" s="44"/>
      <c r="U275" s="44"/>
      <c r="V275" s="44"/>
      <c r="W275" s="44"/>
      <c r="X275" s="44"/>
      <c r="Y275" s="44"/>
      <c r="Z275" s="44"/>
      <c r="AA275" s="44"/>
    </row>
    <row r="276" ht="20" customHeight="1">
      <c r="A276" s="40" t="str">
        <v>Optane inventory impairment</v>
      </c>
      <c r="B276" s="3"/>
      <c r="C276" s="44"/>
      <c r="D276" s="44"/>
      <c r="E276" s="44"/>
      <c r="F276" s="44"/>
      <c r="G276" s="44" t="n">
        <v>0</v>
      </c>
      <c r="H276" s="44" t="n">
        <v>0</v>
      </c>
      <c r="I276" s="44" t="n">
        <v>0.011000000000000001</v>
      </c>
      <c r="J276" s="44" t="n">
        <v>0</v>
      </c>
      <c r="K276" s="44"/>
      <c r="L276" s="44"/>
      <c r="M276" s="44"/>
      <c r="N276" s="44"/>
      <c r="O276" s="44"/>
      <c r="P276" s="44"/>
      <c r="Q276" s="44"/>
      <c r="R276" s="44"/>
      <c r="S276" s="44"/>
      <c r="T276" s="44"/>
      <c r="U276" s="44"/>
      <c r="V276" s="44"/>
      <c r="W276" s="44"/>
      <c r="X276" s="44"/>
      <c r="Y276" s="44"/>
      <c r="Z276" s="44"/>
      <c r="AA276" s="44"/>
    </row>
    <row r="277" ht="20" customHeight="1">
      <c r="A277" s="40" t="str">
        <v>NAND memory business</v>
      </c>
      <c r="B277" s="3"/>
      <c r="C277" s="44"/>
      <c r="D277" s="44"/>
      <c r="E277" s="44"/>
      <c r="F277" s="44"/>
      <c r="G277" s="44" t="n">
        <v>0.018000000000000002</v>
      </c>
      <c r="H277" s="44" t="n">
        <v>0.006</v>
      </c>
      <c r="I277" s="44" t="n">
        <v>0</v>
      </c>
      <c r="J277" s="44" t="n">
        <v>0</v>
      </c>
      <c r="K277" s="44"/>
      <c r="L277" s="44"/>
      <c r="M277" s="44"/>
      <c r="N277" s="44"/>
      <c r="O277" s="44"/>
      <c r="P277" s="44"/>
      <c r="Q277" s="44"/>
      <c r="R277" s="44"/>
      <c r="S277" s="44"/>
      <c r="T277" s="44"/>
      <c r="U277" s="44"/>
      <c r="V277" s="44"/>
      <c r="W277" s="44"/>
      <c r="X277" s="44"/>
      <c r="Y277" s="44"/>
      <c r="Z277" s="44"/>
      <c r="AA277" s="44"/>
    </row>
    <row r="278" ht="24" customHeight="1">
      <c r="A278" s="72" t="str">
        <v>Non-GAAP gross margin percentage</v>
      </c>
      <c r="B278" s="35"/>
      <c r="C278" s="74"/>
      <c r="D278" s="74"/>
      <c r="E278" s="74"/>
      <c r="F278" s="74"/>
      <c r="G278" s="74" t="n">
        <v>0.598</v>
      </c>
      <c r="H278" s="74" t="n">
        <v>0.581</v>
      </c>
      <c r="I278" s="74" t="n">
        <v>0.473</v>
      </c>
      <c r="J278" s="74" t="n">
        <v>0.436</v>
      </c>
      <c r="K278" s="74"/>
      <c r="L278" s="74"/>
      <c r="M278" s="74"/>
      <c r="N278" s="74" t="n">
        <v>0.384</v>
      </c>
      <c r="O278" s="74" t="n">
        <v>0.39799999999999996</v>
      </c>
      <c r="P278" s="74" t="n">
        <v>0.45799999999999996</v>
      </c>
      <c r="Q278" s="74"/>
      <c r="R278" s="74" t="n">
        <v>0.451</v>
      </c>
      <c r="S278" s="74" t="n">
        <v>0.387</v>
      </c>
      <c r="T278" s="74" t="n">
        <v>0.18</v>
      </c>
      <c r="U278" s="74"/>
      <c r="V278" s="74"/>
      <c r="W278" s="74"/>
      <c r="X278" s="74"/>
      <c r="Y278" s="74"/>
      <c r="Z278" s="74"/>
      <c r="AA278" s="74"/>
    </row>
    <row r="279" ht="8"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22"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sheetData>
  <mergeCells>
    <mergeCell ref="A1:AA1"/>
    <mergeCell ref="A2:AA2"/>
    <mergeCell ref="A7:AA7"/>
    <mergeCell ref="A8:AA8"/>
    <mergeCell ref="A13:AA13"/>
    <mergeCell ref="A14:AA14"/>
    <mergeCell ref="A20:AA20"/>
    <mergeCell ref="A21:AA21"/>
    <mergeCell ref="A28:AA28"/>
    <mergeCell ref="A29:AA29"/>
    <mergeCell ref="A33:AA33"/>
    <mergeCell ref="A34:AA34"/>
    <mergeCell ref="A39:AA39"/>
    <mergeCell ref="A62:AA62"/>
    <mergeCell ref="A98:AA98"/>
    <mergeCell ref="A126:AA126"/>
    <mergeCell ref="A174:AA174"/>
    <mergeCell ref="A204:AA204"/>
    <mergeCell ref="A205:AA205"/>
    <mergeCell ref="A216:AA216"/>
    <mergeCell ref="A217:AA217"/>
    <mergeCell ref="A244:AA244"/>
    <mergeCell ref="A245:AA245"/>
    <mergeCell ref="A252:AA252"/>
    <mergeCell ref="A253:AA253"/>
    <mergeCell ref="A264:AA264"/>
    <mergeCell ref="A265:AA265"/>
    <mergeCell ref="A270:AA270"/>
    <mergeCell ref="A271:AA271"/>
  </mergeCells>
  <pageMargins left="0.7" right="0.7" top="0.75" bottom="0.75" header="0.3" footer="0.3"/>
</worksheet>
</file>